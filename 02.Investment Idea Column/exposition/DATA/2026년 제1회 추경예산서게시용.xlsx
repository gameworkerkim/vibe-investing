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섬 박람회 조직위원회\Desktop\예산서\"/>
    </mc:Choice>
  </mc:AlternateContent>
  <bookViews>
    <workbookView xWindow="0" yWindow="0" windowWidth="16200" windowHeight="10740" tabRatio="813" firstSheet="1" activeTab="11"/>
  </bookViews>
  <sheets>
    <sheet name="표지" sheetId="47" r:id="rId1"/>
    <sheet name="수입예산 총괄표" sheetId="41" r:id="rId2"/>
    <sheet name="지출예산 총괄표" sheetId="46" r:id="rId3"/>
    <sheet name="지출예산(직접)" sheetId="29" r:id="rId4"/>
    <sheet name="종합상황실" sheetId="48" r:id="rId5"/>
    <sheet name="행정관리부" sheetId="36" r:id="rId6"/>
    <sheet name="기획홍보부" sheetId="34" r:id="rId7"/>
    <sheet name="수익사업부" sheetId="30" r:id="rId8"/>
    <sheet name="유치협력부" sheetId="35" r:id="rId9"/>
    <sheet name="운영부" sheetId="37" r:id="rId10"/>
    <sheet name="행사부" sheetId="38" r:id="rId11"/>
    <sheet name="시설조성부" sheetId="39" r:id="rId12"/>
    <sheet name="전시연출부" sheetId="40" r:id="rId13"/>
    <sheet name="예비비" sheetId="42" r:id="rId14"/>
    <sheet name="지출예산(위탁)" sheetId="43" r:id="rId15"/>
    <sheet name="기획본부(위탁)" sheetId="44" r:id="rId16"/>
    <sheet name="운영본부(위탁)" sheetId="45" r:id="rId17"/>
  </sheets>
  <externalReferences>
    <externalReference r:id="rId18"/>
    <externalReference r:id="rId19"/>
  </externalReferences>
  <definedNames>
    <definedName name="_xlnm._FilterDatabase" localSheetId="6" hidden="1">기획홍보부!$A$3:$M$71</definedName>
    <definedName name="_xlnm._FilterDatabase" localSheetId="7" hidden="1">수익사업부!$A$3:$AY$73</definedName>
    <definedName name="_xlnm._FilterDatabase" localSheetId="11" hidden="1">시설조성부!$A$3:$M$31</definedName>
    <definedName name="_xlnm._FilterDatabase" localSheetId="9" hidden="1">운영부!$A$3:$M$45</definedName>
    <definedName name="_xlnm._FilterDatabase" localSheetId="8" hidden="1">유치협력부!$A$3:$BP$53</definedName>
    <definedName name="_xlnm._FilterDatabase" localSheetId="12" hidden="1">전시연출부!$A$3:$M$48</definedName>
    <definedName name="_xlnm._FilterDatabase" localSheetId="4" hidden="1">종합상황실!$A$3:$M$37</definedName>
    <definedName name="_xlnm._FilterDatabase" localSheetId="3" hidden="1">'지출예산(직접)'!$A$4:$I$257</definedName>
    <definedName name="_xlnm._FilterDatabase" localSheetId="10" hidden="1">행사부!$A$3:$M$24</definedName>
    <definedName name="_xlnm._FilterDatabase" localSheetId="5" hidden="1">행정관리부!$A$3:$M$137</definedName>
    <definedName name="_xlnm.Database" localSheetId="6">#REF!</definedName>
    <definedName name="_xlnm.Database" localSheetId="4">#REF!</definedName>
    <definedName name="_xlnm.Database" localSheetId="3">#REF!</definedName>
    <definedName name="_xlnm.Database" localSheetId="0">#REF!</definedName>
    <definedName name="_xlnm.Database">#REF!</definedName>
    <definedName name="_xlnm.Print_Area" localSheetId="7">수익사업부!$A$1:$M$73</definedName>
    <definedName name="_xlnm.Print_Area" localSheetId="1">'수입예산 총괄표'!$A$1:$H$35</definedName>
    <definedName name="_xlnm.Print_Area" localSheetId="11">시설조성부!$A$1:$M$65</definedName>
    <definedName name="_xlnm.Print_Area" localSheetId="16">'운영본부(위탁)'!$A$1:$M$59</definedName>
    <definedName name="_xlnm.Print_Area" localSheetId="8">유치협력부!$A$1:$M$53</definedName>
    <definedName name="_xlnm.Print_Area" localSheetId="3">'지출예산(직접)'!$A$1:$I$257</definedName>
    <definedName name="_xlnm.Print_Titles" localSheetId="15">'기획본부(위탁)'!$1:$4</definedName>
    <definedName name="_xlnm.Print_Titles" localSheetId="6">기획홍보부!$1:$4</definedName>
    <definedName name="_xlnm.Print_Titles" localSheetId="7">수익사업부!$1:$4</definedName>
    <definedName name="_xlnm.Print_Titles" localSheetId="11">시설조성부!$1:$4</definedName>
    <definedName name="_xlnm.Print_Titles" localSheetId="13">예비비!$1:$4</definedName>
    <definedName name="_xlnm.Print_Titles" localSheetId="16">'운영본부(위탁)'!$1:$4</definedName>
    <definedName name="_xlnm.Print_Titles" localSheetId="9">운영부!$1:$4</definedName>
    <definedName name="_xlnm.Print_Titles" localSheetId="8">유치협력부!$1:$4</definedName>
    <definedName name="_xlnm.Print_Titles" localSheetId="12">전시연출부!$1:$4</definedName>
    <definedName name="_xlnm.Print_Titles" localSheetId="4">종합상황실!$1:$4</definedName>
    <definedName name="_xlnm.Print_Titles" localSheetId="14">'지출예산(위탁)'!$1:$5</definedName>
    <definedName name="_xlnm.Print_Titles" localSheetId="3">'지출예산(직접)'!$1:$5</definedName>
    <definedName name="_xlnm.Print_Titles" localSheetId="10">행사부!$1:$4</definedName>
    <definedName name="_xlnm.Print_Titles" localSheetId="5">행정관리부!$1:$4</definedName>
    <definedName name="ㄹㄹㄹ" localSheetId="6">#REF!</definedName>
    <definedName name="ㄹㄹㄹ" localSheetId="4">#REF!</definedName>
    <definedName name="ㄹㄹㄹ" localSheetId="3">#REF!</definedName>
    <definedName name="ㄹㄹㄹ" localSheetId="0">#REF!</definedName>
    <definedName name="ㄹㄹㄹ">#REF!</definedName>
    <definedName name="ㅁ1" localSheetId="6">#REF!</definedName>
    <definedName name="ㅁ1" localSheetId="7">#REF!</definedName>
    <definedName name="ㅁ1" localSheetId="4">#REF!</definedName>
    <definedName name="ㅁ1" localSheetId="3">#REF!</definedName>
    <definedName name="ㅁ1" localSheetId="0">#REF!</definedName>
    <definedName name="ㅁ1">#REF!</definedName>
    <definedName name="ㅇㅇ" localSheetId="4">#REF!</definedName>
    <definedName name="ㅇㅇ" localSheetId="0">#REF!</definedName>
    <definedName name="ㅇㅇ">#REF!</definedName>
    <definedName name="ㅇㅇㅇ" localSheetId="4">#REF!</definedName>
    <definedName name="ㅇㅇㅇ" localSheetId="0">#REF!</definedName>
    <definedName name="ㅇㅇㅇ">#REF!</definedName>
  </definedNames>
  <calcPr calcId="162913"/>
</workbook>
</file>

<file path=xl/calcChain.xml><?xml version="1.0" encoding="utf-8"?>
<calcChain xmlns="http://schemas.openxmlformats.org/spreadsheetml/2006/main">
  <c r="H6" i="48" l="1"/>
  <c r="G118" i="29" l="1"/>
  <c r="J11" i="42" l="1"/>
  <c r="H34" i="41" l="1"/>
  <c r="H27" i="41" l="1"/>
  <c r="G188" i="29"/>
  <c r="G192" i="29"/>
  <c r="G191" i="29"/>
  <c r="G190" i="29"/>
  <c r="G189" i="29"/>
  <c r="I192" i="29"/>
  <c r="I191" i="29"/>
  <c r="I190" i="29"/>
  <c r="I189" i="29"/>
  <c r="H5" i="41" l="1"/>
  <c r="H49" i="36" l="1"/>
  <c r="G41" i="29"/>
  <c r="I41" i="29" s="1"/>
  <c r="M78" i="36"/>
  <c r="H78" i="36" s="1"/>
  <c r="J78" i="36" s="1"/>
  <c r="M67" i="36"/>
  <c r="M11" i="48" l="1"/>
  <c r="H11" i="48" s="1"/>
  <c r="H7" i="41"/>
  <c r="G11" i="29" l="1"/>
  <c r="I11" i="29" s="1"/>
  <c r="H10" i="48"/>
  <c r="G10" i="29" s="1"/>
  <c r="I10" i="29" s="1"/>
  <c r="J11" i="48"/>
  <c r="F34" i="41"/>
  <c r="H35" i="41"/>
  <c r="F27" i="41"/>
  <c r="M11" i="42"/>
  <c r="M18" i="42"/>
  <c r="H18" i="42" s="1"/>
  <c r="G236" i="29" s="1"/>
  <c r="I236" i="29" s="1"/>
  <c r="H9" i="48" l="1"/>
  <c r="J10" i="48"/>
  <c r="J18" i="42"/>
  <c r="H17" i="42"/>
  <c r="J9" i="48" l="1"/>
  <c r="H8" i="48"/>
  <c r="G9" i="29" s="1"/>
  <c r="I9" i="29" s="1"/>
  <c r="J17" i="42"/>
  <c r="H16" i="42"/>
  <c r="G29" i="43"/>
  <c r="G28" i="43"/>
  <c r="G27" i="43"/>
  <c r="G26" i="43"/>
  <c r="G25" i="43"/>
  <c r="G24" i="43"/>
  <c r="G23" i="43"/>
  <c r="G22" i="43"/>
  <c r="H31" i="44"/>
  <c r="M53" i="44"/>
  <c r="H53" i="44" s="1"/>
  <c r="M49" i="44"/>
  <c r="H49" i="44" s="1"/>
  <c r="M44" i="44"/>
  <c r="H44" i="44"/>
  <c r="J44" i="44" s="1"/>
  <c r="H43" i="44"/>
  <c r="J43" i="44" s="1"/>
  <c r="H42" i="44"/>
  <c r="H41" i="44" s="1"/>
  <c r="J41" i="44" s="1"/>
  <c r="J8" i="48" l="1"/>
  <c r="H7" i="48"/>
  <c r="J16" i="42"/>
  <c r="H15" i="42"/>
  <c r="H48" i="44"/>
  <c r="J49" i="44"/>
  <c r="J53" i="44"/>
  <c r="H52" i="44"/>
  <c r="J42" i="44"/>
  <c r="J7" i="48" l="1"/>
  <c r="G8" i="29"/>
  <c r="I8" i="29" s="1"/>
  <c r="J15" i="42"/>
  <c r="G235" i="29"/>
  <c r="I235" i="29" s="1"/>
  <c r="J52" i="44"/>
  <c r="H51" i="44"/>
  <c r="J51" i="44" s="1"/>
  <c r="J48" i="44"/>
  <c r="H47" i="44"/>
  <c r="J47" i="44" l="1"/>
  <c r="H46" i="44"/>
  <c r="J46" i="44" s="1"/>
  <c r="M32" i="35" l="1"/>
  <c r="H32" i="35" s="1"/>
  <c r="M26" i="35"/>
  <c r="H26" i="35" s="1"/>
  <c r="H25" i="35" s="1"/>
  <c r="G137" i="29" s="1"/>
  <c r="I137" i="29" s="1"/>
  <c r="J32" i="35" l="1"/>
  <c r="G141" i="29"/>
  <c r="I141" i="29" s="1"/>
  <c r="G138" i="29"/>
  <c r="I138" i="29" s="1"/>
  <c r="H31" i="35"/>
  <c r="G140" i="29" s="1"/>
  <c r="I140" i="29" s="1"/>
  <c r="J25" i="35"/>
  <c r="H24" i="35"/>
  <c r="H23" i="35" s="1"/>
  <c r="J26" i="35"/>
  <c r="G12" i="41"/>
  <c r="F12" i="41" s="1"/>
  <c r="F26" i="41"/>
  <c r="H26" i="41" s="1"/>
  <c r="G63" i="43"/>
  <c r="I63" i="43"/>
  <c r="H25" i="45"/>
  <c r="M30" i="45"/>
  <c r="H30" i="45"/>
  <c r="J30" i="45" s="1"/>
  <c r="M11" i="39"/>
  <c r="H11" i="39"/>
  <c r="J11" i="39" s="1"/>
  <c r="M44" i="39"/>
  <c r="M29" i="38"/>
  <c r="H29" i="38" s="1"/>
  <c r="G187" i="29" s="1"/>
  <c r="I187" i="29" s="1"/>
  <c r="M15" i="37"/>
  <c r="G48" i="43"/>
  <c r="I48" i="43" s="1"/>
  <c r="G46" i="43"/>
  <c r="I46" i="43" s="1"/>
  <c r="G45" i="43"/>
  <c r="M83" i="44"/>
  <c r="M94" i="44"/>
  <c r="J94" i="44"/>
  <c r="H93" i="44"/>
  <c r="J93" i="44" s="1"/>
  <c r="M89" i="44"/>
  <c r="J89" i="44"/>
  <c r="G136" i="29" l="1"/>
  <c r="I136" i="29" s="1"/>
  <c r="J31" i="35"/>
  <c r="H30" i="35"/>
  <c r="J24" i="35"/>
  <c r="J23" i="35"/>
  <c r="H10" i="39"/>
  <c r="J29" i="38"/>
  <c r="H28" i="38"/>
  <c r="G186" i="29" s="1"/>
  <c r="I186" i="29" s="1"/>
  <c r="H92" i="44"/>
  <c r="J92" i="44" s="1"/>
  <c r="G47" i="43"/>
  <c r="I47" i="43" s="1"/>
  <c r="J83" i="44"/>
  <c r="H82" i="44"/>
  <c r="G44" i="43" s="1"/>
  <c r="M21" i="35"/>
  <c r="H21" i="35" s="1"/>
  <c r="G112" i="29"/>
  <c r="I112" i="29" s="1"/>
  <c r="G111" i="29"/>
  <c r="I111" i="29" s="1"/>
  <c r="G110" i="29"/>
  <c r="I110" i="29" s="1"/>
  <c r="H7" i="30"/>
  <c r="M58" i="30"/>
  <c r="M43" i="30"/>
  <c r="M49" i="30"/>
  <c r="H43" i="30" s="1"/>
  <c r="M15" i="30"/>
  <c r="M11" i="34"/>
  <c r="M121" i="36"/>
  <c r="M113" i="36"/>
  <c r="M108" i="36"/>
  <c r="M30" i="36"/>
  <c r="M81" i="36"/>
  <c r="M50" i="36"/>
  <c r="M33" i="48"/>
  <c r="H33" i="48" s="1"/>
  <c r="J33" i="48" s="1"/>
  <c r="M21" i="48"/>
  <c r="J30" i="35" l="1"/>
  <c r="H29" i="35"/>
  <c r="J21" i="35"/>
  <c r="H20" i="35"/>
  <c r="G135" i="29"/>
  <c r="I135" i="29" s="1"/>
  <c r="H9" i="39"/>
  <c r="J10" i="39"/>
  <c r="J28" i="38"/>
  <c r="H27" i="38"/>
  <c r="G22" i="29"/>
  <c r="I22" i="29" s="1"/>
  <c r="J82" i="44"/>
  <c r="H81" i="44"/>
  <c r="J43" i="30"/>
  <c r="H42" i="30"/>
  <c r="G139" i="29" l="1"/>
  <c r="I139" i="29" s="1"/>
  <c r="H7" i="35"/>
  <c r="H19" i="35"/>
  <c r="H18" i="35" s="1"/>
  <c r="G133" i="29" s="1"/>
  <c r="I133" i="29" s="1"/>
  <c r="G134" i="29"/>
  <c r="I134" i="29" s="1"/>
  <c r="J9" i="39"/>
  <c r="H8" i="39"/>
  <c r="J27" i="38"/>
  <c r="H26" i="38"/>
  <c r="G185" i="29" s="1"/>
  <c r="I185" i="29" s="1"/>
  <c r="J81" i="44"/>
  <c r="H80" i="44"/>
  <c r="J42" i="30"/>
  <c r="H41" i="30"/>
  <c r="H7" i="39" l="1"/>
  <c r="J8" i="39"/>
  <c r="J26" i="38"/>
  <c r="H25" i="38"/>
  <c r="J80" i="44"/>
  <c r="G43" i="43"/>
  <c r="H79" i="44"/>
  <c r="J41" i="30"/>
  <c r="H40" i="30"/>
  <c r="J40" i="30" s="1"/>
  <c r="M48" i="45"/>
  <c r="H48" i="45" s="1"/>
  <c r="M52" i="45"/>
  <c r="H52" i="45" s="1"/>
  <c r="J52" i="45" s="1"/>
  <c r="J25" i="38" l="1"/>
  <c r="G184" i="29"/>
  <c r="I184" i="29" s="1"/>
  <c r="H6" i="38"/>
  <c r="G172" i="29" s="1"/>
  <c r="H47" i="45"/>
  <c r="J7" i="39"/>
  <c r="J79" i="44"/>
  <c r="G42" i="43"/>
  <c r="I42" i="43" s="1"/>
  <c r="H10" i="40"/>
  <c r="M17" i="40"/>
  <c r="H11" i="40"/>
  <c r="M12" i="40"/>
  <c r="J11" i="40"/>
  <c r="M13" i="36" l="1"/>
  <c r="H11" i="37"/>
  <c r="M23" i="39"/>
  <c r="M20" i="39"/>
  <c r="M18" i="39"/>
  <c r="M32" i="37"/>
  <c r="H29" i="37"/>
  <c r="H25" i="37"/>
  <c r="M29" i="37"/>
  <c r="M25" i="37"/>
  <c r="M11" i="37"/>
  <c r="M65" i="30"/>
  <c r="M24" i="30"/>
  <c r="M11" i="30"/>
  <c r="M45" i="34"/>
  <c r="M19" i="34"/>
  <c r="M131" i="36"/>
  <c r="M102" i="36"/>
  <c r="H102" i="36" s="1"/>
  <c r="M97" i="36"/>
  <c r="M94" i="36"/>
  <c r="M90" i="36"/>
  <c r="H81" i="36"/>
  <c r="M87" i="36"/>
  <c r="M75" i="36"/>
  <c r="M71" i="36"/>
  <c r="H71" i="36" s="1"/>
  <c r="H50" i="36"/>
  <c r="M44" i="36"/>
  <c r="M36" i="36" l="1"/>
  <c r="H30" i="36" s="1"/>
  <c r="M58" i="45" l="1"/>
  <c r="G22" i="46" l="1"/>
  <c r="I22" i="46" s="1"/>
  <c r="G229" i="29" l="1"/>
  <c r="G228" i="29"/>
  <c r="G227" i="29"/>
  <c r="G226" i="29"/>
  <c r="G225" i="29"/>
  <c r="G224" i="29"/>
  <c r="G223" i="29"/>
  <c r="G222" i="29"/>
  <c r="G221" i="29"/>
  <c r="G220" i="29"/>
  <c r="G219" i="29"/>
  <c r="G212" i="29"/>
  <c r="I212" i="29" s="1"/>
  <c r="H17" i="40"/>
  <c r="G211" i="29" s="1"/>
  <c r="I211" i="29" s="1"/>
  <c r="M53" i="39"/>
  <c r="H53" i="39" s="1"/>
  <c r="M62" i="39"/>
  <c r="H62" i="39" s="1"/>
  <c r="M36" i="39"/>
  <c r="H36" i="39"/>
  <c r="M26" i="45"/>
  <c r="M19" i="45"/>
  <c r="J53" i="39" l="1"/>
  <c r="H52" i="39"/>
  <c r="J52" i="39" s="1"/>
  <c r="H51" i="39"/>
  <c r="G246" i="29"/>
  <c r="I246" i="29" s="1"/>
  <c r="J36" i="39"/>
  <c r="G207" i="29"/>
  <c r="I207" i="29" s="1"/>
  <c r="G247" i="29"/>
  <c r="I247" i="29" s="1"/>
  <c r="J62" i="39"/>
  <c r="G252" i="29"/>
  <c r="I252" i="29" s="1"/>
  <c r="J17" i="40"/>
  <c r="H61" i="39"/>
  <c r="G251" i="29" s="1"/>
  <c r="I251" i="29" s="1"/>
  <c r="H35" i="39"/>
  <c r="G206" i="29" s="1"/>
  <c r="I206" i="29" s="1"/>
  <c r="M77" i="44"/>
  <c r="H77" i="44" s="1"/>
  <c r="M73" i="44"/>
  <c r="H73" i="44" s="1"/>
  <c r="M70" i="44"/>
  <c r="H70" i="44" s="1"/>
  <c r="G38" i="43" s="1"/>
  <c r="I38" i="43" s="1"/>
  <c r="M65" i="44"/>
  <c r="M61" i="44"/>
  <c r="M39" i="44"/>
  <c r="H39" i="44" s="1"/>
  <c r="I24" i="43"/>
  <c r="M35" i="44"/>
  <c r="H35" i="44" s="1"/>
  <c r="H34" i="44" s="1"/>
  <c r="G20" i="43" s="1"/>
  <c r="G129" i="29"/>
  <c r="I129" i="29" s="1"/>
  <c r="M16" i="35"/>
  <c r="H16" i="35" s="1"/>
  <c r="J16" i="35" s="1"/>
  <c r="M14" i="35"/>
  <c r="H14" i="35" s="1"/>
  <c r="G131" i="29" s="1"/>
  <c r="I131" i="29" s="1"/>
  <c r="M11" i="35"/>
  <c r="H11" i="35" s="1"/>
  <c r="H10" i="35" s="1"/>
  <c r="M29" i="30"/>
  <c r="H29" i="30" s="1"/>
  <c r="G128" i="29" l="1"/>
  <c r="I128" i="29" s="1"/>
  <c r="J51" i="39"/>
  <c r="H50" i="39"/>
  <c r="J39" i="44"/>
  <c r="I29" i="43"/>
  <c r="J73" i="44"/>
  <c r="I43" i="43"/>
  <c r="J77" i="44"/>
  <c r="G41" i="43"/>
  <c r="I41" i="43" s="1"/>
  <c r="G21" i="43"/>
  <c r="I27" i="43"/>
  <c r="G39" i="43"/>
  <c r="I39" i="43" s="1"/>
  <c r="G132" i="29"/>
  <c r="I132" i="29" s="1"/>
  <c r="J29" i="30"/>
  <c r="G104" i="29"/>
  <c r="I104" i="29" s="1"/>
  <c r="J10" i="40"/>
  <c r="H9" i="40"/>
  <c r="J61" i="39"/>
  <c r="H60" i="39"/>
  <c r="J35" i="39"/>
  <c r="H34" i="39"/>
  <c r="H76" i="44"/>
  <c r="H69" i="44"/>
  <c r="G37" i="43" s="1"/>
  <c r="I37" i="43" s="1"/>
  <c r="J70" i="44"/>
  <c r="H38" i="44"/>
  <c r="I28" i="43" s="1"/>
  <c r="I26" i="43"/>
  <c r="I23" i="43"/>
  <c r="J14" i="35"/>
  <c r="H13" i="35"/>
  <c r="G130" i="29" s="1"/>
  <c r="I130" i="29" s="1"/>
  <c r="J11" i="35"/>
  <c r="H28" i="30"/>
  <c r="H22" i="41"/>
  <c r="F21" i="41"/>
  <c r="H21" i="41" s="1"/>
  <c r="F13" i="41"/>
  <c r="H14" i="41"/>
  <c r="F9" i="41"/>
  <c r="H9" i="41" s="1"/>
  <c r="H10" i="41"/>
  <c r="M27" i="44"/>
  <c r="H9" i="35" l="1"/>
  <c r="H8" i="35" s="1"/>
  <c r="J50" i="39"/>
  <c r="G245" i="29"/>
  <c r="I245" i="29" s="1"/>
  <c r="H49" i="39"/>
  <c r="G40" i="43"/>
  <c r="I40" i="43" s="1"/>
  <c r="I45" i="43"/>
  <c r="H11" i="30"/>
  <c r="J28" i="30"/>
  <c r="G103" i="29"/>
  <c r="I103" i="29" s="1"/>
  <c r="J9" i="40"/>
  <c r="H8" i="40"/>
  <c r="J60" i="39"/>
  <c r="H59" i="39"/>
  <c r="G250" i="29" s="1"/>
  <c r="I250" i="29" s="1"/>
  <c r="J34" i="39"/>
  <c r="H33" i="39"/>
  <c r="G205" i="29" s="1"/>
  <c r="I205" i="29" s="1"/>
  <c r="J76" i="44"/>
  <c r="H75" i="44"/>
  <c r="H68" i="44"/>
  <c r="J69" i="44"/>
  <c r="J38" i="44"/>
  <c r="H37" i="44"/>
  <c r="J13" i="35"/>
  <c r="H13" i="41"/>
  <c r="M21" i="44"/>
  <c r="M17" i="44"/>
  <c r="M11" i="44"/>
  <c r="M70" i="34"/>
  <c r="M67" i="34"/>
  <c r="M65" i="34"/>
  <c r="M34" i="34"/>
  <c r="H34" i="34" s="1"/>
  <c r="J37" i="44" l="1"/>
  <c r="J29" i="35"/>
  <c r="H48" i="39"/>
  <c r="G244" i="29"/>
  <c r="I244" i="29" s="1"/>
  <c r="J49" i="39"/>
  <c r="J75" i="44"/>
  <c r="I44" i="43"/>
  <c r="J8" i="40"/>
  <c r="G210" i="29"/>
  <c r="I210" i="29" s="1"/>
  <c r="J59" i="39"/>
  <c r="H58" i="39"/>
  <c r="G249" i="29" s="1"/>
  <c r="I249" i="29" s="1"/>
  <c r="J33" i="39"/>
  <c r="H32" i="39"/>
  <c r="G204" i="29" s="1"/>
  <c r="I204" i="29" s="1"/>
  <c r="J68" i="44"/>
  <c r="H67" i="44"/>
  <c r="H33" i="34"/>
  <c r="J34" i="34"/>
  <c r="G243" i="29" l="1"/>
  <c r="I243" i="29" s="1"/>
  <c r="J48" i="39"/>
  <c r="G20" i="46"/>
  <c r="I20" i="46" s="1"/>
  <c r="I22" i="43"/>
  <c r="I25" i="43"/>
  <c r="J67" i="44"/>
  <c r="G36" i="43"/>
  <c r="I36" i="43" s="1"/>
  <c r="H57" i="39"/>
  <c r="J58" i="39"/>
  <c r="J32" i="39"/>
  <c r="H32" i="34"/>
  <c r="H31" i="34" s="1"/>
  <c r="J33" i="34"/>
  <c r="J57" i="39" l="1"/>
  <c r="G21" i="46"/>
  <c r="I21" i="46" s="1"/>
  <c r="G248" i="29"/>
  <c r="I248" i="29" s="1"/>
  <c r="J31" i="34"/>
  <c r="J32" i="34"/>
  <c r="H11" i="34" l="1"/>
  <c r="H10" i="34" l="1"/>
  <c r="H9" i="34" s="1"/>
  <c r="J11" i="34"/>
  <c r="M39" i="36"/>
  <c r="H39" i="36" s="1"/>
  <c r="M28" i="36"/>
  <c r="M25" i="36"/>
  <c r="H25" i="36" s="1"/>
  <c r="J25" i="36" s="1"/>
  <c r="J10" i="34" l="1"/>
  <c r="M36" i="48"/>
  <c r="H36" i="48" s="1"/>
  <c r="M30" i="48"/>
  <c r="H30" i="48" s="1"/>
  <c r="M26" i="48"/>
  <c r="H26" i="48" s="1"/>
  <c r="H21" i="48"/>
  <c r="M19" i="48"/>
  <c r="H19" i="48" s="1"/>
  <c r="G15" i="29" s="1"/>
  <c r="H32" i="37"/>
  <c r="H31" i="37" s="1"/>
  <c r="G18" i="29" l="1"/>
  <c r="I18" i="29" s="1"/>
  <c r="J26" i="48"/>
  <c r="G23" i="29"/>
  <c r="H32" i="48"/>
  <c r="J21" i="48"/>
  <c r="G16" i="29"/>
  <c r="I16" i="29" s="1"/>
  <c r="J30" i="48"/>
  <c r="G20" i="29"/>
  <c r="I20" i="29" s="1"/>
  <c r="J36" i="48"/>
  <c r="I23" i="29"/>
  <c r="G21" i="29"/>
  <c r="H29" i="48"/>
  <c r="G19" i="29" s="1"/>
  <c r="J19" i="48"/>
  <c r="H18" i="48"/>
  <c r="I15" i="29"/>
  <c r="H8" i="34"/>
  <c r="J9" i="34"/>
  <c r="H25" i="48"/>
  <c r="H17" i="48" l="1"/>
  <c r="G14" i="29"/>
  <c r="I14" i="29" s="1"/>
  <c r="G17" i="29"/>
  <c r="I17" i="29" s="1"/>
  <c r="J32" i="48"/>
  <c r="I21" i="29"/>
  <c r="J29" i="48"/>
  <c r="I19" i="29"/>
  <c r="J18" i="48"/>
  <c r="J8" i="34"/>
  <c r="J25" i="48"/>
  <c r="H16" i="48" l="1"/>
  <c r="J17" i="48"/>
  <c r="G13" i="29" l="1"/>
  <c r="I13" i="29" s="1"/>
  <c r="J16" i="48"/>
  <c r="H15" i="48"/>
  <c r="G12" i="29" l="1"/>
  <c r="I12" i="29" s="1"/>
  <c r="H5" i="48"/>
  <c r="J15" i="48"/>
  <c r="J6" i="48" l="1"/>
  <c r="H4" i="48" l="1"/>
  <c r="G7" i="29" s="1"/>
  <c r="I7" i="29" s="1"/>
  <c r="G8" i="46"/>
  <c r="I8" i="46" s="1"/>
  <c r="J5" i="48"/>
  <c r="J4" i="48" l="1"/>
  <c r="M38" i="30"/>
  <c r="H38" i="30" s="1"/>
  <c r="J38" i="30" s="1"/>
  <c r="G109" i="29" l="1"/>
  <c r="I109" i="29" s="1"/>
  <c r="H37" i="30"/>
  <c r="G108" i="29" l="1"/>
  <c r="I108" i="29" s="1"/>
  <c r="H36" i="30"/>
  <c r="J37" i="30"/>
  <c r="J36" i="30" l="1"/>
  <c r="H35" i="30"/>
  <c r="J35" i="30" l="1"/>
  <c r="G107" i="29"/>
  <c r="I107" i="29" s="1"/>
  <c r="M25" i="44" l="1"/>
  <c r="H25" i="44" s="1"/>
  <c r="J25" i="44" s="1"/>
  <c r="H5" i="29"/>
  <c r="G15" i="43" l="1"/>
  <c r="I15" i="43" s="1"/>
  <c r="H44" i="39"/>
  <c r="G242" i="29" l="1"/>
  <c r="H43" i="39"/>
  <c r="G241" i="29" s="1"/>
  <c r="J44" i="39"/>
  <c r="J43" i="39" l="1"/>
  <c r="H42" i="39"/>
  <c r="H41" i="39" l="1"/>
  <c r="G240" i="29" s="1"/>
  <c r="J42" i="39"/>
  <c r="H40" i="39" l="1"/>
  <c r="G239" i="29" s="1"/>
  <c r="J41" i="39"/>
  <c r="J40" i="39" l="1"/>
  <c r="H39" i="39"/>
  <c r="H38" i="39" s="1"/>
  <c r="G18" i="46" s="1"/>
  <c r="G19" i="46" l="1"/>
  <c r="I19" i="46" s="1"/>
  <c r="G238" i="29"/>
  <c r="J39" i="39"/>
  <c r="J38" i="39"/>
  <c r="G72" i="29" l="1"/>
  <c r="G71" i="29"/>
  <c r="G70" i="29" l="1"/>
  <c r="I242" i="29" l="1"/>
  <c r="I241" i="29"/>
  <c r="I240" i="29"/>
  <c r="I239" i="29"/>
  <c r="I238" i="29"/>
  <c r="I71" i="29"/>
  <c r="I72" i="29"/>
  <c r="I70" i="29"/>
  <c r="H18" i="41"/>
  <c r="F33" i="41"/>
  <c r="F32" i="41" s="1"/>
  <c r="H31" i="41"/>
  <c r="F30" i="41"/>
  <c r="H30" i="41" s="1"/>
  <c r="F29" i="41" l="1"/>
  <c r="H29" i="41" s="1"/>
  <c r="M58" i="44" l="1"/>
  <c r="M29" i="40" l="1"/>
  <c r="H29" i="40" s="1"/>
  <c r="M24" i="40"/>
  <c r="H24" i="40" s="1"/>
  <c r="G215" i="29" s="1"/>
  <c r="H28" i="40" l="1"/>
  <c r="G217" i="29" s="1"/>
  <c r="I217" i="29" s="1"/>
  <c r="G218" i="29"/>
  <c r="I218" i="29" s="1"/>
  <c r="J29" i="40"/>
  <c r="J24" i="40"/>
  <c r="H23" i="40"/>
  <c r="G214" i="29" s="1"/>
  <c r="I215" i="29"/>
  <c r="J28" i="40"/>
  <c r="H27" i="40"/>
  <c r="M13" i="37"/>
  <c r="I214" i="29" l="1"/>
  <c r="H22" i="40"/>
  <c r="J27" i="40"/>
  <c r="H26" i="40"/>
  <c r="J23" i="40"/>
  <c r="G216" i="29" l="1"/>
  <c r="I216" i="29" s="1"/>
  <c r="J26" i="40"/>
  <c r="J22" i="40"/>
  <c r="H21" i="40"/>
  <c r="G213" i="29" l="1"/>
  <c r="I213" i="29" s="1"/>
  <c r="H7" i="40"/>
  <c r="J21" i="40"/>
  <c r="G61" i="29"/>
  <c r="I61" i="29" s="1"/>
  <c r="H6" i="40" l="1"/>
  <c r="G209" i="29"/>
  <c r="J7" i="40"/>
  <c r="G60" i="29"/>
  <c r="I60" i="29" s="1"/>
  <c r="G59" i="29" l="1"/>
  <c r="I59" i="29" s="1"/>
  <c r="M39" i="35" l="1"/>
  <c r="H113" i="36" l="1"/>
  <c r="J113" i="36" l="1"/>
  <c r="M33" i="30" l="1"/>
  <c r="H33" i="30" s="1"/>
  <c r="G106" i="29" s="1"/>
  <c r="I106" i="29" s="1"/>
  <c r="H24" i="30"/>
  <c r="G102" i="29" s="1"/>
  <c r="I102" i="29" s="1"/>
  <c r="H10" i="30"/>
  <c r="H20" i="41"/>
  <c r="F19" i="41"/>
  <c r="H19" i="41" s="1"/>
  <c r="J11" i="30" l="1"/>
  <c r="G99" i="29"/>
  <c r="J33" i="30"/>
  <c r="H32" i="30"/>
  <c r="G105" i="29" s="1"/>
  <c r="I105" i="29" s="1"/>
  <c r="J24" i="30"/>
  <c r="H23" i="30"/>
  <c r="M17" i="36"/>
  <c r="G101" i="29" l="1"/>
  <c r="I101" i="29" s="1"/>
  <c r="H22" i="30"/>
  <c r="H21" i="30" s="1"/>
  <c r="J32" i="30"/>
  <c r="H31" i="30"/>
  <c r="J31" i="30" s="1"/>
  <c r="J23" i="30"/>
  <c r="G100" i="29" l="1"/>
  <c r="I100" i="29" s="1"/>
  <c r="J22" i="30"/>
  <c r="J21" i="30"/>
  <c r="M48" i="35"/>
  <c r="H65" i="44"/>
  <c r="G35" i="43" s="1"/>
  <c r="I35" i="43" l="1"/>
  <c r="H64" i="44"/>
  <c r="J65" i="44"/>
  <c r="M36" i="45"/>
  <c r="M41" i="45"/>
  <c r="M38" i="37"/>
  <c r="H63" i="44" l="1"/>
  <c r="G34" i="43"/>
  <c r="I34" i="43" s="1"/>
  <c r="J63" i="44"/>
  <c r="J64" i="44"/>
  <c r="H27" i="44"/>
  <c r="H24" i="44" s="1"/>
  <c r="G14" i="43" s="1"/>
  <c r="I14" i="43" s="1"/>
  <c r="G16" i="43" l="1"/>
  <c r="I16" i="43" s="1"/>
  <c r="J27" i="44"/>
  <c r="M44" i="35"/>
  <c r="H26" i="45"/>
  <c r="H36" i="45"/>
  <c r="M11" i="45"/>
  <c r="M47" i="40"/>
  <c r="H47" i="40" s="1"/>
  <c r="I229" i="29" s="1"/>
  <c r="M30" i="39"/>
  <c r="H30" i="39" s="1"/>
  <c r="M23" i="38"/>
  <c r="H23" i="38" s="1"/>
  <c r="M52" i="35"/>
  <c r="H52" i="35" s="1"/>
  <c r="G152" i="29" s="1"/>
  <c r="I152" i="29" s="1"/>
  <c r="M72" i="30"/>
  <c r="H72" i="30" s="1"/>
  <c r="G124" i="29" s="1"/>
  <c r="I124" i="29" s="1"/>
  <c r="M52" i="34"/>
  <c r="H52" i="34" s="1"/>
  <c r="G83" i="29" s="1"/>
  <c r="I83" i="29" s="1"/>
  <c r="G66" i="43" l="1"/>
  <c r="I66" i="43" s="1"/>
  <c r="H35" i="45"/>
  <c r="G65" i="43" s="1"/>
  <c r="I65" i="43" s="1"/>
  <c r="G62" i="43"/>
  <c r="I62" i="43" s="1"/>
  <c r="J48" i="45"/>
  <c r="G74" i="43"/>
  <c r="I74" i="43" s="1"/>
  <c r="J23" i="38"/>
  <c r="G183" i="29"/>
  <c r="I183" i="29" s="1"/>
  <c r="H22" i="38"/>
  <c r="H29" i="39"/>
  <c r="G203" i="29"/>
  <c r="I203" i="29" s="1"/>
  <c r="J47" i="40"/>
  <c r="H46" i="40"/>
  <c r="J52" i="34"/>
  <c r="H51" i="34"/>
  <c r="J26" i="45"/>
  <c r="G73" i="43"/>
  <c r="I73" i="43" s="1"/>
  <c r="J36" i="45"/>
  <c r="J30" i="39"/>
  <c r="J52" i="35"/>
  <c r="H51" i="35"/>
  <c r="J72" i="30"/>
  <c r="H71" i="30"/>
  <c r="H11" i="45"/>
  <c r="M44" i="37"/>
  <c r="H44" i="37" s="1"/>
  <c r="M42" i="37"/>
  <c r="M36" i="37"/>
  <c r="H36" i="37" s="1"/>
  <c r="G168" i="29" s="1"/>
  <c r="J29" i="37"/>
  <c r="J25" i="37"/>
  <c r="M19" i="37"/>
  <c r="H10" i="37" s="1"/>
  <c r="H15" i="37"/>
  <c r="J15" i="37" s="1"/>
  <c r="H10" i="45" l="1"/>
  <c r="G52" i="43" s="1"/>
  <c r="I52" i="43" s="1"/>
  <c r="G53" i="43"/>
  <c r="I53" i="43" s="1"/>
  <c r="H19" i="37"/>
  <c r="J19" i="37" s="1"/>
  <c r="H24" i="45"/>
  <c r="H23" i="45" s="1"/>
  <c r="J23" i="45" s="1"/>
  <c r="G61" i="43"/>
  <c r="I61" i="43" s="1"/>
  <c r="G60" i="43"/>
  <c r="I60" i="43" s="1"/>
  <c r="J22" i="38"/>
  <c r="G182" i="29"/>
  <c r="I182" i="29" s="1"/>
  <c r="H9" i="37"/>
  <c r="J9" i="37" s="1"/>
  <c r="J51" i="35"/>
  <c r="G151" i="29"/>
  <c r="I151" i="29" s="1"/>
  <c r="J51" i="34"/>
  <c r="G82" i="29"/>
  <c r="I82" i="29" s="1"/>
  <c r="J71" i="30"/>
  <c r="G123" i="29"/>
  <c r="I123" i="29" s="1"/>
  <c r="J46" i="40"/>
  <c r="I228" i="29"/>
  <c r="J29" i="39"/>
  <c r="G202" i="29"/>
  <c r="I202" i="29" s="1"/>
  <c r="I168" i="29"/>
  <c r="J25" i="45"/>
  <c r="H35" i="37"/>
  <c r="J35" i="37" s="1"/>
  <c r="G158" i="29"/>
  <c r="I158" i="29" s="1"/>
  <c r="G163" i="29"/>
  <c r="H42" i="37"/>
  <c r="J42" i="37" s="1"/>
  <c r="H41" i="37"/>
  <c r="H46" i="45"/>
  <c r="J47" i="45"/>
  <c r="H34" i="45"/>
  <c r="J35" i="45"/>
  <c r="J11" i="37"/>
  <c r="G157" i="29"/>
  <c r="I157" i="29" s="1"/>
  <c r="G164" i="29"/>
  <c r="J44" i="37"/>
  <c r="G171" i="29"/>
  <c r="J32" i="37"/>
  <c r="G166" i="29"/>
  <c r="J11" i="45"/>
  <c r="J36" i="37"/>
  <c r="H24" i="37"/>
  <c r="G162" i="29" s="1"/>
  <c r="M11" i="36"/>
  <c r="H11" i="36" s="1"/>
  <c r="M136" i="36"/>
  <c r="H121" i="36" s="1"/>
  <c r="H44" i="36"/>
  <c r="J24" i="45" l="1"/>
  <c r="G159" i="29"/>
  <c r="H8" i="37"/>
  <c r="G155" i="29" s="1"/>
  <c r="J10" i="37"/>
  <c r="G156" i="29"/>
  <c r="G167" i="29"/>
  <c r="I167" i="29" s="1"/>
  <c r="J121" i="36"/>
  <c r="G170" i="29"/>
  <c r="I170" i="29" s="1"/>
  <c r="J44" i="36"/>
  <c r="G37" i="29"/>
  <c r="I37" i="29" s="1"/>
  <c r="H45" i="45"/>
  <c r="J46" i="45"/>
  <c r="H33" i="45"/>
  <c r="J34" i="45"/>
  <c r="J41" i="37"/>
  <c r="G169" i="29"/>
  <c r="J31" i="37"/>
  <c r="G165" i="29"/>
  <c r="J24" i="37"/>
  <c r="H23" i="37"/>
  <c r="H43" i="36"/>
  <c r="G72" i="43" l="1"/>
  <c r="I72" i="43" s="1"/>
  <c r="H7" i="37"/>
  <c r="J7" i="37" s="1"/>
  <c r="J8" i="37"/>
  <c r="J33" i="45"/>
  <c r="G64" i="43"/>
  <c r="I64" i="43" s="1"/>
  <c r="G56" i="29"/>
  <c r="I56" i="29" s="1"/>
  <c r="H120" i="36"/>
  <c r="H119" i="36" s="1"/>
  <c r="J43" i="36"/>
  <c r="G36" i="29"/>
  <c r="I36" i="29" s="1"/>
  <c r="J45" i="45"/>
  <c r="H22" i="37"/>
  <c r="G161" i="29" s="1"/>
  <c r="J23" i="37"/>
  <c r="J39" i="36" l="1"/>
  <c r="G35" i="29"/>
  <c r="H21" i="37"/>
  <c r="G160" i="29" s="1"/>
  <c r="J22" i="37"/>
  <c r="J30" i="36" l="1"/>
  <c r="G34" i="29"/>
  <c r="I34" i="29" s="1"/>
  <c r="J21" i="37"/>
  <c r="H6" i="37"/>
  <c r="M37" i="40"/>
  <c r="H37" i="40" s="1"/>
  <c r="H20" i="39"/>
  <c r="M13" i="38"/>
  <c r="H13" i="38" s="1"/>
  <c r="G177" i="29" s="1"/>
  <c r="I177" i="29" s="1"/>
  <c r="M41" i="35"/>
  <c r="H41" i="35" s="1"/>
  <c r="M62" i="30"/>
  <c r="H62" i="30" s="1"/>
  <c r="J62" i="30" s="1"/>
  <c r="M42" i="34"/>
  <c r="H42" i="34" s="1"/>
  <c r="J41" i="35" l="1"/>
  <c r="G146" i="29"/>
  <c r="I146" i="29" s="1"/>
  <c r="J37" i="40"/>
  <c r="I223" i="29"/>
  <c r="J20" i="39"/>
  <c r="G197" i="29"/>
  <c r="I197" i="29" s="1"/>
  <c r="I118" i="29"/>
  <c r="J13" i="38"/>
  <c r="H5" i="37"/>
  <c r="G13" i="46" s="1"/>
  <c r="J6" i="37"/>
  <c r="J42" i="34"/>
  <c r="G77" i="29"/>
  <c r="I77" i="29" s="1"/>
  <c r="I163" i="29"/>
  <c r="I164" i="29"/>
  <c r="I156" i="29"/>
  <c r="I169" i="29"/>
  <c r="I165" i="29"/>
  <c r="H58" i="45"/>
  <c r="H41" i="45"/>
  <c r="H19" i="45"/>
  <c r="G77" i="43" l="1"/>
  <c r="I77" i="43" s="1"/>
  <c r="H57" i="45"/>
  <c r="G69" i="43"/>
  <c r="I69" i="43" s="1"/>
  <c r="H40" i="45"/>
  <c r="H18" i="45"/>
  <c r="H17" i="45" s="1"/>
  <c r="G59" i="43"/>
  <c r="I59" i="43" s="1"/>
  <c r="H58" i="44"/>
  <c r="G32" i="43" s="1"/>
  <c r="I32" i="43" s="1"/>
  <c r="H61" i="44"/>
  <c r="G33" i="43" s="1"/>
  <c r="J41" i="45"/>
  <c r="G68" i="43"/>
  <c r="I68" i="43" s="1"/>
  <c r="J58" i="45"/>
  <c r="J5" i="37"/>
  <c r="H4" i="37"/>
  <c r="J4" i="37" s="1"/>
  <c r="J35" i="44"/>
  <c r="J19" i="45"/>
  <c r="I21" i="43" l="1"/>
  <c r="H56" i="45"/>
  <c r="J56" i="45" s="1"/>
  <c r="G76" i="43"/>
  <c r="I76" i="43" s="1"/>
  <c r="H39" i="45"/>
  <c r="H38" i="45" s="1"/>
  <c r="G67" i="43" s="1"/>
  <c r="I67" i="43" s="1"/>
  <c r="H16" i="45"/>
  <c r="G58" i="43"/>
  <c r="I58" i="43" s="1"/>
  <c r="I33" i="43"/>
  <c r="J61" i="44"/>
  <c r="J58" i="44"/>
  <c r="H57" i="44"/>
  <c r="G31" i="43" s="1"/>
  <c r="H33" i="44"/>
  <c r="I20" i="43"/>
  <c r="I161" i="29"/>
  <c r="I160" i="29"/>
  <c r="J18" i="45"/>
  <c r="J57" i="45"/>
  <c r="H55" i="45"/>
  <c r="J34" i="44"/>
  <c r="J17" i="45"/>
  <c r="J40" i="45"/>
  <c r="J38" i="45"/>
  <c r="J39" i="45"/>
  <c r="J16" i="45"/>
  <c r="G75" i="43" l="1"/>
  <c r="I75" i="43" s="1"/>
  <c r="H44" i="45"/>
  <c r="G57" i="43"/>
  <c r="I57" i="43" s="1"/>
  <c r="H15" i="45"/>
  <c r="J33" i="44"/>
  <c r="H32" i="44"/>
  <c r="J57" i="44"/>
  <c r="H56" i="44"/>
  <c r="I31" i="43"/>
  <c r="H23" i="44"/>
  <c r="J23" i="44" s="1"/>
  <c r="J24" i="44"/>
  <c r="J55" i="45"/>
  <c r="G19" i="43" l="1"/>
  <c r="J44" i="45"/>
  <c r="G71" i="43"/>
  <c r="G56" i="43"/>
  <c r="I56" i="43" s="1"/>
  <c r="H14" i="45"/>
  <c r="G29" i="46" s="1"/>
  <c r="I29" i="46" s="1"/>
  <c r="J15" i="45"/>
  <c r="H55" i="44"/>
  <c r="G30" i="43" s="1"/>
  <c r="J56" i="44"/>
  <c r="H43" i="45"/>
  <c r="J43" i="45" s="1"/>
  <c r="G55" i="43" l="1"/>
  <c r="I55" i="43" s="1"/>
  <c r="J14" i="45"/>
  <c r="I71" i="43"/>
  <c r="G70" i="43"/>
  <c r="I70" i="43" s="1"/>
  <c r="J55" i="44"/>
  <c r="I30" i="43"/>
  <c r="I19" i="43"/>
  <c r="J32" i="44"/>
  <c r="H13" i="45"/>
  <c r="J13" i="45" s="1"/>
  <c r="G30" i="46"/>
  <c r="H30" i="44" l="1"/>
  <c r="J31" i="44"/>
  <c r="G18" i="43"/>
  <c r="G54" i="43"/>
  <c r="I54" i="43" s="1"/>
  <c r="I30" i="46"/>
  <c r="G28" i="46"/>
  <c r="I28" i="46" s="1"/>
  <c r="G55" i="29"/>
  <c r="I55" i="29" s="1"/>
  <c r="M49" i="34"/>
  <c r="M58" i="34"/>
  <c r="H58" i="34" s="1"/>
  <c r="J58" i="34" s="1"/>
  <c r="M62" i="34"/>
  <c r="H62" i="34" s="1"/>
  <c r="J62" i="34" s="1"/>
  <c r="H70" i="34"/>
  <c r="J70" i="34" s="1"/>
  <c r="H67" i="34"/>
  <c r="J67" i="34" s="1"/>
  <c r="H65" i="34"/>
  <c r="M60" i="34"/>
  <c r="G17" i="43" l="1"/>
  <c r="J30" i="44"/>
  <c r="G26" i="46"/>
  <c r="I26" i="46" s="1"/>
  <c r="I17" i="43"/>
  <c r="I18" i="43"/>
  <c r="H60" i="34"/>
  <c r="J60" i="34" s="1"/>
  <c r="J119" i="36"/>
  <c r="J120" i="36"/>
  <c r="H64" i="34"/>
  <c r="J64" i="34" s="1"/>
  <c r="H69" i="34"/>
  <c r="J69" i="34" s="1"/>
  <c r="H57" i="34"/>
  <c r="J57" i="34" s="1"/>
  <c r="J65" i="34"/>
  <c r="H56" i="34" l="1"/>
  <c r="H55" i="34" s="1"/>
  <c r="G85" i="29" s="1"/>
  <c r="H9" i="45" l="1"/>
  <c r="J10" i="45"/>
  <c r="J56" i="34"/>
  <c r="J55" i="34"/>
  <c r="H54" i="34"/>
  <c r="G84" i="29" s="1"/>
  <c r="J9" i="45" l="1"/>
  <c r="H8" i="45"/>
  <c r="H7" i="45" s="1"/>
  <c r="J54" i="34"/>
  <c r="J8" i="45" l="1"/>
  <c r="G51" i="43"/>
  <c r="I51" i="43" s="1"/>
  <c r="H33" i="41"/>
  <c r="H21" i="44"/>
  <c r="G13" i="43" s="1"/>
  <c r="I13" i="43" s="1"/>
  <c r="H17" i="44"/>
  <c r="H11" i="44"/>
  <c r="M27" i="42"/>
  <c r="H27" i="42" s="1"/>
  <c r="H11" i="42"/>
  <c r="G234" i="29" s="1"/>
  <c r="I234" i="29" s="1"/>
  <c r="M44" i="40"/>
  <c r="H44" i="40" s="1"/>
  <c r="I227" i="29" s="1"/>
  <c r="M40" i="40"/>
  <c r="H40" i="40" s="1"/>
  <c r="I225" i="29" s="1"/>
  <c r="M35" i="40"/>
  <c r="H35" i="40" s="1"/>
  <c r="M27" i="39"/>
  <c r="H27" i="39" s="1"/>
  <c r="H23" i="39"/>
  <c r="M20" i="38"/>
  <c r="H20" i="38" s="1"/>
  <c r="G181" i="29" s="1"/>
  <c r="I181" i="29" s="1"/>
  <c r="M16" i="38"/>
  <c r="H16" i="38" s="1"/>
  <c r="G179" i="29" s="1"/>
  <c r="I179" i="29" s="1"/>
  <c r="M11" i="38"/>
  <c r="H11" i="38" s="1"/>
  <c r="I159" i="29"/>
  <c r="M23" i="34"/>
  <c r="H23" i="34" s="1"/>
  <c r="H19" i="34"/>
  <c r="G64" i="29" s="1"/>
  <c r="H25" i="41"/>
  <c r="F24" i="41"/>
  <c r="F23" i="41" s="1"/>
  <c r="F17" i="41"/>
  <c r="H16" i="41"/>
  <c r="F15" i="41"/>
  <c r="H12" i="41"/>
  <c r="F11" i="41"/>
  <c r="F8" i="41" l="1"/>
  <c r="H10" i="44"/>
  <c r="H18" i="34"/>
  <c r="J27" i="42"/>
  <c r="G257" i="29"/>
  <c r="I257" i="29" s="1"/>
  <c r="H26" i="42"/>
  <c r="J26" i="42" s="1"/>
  <c r="H10" i="38"/>
  <c r="G175" i="29" s="1"/>
  <c r="I175" i="29" s="1"/>
  <c r="G176" i="29"/>
  <c r="I176" i="29" s="1"/>
  <c r="F7" i="41"/>
  <c r="H18" i="39"/>
  <c r="J17" i="44"/>
  <c r="G12" i="43"/>
  <c r="I12" i="43" s="1"/>
  <c r="J11" i="44"/>
  <c r="G11" i="43"/>
  <c r="I11" i="43" s="1"/>
  <c r="I222" i="29"/>
  <c r="H34" i="40"/>
  <c r="I221" i="29" s="1"/>
  <c r="J23" i="39"/>
  <c r="G199" i="29"/>
  <c r="I199" i="29" s="1"/>
  <c r="J27" i="39"/>
  <c r="G201" i="29"/>
  <c r="I201" i="29" s="1"/>
  <c r="H23" i="41"/>
  <c r="J23" i="34"/>
  <c r="G65" i="29"/>
  <c r="J35" i="40"/>
  <c r="I166" i="29"/>
  <c r="I171" i="29"/>
  <c r="J44" i="40"/>
  <c r="H43" i="40"/>
  <c r="J40" i="40"/>
  <c r="H39" i="40"/>
  <c r="H22" i="39"/>
  <c r="J16" i="38"/>
  <c r="H15" i="38"/>
  <c r="F28" i="41"/>
  <c r="H17" i="41"/>
  <c r="J21" i="44"/>
  <c r="H10" i="42"/>
  <c r="H25" i="42"/>
  <c r="G256" i="29" s="1"/>
  <c r="I256" i="29" s="1"/>
  <c r="H26" i="39"/>
  <c r="J11" i="38"/>
  <c r="J20" i="38"/>
  <c r="H19" i="38"/>
  <c r="J19" i="34"/>
  <c r="G63" i="29"/>
  <c r="H24" i="41"/>
  <c r="H11" i="41"/>
  <c r="H15" i="41"/>
  <c r="J15" i="38" l="1"/>
  <c r="G178" i="29"/>
  <c r="I178" i="29" s="1"/>
  <c r="G196" i="29"/>
  <c r="I196" i="29" s="1"/>
  <c r="H17" i="39"/>
  <c r="G195" i="29" s="1"/>
  <c r="I195" i="29" s="1"/>
  <c r="J18" i="39"/>
  <c r="H9" i="44"/>
  <c r="H8" i="44" s="1"/>
  <c r="G9" i="43" s="1"/>
  <c r="I9" i="43" s="1"/>
  <c r="G10" i="43"/>
  <c r="I10" i="43" s="1"/>
  <c r="J19" i="38"/>
  <c r="G180" i="29"/>
  <c r="I180" i="29" s="1"/>
  <c r="H16" i="39"/>
  <c r="J10" i="44"/>
  <c r="H9" i="38"/>
  <c r="H33" i="40"/>
  <c r="J39" i="40"/>
  <c r="I224" i="29"/>
  <c r="J43" i="40"/>
  <c r="I226" i="29"/>
  <c r="J22" i="39"/>
  <c r="G198" i="29"/>
  <c r="I198" i="29" s="1"/>
  <c r="J26" i="39"/>
  <c r="G200" i="29"/>
  <c r="I200" i="29" s="1"/>
  <c r="I162" i="29"/>
  <c r="H8" i="41"/>
  <c r="H32" i="41"/>
  <c r="H28" i="41"/>
  <c r="F6" i="41"/>
  <c r="H6" i="41" s="1"/>
  <c r="J10" i="42"/>
  <c r="H9" i="42"/>
  <c r="G233" i="29" s="1"/>
  <c r="I233" i="29" s="1"/>
  <c r="J25" i="42"/>
  <c r="H24" i="42"/>
  <c r="G255" i="29" s="1"/>
  <c r="I255" i="29" s="1"/>
  <c r="J34" i="40"/>
  <c r="J10" i="38"/>
  <c r="H17" i="34"/>
  <c r="J18" i="34"/>
  <c r="H16" i="34" l="1"/>
  <c r="H7" i="34" s="1"/>
  <c r="J9" i="44"/>
  <c r="J17" i="39"/>
  <c r="H7" i="44"/>
  <c r="G8" i="43" s="1"/>
  <c r="I8" i="43" s="1"/>
  <c r="J8" i="44"/>
  <c r="F5" i="41"/>
  <c r="J9" i="42"/>
  <c r="H8" i="42"/>
  <c r="J24" i="42"/>
  <c r="H23" i="42"/>
  <c r="G254" i="29" s="1"/>
  <c r="J33" i="40"/>
  <c r="H32" i="40"/>
  <c r="H15" i="39"/>
  <c r="G194" i="29" s="1"/>
  <c r="I194" i="29" s="1"/>
  <c r="J16" i="39"/>
  <c r="J9" i="38"/>
  <c r="H8" i="38"/>
  <c r="G174" i="29" s="1"/>
  <c r="I174" i="29" s="1"/>
  <c r="J17" i="34"/>
  <c r="G232" i="29" l="1"/>
  <c r="I232" i="29" s="1"/>
  <c r="H7" i="42"/>
  <c r="G231" i="29" s="1"/>
  <c r="G230" i="29" s="1"/>
  <c r="I220" i="29"/>
  <c r="H31" i="40"/>
  <c r="I209" i="29" s="1"/>
  <c r="G58" i="29"/>
  <c r="J7" i="45"/>
  <c r="G50" i="43"/>
  <c r="G253" i="29"/>
  <c r="G237" i="29" s="1"/>
  <c r="I254" i="29"/>
  <c r="H6" i="44"/>
  <c r="G7" i="43" s="1"/>
  <c r="J7" i="44"/>
  <c r="H6" i="45"/>
  <c r="H5" i="45" s="1"/>
  <c r="I155" i="29"/>
  <c r="G154" i="29"/>
  <c r="J16" i="34"/>
  <c r="G62" i="29"/>
  <c r="J8" i="42"/>
  <c r="H22" i="42"/>
  <c r="J23" i="42"/>
  <c r="J32" i="40"/>
  <c r="J15" i="39"/>
  <c r="H14" i="39"/>
  <c r="H7" i="38"/>
  <c r="G173" i="29" s="1"/>
  <c r="J8" i="38"/>
  <c r="H6" i="39" l="1"/>
  <c r="H5" i="39" s="1"/>
  <c r="I50" i="43"/>
  <c r="G49" i="43"/>
  <c r="I49" i="43" s="1"/>
  <c r="I237" i="29"/>
  <c r="I253" i="29"/>
  <c r="G25" i="46"/>
  <c r="I25" i="46" s="1"/>
  <c r="H5" i="44"/>
  <c r="H4" i="44" s="1"/>
  <c r="J6" i="44"/>
  <c r="I7" i="43"/>
  <c r="G193" i="29"/>
  <c r="I172" i="29"/>
  <c r="I173" i="29"/>
  <c r="H4" i="45"/>
  <c r="G27" i="46"/>
  <c r="I27" i="46" s="1"/>
  <c r="J6" i="45"/>
  <c r="I230" i="29"/>
  <c r="I231" i="29"/>
  <c r="J7" i="38"/>
  <c r="J31" i="40"/>
  <c r="I154" i="29"/>
  <c r="G153" i="29"/>
  <c r="I153" i="29" s="1"/>
  <c r="H6" i="42"/>
  <c r="J7" i="42"/>
  <c r="J5" i="45"/>
  <c r="H21" i="42"/>
  <c r="J22" i="42"/>
  <c r="J14" i="39"/>
  <c r="G15" i="46" l="1"/>
  <c r="J5" i="39"/>
  <c r="G6" i="43"/>
  <c r="I18" i="46"/>
  <c r="J5" i="44"/>
  <c r="I193" i="29"/>
  <c r="I188" i="29"/>
  <c r="G24" i="46"/>
  <c r="G23" i="46" s="1"/>
  <c r="I219" i="29"/>
  <c r="H5" i="42"/>
  <c r="J6" i="42"/>
  <c r="J4" i="45"/>
  <c r="J4" i="44"/>
  <c r="J21" i="42"/>
  <c r="J6" i="40"/>
  <c r="H5" i="40"/>
  <c r="G16" i="46" s="1"/>
  <c r="H4" i="39"/>
  <c r="J4" i="39" s="1"/>
  <c r="J6" i="39"/>
  <c r="J6" i="38"/>
  <c r="H5" i="38"/>
  <c r="G14" i="46" s="1"/>
  <c r="J5" i="42" l="1"/>
  <c r="G17" i="46"/>
  <c r="I17" i="46" s="1"/>
  <c r="G208" i="29"/>
  <c r="I208" i="29" s="1"/>
  <c r="H4" i="40"/>
  <c r="I6" i="43"/>
  <c r="G5" i="43"/>
  <c r="I5" i="43" s="1"/>
  <c r="H4" i="42"/>
  <c r="J4" i="42" s="1"/>
  <c r="I23" i="46"/>
  <c r="I24" i="46"/>
  <c r="J5" i="40"/>
  <c r="J4" i="40"/>
  <c r="I16" i="46"/>
  <c r="I15" i="46"/>
  <c r="I14" i="46"/>
  <c r="H4" i="38"/>
  <c r="J4" i="38" s="1"/>
  <c r="J5" i="38"/>
  <c r="I13" i="46" l="1"/>
  <c r="G42" i="29" l="1"/>
  <c r="I42" i="29" s="1"/>
  <c r="J81" i="36"/>
  <c r="G88" i="29"/>
  <c r="G89" i="29"/>
  <c r="H108" i="36" l="1"/>
  <c r="M117" i="36"/>
  <c r="H117" i="36" s="1"/>
  <c r="H112" i="36" s="1"/>
  <c r="J112" i="36" s="1"/>
  <c r="G48" i="29"/>
  <c r="I48" i="29" s="1"/>
  <c r="M105" i="36"/>
  <c r="H105" i="36" s="1"/>
  <c r="H90" i="36"/>
  <c r="H89" i="36" s="1"/>
  <c r="M19" i="36"/>
  <c r="H19" i="36" s="1"/>
  <c r="H10" i="36" s="1"/>
  <c r="H9" i="36" s="1"/>
  <c r="H8" i="36" s="1"/>
  <c r="H7" i="36" s="1"/>
  <c r="G28" i="29"/>
  <c r="I28" i="29" s="1"/>
  <c r="I65" i="29"/>
  <c r="H49" i="34"/>
  <c r="G81" i="29" s="1"/>
  <c r="I81" i="29" s="1"/>
  <c r="H45" i="34"/>
  <c r="G79" i="29" s="1"/>
  <c r="I79" i="29" s="1"/>
  <c r="M40" i="34"/>
  <c r="H40" i="34" s="1"/>
  <c r="H39" i="34" s="1"/>
  <c r="M29" i="34"/>
  <c r="H29" i="34" s="1"/>
  <c r="G69" i="29" s="1"/>
  <c r="I69" i="29" s="1"/>
  <c r="H48" i="35"/>
  <c r="G150" i="29" s="1"/>
  <c r="I150" i="29" s="1"/>
  <c r="H44" i="35"/>
  <c r="H43" i="35" s="1"/>
  <c r="H39" i="35"/>
  <c r="H38" i="35" s="1"/>
  <c r="M69" i="30"/>
  <c r="H58" i="30"/>
  <c r="M56" i="30"/>
  <c r="H56" i="30" s="1"/>
  <c r="G39" i="29" l="1"/>
  <c r="I39" i="29" s="1"/>
  <c r="J9" i="36"/>
  <c r="G27" i="29"/>
  <c r="G26" i="29" s="1"/>
  <c r="G25" i="29" s="1"/>
  <c r="I99" i="29"/>
  <c r="H55" i="30"/>
  <c r="G115" i="29" s="1"/>
  <c r="G148" i="29"/>
  <c r="I148" i="29" s="1"/>
  <c r="G29" i="29"/>
  <c r="I29" i="29" s="1"/>
  <c r="H94" i="36"/>
  <c r="G46" i="29" s="1"/>
  <c r="I46" i="29" s="1"/>
  <c r="G117" i="29"/>
  <c r="I117" i="29" s="1"/>
  <c r="G49" i="29"/>
  <c r="I49" i="29" s="1"/>
  <c r="J105" i="36"/>
  <c r="G75" i="29"/>
  <c r="G76" i="29"/>
  <c r="I76" i="29" s="1"/>
  <c r="G87" i="29"/>
  <c r="I87" i="29" s="1"/>
  <c r="G92" i="29"/>
  <c r="I92" i="29" s="1"/>
  <c r="G94" i="29"/>
  <c r="I94" i="29" s="1"/>
  <c r="J56" i="30"/>
  <c r="G116" i="29"/>
  <c r="I116" i="29" s="1"/>
  <c r="G144" i="29"/>
  <c r="G145" i="29"/>
  <c r="I145" i="29" s="1"/>
  <c r="I89" i="29"/>
  <c r="I88" i="29"/>
  <c r="G44" i="29"/>
  <c r="I44" i="29" s="1"/>
  <c r="G43" i="29"/>
  <c r="I43" i="29" s="1"/>
  <c r="G51" i="29"/>
  <c r="I51" i="29" s="1"/>
  <c r="H107" i="36"/>
  <c r="G50" i="29" s="1"/>
  <c r="I50" i="29" s="1"/>
  <c r="H101" i="36"/>
  <c r="G47" i="29" s="1"/>
  <c r="G54" i="29"/>
  <c r="I54" i="29" s="1"/>
  <c r="J117" i="36"/>
  <c r="I64" i="29"/>
  <c r="J19" i="36"/>
  <c r="J58" i="30"/>
  <c r="J50" i="36"/>
  <c r="J11" i="36"/>
  <c r="J29" i="34"/>
  <c r="H28" i="34"/>
  <c r="J45" i="34"/>
  <c r="H44" i="34"/>
  <c r="G78" i="29" s="1"/>
  <c r="I78" i="29" s="1"/>
  <c r="J49" i="34"/>
  <c r="H48" i="34"/>
  <c r="J40" i="34"/>
  <c r="J44" i="35"/>
  <c r="J39" i="35"/>
  <c r="H47" i="35"/>
  <c r="J48" i="35"/>
  <c r="H37" i="35" l="1"/>
  <c r="G40" i="29"/>
  <c r="I40" i="29" s="1"/>
  <c r="G38" i="29"/>
  <c r="I38" i="29" s="1"/>
  <c r="G98" i="29"/>
  <c r="H93" i="36"/>
  <c r="G45" i="29" s="1"/>
  <c r="I45" i="29" s="1"/>
  <c r="H38" i="34"/>
  <c r="H24" i="36"/>
  <c r="G33" i="29"/>
  <c r="I33" i="29" s="1"/>
  <c r="I35" i="29"/>
  <c r="J39" i="34"/>
  <c r="J71" i="36"/>
  <c r="J48" i="34"/>
  <c r="G80" i="29"/>
  <c r="I80" i="29" s="1"/>
  <c r="J28" i="34"/>
  <c r="G68" i="29"/>
  <c r="I75" i="29"/>
  <c r="G91" i="29"/>
  <c r="I91" i="29" s="1"/>
  <c r="G90" i="29"/>
  <c r="I90" i="29" s="1"/>
  <c r="I115" i="29"/>
  <c r="J47" i="35"/>
  <c r="G149" i="29"/>
  <c r="I149" i="29" s="1"/>
  <c r="J43" i="35"/>
  <c r="G147" i="29"/>
  <c r="I147" i="29" s="1"/>
  <c r="I144" i="29"/>
  <c r="J107" i="36"/>
  <c r="I47" i="29"/>
  <c r="G93" i="29"/>
  <c r="I93" i="29" s="1"/>
  <c r="G86" i="29"/>
  <c r="I63" i="29"/>
  <c r="G53" i="29"/>
  <c r="I53" i="29" s="1"/>
  <c r="J44" i="34"/>
  <c r="J55" i="30"/>
  <c r="J108" i="36"/>
  <c r="J10" i="36"/>
  <c r="H27" i="34"/>
  <c r="H26" i="34" s="1"/>
  <c r="H25" i="34" s="1"/>
  <c r="J38" i="35"/>
  <c r="G66" i="29" l="1"/>
  <c r="I27" i="29"/>
  <c r="J26" i="34"/>
  <c r="G67" i="29"/>
  <c r="I67" i="29" s="1"/>
  <c r="J10" i="30"/>
  <c r="H9" i="30"/>
  <c r="H8" i="30" s="1"/>
  <c r="H23" i="36"/>
  <c r="J23" i="36" s="1"/>
  <c r="G32" i="29"/>
  <c r="J24" i="36"/>
  <c r="H48" i="36"/>
  <c r="J49" i="36"/>
  <c r="I98" i="29"/>
  <c r="I68" i="29"/>
  <c r="J27" i="34"/>
  <c r="I86" i="29"/>
  <c r="G52" i="29"/>
  <c r="I52" i="29" s="1"/>
  <c r="J90" i="36"/>
  <c r="J8" i="36"/>
  <c r="J38" i="34"/>
  <c r="H37" i="34"/>
  <c r="G74" i="29" s="1"/>
  <c r="I74" i="29" s="1"/>
  <c r="J37" i="35"/>
  <c r="H36" i="35"/>
  <c r="G143" i="29" s="1"/>
  <c r="I32" i="29" l="1"/>
  <c r="G31" i="29"/>
  <c r="G30" i="29" s="1"/>
  <c r="G24" i="29" s="1"/>
  <c r="G97" i="29"/>
  <c r="I97" i="29" s="1"/>
  <c r="J9" i="30"/>
  <c r="J8" i="30"/>
  <c r="H22" i="36"/>
  <c r="J7" i="36"/>
  <c r="I143" i="29"/>
  <c r="J93" i="36"/>
  <c r="J94" i="36"/>
  <c r="J101" i="36"/>
  <c r="J102" i="36"/>
  <c r="J89" i="36"/>
  <c r="H36" i="34"/>
  <c r="H6" i="34" s="1"/>
  <c r="J37" i="34"/>
  <c r="J36" i="35"/>
  <c r="H35" i="35"/>
  <c r="J20" i="35" l="1"/>
  <c r="G142" i="29"/>
  <c r="G73" i="29"/>
  <c r="G57" i="29" s="1"/>
  <c r="J35" i="35"/>
  <c r="J36" i="34"/>
  <c r="J48" i="36"/>
  <c r="J19" i="35" l="1"/>
  <c r="J18" i="35"/>
  <c r="I142" i="29"/>
  <c r="J10" i="35"/>
  <c r="I73" i="29"/>
  <c r="J22" i="36"/>
  <c r="H21" i="36"/>
  <c r="H6" i="36" s="1"/>
  <c r="J9" i="35" l="1"/>
  <c r="G127" i="29"/>
  <c r="I127" i="29" s="1"/>
  <c r="J21" i="36"/>
  <c r="H5" i="36"/>
  <c r="H65" i="30"/>
  <c r="G120" i="29" s="1"/>
  <c r="I120" i="29" s="1"/>
  <c r="H69" i="30"/>
  <c r="H4" i="36" l="1"/>
  <c r="J4" i="36" s="1"/>
  <c r="G9" i="46"/>
  <c r="J8" i="35"/>
  <c r="G126" i="29"/>
  <c r="J5" i="36"/>
  <c r="H68" i="30"/>
  <c r="G121" i="29" s="1"/>
  <c r="I121" i="29" s="1"/>
  <c r="G122" i="29"/>
  <c r="I122" i="29" s="1"/>
  <c r="J65" i="30"/>
  <c r="H64" i="30"/>
  <c r="H54" i="30" s="1"/>
  <c r="J69" i="30"/>
  <c r="J68" i="30"/>
  <c r="I9" i="46" l="1"/>
  <c r="I126" i="29"/>
  <c r="G125" i="29"/>
  <c r="I125" i="29" s="1"/>
  <c r="J7" i="35"/>
  <c r="H6" i="35"/>
  <c r="H53" i="30"/>
  <c r="G119" i="29"/>
  <c r="G114" i="29" s="1"/>
  <c r="J6" i="36"/>
  <c r="J64" i="30"/>
  <c r="H5" i="35" l="1"/>
  <c r="G12" i="46" s="1"/>
  <c r="J6" i="35"/>
  <c r="H52" i="30"/>
  <c r="J52" i="30" s="1"/>
  <c r="J54" i="30"/>
  <c r="I119" i="29"/>
  <c r="J53" i="30"/>
  <c r="H4" i="35" l="1"/>
  <c r="J4" i="35" s="1"/>
  <c r="J5" i="35"/>
  <c r="I12" i="46"/>
  <c r="I114" i="29"/>
  <c r="G113" i="29"/>
  <c r="I113" i="29" l="1"/>
  <c r="I85" i="29"/>
  <c r="I84" i="29"/>
  <c r="I31" i="29" l="1"/>
  <c r="I30" i="29" l="1"/>
  <c r="I26" i="29" l="1"/>
  <c r="I62" i="29"/>
  <c r="I25" i="29" l="1"/>
  <c r="I24" i="29" l="1"/>
  <c r="I58" i="29" l="1"/>
  <c r="I66" i="29" l="1"/>
  <c r="H5" i="34"/>
  <c r="H4" i="34" l="1"/>
  <c r="J4" i="34" s="1"/>
  <c r="G10" i="46"/>
  <c r="G7" i="46" s="1"/>
  <c r="J5" i="34"/>
  <c r="I57" i="29"/>
  <c r="J25" i="34"/>
  <c r="I10" i="46" l="1"/>
  <c r="J7" i="34"/>
  <c r="J6" i="34"/>
  <c r="J7" i="30"/>
  <c r="G96" i="29"/>
  <c r="I96" i="29" s="1"/>
  <c r="H6" i="30"/>
  <c r="J6" i="30" l="1"/>
  <c r="G95" i="29"/>
  <c r="G6" i="29" s="1"/>
  <c r="I6" i="29" s="1"/>
  <c r="H5" i="30"/>
  <c r="G11" i="46" s="1"/>
  <c r="I95" i="29" l="1"/>
  <c r="J5" i="30"/>
  <c r="H4" i="30"/>
  <c r="J4" i="30" s="1"/>
  <c r="I11" i="46" l="1"/>
  <c r="G5" i="29"/>
  <c r="I5" i="29" s="1"/>
  <c r="I7" i="46" l="1"/>
  <c r="G6" i="46"/>
  <c r="G5" i="46" l="1"/>
  <c r="I5" i="46" s="1"/>
  <c r="I6" i="46"/>
</calcChain>
</file>

<file path=xl/comments1.xml><?xml version="1.0" encoding="utf-8"?>
<comments xmlns="http://schemas.openxmlformats.org/spreadsheetml/2006/main">
  <authors>
    <author>섬 박람회 조직위원회</author>
  </authors>
  <commentList>
    <comment ref="F35" authorId="0" shapeId="0">
      <text>
        <r>
          <rPr>
            <b/>
            <sz val="9"/>
            <color indexed="81"/>
            <rFont val="Tahoma"/>
            <family val="2"/>
          </rPr>
          <t>'25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홍보마케팅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잔액
</t>
        </r>
        <r>
          <rPr>
            <b/>
            <sz val="9"/>
            <color indexed="81"/>
            <rFont val="Tahoma"/>
            <family val="2"/>
          </rPr>
          <t>3,034,876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편성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</commentList>
</comments>
</file>

<file path=xl/sharedStrings.xml><?xml version="1.0" encoding="utf-8"?>
<sst xmlns="http://schemas.openxmlformats.org/spreadsheetml/2006/main" count="1736" uniqueCount="891">
  <si>
    <t>=</t>
  </si>
  <si>
    <t>산     출     기     초</t>
  </si>
  <si>
    <t>사업예산</t>
    <phoneticPr fontId="12" type="noConversion"/>
  </si>
  <si>
    <t>예비비</t>
    <phoneticPr fontId="12" type="noConversion"/>
  </si>
  <si>
    <t xml:space="preserve"> </t>
    <phoneticPr fontId="12" type="noConversion"/>
  </si>
  <si>
    <t>과                                    목</t>
    <phoneticPr fontId="12" type="noConversion"/>
  </si>
  <si>
    <t>목</t>
    <phoneticPr fontId="12" type="noConversion"/>
  </si>
  <si>
    <t>02 공공운영비</t>
    <phoneticPr fontId="12" type="noConversion"/>
  </si>
  <si>
    <t>15 복리후생비</t>
    <phoneticPr fontId="12" type="noConversion"/>
  </si>
  <si>
    <t xml:space="preserve"> ○ 수영강사 공무직 전환으로 본부 일괄 편성</t>
  </si>
  <si>
    <t>'- 새벽출근(05:30)에 따른 야간근무</t>
  </si>
  <si>
    <t>○ 연 1회 법정점검 실시 / 1대</t>
  </si>
  <si>
    <t>구분</t>
    <phoneticPr fontId="12" type="noConversion"/>
  </si>
  <si>
    <t>정책사업</t>
    <phoneticPr fontId="12" type="noConversion"/>
  </si>
  <si>
    <t>단위사업</t>
    <phoneticPr fontId="12" type="noConversion"/>
  </si>
  <si>
    <t>세부사업</t>
    <phoneticPr fontId="12" type="noConversion"/>
  </si>
  <si>
    <t xml:space="preserve"> ○ 직원 병가 및 휴직 등 공백발생 시 채용(인건비 23년 기준)</t>
    <phoneticPr fontId="12" type="noConversion"/>
  </si>
  <si>
    <t>○ 한글 250천원, ms오피스 420천원</t>
    <phoneticPr fontId="12" type="noConversion"/>
  </si>
  <si>
    <t>○ 알약 임대비용</t>
    <phoneticPr fontId="12" type="noConversion"/>
  </si>
  <si>
    <t>세목</t>
    <phoneticPr fontId="12" type="noConversion"/>
  </si>
  <si>
    <t>행사운영비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</si>
  <si>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</si>
  <si>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</si>
  <si>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</si>
  <si>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</si>
  <si>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</si>
  <si>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</si>
  <si>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</si>
  <si>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</si>
  <si>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</si>
  <si>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</si>
  <si>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200 물건비</t>
    <phoneticPr fontId="12" type="noConversion"/>
  </si>
  <si>
    <t>단위 : 천원</t>
    <phoneticPr fontId="12" type="noConversion"/>
  </si>
  <si>
    <t>200 물건비</t>
    <phoneticPr fontId="12" type="noConversion"/>
  </si>
  <si>
    <t>기본경비</t>
    <phoneticPr fontId="48" type="noConversion"/>
  </si>
  <si>
    <t>201 일반운영비</t>
    <phoneticPr fontId="12" type="noConversion"/>
  </si>
  <si>
    <t>01 사무관리비</t>
    <phoneticPr fontId="12" type="noConversion"/>
  </si>
  <si>
    <t>=</t>
    <phoneticPr fontId="12" type="noConversion"/>
  </si>
  <si>
    <t>02 공공운영비</t>
    <phoneticPr fontId="12" type="noConversion"/>
  </si>
  <si>
    <t>=</t>
    <phoneticPr fontId="12" type="noConversion"/>
  </si>
  <si>
    <t>202 여비</t>
    <phoneticPr fontId="12" type="noConversion"/>
  </si>
  <si>
    <t>01 국내여비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</si>
  <si>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</si>
  <si>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</si>
  <si>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[우편료]</t>
    <phoneticPr fontId="12" type="noConversion"/>
  </si>
  <si>
    <t>[차량선박비]</t>
    <phoneticPr fontId="12" type="noConversion"/>
  </si>
  <si>
    <t>202 여비</t>
    <phoneticPr fontId="12" type="noConversion"/>
  </si>
  <si>
    <t>[일반수용비]</t>
    <phoneticPr fontId="12" type="noConversion"/>
  </si>
  <si>
    <t>[우편료]</t>
    <phoneticPr fontId="12" type="noConversion"/>
  </si>
  <si>
    <t>[국내여비]</t>
    <phoneticPr fontId="12" type="noConversion"/>
  </si>
  <si>
    <t>[국내여비]</t>
    <phoneticPr fontId="12" type="noConversion"/>
  </si>
  <si>
    <t>[국외업무여비]</t>
    <phoneticPr fontId="12" type="noConversion"/>
  </si>
  <si>
    <t>[일반수용비]</t>
    <phoneticPr fontId="12" type="noConversion"/>
  </si>
  <si>
    <t>202 여비</t>
    <phoneticPr fontId="12" type="noConversion"/>
  </si>
  <si>
    <t>홈페이지 유지관리</t>
    <phoneticPr fontId="48" type="noConversion"/>
  </si>
  <si>
    <t>214 수선유지교체비</t>
    <phoneticPr fontId="12" type="noConversion"/>
  </si>
  <si>
    <t>05 수선유지비</t>
    <phoneticPr fontId="12" type="noConversion"/>
  </si>
  <si>
    <t>[수선유지비]</t>
    <phoneticPr fontId="12" type="noConversion"/>
  </si>
  <si>
    <t>300 경상이전</t>
    <phoneticPr fontId="12" type="noConversion"/>
  </si>
  <si>
    <t>301 일반보상금</t>
    <phoneticPr fontId="12" type="noConversion"/>
  </si>
  <si>
    <t>201 일반운영비</t>
    <phoneticPr fontId="12" type="noConversion"/>
  </si>
  <si>
    <t>201 일반운영비</t>
    <phoneticPr fontId="12" type="noConversion"/>
  </si>
  <si>
    <t>[운영수당]</t>
    <phoneticPr fontId="12" type="noConversion"/>
  </si>
  <si>
    <t>03 행사운영비</t>
    <phoneticPr fontId="12" type="noConversion"/>
  </si>
  <si>
    <t>[회의비]</t>
    <phoneticPr fontId="12" type="noConversion"/>
  </si>
  <si>
    <t>14 회의비</t>
    <phoneticPr fontId="12" type="noConversion"/>
  </si>
  <si>
    <t>사무국운영</t>
    <phoneticPr fontId="12" type="noConversion"/>
  </si>
  <si>
    <t>100 인건비</t>
    <phoneticPr fontId="12" type="noConversion"/>
  </si>
  <si>
    <t>101 인건비</t>
    <phoneticPr fontId="12" type="noConversion"/>
  </si>
  <si>
    <t>01 보수</t>
    <phoneticPr fontId="12" type="noConversion"/>
  </si>
  <si>
    <t>[직원파견수당]</t>
    <phoneticPr fontId="12" type="noConversion"/>
  </si>
  <si>
    <t>[주거지원비]</t>
    <phoneticPr fontId="12" type="noConversion"/>
  </si>
  <si>
    <t>200 물건비</t>
    <phoneticPr fontId="12" type="noConversion"/>
  </si>
  <si>
    <t>[일반수용비]</t>
    <phoneticPr fontId="12" type="noConversion"/>
  </si>
  <si>
    <t>[임차료]</t>
    <phoneticPr fontId="12" type="noConversion"/>
  </si>
  <si>
    <t>02 공공운영비</t>
    <phoneticPr fontId="12" type="noConversion"/>
  </si>
  <si>
    <t>[공공요금 및 제세]</t>
    <phoneticPr fontId="12" type="noConversion"/>
  </si>
  <si>
    <t>[국내여비]</t>
    <phoneticPr fontId="12" type="noConversion"/>
  </si>
  <si>
    <t>[국외업무여비]</t>
    <phoneticPr fontId="12" type="noConversion"/>
  </si>
  <si>
    <t>03 국외업무여비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</si>
  <si>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</si>
  <si>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</si>
  <si>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</si>
  <si>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>[시책추진업무추진비]</t>
    <phoneticPr fontId="12" type="noConversion"/>
  </si>
  <si>
    <t>204 직무수행경비</t>
    <phoneticPr fontId="12" type="noConversion"/>
  </si>
  <si>
    <t>01 직급보조비</t>
    <phoneticPr fontId="12" type="noConversion"/>
  </si>
  <si>
    <t>[직책급업무수행경비]</t>
    <phoneticPr fontId="12" type="noConversion"/>
  </si>
  <si>
    <t>[특정업무경비]</t>
    <phoneticPr fontId="12" type="noConversion"/>
  </si>
  <si>
    <t>214 수선유지교체비</t>
    <phoneticPr fontId="12" type="noConversion"/>
  </si>
  <si>
    <t>217 관서업무비</t>
    <phoneticPr fontId="12" type="noConversion"/>
  </si>
  <si>
    <t>01 정원가산업무비</t>
    <phoneticPr fontId="12" type="noConversion"/>
  </si>
  <si>
    <t>[수선유지비]</t>
    <phoneticPr fontId="12" type="noConversion"/>
  </si>
  <si>
    <t>[정원가산업무비]</t>
    <phoneticPr fontId="12" type="noConversion"/>
  </si>
  <si>
    <t>02 부서업무비</t>
    <phoneticPr fontId="12" type="noConversion"/>
  </si>
  <si>
    <t>[부서업무비]</t>
    <phoneticPr fontId="12" type="noConversion"/>
  </si>
  <si>
    <t>예산공통 행정운영</t>
    <phoneticPr fontId="12" type="noConversion"/>
  </si>
  <si>
    <t>기관공통 운영경비</t>
    <phoneticPr fontId="48" type="noConversion"/>
  </si>
  <si>
    <t>예비비</t>
    <phoneticPr fontId="12" type="noConversion"/>
  </si>
  <si>
    <t>[공공운영비]</t>
    <phoneticPr fontId="12" type="noConversion"/>
  </si>
  <si>
    <t xml:space="preserve"> ○ 기관공통운영 공공운영비 : 5,000,000원*1식</t>
    <phoneticPr fontId="12" type="noConversion"/>
  </si>
  <si>
    <t xml:space="preserve"> ○ 기관공통운영 사무관리비 : 5,000,000원*1식</t>
    <phoneticPr fontId="12" type="noConversion"/>
  </si>
  <si>
    <t>[사무관리비]</t>
    <phoneticPr fontId="12" type="noConversion"/>
  </si>
  <si>
    <t xml:space="preserve"> ○ 기관공통운영 시책추진업무추진비 : 5,000,000원*1식</t>
    <phoneticPr fontId="12" type="noConversion"/>
  </si>
  <si>
    <t xml:space="preserve"> ○ 기관공통운영 급식비 : 5,000,000원*1식</t>
    <phoneticPr fontId="12" type="noConversion"/>
  </si>
  <si>
    <t>2026여수세계섬박람회 기획</t>
    <phoneticPr fontId="12" type="noConversion"/>
  </si>
  <si>
    <t>일반운영비</t>
    <phoneticPr fontId="12" type="noConversion"/>
  </si>
  <si>
    <t>사무관리비</t>
    <phoneticPr fontId="12" type="noConversion"/>
  </si>
  <si>
    <t>국내여비</t>
    <phoneticPr fontId="12" type="noConversion"/>
  </si>
  <si>
    <t>행사운영비</t>
    <phoneticPr fontId="12" type="noConversion"/>
  </si>
  <si>
    <t>회의비</t>
    <phoneticPr fontId="12" type="noConversion"/>
  </si>
  <si>
    <t>기본경비</t>
    <phoneticPr fontId="12" type="noConversion"/>
  </si>
  <si>
    <t>인건비</t>
    <phoneticPr fontId="12" type="noConversion"/>
  </si>
  <si>
    <t>보수</t>
    <phoneticPr fontId="12" type="noConversion"/>
  </si>
  <si>
    <t>일반운영비</t>
    <phoneticPr fontId="12" type="noConversion"/>
  </si>
  <si>
    <t>사무관리비</t>
    <phoneticPr fontId="12" type="noConversion"/>
  </si>
  <si>
    <t>공공운영비</t>
    <phoneticPr fontId="12" type="noConversion"/>
  </si>
  <si>
    <t>여비</t>
    <phoneticPr fontId="12" type="noConversion"/>
  </si>
  <si>
    <t>국외업무여비</t>
    <phoneticPr fontId="12" type="noConversion"/>
  </si>
  <si>
    <t>업무추진비</t>
    <phoneticPr fontId="12" type="noConversion"/>
  </si>
  <si>
    <t>사업업무추진비</t>
    <phoneticPr fontId="12" type="noConversion"/>
  </si>
  <si>
    <t>직무수행경비</t>
    <phoneticPr fontId="12" type="noConversion"/>
  </si>
  <si>
    <t>직급보조비</t>
    <phoneticPr fontId="12" type="noConversion"/>
  </si>
  <si>
    <t>수선유지교체비</t>
    <phoneticPr fontId="12" type="noConversion"/>
  </si>
  <si>
    <t>수선유지비</t>
    <phoneticPr fontId="12" type="noConversion"/>
  </si>
  <si>
    <t>관서업무비</t>
    <phoneticPr fontId="12" type="noConversion"/>
  </si>
  <si>
    <t>정원가산업무비</t>
    <phoneticPr fontId="12" type="noConversion"/>
  </si>
  <si>
    <t>부서업무비</t>
    <phoneticPr fontId="12" type="noConversion"/>
  </si>
  <si>
    <t>예비비</t>
    <phoneticPr fontId="12" type="noConversion"/>
  </si>
  <si>
    <t>일반예비비</t>
    <phoneticPr fontId="12" type="noConversion"/>
  </si>
  <si>
    <t>2026여수세계섬박람회 홍보</t>
    <phoneticPr fontId="12" type="noConversion"/>
  </si>
  <si>
    <t>일반보상금</t>
    <phoneticPr fontId="12" type="noConversion"/>
  </si>
  <si>
    <t>수선유지교체비</t>
    <phoneticPr fontId="12" type="noConversion"/>
  </si>
  <si>
    <t>기본경비</t>
    <phoneticPr fontId="12" type="noConversion"/>
  </si>
  <si>
    <t>일반운영비</t>
    <phoneticPr fontId="12" type="noConversion"/>
  </si>
  <si>
    <t>공공운영비</t>
    <phoneticPr fontId="12" type="noConversion"/>
  </si>
  <si>
    <t>사업예산</t>
    <phoneticPr fontId="12" type="noConversion"/>
  </si>
  <si>
    <t>02 특정업무경비</t>
    <phoneticPr fontId="12" type="noConversion"/>
  </si>
  <si>
    <t>[급량비]</t>
    <phoneticPr fontId="12" type="noConversion"/>
  </si>
  <si>
    <t>복리후생비</t>
    <phoneticPr fontId="12" type="noConversion"/>
  </si>
  <si>
    <t>총계</t>
    <phoneticPr fontId="12" type="noConversion"/>
  </si>
  <si>
    <t>특정업무경비</t>
    <phoneticPr fontId="12" type="noConversion"/>
  </si>
  <si>
    <t>복리후생비</t>
    <phoneticPr fontId="12" type="noConversion"/>
  </si>
  <si>
    <t>15 복리후생비</t>
    <phoneticPr fontId="12" type="noConversion"/>
  </si>
  <si>
    <t xml:space="preserve"> ○ 기관공통운영 국내여비 : 5,000,000원*1식</t>
    <phoneticPr fontId="12" type="noConversion"/>
  </si>
  <si>
    <t>총계(사업예산 + 자본예산)</t>
    <phoneticPr fontId="12" type="noConversion"/>
  </si>
  <si>
    <t>지출예산 총괄표</t>
    <phoneticPr fontId="12" type="noConversion"/>
  </si>
  <si>
    <t>지출예산(세부사업) - 유치협력부</t>
    <phoneticPr fontId="12" type="noConversion"/>
  </si>
  <si>
    <t>(단위 : 천 원)</t>
    <phoneticPr fontId="12" type="noConversion"/>
  </si>
  <si>
    <t>수입예산 총괄표(출연금+위탁사업비)</t>
    <phoneticPr fontId="12" type="noConversion"/>
  </si>
  <si>
    <t>(단위 : 천 원)</t>
    <phoneticPr fontId="12" type="noConversion"/>
  </si>
  <si>
    <t>비교증감</t>
    <phoneticPr fontId="12" type="noConversion"/>
  </si>
  <si>
    <t>관</t>
    <phoneticPr fontId="12" type="noConversion"/>
  </si>
  <si>
    <t>항</t>
    <phoneticPr fontId="12" type="noConversion"/>
  </si>
  <si>
    <t>세항</t>
    <phoneticPr fontId="12" type="noConversion"/>
  </si>
  <si>
    <t>총계(사업예산+자본예산)</t>
    <phoneticPr fontId="12" type="noConversion"/>
  </si>
  <si>
    <t>자체수입금</t>
    <phoneticPr fontId="12" type="noConversion"/>
  </si>
  <si>
    <t>600 사업수익</t>
    <phoneticPr fontId="12" type="noConversion"/>
  </si>
  <si>
    <t>610 영업수익</t>
    <phoneticPr fontId="12" type="noConversion"/>
  </si>
  <si>
    <t>623 대행사업수익</t>
    <phoneticPr fontId="12" type="noConversion"/>
  </si>
  <si>
    <t>01 직접관리비수익</t>
    <phoneticPr fontId="12" type="noConversion"/>
  </si>
  <si>
    <t>01 기부금수익</t>
    <phoneticPr fontId="12" type="noConversion"/>
  </si>
  <si>
    <t>648 출연금 수익</t>
    <phoneticPr fontId="12" type="noConversion"/>
  </si>
  <si>
    <t>02 자치단체출연금수익</t>
    <phoneticPr fontId="12" type="noConversion"/>
  </si>
  <si>
    <t>670 영업외수익</t>
    <phoneticPr fontId="12" type="noConversion"/>
  </si>
  <si>
    <t>671 이자수익</t>
    <phoneticPr fontId="12" type="noConversion"/>
  </si>
  <si>
    <t>01 예금이자수익</t>
    <phoneticPr fontId="12" type="noConversion"/>
  </si>
  <si>
    <t>100 자본적수입</t>
    <phoneticPr fontId="12" type="noConversion"/>
  </si>
  <si>
    <t>170 자본잉여금수입</t>
    <phoneticPr fontId="12" type="noConversion"/>
  </si>
  <si>
    <t>177 출연금 수입</t>
    <phoneticPr fontId="12" type="noConversion"/>
  </si>
  <si>
    <t>01 정부출연금</t>
    <phoneticPr fontId="12" type="noConversion"/>
  </si>
  <si>
    <t>지출예산(세부사업) - 수익사업부</t>
    <phoneticPr fontId="12" type="noConversion"/>
  </si>
  <si>
    <t>지출예산(세부사업) - 기획홍보부</t>
    <phoneticPr fontId="12" type="noConversion"/>
  </si>
  <si>
    <t>지출예산(세부사업) - 행정관리부</t>
    <phoneticPr fontId="12" type="noConversion"/>
  </si>
  <si>
    <t>지출예산(세부사업) - 행사부</t>
    <phoneticPr fontId="12" type="noConversion"/>
  </si>
  <si>
    <t>지출예산(세부사업) - 시설조성부</t>
    <phoneticPr fontId="12" type="noConversion"/>
  </si>
  <si>
    <t>지출예산(세부사업) - 예비비</t>
    <phoneticPr fontId="12" type="noConversion"/>
  </si>
  <si>
    <t>단위 : 천원</t>
    <phoneticPr fontId="12" type="noConversion"/>
  </si>
  <si>
    <t>구
분</t>
    <phoneticPr fontId="48" type="noConversion"/>
  </si>
  <si>
    <t>편성목</t>
    <phoneticPr fontId="48" type="noConversion"/>
  </si>
  <si>
    <t>정책</t>
    <phoneticPr fontId="48" type="noConversion"/>
  </si>
  <si>
    <t>세부</t>
    <phoneticPr fontId="48" type="noConversion"/>
  </si>
  <si>
    <t>그룹</t>
    <phoneticPr fontId="48" type="noConversion"/>
  </si>
  <si>
    <t>세목</t>
    <phoneticPr fontId="48" type="noConversion"/>
  </si>
  <si>
    <t>총계(사업예산 + 자본예산)</t>
    <phoneticPr fontId="12" type="noConversion"/>
  </si>
  <si>
    <t>예비비</t>
    <phoneticPr fontId="12" type="noConversion"/>
  </si>
  <si>
    <t>예비비</t>
    <phoneticPr fontId="12" type="noConversion"/>
  </si>
  <si>
    <t>예비비</t>
    <phoneticPr fontId="48" type="noConversion"/>
  </si>
  <si>
    <t>800 예비비</t>
    <phoneticPr fontId="12" type="noConversion"/>
  </si>
  <si>
    <t>801 예비비</t>
    <phoneticPr fontId="12" type="noConversion"/>
  </si>
  <si>
    <t>01 일반예비비</t>
    <phoneticPr fontId="12" type="noConversion"/>
  </si>
  <si>
    <t>[일반예비비]</t>
    <phoneticPr fontId="12" type="noConversion"/>
  </si>
  <si>
    <t>자본예산</t>
    <phoneticPr fontId="12" type="noConversion"/>
  </si>
  <si>
    <t>자본예산</t>
    <phoneticPr fontId="12" type="noConversion"/>
  </si>
  <si>
    <t>예비비(자본)</t>
    <phoneticPr fontId="12" type="noConversion"/>
  </si>
  <si>
    <t>예비비(자본)</t>
    <phoneticPr fontId="12" type="noConversion"/>
  </si>
  <si>
    <t>예비비(자본)</t>
    <phoneticPr fontId="48" type="noConversion"/>
  </si>
  <si>
    <t>800 예비비</t>
    <phoneticPr fontId="12" type="noConversion"/>
  </si>
  <si>
    <t>01 일반예비비</t>
    <phoneticPr fontId="12" type="noConversion"/>
  </si>
  <si>
    <t>[일반예비비]</t>
    <phoneticPr fontId="12" type="noConversion"/>
  </si>
  <si>
    <t>=</t>
    <phoneticPr fontId="12" type="noConversion"/>
  </si>
  <si>
    <t>2026여수세계섬박람회 홍보</t>
    <phoneticPr fontId="12" type="noConversion"/>
  </si>
  <si>
    <t>박람회 홍보</t>
    <phoneticPr fontId="12" type="noConversion"/>
  </si>
  <si>
    <t>일반운영비</t>
    <phoneticPr fontId="12" type="noConversion"/>
  </si>
  <si>
    <t>사무관리비</t>
    <phoneticPr fontId="12" type="noConversion"/>
  </si>
  <si>
    <t>광고선전비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</si>
  <si>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</si>
  <si>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</si>
  <si>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</si>
  <si>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</si>
  <si>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</si>
  <si>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</si>
  <si>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</si>
  <si>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</si>
  <si>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</si>
  <si>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</si>
  <si>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</si>
  <si>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</si>
  <si>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2026여수세계섬박람회 홍보</t>
    <phoneticPr fontId="12" type="noConversion"/>
  </si>
  <si>
    <t>박람회 홍보</t>
    <phoneticPr fontId="48" type="noConversion"/>
  </si>
  <si>
    <t>200 물건비</t>
    <phoneticPr fontId="12" type="noConversion"/>
  </si>
  <si>
    <t>201 일반운영비</t>
    <phoneticPr fontId="12" type="noConversion"/>
  </si>
  <si>
    <t>01 사무관리비</t>
    <phoneticPr fontId="12" type="noConversion"/>
  </si>
  <si>
    <t>[사무관리비]</t>
    <phoneticPr fontId="12" type="noConversion"/>
  </si>
  <si>
    <t>=</t>
    <phoneticPr fontId="12" type="noConversion"/>
  </si>
  <si>
    <t>03 행사운영비</t>
    <phoneticPr fontId="12" type="noConversion"/>
  </si>
  <si>
    <t>[행사운영비]</t>
    <phoneticPr fontId="12" type="noConversion"/>
  </si>
  <si>
    <t>[광고료]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</si>
  <si>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</si>
  <si>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</si>
  <si>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</si>
  <si>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</si>
  <si>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</si>
  <si>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</si>
  <si>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</si>
  <si>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</si>
  <si>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</si>
  <si>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</si>
  <si>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</si>
  <si>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</si>
  <si>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200 물건비</t>
    <phoneticPr fontId="12" type="noConversion"/>
  </si>
  <si>
    <t>201 일반운영비</t>
    <phoneticPr fontId="12" type="noConversion"/>
  </si>
  <si>
    <t>=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</si>
  <si>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</si>
  <si>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</si>
  <si>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전시연출부 부서운영</t>
    <phoneticPr fontId="12" type="noConversion"/>
  </si>
  <si>
    <t>지출예산(위탁) - 본예산</t>
    <phoneticPr fontId="12" type="noConversion"/>
  </si>
  <si>
    <t>지출예산 - 기획본부(위탁)</t>
    <phoneticPr fontId="12" type="noConversion"/>
  </si>
  <si>
    <t>지출예산 - 운영본부(위탁)</t>
    <phoneticPr fontId="12" type="noConversion"/>
  </si>
  <si>
    <t>지출예산 총괄표(출연금+위탁사업비)</t>
    <phoneticPr fontId="12" type="noConversion"/>
  </si>
  <si>
    <t>비교증감</t>
    <phoneticPr fontId="12" type="noConversion"/>
  </si>
  <si>
    <t>구분</t>
    <phoneticPr fontId="12" type="noConversion"/>
  </si>
  <si>
    <t>2026여수세계섬박람회 유치협력</t>
    <phoneticPr fontId="12" type="noConversion"/>
  </si>
  <si>
    <t>2026여수세계섬박람회 수익사업</t>
    <phoneticPr fontId="12" type="noConversion"/>
  </si>
  <si>
    <t>수익사업부 부서운영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</si>
  <si>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</si>
  <si>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</si>
  <si>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2026여수세계섬박람회 수익사업</t>
    <phoneticPr fontId="12" type="noConversion"/>
  </si>
  <si>
    <t>2026여수세계섬박람회 유치협력</t>
    <phoneticPr fontId="12" type="noConversion"/>
  </si>
  <si>
    <t>2026여수세계섬박람회 운영</t>
    <phoneticPr fontId="12" type="noConversion"/>
  </si>
  <si>
    <t>2026여수세계섬박람회 행사</t>
    <phoneticPr fontId="12" type="noConversion"/>
  </si>
  <si>
    <t>2026여수세계섬박람회 시설조성</t>
    <phoneticPr fontId="12" type="noConversion"/>
  </si>
  <si>
    <t>2026여수세계섬박람회 전시연출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</si>
  <si>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</si>
  <si>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</si>
  <si>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</si>
  <si>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</si>
  <si>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</si>
  <si>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유치</t>
    <phoneticPr fontId="12" type="noConversion"/>
  </si>
  <si>
    <t>2026여수세계섬박람회 행사(위탁)</t>
    <phoneticPr fontId="12" type="noConversion"/>
  </si>
  <si>
    <t>2026여수세계섬박람회 행사</t>
    <phoneticPr fontId="12" type="noConversion"/>
  </si>
  <si>
    <t>2026여수세계섬박람회 시설조성(위탁)</t>
    <phoneticPr fontId="12" type="noConversion"/>
  </si>
  <si>
    <t>2026여수세계섬박람회 시설조성(위탁)</t>
    <phoneticPr fontId="12" type="noConversion"/>
  </si>
  <si>
    <t>2026여수세계섬박람회 시설조성</t>
    <phoneticPr fontId="12" type="noConversion"/>
  </si>
  <si>
    <t>2026여수세계섬박람회 전시연출(위탁)</t>
    <phoneticPr fontId="12" type="noConversion"/>
  </si>
  <si>
    <t>2026여수세계섬박람회 전시연출</t>
    <phoneticPr fontId="12" type="noConversion"/>
  </si>
  <si>
    <t>자본예산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</si>
  <si>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</si>
  <si>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</si>
  <si>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전시연출(위탁)</t>
    <phoneticPr fontId="12" type="noConversion"/>
  </si>
  <si>
    <t>2026여수세계섬박람회 연출</t>
    <phoneticPr fontId="12" type="noConversion"/>
  </si>
  <si>
    <t>2026여수세계섬박람회 기획</t>
    <phoneticPr fontId="12" type="noConversion"/>
  </si>
  <si>
    <t>사무국운영</t>
    <phoneticPr fontId="12" type="noConversion"/>
  </si>
  <si>
    <t>기본경비</t>
    <phoneticPr fontId="12" type="noConversion"/>
  </si>
  <si>
    <t>예산공통 행정운영</t>
    <phoneticPr fontId="12" type="noConversion"/>
  </si>
  <si>
    <t>기관공통 운영경비</t>
    <phoneticPr fontId="12" type="noConversion"/>
  </si>
  <si>
    <t>2026여수세계섬박람회 홍보</t>
    <phoneticPr fontId="12" type="noConversion"/>
  </si>
  <si>
    <t>홈페이지 유지관리</t>
    <phoneticPr fontId="12" type="noConversion"/>
  </si>
  <si>
    <t>2026여수세계섬박람회 전시연출</t>
    <phoneticPr fontId="12" type="noConversion"/>
  </si>
  <si>
    <t>2026여수세계섬박람회 시설조성</t>
    <phoneticPr fontId="12" type="noConversion"/>
  </si>
  <si>
    <t>2026여수세계섬박람회 행사</t>
    <phoneticPr fontId="12" type="noConversion"/>
  </si>
  <si>
    <t>2026여수세계섬박람회 행정관리</t>
    <phoneticPr fontId="12" type="noConversion"/>
  </si>
  <si>
    <t>2026여수세계섬박람회 수익사업</t>
    <phoneticPr fontId="12" type="noConversion"/>
  </si>
  <si>
    <t>2026여수세계섬박람회 박람회장 수익사업</t>
    <phoneticPr fontId="12" type="noConversion"/>
  </si>
  <si>
    <t>2026여수세계섬박람회 운영</t>
    <phoneticPr fontId="12" type="noConversion"/>
  </si>
  <si>
    <t>유치협력부 부서운영</t>
    <phoneticPr fontId="12" type="noConversion"/>
  </si>
  <si>
    <t>기획홍보부 부서운영</t>
    <phoneticPr fontId="12" type="noConversion"/>
  </si>
  <si>
    <t>기획홍보부 부서운영</t>
    <phoneticPr fontId="12" type="noConversion"/>
  </si>
  <si>
    <t>수익사업부 부서운영</t>
    <phoneticPr fontId="12" type="noConversion"/>
  </si>
  <si>
    <t>유치협력부 부서운영</t>
    <phoneticPr fontId="12" type="noConversion"/>
  </si>
  <si>
    <t>2026여수세계섬박람회 행사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</si>
  <si>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</si>
  <si>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</si>
  <si>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2026여수세계섬박람회 전시연출</t>
    <phoneticPr fontId="12" type="noConversion"/>
  </si>
  <si>
    <t>예비비(자본)</t>
    <phoneticPr fontId="12" type="noConversion"/>
  </si>
  <si>
    <t>일반예비비(자본)</t>
    <phoneticPr fontId="12" type="noConversion"/>
  </si>
  <si>
    <t>위탁사업비(사업예산+자본예산)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</si>
  <si>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</si>
  <si>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</si>
  <si>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</si>
  <si>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</si>
  <si>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</si>
  <si>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</si>
  <si>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>자문위원회 운영</t>
    <phoneticPr fontId="48" type="noConversion"/>
  </si>
  <si>
    <t>02 기타직 보수</t>
    <phoneticPr fontId="12" type="noConversion"/>
  </si>
  <si>
    <t>[총감독 급여]</t>
    <phoneticPr fontId="12" type="noConversion"/>
  </si>
  <si>
    <t>04 기간제근로자등보수</t>
    <phoneticPr fontId="12" type="noConversion"/>
  </si>
  <si>
    <t>[본부장실 관리요원]</t>
    <phoneticPr fontId="12" type="noConversion"/>
  </si>
  <si>
    <t>=</t>
    <phoneticPr fontId="12" type="noConversion"/>
  </si>
  <si>
    <t>107 퇴직급여</t>
    <phoneticPr fontId="12" type="noConversion"/>
  </si>
  <si>
    <t>퇴직급여충당금</t>
    <phoneticPr fontId="12" type="noConversion"/>
  </si>
  <si>
    <t>[퇴직급여충당금]</t>
    <phoneticPr fontId="12" type="noConversion"/>
  </si>
  <si>
    <t xml:space="preserve"> ○ 4급보조기관장(기획본부장) : 6,600,000원*1식 </t>
    <phoneticPr fontId="12" type="noConversion"/>
  </si>
  <si>
    <t>=</t>
    <phoneticPr fontId="12" type="noConversion"/>
  </si>
  <si>
    <t>=</t>
    <phoneticPr fontId="12" type="noConversion"/>
  </si>
  <si>
    <t xml:space="preserve"> ○ 본부장(4급) : 350,000원*2명*12월</t>
    <phoneticPr fontId="12" type="noConversion"/>
  </si>
  <si>
    <t xml:space="preserve"> ○ 예산결산계약 실무담당직원 : 80,000원*7명*12월</t>
    <phoneticPr fontId="12" type="noConversion"/>
  </si>
  <si>
    <t>300 경상이전</t>
    <phoneticPr fontId="12" type="noConversion"/>
  </si>
  <si>
    <t>304 연금부담금 등</t>
    <phoneticPr fontId="12" type="noConversion"/>
  </si>
  <si>
    <t>01 연금부담금</t>
    <phoneticPr fontId="12" type="noConversion"/>
  </si>
  <si>
    <t>[사무총장 사회보험 사용자 부담금]</t>
    <phoneticPr fontId="12" type="noConversion"/>
  </si>
  <si>
    <t>[총감독 사회보험 사용자 부담금]</t>
    <phoneticPr fontId="12" type="noConversion"/>
  </si>
  <si>
    <t>[본부장실 관리요원 사회보험 사용자 부담금]</t>
    <phoneticPr fontId="12" type="noConversion"/>
  </si>
  <si>
    <t>2026여수세계섬박람회 행정 업무추진</t>
    <phoneticPr fontId="12" type="noConversion"/>
  </si>
  <si>
    <t>이사회 및 각종 위원회 운영</t>
    <phoneticPr fontId="48" type="noConversion"/>
  </si>
  <si>
    <t>2026여수세계섬박람회 행정 업무추진</t>
    <phoneticPr fontId="12" type="noConversion"/>
  </si>
  <si>
    <t>이사회 및 각종 위원회 운영</t>
    <phoneticPr fontId="12" type="noConversion"/>
  </si>
  <si>
    <t>기타직보수</t>
    <phoneticPr fontId="12" type="noConversion"/>
  </si>
  <si>
    <t>기간제근로자등보수</t>
    <phoneticPr fontId="12" type="noConversion"/>
  </si>
  <si>
    <t>퇴직급여</t>
    <phoneticPr fontId="12" type="noConversion"/>
  </si>
  <si>
    <t>퇴직급여충당금</t>
    <phoneticPr fontId="12" type="noConversion"/>
  </si>
  <si>
    <t>연금부담금 등</t>
    <phoneticPr fontId="12" type="noConversion"/>
  </si>
  <si>
    <t>연금부담금</t>
    <phoneticPr fontId="12" type="noConversion"/>
  </si>
  <si>
    <t>박람회장 운영</t>
    <phoneticPr fontId="12" type="noConversion"/>
  </si>
  <si>
    <t>대행사 선정</t>
    <phoneticPr fontId="12" type="noConversion"/>
  </si>
  <si>
    <t>일반운영비</t>
    <phoneticPr fontId="12" type="noConversion"/>
  </si>
  <si>
    <t>행사운영비</t>
    <phoneticPr fontId="12" type="noConversion"/>
  </si>
  <si>
    <t>지출예산(세부사업) - 운영부</t>
    <phoneticPr fontId="12" type="noConversion"/>
  </si>
  <si>
    <t>단위 : 천원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</si>
  <si>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</si>
  <si>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</si>
  <si>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</si>
  <si>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</si>
  <si>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</si>
  <si>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</si>
  <si>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</si>
  <si>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</si>
  <si>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</si>
  <si>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</si>
  <si>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박람회장 운영</t>
    <phoneticPr fontId="12" type="noConversion"/>
  </si>
  <si>
    <t>대행사 선정</t>
    <phoneticPr fontId="48" type="noConversion"/>
  </si>
  <si>
    <t>200 물건비</t>
    <phoneticPr fontId="12" type="noConversion"/>
  </si>
  <si>
    <t>01 사무관리비</t>
    <phoneticPr fontId="12" type="noConversion"/>
  </si>
  <si>
    <t>03 행사운영비</t>
    <phoneticPr fontId="12" type="noConversion"/>
  </si>
  <si>
    <t>14 회의비</t>
    <phoneticPr fontId="12" type="noConversion"/>
  </si>
  <si>
    <t>[회의비]</t>
    <phoneticPr fontId="12" type="noConversion"/>
  </si>
  <si>
    <t>운영부 사무국운영</t>
    <phoneticPr fontId="12" type="noConversion"/>
  </si>
  <si>
    <t>기본경비</t>
    <phoneticPr fontId="48" type="noConversion"/>
  </si>
  <si>
    <t>201 일반운영비</t>
    <phoneticPr fontId="12" type="noConversion"/>
  </si>
  <si>
    <t>15 복리후생비</t>
    <phoneticPr fontId="12" type="noConversion"/>
  </si>
  <si>
    <t>[급량비]</t>
    <phoneticPr fontId="12" type="noConversion"/>
  </si>
  <si>
    <t>01 국내여비</t>
    <phoneticPr fontId="12" type="noConversion"/>
  </si>
  <si>
    <t>[국내여비]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</si>
  <si>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</si>
  <si>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</si>
  <si>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</si>
  <si>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 xml:space="preserve"> ○ 4급보조기관장(운영본부장) : 6,600,000원*1식 </t>
    <phoneticPr fontId="12" type="noConversion"/>
  </si>
  <si>
    <t>217 관서업무비</t>
    <phoneticPr fontId="12" type="noConversion"/>
  </si>
  <si>
    <t>[정원가산업무비]</t>
    <phoneticPr fontId="12" type="noConversion"/>
  </si>
  <si>
    <t>02 부서업무비</t>
    <phoneticPr fontId="12" type="noConversion"/>
  </si>
  <si>
    <t>운영부 사무국운영</t>
    <phoneticPr fontId="12" type="noConversion"/>
  </si>
  <si>
    <t>정원가산업무비</t>
    <phoneticPr fontId="12" type="noConversion"/>
  </si>
  <si>
    <t>부서업무비</t>
    <phoneticPr fontId="12" type="noConversion"/>
  </si>
  <si>
    <t>2026여수세계섬박람회 전시연출(위탁)</t>
    <phoneticPr fontId="12" type="noConversion"/>
  </si>
  <si>
    <t>문화행사 추진</t>
    <phoneticPr fontId="48" type="noConversion"/>
  </si>
  <si>
    <t>[행사운영비]</t>
    <phoneticPr fontId="12" type="noConversion"/>
  </si>
  <si>
    <t xml:space="preserve"> ○ 누리집 유지관리 용역 : 50,000,000원*1식</t>
    <phoneticPr fontId="12" type="noConversion"/>
  </si>
  <si>
    <t xml:space="preserve"> ○ 기본업무수행 급량비 : 9,000원*7명*8일*12월</t>
    <phoneticPr fontId="12" type="noConversion"/>
  </si>
  <si>
    <t>[부서업무비]</t>
    <phoneticPr fontId="12" type="noConversion"/>
  </si>
  <si>
    <t xml:space="preserve"> ○ 기획홍보부 부서운영 총액계상 : 175,000원*12월</t>
    <phoneticPr fontId="12" type="noConversion"/>
  </si>
  <si>
    <t xml:space="preserve"> ○ 유치협력부 부서운영 총액계상 : 175,000원*12월</t>
    <phoneticPr fontId="12" type="noConversion"/>
  </si>
  <si>
    <t xml:space="preserve"> ○ 행사부 부서운영 총액계상 : 175,000원*12월</t>
    <phoneticPr fontId="12" type="noConversion"/>
  </si>
  <si>
    <t xml:space="preserve"> ○ 시설조성부 부서운영 총액계상 : 175,000원*12월</t>
    <phoneticPr fontId="12" type="noConversion"/>
  </si>
  <si>
    <t xml:space="preserve"> ○ 전시연출부 부서운영 총액계상 : 175,000원*12월</t>
    <phoneticPr fontId="12" type="noConversion"/>
  </si>
  <si>
    <t xml:space="preserve"> ○ 운영부 부서운영 총액계상 : 175,000원*12월</t>
    <phoneticPr fontId="12" type="noConversion"/>
  </si>
  <si>
    <t xml:space="preserve"> ○ 기본업무수행 급량비 : 9,000원*9명*8일*12월</t>
    <phoneticPr fontId="12" type="noConversion"/>
  </si>
  <si>
    <t>섬박람회장 안전시설물 설치사업</t>
    <phoneticPr fontId="48" type="noConversion"/>
  </si>
  <si>
    <t>섬박람회 랜드마크 조성사업</t>
    <phoneticPr fontId="48" type="noConversion"/>
  </si>
  <si>
    <t>섬박람회장 입구게이트 조성</t>
    <phoneticPr fontId="48" type="noConversion"/>
  </si>
  <si>
    <t>섬박람회장 열린문화공간 조성</t>
    <phoneticPr fontId="48" type="noConversion"/>
  </si>
  <si>
    <t xml:space="preserve"> ○ 수익사업부 부서운영 총액계상 : 175,000원*12월</t>
    <phoneticPr fontId="12" type="noConversion"/>
  </si>
  <si>
    <t xml:space="preserve"> ○ 예비비(자본) : 0원</t>
    <phoneticPr fontId="12" type="noConversion"/>
  </si>
  <si>
    <t>자문위원회 운영</t>
    <phoneticPr fontId="12" type="noConversion"/>
  </si>
  <si>
    <t>=</t>
    <phoneticPr fontId="12" type="noConversion"/>
  </si>
  <si>
    <t>=</t>
    <phoneticPr fontId="12" type="noConversion"/>
  </si>
  <si>
    <t xml:space="preserve"> ○ 홍보대사, 서포터즈 운영 : 20,000,000원*1식</t>
    <phoneticPr fontId="12" type="noConversion"/>
  </si>
  <si>
    <t>300 경상이전</t>
    <phoneticPr fontId="12" type="noConversion"/>
  </si>
  <si>
    <t>[기타보상금]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</si>
  <si>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</si>
  <si>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</si>
  <si>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행사(위탁)</t>
    <phoneticPr fontId="12" type="noConversion"/>
  </si>
  <si>
    <t>2026여수세계섬박람회 시설조성(위탁)</t>
    <phoneticPr fontId="12" type="noConversion"/>
  </si>
  <si>
    <t>[행사운영비]</t>
    <phoneticPr fontId="12" type="noConversion"/>
  </si>
  <si>
    <t>01 시설비</t>
    <phoneticPr fontId="12" type="noConversion"/>
  </si>
  <si>
    <t>400 자본지출</t>
    <phoneticPr fontId="12" type="noConversion"/>
  </si>
  <si>
    <t>401 시설비및부대비</t>
    <phoneticPr fontId="12" type="noConversion"/>
  </si>
  <si>
    <t>[시설비]</t>
    <phoneticPr fontId="12" type="noConversion"/>
  </si>
  <si>
    <t>[시설비]</t>
    <phoneticPr fontId="12" type="noConversion"/>
  </si>
  <si>
    <t>관서업무비</t>
    <phoneticPr fontId="12" type="noConversion"/>
  </si>
  <si>
    <t>부서운영비</t>
    <phoneticPr fontId="12" type="noConversion"/>
  </si>
  <si>
    <t>01 국내여비</t>
    <phoneticPr fontId="12" type="noConversion"/>
  </si>
  <si>
    <t>기타보상금</t>
    <phoneticPr fontId="12" type="noConversion"/>
  </si>
  <si>
    <t>문화행사 추진</t>
    <phoneticPr fontId="12" type="noConversion"/>
  </si>
  <si>
    <t>섬박람회 랜드마크 조성사업</t>
    <phoneticPr fontId="12" type="noConversion"/>
  </si>
  <si>
    <t>시설비및부대비</t>
    <phoneticPr fontId="12" type="noConversion"/>
  </si>
  <si>
    <t>시설비</t>
    <phoneticPr fontId="12" type="noConversion"/>
  </si>
  <si>
    <t>2026여수세계섬박람회 시설조성</t>
    <phoneticPr fontId="12" type="noConversion"/>
  </si>
  <si>
    <t>섬박람회장 열린문화공간 조성</t>
    <phoneticPr fontId="48" type="noConversion"/>
  </si>
  <si>
    <t>섬박람회 상징 아트 포토존 조성</t>
  </si>
  <si>
    <t>03 국외업무여비</t>
    <phoneticPr fontId="12" type="noConversion"/>
  </si>
  <si>
    <t>301 일반보상금</t>
    <phoneticPr fontId="12" type="noConversion"/>
  </si>
  <si>
    <t>13 외빈초청여비</t>
    <phoneticPr fontId="12" type="noConversion"/>
  </si>
  <si>
    <t>[외빈초청여비]</t>
    <phoneticPr fontId="12" type="noConversion"/>
  </si>
  <si>
    <t>14 기타보상금</t>
    <phoneticPr fontId="12" type="noConversion"/>
  </si>
  <si>
    <t>일반보상금</t>
    <phoneticPr fontId="12" type="noConversion"/>
  </si>
  <si>
    <t>외빈초청여비</t>
    <phoneticPr fontId="12" type="noConversion"/>
  </si>
  <si>
    <t>2026여수세계섬박람회 유치</t>
    <phoneticPr fontId="12" type="noConversion"/>
  </si>
  <si>
    <t>[임차료]</t>
    <phoneticPr fontId="12" type="noConversion"/>
  </si>
  <si>
    <t>201 일반운영비</t>
    <phoneticPr fontId="12" type="noConversion"/>
  </si>
  <si>
    <t>649 후원금 수익</t>
    <phoneticPr fontId="12" type="noConversion"/>
  </si>
  <si>
    <t>01 지정후원금수익</t>
    <phoneticPr fontId="12" type="noConversion"/>
  </si>
  <si>
    <t>박람회 휘장업무 추진</t>
    <phoneticPr fontId="48" type="noConversion"/>
  </si>
  <si>
    <t>01 사무관리비</t>
    <phoneticPr fontId="12" type="noConversion"/>
  </si>
  <si>
    <t>=</t>
    <phoneticPr fontId="12" type="noConversion"/>
  </si>
  <si>
    <t>박람회 입장권 사업</t>
    <phoneticPr fontId="48" type="noConversion"/>
  </si>
  <si>
    <t>14 기타보상금</t>
    <phoneticPr fontId="12" type="noConversion"/>
  </si>
  <si>
    <t>[기타보상금]</t>
    <phoneticPr fontId="12" type="noConversion"/>
  </si>
  <si>
    <t>박람회 휘장업무 추진</t>
    <phoneticPr fontId="12" type="noConversion"/>
  </si>
  <si>
    <t>일반운영비</t>
    <phoneticPr fontId="12" type="noConversion"/>
  </si>
  <si>
    <t>사무관리비</t>
    <phoneticPr fontId="12" type="noConversion"/>
  </si>
  <si>
    <t>사무관리비</t>
    <phoneticPr fontId="12" type="noConversion"/>
  </si>
  <si>
    <t>박람회 입장권 사업</t>
    <phoneticPr fontId="12" type="noConversion"/>
  </si>
  <si>
    <t>일반보상금</t>
    <phoneticPr fontId="12" type="noConversion"/>
  </si>
  <si>
    <t>기타보상금</t>
    <phoneticPr fontId="12" type="noConversion"/>
  </si>
  <si>
    <t>정책</t>
    <phoneticPr fontId="48" type="noConversion"/>
  </si>
  <si>
    <t>=</t>
    <phoneticPr fontId="12" type="noConversion"/>
  </si>
  <si>
    <t>=</t>
    <phoneticPr fontId="12" type="noConversion"/>
  </si>
  <si>
    <t>[사무총장]</t>
    <phoneticPr fontId="12" type="noConversion"/>
  </si>
  <si>
    <t>[복리후생비]</t>
    <phoneticPr fontId="12" type="noConversion"/>
  </si>
  <si>
    <t xml:space="preserve"> ○ 3급기관장(사무총장) : 10,000,000원*1식</t>
    <phoneticPr fontId="12" type="noConversion"/>
  </si>
  <si>
    <t>섬박람회 상징 아트 포토존 조성</t>
    <phoneticPr fontId="48" type="noConversion"/>
  </si>
  <si>
    <t>관람객 유치</t>
    <phoneticPr fontId="48" type="noConversion"/>
  </si>
  <si>
    <t>16 광고선전비</t>
    <phoneticPr fontId="12" type="noConversion"/>
  </si>
  <si>
    <r>
      <t>세계 섬</t>
    </r>
    <r>
      <rPr>
        <b/>
        <sz val="10"/>
        <color theme="1"/>
        <rFont val="맑은 고딕 Semilight"/>
        <family val="3"/>
        <charset val="129"/>
      </rPr>
      <t>‧</t>
    </r>
    <r>
      <rPr>
        <b/>
        <sz val="10"/>
        <color theme="1"/>
        <rFont val="굴림"/>
        <family val="3"/>
        <charset val="129"/>
      </rPr>
      <t>한국의 섬 테마존 조성</t>
    </r>
    <phoneticPr fontId="48" type="noConversion"/>
  </si>
  <si>
    <t xml:space="preserve"> ○ 인터넷 사용료 : 330,000원*12월</t>
    <phoneticPr fontId="12" type="noConversion"/>
  </si>
  <si>
    <t>647 기부금수익</t>
    <phoneticPr fontId="12" type="noConversion"/>
  </si>
  <si>
    <t>지출예산(세부사업) - 전시연출부</t>
    <phoneticPr fontId="12" type="noConversion"/>
  </si>
  <si>
    <t>관람객 유치</t>
    <phoneticPr fontId="12" type="noConversion"/>
  </si>
  <si>
    <t>비교증감
(A-B)</t>
    <phoneticPr fontId="12" type="noConversion"/>
  </si>
  <si>
    <t>박람회 기획</t>
    <phoneticPr fontId="48" type="noConversion"/>
  </si>
  <si>
    <t>박람회 기획</t>
    <phoneticPr fontId="12" type="noConversion"/>
  </si>
  <si>
    <t>2026여수세계섬박람회 전시연출</t>
    <phoneticPr fontId="12" type="noConversion"/>
  </si>
  <si>
    <t>섬 테마존 조성 업무 추진</t>
    <phoneticPr fontId="48" type="noConversion"/>
  </si>
  <si>
    <t>[임차료]</t>
    <phoneticPr fontId="12" type="noConversion"/>
  </si>
  <si>
    <t>섬박람회 상징 아트포토존 조성 업무 추진</t>
    <phoneticPr fontId="48" type="noConversion"/>
  </si>
  <si>
    <t>2026여수세계섬박람회 전시연출</t>
  </si>
  <si>
    <t>180 유보자금</t>
    <phoneticPr fontId="12" type="noConversion"/>
  </si>
  <si>
    <t>181 순세계잉여금</t>
    <phoneticPr fontId="12" type="noConversion"/>
  </si>
  <si>
    <t>01 순세계잉여금</t>
    <phoneticPr fontId="12" type="noConversion"/>
  </si>
  <si>
    <t>03 대행사업비 사용잔액</t>
    <phoneticPr fontId="12" type="noConversion"/>
  </si>
  <si>
    <t>박람회 홍보</t>
    <phoneticPr fontId="12" type="noConversion"/>
  </si>
  <si>
    <t xml:space="preserve"> </t>
    <phoneticPr fontId="12" type="noConversion"/>
  </si>
  <si>
    <t>2026여수세계섬박람회 주행사장 조성연출</t>
    <phoneticPr fontId="12" type="noConversion"/>
  </si>
  <si>
    <t>박람회 조성</t>
    <phoneticPr fontId="12" type="noConversion"/>
  </si>
  <si>
    <t>박람회 조성</t>
    <phoneticPr fontId="12" type="noConversion"/>
  </si>
  <si>
    <t>시설비 및 부대비</t>
    <phoneticPr fontId="12" type="noConversion"/>
  </si>
  <si>
    <t>시설비</t>
    <phoneticPr fontId="12" type="noConversion"/>
  </si>
  <si>
    <t>박람회 조성</t>
    <phoneticPr fontId="12" type="noConversion"/>
  </si>
  <si>
    <t>박람회 조성</t>
    <phoneticPr fontId="48" type="noConversion"/>
  </si>
  <si>
    <t>400 자본지출</t>
    <phoneticPr fontId="12" type="noConversion"/>
  </si>
  <si>
    <t>401 시설비 및 부대비</t>
    <phoneticPr fontId="12" type="noConversion"/>
  </si>
  <si>
    <t>01 시설비</t>
    <phoneticPr fontId="12" type="noConversion"/>
  </si>
  <si>
    <t>[시설비]</t>
    <phoneticPr fontId="12" type="noConversion"/>
  </si>
  <si>
    <t>자본예산</t>
    <phoneticPr fontId="12" type="noConversion"/>
  </si>
  <si>
    <t xml:space="preserve"> ○ 섬박람회 광고 홍보료 : 500,000,000원*1식</t>
    <phoneticPr fontId="12" type="noConversion"/>
  </si>
  <si>
    <t>10 행사실비보상금</t>
    <phoneticPr fontId="12" type="noConversion"/>
  </si>
  <si>
    <t>[행사실비보상금]</t>
    <phoneticPr fontId="12" type="noConversion"/>
  </si>
  <si>
    <t>행사실비보상금</t>
    <phoneticPr fontId="12" type="noConversion"/>
  </si>
  <si>
    <t>2026여수세계섬박람회 조성연출</t>
  </si>
  <si>
    <t>2026여수세계섬박람회 조성연출</t>
    <phoneticPr fontId="12" type="noConversion"/>
  </si>
  <si>
    <r>
      <t>세계 섬</t>
    </r>
    <r>
      <rPr>
        <b/>
        <sz val="10"/>
        <rFont val="맑은 고딕 Semilight"/>
        <family val="3"/>
        <charset val="129"/>
      </rPr>
      <t>‧</t>
    </r>
    <r>
      <rPr>
        <b/>
        <sz val="10"/>
        <rFont val="굴림"/>
        <family val="3"/>
        <charset val="129"/>
      </rPr>
      <t>한국의 섬 테마존 조성</t>
    </r>
    <phoneticPr fontId="48" type="noConversion"/>
  </si>
  <si>
    <t>박람회 굿즈 제작</t>
    <phoneticPr fontId="48" type="noConversion"/>
  </si>
  <si>
    <t>박람회 굿즈 제작</t>
    <phoneticPr fontId="12" type="noConversion"/>
  </si>
  <si>
    <t>2026여수세계섬박람회 종합상황실</t>
    <phoneticPr fontId="12" type="noConversion"/>
  </si>
  <si>
    <t>종합상황실 부서운영</t>
    <phoneticPr fontId="12" type="noConversion"/>
  </si>
  <si>
    <t>지출예산(세부사업) - 종합상황실</t>
    <phoneticPr fontId="12" type="noConversion"/>
  </si>
  <si>
    <t>2026여수세계섬박람회 종합상황실</t>
    <phoneticPr fontId="12" type="noConversion"/>
  </si>
  <si>
    <t>종합상황실 부서운영</t>
    <phoneticPr fontId="12" type="noConversion"/>
  </si>
  <si>
    <t>[시책추진업무추진비]</t>
    <phoneticPr fontId="12" type="noConversion"/>
  </si>
  <si>
    <t>2026여수세계섬박람회 종합상황실</t>
    <phoneticPr fontId="12" type="noConversion"/>
  </si>
  <si>
    <t>업무추진비</t>
    <phoneticPr fontId="12" type="noConversion"/>
  </si>
  <si>
    <t xml:space="preserve"> ○ 변경등기 수수료 : 200,000원*4회</t>
    <phoneticPr fontId="12" type="noConversion"/>
  </si>
  <si>
    <t xml:space="preserve"> ○ 이사회 참석수당 : 150,000원*12명*7회</t>
    <phoneticPr fontId="12" type="noConversion"/>
  </si>
  <si>
    <t xml:space="preserve"> ○ 이사회 참석자 실비보상 : 100,000원*12명*7회</t>
    <phoneticPr fontId="12" type="noConversion"/>
  </si>
  <si>
    <t xml:space="preserve"> ○ 이사회 등 회의 운영비 : 400,000원*3회</t>
    <phoneticPr fontId="12" type="noConversion"/>
  </si>
  <si>
    <t xml:space="preserve"> ○ 연봉 : 8,468,460원*11월 </t>
    <phoneticPr fontId="12" type="noConversion"/>
  </si>
  <si>
    <t xml:space="preserve"> ○ 연차수당 : 8,468,460원*86%*1/30*17일</t>
    <phoneticPr fontId="12" type="noConversion"/>
  </si>
  <si>
    <t xml:space="preserve"> ○ 인부임 : 98,440원*1명*22일*11월</t>
    <phoneticPr fontId="12" type="noConversion"/>
  </si>
  <si>
    <t xml:space="preserve"> ○ 주휴수당 : 98,440원*1명*4일*11월</t>
    <phoneticPr fontId="12" type="noConversion"/>
  </si>
  <si>
    <t xml:space="preserve"> ○ 연차수당 : 98,440원*1명*17일</t>
    <phoneticPr fontId="12" type="noConversion"/>
  </si>
  <si>
    <t xml:space="preserve"> ○ 사무총장 : 17,000,000원*1회</t>
    <phoneticPr fontId="12" type="noConversion"/>
  </si>
  <si>
    <t>=</t>
    <phoneticPr fontId="12" type="noConversion"/>
  </si>
  <si>
    <t>=</t>
    <phoneticPr fontId="12" type="noConversion"/>
  </si>
  <si>
    <t xml:space="preserve"> ○ 본부장실 관리요원 : 5,200,000원*1회</t>
    <phoneticPr fontId="12" type="noConversion"/>
  </si>
  <si>
    <t xml:space="preserve"> ○ 총감독 : 30,000,000원*1회</t>
    <phoneticPr fontId="12" type="noConversion"/>
  </si>
  <si>
    <t xml:space="preserve"> ○ 공용차량 임차비(업무용, 수행용) 950,000원*2대*12월</t>
    <phoneticPr fontId="12" type="noConversion"/>
  </si>
  <si>
    <t xml:space="preserve"> ○ 전기요금 등 공공요금 납부 : 2,000,000원*12월</t>
    <phoneticPr fontId="12" type="noConversion"/>
  </si>
  <si>
    <t xml:space="preserve"> ○ 회계관계공무원 재정보증보험 : 1,500,000원*1식</t>
    <phoneticPr fontId="12" type="noConversion"/>
  </si>
  <si>
    <t xml:space="preserve"> ○ 차량 주유비 : 200,000원*2대*12월</t>
    <phoneticPr fontId="12" type="noConversion"/>
  </si>
  <si>
    <t xml:space="preserve"> ○ 차량 유지관리비 : 50,000원*2대*12월</t>
    <phoneticPr fontId="12" type="noConversion"/>
  </si>
  <si>
    <t xml:space="preserve"> ○ 행정관리 기본업무 수행 관내여비 : 20,000원*8명*2일*11월</t>
    <phoneticPr fontId="12" type="noConversion"/>
  </si>
  <si>
    <t xml:space="preserve"> ○ 행정관리 업무추진 관외여비 : 110,000원*7명*11월</t>
    <phoneticPr fontId="12" type="noConversion"/>
  </si>
  <si>
    <t xml:space="preserve"> ○ 부장, 협력관(5급) : 100,000원*10명*12월</t>
    <phoneticPr fontId="12" type="noConversion"/>
  </si>
  <si>
    <t xml:space="preserve"> ○ 사무실 통신선 등 수선유지비 : 8,000,000원*1식</t>
    <phoneticPr fontId="12" type="noConversion"/>
  </si>
  <si>
    <t xml:space="preserve"> ○ 기획본부 정원가산총액계상 : 80,000원*38명</t>
    <phoneticPr fontId="12" type="noConversion"/>
  </si>
  <si>
    <t xml:space="preserve"> ○ 건강보험 : 8,468,460원*3.6%*11월</t>
    <phoneticPr fontId="12" type="noConversion"/>
  </si>
  <si>
    <t xml:space="preserve"> ○ 고용연금 : 8,468,460원*1.5%*11월</t>
    <phoneticPr fontId="12" type="noConversion"/>
  </si>
  <si>
    <t xml:space="preserve"> ○ 산재보험 : 8,468,460원*1.4%*11월</t>
    <phoneticPr fontId="12" type="noConversion"/>
  </si>
  <si>
    <t xml:space="preserve"> ○ 건강보험 : 11,100,000원*3.6%*11월 </t>
    <phoneticPr fontId="12" type="noConversion"/>
  </si>
  <si>
    <t xml:space="preserve"> ○ 고용연금 : 11,100,000원*1.5%*11월 </t>
    <phoneticPr fontId="12" type="noConversion"/>
  </si>
  <si>
    <t>○ 사용자부담금 : 29,829,000원*11%</t>
    <phoneticPr fontId="12" type="noConversion"/>
  </si>
  <si>
    <t xml:space="preserve"> ○ 자문위원회 자문수당(대면) : 150,000원*2회*25명</t>
    <phoneticPr fontId="12" type="noConversion"/>
  </si>
  <si>
    <t xml:space="preserve"> ○ 자문위원회 자문수당(서면) : 100,000원*2회*25명</t>
    <phoneticPr fontId="12" type="noConversion"/>
  </si>
  <si>
    <t xml:space="preserve"> ○ 자문위원회 참석자 실비 보상 : 2,500,000원*1식</t>
    <phoneticPr fontId="12" type="noConversion"/>
  </si>
  <si>
    <t>일반운영비</t>
    <phoneticPr fontId="12" type="noConversion"/>
  </si>
  <si>
    <t>사무관리비</t>
    <phoneticPr fontId="12" type="noConversion"/>
  </si>
  <si>
    <t>200 물건비</t>
  </si>
  <si>
    <t>202 여비</t>
  </si>
  <si>
    <t>01 국내여비</t>
  </si>
  <si>
    <t xml:space="preserve"> ○ 홍보물품 등 제작 : 200,000,000원*1식</t>
    <phoneticPr fontId="12" type="noConversion"/>
  </si>
  <si>
    <t>301 일반보상금</t>
    <phoneticPr fontId="12" type="noConversion"/>
  </si>
  <si>
    <t>300 경상이전</t>
    <phoneticPr fontId="12" type="noConversion"/>
  </si>
  <si>
    <t xml:space="preserve"> ○ 사전 홍보 이벤트 : 50,000,000원*1식</t>
    <phoneticPr fontId="12" type="noConversion"/>
  </si>
  <si>
    <t>2026여수세계섬박람회 유치</t>
    <phoneticPr fontId="12" type="noConversion"/>
  </si>
  <si>
    <t>14 기타보상금</t>
    <phoneticPr fontId="12" type="noConversion"/>
  </si>
  <si>
    <t>[기타보상금]</t>
    <phoneticPr fontId="12" type="noConversion"/>
  </si>
  <si>
    <t xml:space="preserve"> ○ 각종 이벤트 경품 : 10,000,000원*1식</t>
    <phoneticPr fontId="12" type="noConversion"/>
  </si>
  <si>
    <t>621 상품등판매수익</t>
    <phoneticPr fontId="12" type="noConversion"/>
  </si>
  <si>
    <t>01 상품판매수익</t>
    <phoneticPr fontId="12" type="noConversion"/>
  </si>
  <si>
    <t>624 입장료수익</t>
    <phoneticPr fontId="12" type="noConversion"/>
  </si>
  <si>
    <t>01 입장료수익</t>
    <phoneticPr fontId="12" type="noConversion"/>
  </si>
  <si>
    <t>661 기타영업수익</t>
    <phoneticPr fontId="12" type="noConversion"/>
  </si>
  <si>
    <t>05 부대시설임대수익</t>
    <phoneticPr fontId="12" type="noConversion"/>
  </si>
  <si>
    <t>[운영수당]</t>
    <phoneticPr fontId="12" type="noConversion"/>
  </si>
  <si>
    <t xml:space="preserve"> ○ 휘장업무 추진 사무용품 등 구입 : 110,000원*10월</t>
    <phoneticPr fontId="12" type="noConversion"/>
  </si>
  <si>
    <t xml:space="preserve"> ○ 공식공급권자 선정 심사위원 교통비 등 기타실비 : 700,000원*1식</t>
    <phoneticPr fontId="12" type="noConversion"/>
  </si>
  <si>
    <t xml:space="preserve"> ○ 입장권 판촉 홍보물 제작 : 15,000,000원*1식  </t>
    <phoneticPr fontId="12" type="noConversion"/>
  </si>
  <si>
    <t>=</t>
    <phoneticPr fontId="12" type="noConversion"/>
  </si>
  <si>
    <t xml:space="preserve"> ○ 입장권 제휴 할인 홍보물 제작 : 3,000,000원*1식</t>
    <phoneticPr fontId="12" type="noConversion"/>
  </si>
  <si>
    <t xml:space="preserve"> ○ 입장권 사업 추진 사무용품 구입 : 216,000원*10월</t>
    <phoneticPr fontId="12" type="noConversion"/>
  </si>
  <si>
    <t xml:space="preserve"> ○ 입장권 구매보상금 지급 : 40,000,000원*1식</t>
    <phoneticPr fontId="12" type="noConversion"/>
  </si>
  <si>
    <t xml:space="preserve"> ○ 박람회 굿즈 제작 100,000,000원*1식</t>
    <phoneticPr fontId="12" type="noConversion"/>
  </si>
  <si>
    <t xml:space="preserve"> ○ 수익사업부 기본업무 수행 관내여비 : 20,000원*6명*2일*10월</t>
    <phoneticPr fontId="12" type="noConversion"/>
  </si>
  <si>
    <t xml:space="preserve"> ○ 수익사업부 기본업무 수행 관외여비 : 110,000원*6명*10월</t>
    <phoneticPr fontId="12" type="noConversion"/>
  </si>
  <si>
    <t xml:space="preserve"> ○ 수익사업부 업무추진 : 1,500,000원*1식</t>
    <phoneticPr fontId="12" type="noConversion"/>
  </si>
  <si>
    <t>여비</t>
    <phoneticPr fontId="12" type="noConversion"/>
  </si>
  <si>
    <t>여비</t>
    <phoneticPr fontId="12" type="noConversion"/>
  </si>
  <si>
    <t>2026여수세계섬박람회 유치</t>
    <phoneticPr fontId="12" type="noConversion"/>
  </si>
  <si>
    <t>국가기업 등 유치</t>
    <phoneticPr fontId="48" type="noConversion"/>
  </si>
  <si>
    <t xml:space="preserve"> ○ 국내·외 관람객 홍보물 등 발송 우편료 : 2,500원*2,000개소</t>
    <phoneticPr fontId="12" type="noConversion"/>
  </si>
  <si>
    <t xml:space="preserve"> ○ 부서 운영을 위한 소모품 구입 : 200,000원*10월</t>
    <phoneticPr fontId="12" type="noConversion"/>
  </si>
  <si>
    <t xml:space="preserve"> ○ 기본업무수행 급량비 : 9,000원*7명*8일*10월</t>
    <phoneticPr fontId="12" type="noConversion"/>
  </si>
  <si>
    <t xml:space="preserve"> ○ 유치협력부 업무추진 : 1,500,000원*1식</t>
    <phoneticPr fontId="12" type="noConversion"/>
  </si>
  <si>
    <t xml:space="preserve"> ○ 협력관 업무추진 : 1,500,000원*1식</t>
    <phoneticPr fontId="12" type="noConversion"/>
  </si>
  <si>
    <t>국가 기업 등 유치</t>
    <phoneticPr fontId="12" type="noConversion"/>
  </si>
  <si>
    <t>공공운영비</t>
    <phoneticPr fontId="12" type="noConversion"/>
  </si>
  <si>
    <t>국외업무여비</t>
    <phoneticPr fontId="12" type="noConversion"/>
  </si>
  <si>
    <t xml:space="preserve"> ○ 공식여행사 인센티브 지급 250,000,000원*1식</t>
    <phoneticPr fontId="12" type="noConversion"/>
  </si>
  <si>
    <t>[행사운영비]</t>
    <phoneticPr fontId="12" type="noConversion"/>
  </si>
  <si>
    <t>13 외빈초청여비</t>
    <phoneticPr fontId="12" type="noConversion"/>
  </si>
  <si>
    <t>[외빈초청여비]</t>
    <phoneticPr fontId="12" type="noConversion"/>
  </si>
  <si>
    <t xml:space="preserve"> ○ 참가국 초청대상자 등 외빈 초청 730,000,000원*1식</t>
    <phoneticPr fontId="12" type="noConversion"/>
  </si>
  <si>
    <t>2026국제섬포럼in Yeosu</t>
    <phoneticPr fontId="48" type="noConversion"/>
  </si>
  <si>
    <t xml:space="preserve"> ○ 대행사 선정 심사수당 : 300,000원*10명</t>
    <phoneticPr fontId="12" type="noConversion"/>
  </si>
  <si>
    <t xml:space="preserve"> ○ 대행사 선정 심사위원 기타실비 : 1,000,000원*1식</t>
    <phoneticPr fontId="12" type="noConversion"/>
  </si>
  <si>
    <t xml:space="preserve"> ○ 2026 국제 섬 포럼 in Yeosu 개최 : 220,000,000원*1식</t>
    <phoneticPr fontId="12" type="noConversion"/>
  </si>
  <si>
    <t xml:space="preserve"> ○ 2026 국제 섬 포럼 in Yeosu 참가자 및 외빈 초청 : 46,000,000원*1식</t>
    <phoneticPr fontId="12" type="noConversion"/>
  </si>
  <si>
    <t>세계섬도시대회</t>
    <phoneticPr fontId="48" type="noConversion"/>
  </si>
  <si>
    <t xml:space="preserve"> ○ 세계섬도시대회 개최 : 354,000,000원*1식</t>
    <phoneticPr fontId="12" type="noConversion"/>
  </si>
  <si>
    <t xml:space="preserve"> ○ 세계섬도시대회 참가자 및 외빈 초청 : 242,000,000원*1식</t>
    <phoneticPr fontId="12" type="noConversion"/>
  </si>
  <si>
    <t>기업관 부스 운영</t>
    <phoneticPr fontId="12" type="noConversion"/>
  </si>
  <si>
    <t>참가국 지원</t>
    <phoneticPr fontId="12" type="noConversion"/>
  </si>
  <si>
    <t>2026국제섬포럼 in Yeosu</t>
    <phoneticPr fontId="12" type="noConversion"/>
  </si>
  <si>
    <t>사무관리비</t>
    <phoneticPr fontId="12" type="noConversion"/>
  </si>
  <si>
    <t>세계섬도시대회</t>
    <phoneticPr fontId="12" type="noConversion"/>
  </si>
  <si>
    <t>03 행사운영비</t>
    <phoneticPr fontId="12" type="noConversion"/>
  </si>
  <si>
    <t>[임차료]</t>
    <phoneticPr fontId="12" type="noConversion"/>
  </si>
  <si>
    <t>200 물건비</t>
    <phoneticPr fontId="12" type="noConversion"/>
  </si>
  <si>
    <t xml:space="preserve"> ○ 운영부 기본업무 수행 관외여비 : 110,000원*6명*11월</t>
    <phoneticPr fontId="12" type="noConversion"/>
  </si>
  <si>
    <t xml:space="preserve"> ○ 운영부 기본업무 수행 관내여비 : 20,000원*7명*2일*10월</t>
    <phoneticPr fontId="12" type="noConversion"/>
  </si>
  <si>
    <t xml:space="preserve"> ○ 운영본부 정원가산총액계상 : 80,000원*30명</t>
    <phoneticPr fontId="12" type="noConversion"/>
  </si>
  <si>
    <t xml:space="preserve"> ○ 부서운영을 위한 소모품 구입 : 200,000원*10월</t>
    <phoneticPr fontId="12" type="noConversion"/>
  </si>
  <si>
    <t xml:space="preserve"> ○ 행사부 업무추진 :1,500,000원*1식</t>
    <phoneticPr fontId="12" type="noConversion"/>
  </si>
  <si>
    <t xml:space="preserve"> ○ 기본업무수행 급량비 : 9,000원*7명*8일*12월</t>
    <phoneticPr fontId="12" type="noConversion"/>
  </si>
  <si>
    <t xml:space="preserve"> ○ 부서운영을 위한 소모품 구입 : 200,000원*10월</t>
    <phoneticPr fontId="12" type="noConversion"/>
  </si>
  <si>
    <t>2026여수세계섬박람회 시설조성(수익)</t>
    <phoneticPr fontId="12" type="noConversion"/>
  </si>
  <si>
    <t>전시관 및 운영·부대시설 설치</t>
    <phoneticPr fontId="48" type="noConversion"/>
  </si>
  <si>
    <t>[행사운영비]</t>
    <phoneticPr fontId="12" type="noConversion"/>
  </si>
  <si>
    <t>섬박람회 랜드마크 조성사업(수익)</t>
  </si>
  <si>
    <t>랜드마크 조성(수익)</t>
    <phoneticPr fontId="12" type="noConversion"/>
  </si>
  <si>
    <t>랜드마크 조성(수익)</t>
    <phoneticPr fontId="48" type="noConversion"/>
  </si>
  <si>
    <t>섬박람회 안전시설물 설치사업(수익)</t>
    <phoneticPr fontId="12" type="noConversion"/>
  </si>
  <si>
    <t>안전시설물 설치(수익)</t>
    <phoneticPr fontId="12" type="noConversion"/>
  </si>
  <si>
    <t>섬박람회 랜드마크 조성사업(수익)</t>
    <phoneticPr fontId="12" type="noConversion"/>
  </si>
  <si>
    <t>박람회 전시연출</t>
  </si>
  <si>
    <t>박람회 전시연출</t>
    <phoneticPr fontId="48" type="noConversion"/>
  </si>
  <si>
    <t>03 행사운영비</t>
    <phoneticPr fontId="12" type="noConversion"/>
  </si>
  <si>
    <t>[행사운영비]</t>
    <phoneticPr fontId="12" type="noConversion"/>
  </si>
  <si>
    <t xml:space="preserve"> ○ 전시연출 콘텐츠 개발 2,098,000,000원*1식</t>
    <phoneticPr fontId="12" type="noConversion"/>
  </si>
  <si>
    <t>01 사무관리비</t>
    <phoneticPr fontId="12" type="noConversion"/>
  </si>
  <si>
    <t xml:space="preserve"> ○ 기본업무수행 급량비 : 9,000원*7명*8일*11월</t>
    <phoneticPr fontId="12" type="noConversion"/>
  </si>
  <si>
    <t xml:space="preserve"> ○ 전시연출부 업무추진 : 1,500,000원*1식</t>
    <phoneticPr fontId="12" type="noConversion"/>
  </si>
  <si>
    <t xml:space="preserve"> ○ 종합상황실 부서운영 총액계상 : 100,000원*12월</t>
    <phoneticPr fontId="12" type="noConversion"/>
  </si>
  <si>
    <t xml:space="preserve"> ○ 산재보험 : 11,100,000원*1.4%*11월 </t>
    <phoneticPr fontId="12" type="noConversion"/>
  </si>
  <si>
    <t>섬박람회 안전시설물 설치사업(수익)</t>
  </si>
  <si>
    <t>직접사업비(사업예산+자본예산)</t>
    <phoneticPr fontId="12" type="noConversion"/>
  </si>
  <si>
    <t>전시관 및 운영·부대시설 설치</t>
  </si>
  <si>
    <t>행사운영비</t>
    <phoneticPr fontId="12" type="noConversion"/>
  </si>
  <si>
    <t xml:space="preserve"> ○ 기본업무수행 급량비 : 9,000원*8명*8일*12월</t>
    <phoneticPr fontId="12" type="noConversion"/>
  </si>
  <si>
    <t xml:space="preserve"> ○ 기본업무수행 급량비 : 9,000원*10명*8일*12월</t>
    <phoneticPr fontId="12" type="noConversion"/>
  </si>
  <si>
    <t xml:space="preserve"> ○ 기관공통운영 국외업무여비 : 50,000,000원*1식</t>
    <phoneticPr fontId="12" type="noConversion"/>
  </si>
  <si>
    <t xml:space="preserve"> ○ 회의실 임차료 : 400,000원*4회</t>
    <phoneticPr fontId="12" type="noConversion"/>
  </si>
  <si>
    <t xml:space="preserve"> ○ 회의실 임차료 : 400,000원*4회</t>
    <phoneticPr fontId="12" type="noConversion"/>
  </si>
  <si>
    <t xml:space="preserve"> ○ 입장권 판촉활동 등 관외여비 : 110,000원*2명*3일*5월</t>
    <phoneticPr fontId="12" type="noConversion"/>
  </si>
  <si>
    <t xml:space="preserve"> ○ 박람회 홍보 관외여비 110,000원*2명*3일*5월</t>
    <phoneticPr fontId="12" type="noConversion"/>
  </si>
  <si>
    <t xml:space="preserve"> ○ 국가·기업 등 유치활동을 위한 관외여비 : 110,000원*2명*3일*5월</t>
    <phoneticPr fontId="12" type="noConversion"/>
  </si>
  <si>
    <t xml:space="preserve"> ○ 후원 유치를 위한 홍보물 등 제작 : 4,000,000원*1식</t>
    <phoneticPr fontId="12" type="noConversion"/>
  </si>
  <si>
    <t xml:space="preserve"> [도 1,650,000, 시 3,850,000]</t>
    <phoneticPr fontId="12" type="noConversion"/>
  </si>
  <si>
    <t>[도 390,000]</t>
    <phoneticPr fontId="12" type="noConversion"/>
  </si>
  <si>
    <t>[도 90,000]</t>
    <phoneticPr fontId="12" type="noConversion"/>
  </si>
  <si>
    <t>[도 390,000]</t>
    <phoneticPr fontId="12" type="noConversion"/>
  </si>
  <si>
    <t>[도 103,500, 시 241,500]</t>
    <phoneticPr fontId="12" type="noConversion"/>
  </si>
  <si>
    <t>[도 36,000, 시 84,000]</t>
    <phoneticPr fontId="12" type="noConversion"/>
  </si>
  <si>
    <t>[도 150,000, 시 350,000]</t>
    <phoneticPr fontId="12" type="noConversion"/>
  </si>
  <si>
    <t>[도 7,500, 시 17,500]</t>
    <phoneticPr fontId="12" type="noConversion"/>
  </si>
  <si>
    <t>[도 75,000, 시 175,000]</t>
    <phoneticPr fontId="12" type="noConversion"/>
  </si>
  <si>
    <t>[도 219,000, 시 511,000]</t>
    <phoneticPr fontId="12" type="noConversion"/>
  </si>
  <si>
    <t>[도 1,200, 시 2,800]</t>
    <phoneticPr fontId="12" type="noConversion"/>
  </si>
  <si>
    <t>[도 66,000, 시 154,000]</t>
    <phoneticPr fontId="12" type="noConversion"/>
  </si>
  <si>
    <t>[도 13,800, 시 32,200]</t>
    <phoneticPr fontId="12" type="noConversion"/>
  </si>
  <si>
    <t>[도 1,200, 시 2,800]</t>
    <phoneticPr fontId="12" type="noConversion"/>
  </si>
  <si>
    <t>[도 106,200, 시 247,800]</t>
    <phoneticPr fontId="12" type="noConversion"/>
  </si>
  <si>
    <t>[도 72,600, 시 169,400]</t>
    <phoneticPr fontId="12" type="noConversion"/>
  </si>
  <si>
    <t>[사업수익 1,745,000]</t>
    <phoneticPr fontId="12" type="noConversion"/>
  </si>
  <si>
    <t xml:space="preserve"> ○ 비상임 급여 : 7,000,000원*2월</t>
    <phoneticPr fontId="12" type="noConversion"/>
  </si>
  <si>
    <t xml:space="preserve"> ○ 월급여 : 12,000,000원*9월</t>
    <phoneticPr fontId="12" type="noConversion"/>
  </si>
  <si>
    <t xml:space="preserve"> ○ 복사용지 등 사무용품 구입 : 6,000,000원*1식 </t>
  </si>
  <si>
    <t xml:space="preserve"> ○ 복사기 및 프린터토너 구입 : 7,000,000원*1식</t>
  </si>
  <si>
    <t xml:space="preserve"> ○ 사무실 환경정비용품 구입 : 5,000,000원*1식</t>
  </si>
  <si>
    <t xml:space="preserve"> ○ 방문차량 주차요금 : 1,000,000원*1식 </t>
  </si>
  <si>
    <t xml:space="preserve"> ○ 정수기 렌탈 요금 : 175,000원*12월</t>
  </si>
  <si>
    <t xml:space="preserve"> ○ 공기청정기 렌탈요금 : 341,600원*12월</t>
  </si>
  <si>
    <t xml:space="preserve"> ○ 무인경비시스템 이용료 : 330,000원*12월</t>
  </si>
  <si>
    <t xml:space="preserve"> ○ 공용차량 하이패스 이용료 : 50,000원*2대*12월</t>
  </si>
  <si>
    <t xml:space="preserve"> ○ 조달청 이용 수수료 : 500,000원*1식</t>
  </si>
  <si>
    <t xml:space="preserve"> ○ 4급이상 : 600,000원*2명*11월</t>
    <phoneticPr fontId="12" type="noConversion"/>
  </si>
  <si>
    <t xml:space="preserve"> ○ 5급이하 : 400,000원*66명*11월</t>
    <phoneticPr fontId="12" type="noConversion"/>
  </si>
  <si>
    <t xml:space="preserve"> ○ 타시군(도) 주거지원비 : 500,000원*18명*11월</t>
    <phoneticPr fontId="12" type="noConversion"/>
  </si>
  <si>
    <t xml:space="preserve"> ○ 사무총장 정액급식비 : 140,000원*11월</t>
    <phoneticPr fontId="12" type="noConversion"/>
  </si>
  <si>
    <t xml:space="preserve"> ○ 사무총장 직급보조비 : 300,000원*11월</t>
    <phoneticPr fontId="12" type="noConversion"/>
  </si>
  <si>
    <t xml:space="preserve"> ○ 사무총장 직책급업무수행비 : 600,000원*11월</t>
    <phoneticPr fontId="12" type="noConversion"/>
  </si>
  <si>
    <t xml:space="preserve"> ○ 장기요양보험 : 304,870원*14%*11월</t>
    <phoneticPr fontId="12" type="noConversion"/>
  </si>
  <si>
    <t xml:space="preserve"> ○ 장기요양보험 : 399,600원*14%*11월</t>
    <phoneticPr fontId="12" type="noConversion"/>
  </si>
  <si>
    <t>=</t>
    <phoneticPr fontId="12" type="noConversion"/>
  </si>
  <si>
    <t xml:space="preserve"> ○ 행정관리부 부서운영 총액계상 : 175,000원*12월</t>
    <phoneticPr fontId="12" type="noConversion"/>
  </si>
  <si>
    <t xml:space="preserve"> ○ 박람회 조직위원회 업무추진(3급) : 14,500,000원*1식</t>
    <phoneticPr fontId="12" type="noConversion"/>
  </si>
  <si>
    <t xml:space="preserve"> ○ 박람회 홍보 및 유치 업무추진(4급) : 4,000,000원*1식</t>
    <phoneticPr fontId="12" type="noConversion"/>
  </si>
  <si>
    <t xml:space="preserve"> ○ 행정관리부 업무추진 : 1,500,000원*1식</t>
    <phoneticPr fontId="12" type="noConversion"/>
  </si>
  <si>
    <t xml:space="preserve"> ○ 자문위원회 회의 운영비 : 100,000원*2회</t>
    <phoneticPr fontId="12" type="noConversion"/>
  </si>
  <si>
    <t xml:space="preserve"> ○ 부서 운영을 위한 소모품 구입 : 200,000원*10월</t>
    <phoneticPr fontId="12" type="noConversion"/>
  </si>
  <si>
    <t xml:space="preserve"> ○ 기획홍보부 기본업무 수행 관내여비 : 20,000원*6명*2일*10월</t>
    <phoneticPr fontId="12" type="noConversion"/>
  </si>
  <si>
    <t xml:space="preserve"> ○ 기획홍보부 기본업무 수행 관외여비 : 110,000원*6명*10월</t>
    <phoneticPr fontId="12" type="noConversion"/>
  </si>
  <si>
    <t xml:space="preserve"> ○ 기획홍보부 업무추진 : 1,500,000원*1식</t>
    <phoneticPr fontId="12" type="noConversion"/>
  </si>
  <si>
    <t xml:space="preserve"> ○ 홍보부스 참가비 : 40,000,000원*1식</t>
    <phoneticPr fontId="12" type="noConversion"/>
  </si>
  <si>
    <t xml:space="preserve"> ○ 공식공급권자 선정 심사수당 : 250,000원*10명*1회 </t>
    <phoneticPr fontId="12" type="noConversion"/>
  </si>
  <si>
    <t xml:space="preserve"> ○ 국제교류 등 각종 국제행사 참가 : 3,000,000원*2명*3회</t>
    <phoneticPr fontId="12" type="noConversion"/>
  </si>
  <si>
    <t xml:space="preserve"> ○ 유치협력부 기본업무 수행 관내여비 : 20,000원*6명*2일*10월</t>
    <phoneticPr fontId="12" type="noConversion"/>
  </si>
  <si>
    <t xml:space="preserve"> ○ 유치협력부 기본업무 수행 관외여비 : 110,000원*6명*10월</t>
    <phoneticPr fontId="12" type="noConversion"/>
  </si>
  <si>
    <t xml:space="preserve"> ○ 박람회 운영 및 조성 업무추진(4급) : 4,000,000원*1식</t>
    <phoneticPr fontId="12" type="noConversion"/>
  </si>
  <si>
    <t xml:space="preserve"> ○ 운영부 업무추진 : 1,500,000원*1식</t>
    <phoneticPr fontId="12" type="noConversion"/>
  </si>
  <si>
    <t xml:space="preserve"> ○ 행사부 기본업무 수행 관내여비 : 20,000원*6명*2일*10월</t>
    <phoneticPr fontId="12" type="noConversion"/>
  </si>
  <si>
    <t xml:space="preserve"> ○ 행사부 기본업무 수행 관외여비 : 110,000원*6명*10월</t>
    <phoneticPr fontId="12" type="noConversion"/>
  </si>
  <si>
    <t xml:space="preserve"> ○ 시설조성부 기본업무 수행 관내여비 : 20,000원*6명*2일*10월</t>
    <phoneticPr fontId="12" type="noConversion"/>
  </si>
  <si>
    <t xml:space="preserve"> ○ 시설조성부 기본업무 수행 관외여비 : 110,000원*6명*10월</t>
    <phoneticPr fontId="12" type="noConversion"/>
  </si>
  <si>
    <t xml:space="preserve"> ○ 시설조성부 업무추진 : 1,500,000원*1식</t>
    <phoneticPr fontId="12" type="noConversion"/>
  </si>
  <si>
    <t xml:space="preserve"> ○ 부서운영을 위한 소모품 구입 : 200,000원*10월</t>
    <phoneticPr fontId="12" type="noConversion"/>
  </si>
  <si>
    <t xml:space="preserve"> ○ 전시연출부 기본업무 수행 관내여비 : 20,000원*6명*2일*10월</t>
    <phoneticPr fontId="12" type="noConversion"/>
  </si>
  <si>
    <t xml:space="preserve"> ○ 전시연출부 기본업무 수행 관외여비 : 110,000원*6명*10월</t>
    <phoneticPr fontId="12" type="noConversion"/>
  </si>
  <si>
    <t xml:space="preserve"> ○ 종합상황실 기본업무 수행 관내여비 : 20,000원*6명*2일*10월</t>
    <phoneticPr fontId="12" type="noConversion"/>
  </si>
  <si>
    <t xml:space="preserve"> ○ 종합상황실 기본업무 수행 관외여비 : 110,000원*6명*10월</t>
    <phoneticPr fontId="12" type="noConversion"/>
  </si>
  <si>
    <t xml:space="preserve"> ○ 종합상황실 업무추진 : 1,500,000원*1식</t>
    <phoneticPr fontId="12" type="noConversion"/>
  </si>
  <si>
    <t xml:space="preserve"> ○ 중대재해예방 안전관리 용역 : 10,000,000원*1식</t>
    <phoneticPr fontId="12" type="noConversion"/>
  </si>
  <si>
    <t xml:space="preserve"> ○ 회계감사 및 세무조정 용역 : 18,000,000원*1식</t>
    <phoneticPr fontId="12" type="noConversion"/>
  </si>
  <si>
    <t>[도 3,000, 시 7,000]</t>
    <phoneticPr fontId="12" type="noConversion"/>
  </si>
  <si>
    <t xml:space="preserve"> ○ 회의실 임차료 : 400,000원*7회</t>
    <phoneticPr fontId="12" type="noConversion"/>
  </si>
  <si>
    <t xml:space="preserve"> ○ 이사회 등 보고회 개최 현수막 제작 : 80,000원*7회</t>
    <phoneticPr fontId="12" type="noConversion"/>
  </si>
  <si>
    <t xml:space="preserve"> ○ 세계의 섬·한국의 섬 테마존 조성 : 1,200,000,000원*1식
     [도 1,200,000]</t>
    <phoneticPr fontId="12" type="noConversion"/>
  </si>
  <si>
    <t xml:space="preserve"> ○ 전시연출 콘텐츠 개발 : 경정 2,092,400,000원</t>
    <phoneticPr fontId="12" type="noConversion"/>
  </si>
  <si>
    <t>[임차료]</t>
  </si>
  <si>
    <t xml:space="preserve"> ○ 제안서 평가위원 심사수당 300,000원*10명</t>
    <phoneticPr fontId="12" type="noConversion"/>
  </si>
  <si>
    <t xml:space="preserve"> ○ 제안서 평가위원 실비 1,000,000원*1식</t>
    <phoneticPr fontId="12" type="noConversion"/>
  </si>
  <si>
    <t>[세출예산 변경사용] - 2026. 3. 10.</t>
    <phoneticPr fontId="12" type="noConversion"/>
  </si>
  <si>
    <t>[세출예산 변경사용] - 2026. 3. 10.</t>
    <phoneticPr fontId="12" type="noConversion"/>
  </si>
  <si>
    <t>02 감리비</t>
    <phoneticPr fontId="12" type="noConversion"/>
  </si>
  <si>
    <t>[도 1,178,000]</t>
    <phoneticPr fontId="12" type="noConversion"/>
  </si>
  <si>
    <t>[세출예산 변경사용] - 2026. 4. 8.</t>
    <phoneticPr fontId="12" type="noConversion"/>
  </si>
  <si>
    <t>[감리비]</t>
    <phoneticPr fontId="12" type="noConversion"/>
  </si>
  <si>
    <t>[도 22,000]</t>
    <phoneticPr fontId="12" type="noConversion"/>
  </si>
  <si>
    <t>추경1회</t>
    <phoneticPr fontId="12" type="noConversion"/>
  </si>
  <si>
    <t>경정액
(A)</t>
    <phoneticPr fontId="12" type="noConversion"/>
  </si>
  <si>
    <t>기정액(본예산)
(B)</t>
    <phoneticPr fontId="12" type="noConversion"/>
  </si>
  <si>
    <t xml:space="preserve"> ○ 세부실행계획 추진상황 보고회 등 운영비 500,000원*4회</t>
    <phoneticPr fontId="12" type="noConversion"/>
  </si>
  <si>
    <t xml:space="preserve"> ○ 운영본부 사무용품 등 구입 : 6,000,000원*1식 </t>
    <phoneticPr fontId="12" type="noConversion"/>
  </si>
  <si>
    <t xml:space="preserve"> ○ 운영본부 환경정비 및 청소용품 구입 : 5,000,000원*1식</t>
    <phoneticPr fontId="12" type="noConversion"/>
  </si>
  <si>
    <t xml:space="preserve"> ○ 세부실행계획 보고회 등 참석수당 : 100,000원*10명*4회</t>
    <phoneticPr fontId="12" type="noConversion"/>
  </si>
  <si>
    <t xml:space="preserve"> ○ 세부실행계획 보고회 회의실 임차비 : 250,000원*4회</t>
    <phoneticPr fontId="12" type="noConversion"/>
  </si>
  <si>
    <t xml:space="preserve"> ○ 운영본부 복사용지 및 토너 구입 : 7,000,000원*1식</t>
    <phoneticPr fontId="12" type="noConversion"/>
  </si>
  <si>
    <t xml:space="preserve"> ○ 기본업무수행 급량비 : 9,000원*9명*8일*11월</t>
    <phoneticPr fontId="12" type="noConversion"/>
  </si>
  <si>
    <t xml:space="preserve"> ○ 인사위원회 위원 참석수당 : 100,000원*3명*1회</t>
    <phoneticPr fontId="12" type="noConversion"/>
  </si>
  <si>
    <t xml:space="preserve"> ○ 기본업무수행 급량비 : 9,000원*3명*8일*12월</t>
  </si>
  <si>
    <t xml:space="preserve"> ○ 기본업무수행 급량비 : 경정 4,320,000원</t>
    <phoneticPr fontId="12" type="noConversion"/>
  </si>
  <si>
    <t>01 정원가산업무비</t>
    <phoneticPr fontId="12" type="noConversion"/>
  </si>
  <si>
    <t xml:space="preserve"> ○ 종합상황실 정원가산 총액계상 : 80,000원*5명</t>
    <phoneticPr fontId="12" type="noConversion"/>
  </si>
  <si>
    <t>[정원가산업무비]</t>
    <phoneticPr fontId="12" type="noConversion"/>
  </si>
  <si>
    <t>정원가산업무비</t>
    <phoneticPr fontId="12" type="noConversion"/>
  </si>
  <si>
    <t>=</t>
    <phoneticPr fontId="12" type="noConversion"/>
  </si>
  <si>
    <t xml:space="preserve"> ○ 연봉 : 경정 94,041,000원</t>
    <phoneticPr fontId="12" type="noConversion"/>
  </si>
  <si>
    <t xml:space="preserve"> ○ 연차수당 : 경정 4,167,000원</t>
    <phoneticPr fontId="12" type="noConversion"/>
  </si>
  <si>
    <t xml:space="preserve"> ○ 사무실 환경정비용품 구입 : 경정 9,000,000원</t>
    <phoneticPr fontId="12" type="noConversion"/>
  </si>
  <si>
    <t xml:space="preserve"> ○ 사무처이전비(이사비용) : 21,000,000원*2회</t>
    <phoneticPr fontId="12" type="noConversion"/>
  </si>
  <si>
    <t xml:space="preserve"> ○ 사무처 내·외부 청소 : 15,000,000원*1식</t>
    <phoneticPr fontId="12" type="noConversion"/>
  </si>
  <si>
    <t xml:space="preserve"> ○ 사무총장 정액급식비 : 경정 1,760,000원</t>
    <phoneticPr fontId="12" type="noConversion"/>
  </si>
  <si>
    <t xml:space="preserve"> ○ 기획본부 정원가산총액계상 : 경정 2,880,000원</t>
    <phoneticPr fontId="12" type="noConversion"/>
  </si>
  <si>
    <t xml:space="preserve"> ○ 건강보험 : 경정 3,386,000원</t>
    <phoneticPr fontId="12" type="noConversion"/>
  </si>
  <si>
    <t xml:space="preserve"> ○ 고용연금 : 경정 1,411,000원</t>
    <phoneticPr fontId="12" type="noConversion"/>
  </si>
  <si>
    <t xml:space="preserve"> ○ 산재보험 : 경정 1,317,000원</t>
    <phoneticPr fontId="12" type="noConversion"/>
  </si>
  <si>
    <t xml:space="preserve"> ○ 장기요양보험 : 경정 474,000원</t>
    <phoneticPr fontId="12" type="noConversion"/>
  </si>
  <si>
    <t>추경1회</t>
    <phoneticPr fontId="12" type="noConversion"/>
  </si>
  <si>
    <t xml:space="preserve"> ○ 추진상황 보고 PPT 제작 : 2,500,000원*2회</t>
    <phoneticPr fontId="12" type="noConversion"/>
  </si>
  <si>
    <t xml:space="preserve"> ○ 추진상황 보고 PPT 제작 : 경정 10,000,000원</t>
    <phoneticPr fontId="12" type="noConversion"/>
  </si>
  <si>
    <t xml:space="preserve"> ○ 후원 관련 협약식 등 소모품 구입  : 500,000원*6회</t>
    <phoneticPr fontId="12" type="noConversion"/>
  </si>
  <si>
    <t>추경1회</t>
    <phoneticPr fontId="12" type="noConversion"/>
  </si>
  <si>
    <t xml:space="preserve"> ○ 공식공급권자 선정 심사수당 : 경정 0원</t>
    <phoneticPr fontId="12" type="noConversion"/>
  </si>
  <si>
    <t xml:space="preserve"> ○ 공식공급권자 선정 심사위원 교통비 등 기타실비 : 경정 0원</t>
    <phoneticPr fontId="12" type="noConversion"/>
  </si>
  <si>
    <t>기타 수익사업</t>
    <phoneticPr fontId="48" type="noConversion"/>
  </si>
  <si>
    <t xml:space="preserve"> ○ 임대사업(식당) 제안서 평가위원 수당 350,000원*10명*1회</t>
    <phoneticPr fontId="12" type="noConversion"/>
  </si>
  <si>
    <t xml:space="preserve"> ○ 임대사업(판매) 제안서 평가위원 수당 300,000원*10명*2회</t>
    <phoneticPr fontId="12" type="noConversion"/>
  </si>
  <si>
    <t xml:space="preserve"> ○ 제안서 평가위원 기타실비 : 1,000,000원*3회</t>
    <phoneticPr fontId="12" type="noConversion"/>
  </si>
  <si>
    <t xml:space="preserve"> ○ 전문 자문위원 수당 : 250,000원*4명*1회</t>
    <phoneticPr fontId="12" type="noConversion"/>
  </si>
  <si>
    <t xml:space="preserve"> ○ POS 등 통합결제시스템 구축비 22,000,000원*1식</t>
    <phoneticPr fontId="12" type="noConversion"/>
  </si>
  <si>
    <t xml:space="preserve"> ○ 수익사업 관련 우편물 발송료 : 2,500원*200회 </t>
  </si>
  <si>
    <t xml:space="preserve"> ○ 수익사업 관련 우편물 발송료 : 경정 3,000,000원</t>
    <phoneticPr fontId="12" type="noConversion"/>
  </si>
  <si>
    <t>기타 수익사업</t>
    <phoneticPr fontId="12" type="noConversion"/>
  </si>
  <si>
    <t>학술회의 유치</t>
    <phoneticPr fontId="12" type="noConversion"/>
  </si>
  <si>
    <t>학술회의 유치</t>
    <phoneticPr fontId="48" type="noConversion"/>
  </si>
  <si>
    <t>770 영업외비용</t>
    <phoneticPr fontId="12" type="noConversion"/>
  </si>
  <si>
    <t>751 반환금</t>
    <phoneticPr fontId="12" type="noConversion"/>
  </si>
  <si>
    <t>04 대행사업비반환금</t>
    <phoneticPr fontId="12" type="noConversion"/>
  </si>
  <si>
    <t>추경1회</t>
    <phoneticPr fontId="12" type="noConversion"/>
  </si>
  <si>
    <t xml:space="preserve"> ○ 2025국제섬포럼 in YEOSU 이자발생액 반납 1,207,700원*1식</t>
    <phoneticPr fontId="12" type="noConversion"/>
  </si>
  <si>
    <t>반환금</t>
    <phoneticPr fontId="12" type="noConversion"/>
  </si>
  <si>
    <t>대행사업비반환금</t>
    <phoneticPr fontId="12" type="noConversion"/>
  </si>
  <si>
    <t>여수공항 국제선 부정기편 운항</t>
    <phoneticPr fontId="12" type="noConversion"/>
  </si>
  <si>
    <t>기타보상금</t>
    <phoneticPr fontId="12" type="noConversion"/>
  </si>
  <si>
    <t>여수공항 국제선 부정기편 운항</t>
    <phoneticPr fontId="48" type="noConversion"/>
  </si>
  <si>
    <t>301 일반보상금</t>
    <phoneticPr fontId="12" type="noConversion"/>
  </si>
  <si>
    <t>14 기타보상금</t>
    <phoneticPr fontId="12" type="noConversion"/>
  </si>
  <si>
    <t>추경1회</t>
    <phoneticPr fontId="12" type="noConversion"/>
  </si>
  <si>
    <t>[임차료]</t>
    <phoneticPr fontId="12" type="noConversion"/>
  </si>
  <si>
    <t xml:space="preserve"> ○ 관광설명회, 팸투어 개최 등 : 5,000,000원*2회</t>
    <phoneticPr fontId="12" type="noConversion"/>
  </si>
  <si>
    <t xml:space="preserve"> ○ 여수공항 국제선 부정기편 운항 인센티브 지급 : 200,000,000원*1식</t>
    <phoneticPr fontId="12" type="noConversion"/>
  </si>
  <si>
    <t xml:space="preserve"> ○ 홍보콘텐츠 등 제작 : 100,000,000원*1식</t>
    <phoneticPr fontId="12" type="noConversion"/>
  </si>
  <si>
    <t xml:space="preserve"> ○ 제안서, 공모전 평가위원 수당 : 4,000,000원*1식</t>
    <phoneticPr fontId="12" type="noConversion"/>
  </si>
  <si>
    <t xml:space="preserve"> ○ 제안서, 공모전 평가위원 실비 : 1,000,000원*1식</t>
    <phoneticPr fontId="12" type="noConversion"/>
  </si>
  <si>
    <t xml:space="preserve"> ○ 홍보부스 운영 : 5,000,000원*10회</t>
    <phoneticPr fontId="12" type="noConversion"/>
  </si>
  <si>
    <t xml:space="preserve"> ○ 홍보대사, 서포터즈 등 실비 : 100,000원*20명*5회</t>
    <phoneticPr fontId="12" type="noConversion"/>
  </si>
  <si>
    <t xml:space="preserve"> ○ 공모전 시상금 : 5,000,000원*3회</t>
    <phoneticPr fontId="12" type="noConversion"/>
  </si>
  <si>
    <t>추경1회</t>
    <phoneticPr fontId="12" type="noConversion"/>
  </si>
  <si>
    <t>[시 40,000]</t>
    <phoneticPr fontId="12" type="noConversion"/>
  </si>
  <si>
    <t>[시 10,000]</t>
    <phoneticPr fontId="12" type="noConversion"/>
  </si>
  <si>
    <t>[시 200,000]</t>
    <phoneticPr fontId="12" type="noConversion"/>
  </si>
  <si>
    <t>섬박람회 해외관람객 유치 인센티브(위탁)</t>
    <phoneticPr fontId="12" type="noConversion"/>
  </si>
  <si>
    <t>추경1회</t>
    <phoneticPr fontId="12" type="noConversion"/>
  </si>
  <si>
    <t>추경1회</t>
    <phoneticPr fontId="12" type="noConversion"/>
  </si>
  <si>
    <t xml:space="preserve"> ○ 2026여수세계섬박람회 회장운영 대행 용역비(2차분) : 3,628,156,000원*1식</t>
    <phoneticPr fontId="12" type="noConversion"/>
  </si>
  <si>
    <t>2026여수세계섬박람회 문화행사 운영(수익)</t>
    <phoneticPr fontId="12" type="noConversion"/>
  </si>
  <si>
    <t>2026여수세계섬박람회 시설조성(수익)</t>
    <phoneticPr fontId="12" type="noConversion"/>
  </si>
  <si>
    <t>2026여수세계섬박람회 문화행사 운영(수익)</t>
    <phoneticPr fontId="12" type="noConversion"/>
  </si>
  <si>
    <t>문화행사 추진</t>
    <phoneticPr fontId="12" type="noConversion"/>
  </si>
  <si>
    <t xml:space="preserve"> ○ 섬박람회 전시관 및 운영·부대시설 설치 1,745,000,000원*1식</t>
    <phoneticPr fontId="12" type="noConversion"/>
  </si>
  <si>
    <t xml:space="preserve"> ○ 2026여수세계섬박람회 주행사장 조성사업 : 3,233,000,000원*1식</t>
    <phoneticPr fontId="12" type="noConversion"/>
  </si>
  <si>
    <t>[국 3,249,015]</t>
    <phoneticPr fontId="12" type="noConversion"/>
  </si>
  <si>
    <t xml:space="preserve"> ○ 섬박람회 랜드마크 조성사업(추가분) 1,000,000,000원*1식</t>
  </si>
  <si>
    <t>[사업수익 0]</t>
    <phoneticPr fontId="12" type="noConversion"/>
  </si>
  <si>
    <t>추경1회</t>
    <phoneticPr fontId="12" type="noConversion"/>
  </si>
  <si>
    <t xml:space="preserve"> ○ 섬박람회 안전시설물 설치사업(추가분) 2,000,000,000원*1식</t>
  </si>
  <si>
    <t xml:space="preserve"> ○ 섬박람회 랜드마크 조성사업(추가분) : 경정 0원</t>
    <phoneticPr fontId="12" type="noConversion"/>
  </si>
  <si>
    <t>[사업수익 300,000]</t>
    <phoneticPr fontId="12" type="noConversion"/>
  </si>
  <si>
    <t xml:space="preserve"> ○ 섬박람회 안전시설물 설치사업(추가분) : 경정 300,000,000원</t>
    <phoneticPr fontId="12" type="noConversion"/>
  </si>
  <si>
    <t xml:space="preserve"> ○ 2026여수세계섬박람회 문화행사 운영 : 5,500,000,000원*1식</t>
    <phoneticPr fontId="12" type="noConversion"/>
  </si>
  <si>
    <t xml:space="preserve"> ○ 섬박람회장 입구게이트 조성 : 90,000,000원*1식</t>
    <phoneticPr fontId="12" type="noConversion"/>
  </si>
  <si>
    <t xml:space="preserve"> ○ 섬박람회장 열린문화공간 조성 390,000,000원*1식</t>
    <phoneticPr fontId="12" type="noConversion"/>
  </si>
  <si>
    <t xml:space="preserve"> ○ 세계의 섬·한국의 섬 테마존 조성 감리비 : 22,000,000원*1식</t>
    <phoneticPr fontId="12" type="noConversion"/>
  </si>
  <si>
    <t xml:space="preserve"> ○ 세계의 섬·한국의 섬 테마존 조성 : 경정 1,178,000,000원*1식</t>
    <phoneticPr fontId="12" type="noConversion"/>
  </si>
  <si>
    <t xml:space="preserve"> ○ 섬박람회 상징 아트 포토존 조성 : 390,000,000원*1식</t>
    <phoneticPr fontId="12" type="noConversion"/>
  </si>
  <si>
    <t>[도 1,500,000, 시 700,000]</t>
    <phoneticPr fontId="12" type="noConversion"/>
  </si>
  <si>
    <t xml:space="preserve"> ○ 섬박람회 랜드마크 조성사업 : 경정 2,200,000,000원*1식
     [도 1,500,000, 시 700,000]</t>
    <phoneticPr fontId="12" type="noConversion"/>
  </si>
  <si>
    <t>03 시설부대비</t>
    <phoneticPr fontId="12" type="noConversion"/>
  </si>
  <si>
    <t>[도 600,000, 시 1,390,956]</t>
    <phoneticPr fontId="12" type="noConversion"/>
  </si>
  <si>
    <t xml:space="preserve"> ○ 섬박람회장 안전시설물 설치사업 : 300,000,000원*1식 [도 300,000]</t>
    <phoneticPr fontId="12" type="noConversion"/>
  </si>
  <si>
    <t xml:space="preserve"> ○ 섬박람회 랜드마크 조성사업 : 1,200,000,000원*1식 [도 1,200,000]</t>
    <phoneticPr fontId="12" type="noConversion"/>
  </si>
  <si>
    <t xml:space="preserve"> ○ 섬박람회장 안전시설물 설치사업 : 경정 1,990,956,000원*1식
    [도 600,000, 시 1,390,956]</t>
    <phoneticPr fontId="12" type="noConversion"/>
  </si>
  <si>
    <t>[시설부대비]</t>
    <phoneticPr fontId="12" type="noConversion"/>
  </si>
  <si>
    <t xml:space="preserve"> ○ 섬박람회장 안전시설물 설치사업 : 9,044,000원*1식</t>
    <phoneticPr fontId="12" type="noConversion"/>
  </si>
  <si>
    <t>[시 9,044]</t>
    <phoneticPr fontId="12" type="noConversion"/>
  </si>
  <si>
    <t>시설부대비</t>
    <phoneticPr fontId="12" type="noConversion"/>
  </si>
  <si>
    <t>679 기타영업외수익</t>
    <phoneticPr fontId="12" type="noConversion"/>
  </si>
  <si>
    <t>09 기타영업외수익</t>
    <phoneticPr fontId="12" type="noConversion"/>
  </si>
  <si>
    <t>행사운영비</t>
    <phoneticPr fontId="12" type="noConversion"/>
  </si>
  <si>
    <t>기업관 부스 운영(자체)</t>
    <phoneticPr fontId="12" type="noConversion"/>
  </si>
  <si>
    <t>참가국 지원(자체)</t>
    <phoneticPr fontId="48" type="noConversion"/>
  </si>
  <si>
    <t>기업관 부스 운영(자체)</t>
    <phoneticPr fontId="12" type="noConversion"/>
  </si>
  <si>
    <t>참가국 지원(자체)</t>
    <phoneticPr fontId="48" type="noConversion"/>
  </si>
  <si>
    <t>기업관 부스 운영</t>
    <phoneticPr fontId="12" type="noConversion"/>
  </si>
  <si>
    <t>200 물건비</t>
    <phoneticPr fontId="12" type="noConversion"/>
  </si>
  <si>
    <t>[행사운영비]</t>
    <phoneticPr fontId="12" type="noConversion"/>
  </si>
  <si>
    <t>[도 18,000, 시 42,000]</t>
    <phoneticPr fontId="12" type="noConversion"/>
  </si>
  <si>
    <t xml:space="preserve"> ○ 기업관 부스 운영 인력지원 등 60,000,000원*1식</t>
    <phoneticPr fontId="12" type="noConversion"/>
  </si>
  <si>
    <t>참가국 지원</t>
    <phoneticPr fontId="48" type="noConversion"/>
  </si>
  <si>
    <t>[도 702,000, 시 1,638,000]</t>
    <phoneticPr fontId="12" type="noConversion"/>
  </si>
  <si>
    <t>301 일반보상금</t>
    <phoneticPr fontId="12" type="noConversion"/>
  </si>
  <si>
    <t>[외빈초청여비]</t>
    <phoneticPr fontId="12" type="noConversion"/>
  </si>
  <si>
    <t>추경1회</t>
  </si>
  <si>
    <t xml:space="preserve"> ○ 예비비 : 596,200,000원*1식</t>
    <phoneticPr fontId="12" type="noConversion"/>
  </si>
  <si>
    <t>02 재해·재난목적예비비</t>
    <phoneticPr fontId="12" type="noConversion"/>
  </si>
  <si>
    <t>재해·재난목적예비비</t>
    <phoneticPr fontId="12" type="noConversion"/>
  </si>
  <si>
    <t xml:space="preserve"> ○ 2026여수세계섬박람회 주행사장 조성사업 : 경정 3,249,101,120원</t>
    <phoneticPr fontId="12" type="noConversion"/>
  </si>
  <si>
    <t xml:space="preserve"> ○ 홍보물품 제작 : 10,000원*2,000개</t>
    <phoneticPr fontId="12" type="noConversion"/>
  </si>
  <si>
    <t xml:space="preserve"> ○ CIQ시설, 통신·네트워크 장비 임차료 등 20,000,000원*1식</t>
    <phoneticPr fontId="12" type="noConversion"/>
  </si>
  <si>
    <t xml:space="preserve"> ○ 섬박람회 백서 제작 용역 50,000,000원*1식</t>
    <phoneticPr fontId="12" type="noConversion"/>
  </si>
  <si>
    <t>종합상황실 시설운영</t>
    <phoneticPr fontId="12" type="noConversion"/>
  </si>
  <si>
    <t>종합상황실 시설운영</t>
    <phoneticPr fontId="48" type="noConversion"/>
  </si>
  <si>
    <t xml:space="preserve"> ○ 콜센터 대표회선 운영 : 2,000,000원*1식</t>
    <phoneticPr fontId="12" type="noConversion"/>
  </si>
  <si>
    <t xml:space="preserve"> ○ 전자상황판 운영 : 750,000원*2월</t>
    <phoneticPr fontId="12" type="noConversion"/>
  </si>
  <si>
    <t>[사업수익 58,000]</t>
    <phoneticPr fontId="12" type="noConversion"/>
  </si>
  <si>
    <t xml:space="preserve"> ○ 사무처 운영 사무비품 및 장비 임차 : 10,000,000원*1식</t>
    <phoneticPr fontId="12" type="noConversion"/>
  </si>
  <si>
    <t>03 행사운영비</t>
    <phoneticPr fontId="12" type="noConversion"/>
  </si>
  <si>
    <t xml:space="preserve"> ○ 섬박람회 공통행사 운영지원</t>
    <phoneticPr fontId="12" type="noConversion"/>
  </si>
  <si>
    <t>행사운영비</t>
    <phoneticPr fontId="12" type="noConversion"/>
  </si>
  <si>
    <t xml:space="preserve"> ○ 사무실 통신선 등 수선유지비 : 경정 28,000,000원</t>
    <phoneticPr fontId="12" type="noConversion"/>
  </si>
  <si>
    <t xml:space="preserve"> ○ 기업관 부스 운영 인력지원 등 : 50,000,000원*1식</t>
    <phoneticPr fontId="12" type="noConversion"/>
  </si>
  <si>
    <t>[사업수익 76,000]</t>
    <phoneticPr fontId="12" type="noConversion"/>
  </si>
  <si>
    <t xml:space="preserve"> ○ 2026여수세계섬박람회 문화행사 운영 76,000,000원*1식</t>
    <phoneticPr fontId="12" type="noConversion"/>
  </si>
  <si>
    <t>섬박람회장 전기·소방 안전관리대행</t>
    <phoneticPr fontId="48" type="noConversion"/>
  </si>
  <si>
    <t>2026여수세계섬박람회 시설조성</t>
    <phoneticPr fontId="12" type="noConversion"/>
  </si>
  <si>
    <t>2026여수세계섬박람회 시설조성</t>
    <phoneticPr fontId="12" type="noConversion"/>
  </si>
  <si>
    <t xml:space="preserve"> ○ 참가국, 기업 유치 및 운영 2,340,000,000원*1식</t>
    <phoneticPr fontId="12" type="noConversion"/>
  </si>
  <si>
    <t xml:space="preserve"> ○ 2026여수세계섬박람회 회장운영 대행 용역비(2차분) : 경정 3,816,156,000원</t>
    <phoneticPr fontId="12" type="noConversion"/>
  </si>
  <si>
    <t>총계(직접사업비+위탁사업비)</t>
    <phoneticPr fontId="12" type="noConversion"/>
  </si>
  <si>
    <t>[영업외수익 70,300]</t>
    <phoneticPr fontId="12" type="noConversion"/>
  </si>
  <si>
    <t xml:space="preserve"> ○ 참가국, 기업 유치 및 운영 : 210,000,000원*1식</t>
    <phoneticPr fontId="12" type="noConversion"/>
  </si>
  <si>
    <t>[출연금 3,326, 사업수익 2,938,953, 영업외수익 177,267]</t>
    <phoneticPr fontId="12" type="noConversion"/>
  </si>
  <si>
    <t xml:space="preserve"> ○ 예비비 : 경정 3,119,546,000원</t>
    <phoneticPr fontId="12" type="noConversion"/>
  </si>
  <si>
    <t>재해·재난·안전 목적 예비비</t>
    <phoneticPr fontId="48" type="noConversion"/>
  </si>
  <si>
    <t xml:space="preserve"> ○ 재해·재난·안전 목적 예비비 : 70,300,000원*1식</t>
    <phoneticPr fontId="12" type="noConversion"/>
  </si>
  <si>
    <t>섬박람회 조직위원회 2026년 제1회 추경예산서</t>
    <phoneticPr fontId="53" type="noConversion"/>
  </si>
  <si>
    <t>2026. 5. 12.</t>
    <phoneticPr fontId="53" type="noConversion"/>
  </si>
  <si>
    <t xml:space="preserve"> (재)2026여수세계섬박람회 조직위원회</t>
    <phoneticPr fontId="53" type="noConversion"/>
  </si>
  <si>
    <t>[사업수익 3,810,156]</t>
    <phoneticPr fontId="12" type="noConversion"/>
  </si>
  <si>
    <t>[영업외수익 1,208]</t>
    <phoneticPr fontId="12" type="noConversion"/>
  </si>
  <si>
    <t xml:space="preserve"> ○ 섬박람회장 전기·소방 안전관리대행 용역 58,000,000원*1식(법정경비)</t>
    <phoneticPr fontId="12" type="noConversion"/>
  </si>
  <si>
    <t>[사업수익 3,500]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</si>
</sst>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#,##0;[Red]&quot;△&quot;#,##0;0"/>
    <numFmt numFmtId="177" formatCode="#,##0_ ;[Red]\-#,##0\ "/>
    <numFmt numFmtId="178" formatCode="#,##0_);[Red]\(#,##0\)"/>
    <numFmt numFmtId="179" formatCode="#,##0;[Red]&quot;△&quot;#,##0"/>
    <numFmt numFmtId="180" formatCode="#,##0_ "/>
    <numFmt numFmtId="181" formatCode="_-* #,##0.0_-;\-* #,##0.0_-;_-* &quot;-&quot;?_-;_-@_-"/>
    <numFmt numFmtId="182" formatCode="_-* #,##0_-;&quot;₩&quot;\!\-* #,##0_-;_-* &quot;-&quot;_-;_-@_-"/>
    <numFmt numFmtId="183" formatCode="mm&quot;월&quot;\ dd&quot;일&quot;"/>
    <numFmt numFmtId="184" formatCode="#,##0_);\(#,##0\)"/>
  </numFmts>
  <fonts count="6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color rgb="FFFF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70C0"/>
      <name val="굴림"/>
      <family val="3"/>
      <charset val="129"/>
    </font>
    <font>
      <sz val="11"/>
      <color indexed="64"/>
      <name val="굴림"/>
      <family val="3"/>
      <charset val="129"/>
    </font>
    <font>
      <sz val="10"/>
      <color indexed="64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0"/>
      <color indexed="64"/>
      <name val="굴림"/>
      <family val="3"/>
      <charset val="129"/>
    </font>
    <font>
      <sz val="9"/>
      <color indexed="64"/>
      <name val="굴림"/>
      <family val="3"/>
      <charset val="129"/>
    </font>
    <font>
      <sz val="11"/>
      <color theme="1"/>
      <name val="돋움"/>
      <family val="3"/>
      <charset val="129"/>
    </font>
    <font>
      <b/>
      <sz val="11"/>
      <color indexed="64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theme="1"/>
      <name val="굴림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C3D62"/>
      <name val="맑은 고딕"/>
      <family val="3"/>
      <charset val="129"/>
    </font>
    <font>
      <b/>
      <sz val="15"/>
      <color rgb="FF1C3D62"/>
      <name val="맑은 고딕"/>
      <family val="3"/>
      <charset val="129"/>
    </font>
    <font>
      <b/>
      <sz val="13"/>
      <color rgb="FF1C3D62"/>
      <name val="맑은 고딕"/>
      <family val="3"/>
      <charset val="129"/>
    </font>
    <font>
      <b/>
      <sz val="11"/>
      <color rgb="FF1C3D62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  <font>
      <b/>
      <sz val="10"/>
      <color theme="1"/>
      <name val="맑은 고딕 Semilight"/>
      <family val="3"/>
      <charset val="129"/>
    </font>
    <font>
      <sz val="11"/>
      <name val="맑은 고딕"/>
      <family val="3"/>
      <charset val="129"/>
    </font>
    <font>
      <b/>
      <sz val="18"/>
      <name val="맑은 고딕"/>
      <family val="3"/>
      <charset val="129"/>
      <scheme val="major"/>
    </font>
    <font>
      <sz val="8"/>
      <name val="굴림"/>
      <family val="3"/>
      <charset val="129"/>
    </font>
    <font>
      <sz val="28"/>
      <name val="HY헤드라인M"/>
      <family val="1"/>
      <charset val="129"/>
    </font>
    <font>
      <sz val="12"/>
      <color rgb="FFFF0000"/>
      <name val="굴림"/>
      <family val="3"/>
      <charset val="129"/>
    </font>
    <font>
      <b/>
      <sz val="20"/>
      <name val="HY견명조"/>
      <family val="1"/>
      <charset val="129"/>
    </font>
    <font>
      <b/>
      <sz val="16"/>
      <color rgb="FF0000FF"/>
      <name val="함초롬돋움"/>
      <family val="3"/>
      <charset val="129"/>
    </font>
    <font>
      <b/>
      <sz val="22"/>
      <color theme="2" tint="-0.749992370372631"/>
      <name val="HY견고딕"/>
      <family val="1"/>
      <charset val="129"/>
    </font>
    <font>
      <b/>
      <sz val="10"/>
      <name val="맑은 고딕 Semilight"/>
      <family val="3"/>
      <charset val="129"/>
    </font>
    <font>
      <b/>
      <sz val="10"/>
      <color rgb="FF0000FF"/>
      <name val="굴림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EABC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3DCDC"/>
        <bgColor indexed="64"/>
      </patternFill>
    </fill>
    <fill>
      <patternFill patternType="solid">
        <fgColor rgb="FFFBEFD4"/>
        <bgColor indexed="64"/>
      </patternFill>
    </fill>
    <fill>
      <patternFill patternType="solid">
        <fgColor rgb="FFE1EFD3"/>
        <bgColor indexed="64"/>
      </patternFill>
    </fill>
    <fill>
      <patternFill patternType="solid">
        <fgColor rgb="FFD2EBEE"/>
        <bgColor indexed="64"/>
      </patternFill>
    </fill>
    <fill>
      <patternFill patternType="solid">
        <fgColor rgb="FFF4DEEE"/>
        <bgColor indexed="64"/>
      </patternFill>
    </fill>
    <fill>
      <patternFill patternType="solid">
        <fgColor rgb="FFA2BEE0"/>
        <bgColor indexed="64"/>
      </patternFill>
    </fill>
    <fill>
      <patternFill patternType="solid">
        <fgColor rgb="FFE9B9B9"/>
        <bgColor indexed="64"/>
      </patternFill>
    </fill>
    <fill>
      <patternFill patternType="solid">
        <fgColor rgb="FFF6DFAA"/>
        <bgColor indexed="64"/>
      </patternFill>
    </fill>
    <fill>
      <patternFill patternType="solid">
        <fgColor rgb="FFC3E0A6"/>
        <bgColor indexed="64"/>
      </patternFill>
    </fill>
    <fill>
      <patternFill patternType="solid">
        <fgColor rgb="FFA3D7DE"/>
        <bgColor indexed="64"/>
      </patternFill>
    </fill>
    <fill>
      <patternFill patternType="solid">
        <fgColor rgb="FF729DD2"/>
        <bgColor indexed="64"/>
      </patternFill>
    </fill>
    <fill>
      <patternFill patternType="solid">
        <fgColor rgb="FFDD9797"/>
        <bgColor indexed="64"/>
      </patternFill>
    </fill>
    <fill>
      <patternFill patternType="solid">
        <fgColor rgb="FFF2CE80"/>
        <bgColor indexed="64"/>
      </patternFill>
    </fill>
    <fill>
      <patternFill patternType="solid">
        <fgColor rgb="FFA5D07A"/>
        <bgColor indexed="64"/>
      </patternFill>
    </fill>
    <fill>
      <patternFill patternType="solid">
        <fgColor rgb="FF76C3CD"/>
        <bgColor indexed="64"/>
      </patternFill>
    </fill>
    <fill>
      <patternFill patternType="solid">
        <fgColor rgb="FFDF9ACA"/>
        <bgColor indexed="64"/>
      </patternFill>
    </fill>
    <fill>
      <patternFill patternType="solid">
        <fgColor rgb="FF315F97"/>
        <bgColor indexed="64"/>
      </patternFill>
    </fill>
    <fill>
      <patternFill patternType="solid">
        <fgColor rgb="FFC75252"/>
        <bgColor indexed="64"/>
      </patternFill>
    </fill>
    <fill>
      <patternFill patternType="solid">
        <fgColor rgb="FFE9AE2B"/>
        <bgColor indexed="64"/>
      </patternFill>
    </fill>
    <fill>
      <patternFill patternType="solid">
        <fgColor rgb="FF699B37"/>
        <bgColor indexed="64"/>
      </patternFill>
    </fill>
    <fill>
      <patternFill patternType="solid">
        <fgColor rgb="FF358791"/>
        <bgColor indexed="64"/>
      </patternFill>
    </fill>
    <fill>
      <patternFill patternType="solid">
        <fgColor rgb="FFCA56A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7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315F97"/>
      </top>
      <bottom style="double">
        <color rgb="FF315F97"/>
      </bottom>
      <diagonal/>
    </border>
    <border>
      <left/>
      <right/>
      <top/>
      <bottom style="thick">
        <color rgb="FF315F97"/>
      </bottom>
      <diagonal/>
    </border>
    <border>
      <left/>
      <right/>
      <top/>
      <bottom style="thick">
        <color rgb="FF8BAED9"/>
      </bottom>
      <diagonal/>
    </border>
    <border>
      <left/>
      <right/>
      <top/>
      <bottom style="medium">
        <color rgb="FF729DD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3">
    <xf numFmtId="0" fontId="0" fillId="0" borderId="0">
      <alignment vertical="center"/>
    </xf>
    <xf numFmtId="41" fontId="11" fillId="0" borderId="0">
      <alignment vertical="center"/>
    </xf>
    <xf numFmtId="0" fontId="6" fillId="0" borderId="0"/>
    <xf numFmtId="41" fontId="6" fillId="0" borderId="0"/>
    <xf numFmtId="41" fontId="11" fillId="0" borderId="0">
      <alignment vertical="center"/>
    </xf>
    <xf numFmtId="0" fontId="11" fillId="0" borderId="0">
      <alignment vertical="center"/>
    </xf>
    <xf numFmtId="41" fontId="6" fillId="0" borderId="0"/>
    <xf numFmtId="0" fontId="11" fillId="0" borderId="0">
      <alignment vertical="center"/>
    </xf>
    <xf numFmtId="9" fontId="6" fillId="0" borderId="0"/>
    <xf numFmtId="0" fontId="13" fillId="0" borderId="0"/>
    <xf numFmtId="41" fontId="13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0" fontId="21" fillId="0" borderId="0">
      <alignment vertical="center"/>
    </xf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/>
    <xf numFmtId="0" fontId="30" fillId="0" borderId="0">
      <alignment vertical="center"/>
    </xf>
    <xf numFmtId="0" fontId="5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2" fontId="13" fillId="0" borderId="0" applyFont="0" applyFill="0" applyBorder="0" applyAlignment="0" applyProtection="0"/>
    <xf numFmtId="0" fontId="13" fillId="0" borderId="0"/>
    <xf numFmtId="0" fontId="13" fillId="0" borderId="0"/>
    <xf numFmtId="0" fontId="30" fillId="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6" borderId="52" applyNumberFormat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13" fillId="7" borderId="56" applyNumberFormat="0" applyFont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33" borderId="55" applyNumberFormat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0" fillId="0" borderId="54" applyNumberFormat="0" applyFill="0" applyAlignment="0" applyProtection="0">
      <alignment vertical="center"/>
    </xf>
    <xf numFmtId="0" fontId="35" fillId="0" borderId="57" applyNumberFormat="0" applyFill="0" applyAlignment="0" applyProtection="0">
      <alignment vertical="center"/>
    </xf>
    <xf numFmtId="0" fontId="41" fillId="8" borderId="52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58" applyNumberFormat="0" applyFill="0" applyAlignment="0" applyProtection="0">
      <alignment vertical="center"/>
    </xf>
    <xf numFmtId="0" fontId="44" fillId="0" borderId="59" applyNumberFormat="0" applyFill="0" applyAlignment="0" applyProtection="0">
      <alignment vertical="center"/>
    </xf>
    <xf numFmtId="0" fontId="45" fillId="0" borderId="60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6" borderId="53" applyNumberFormat="0" applyAlignment="0" applyProtection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0" fontId="3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731">
    <xf numFmtId="0" fontId="0" fillId="0" borderId="0" xfId="0" applyNumberFormat="1">
      <alignment vertical="center"/>
    </xf>
    <xf numFmtId="0" fontId="8" fillId="0" borderId="0" xfId="2" applyNumberFormat="1" applyFont="1" applyBorder="1" applyAlignment="1">
      <alignment vertical="center"/>
    </xf>
    <xf numFmtId="0" fontId="8" fillId="0" borderId="0" xfId="3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vertical="center"/>
    </xf>
    <xf numFmtId="0" fontId="7" fillId="0" borderId="0" xfId="2" applyNumberFormat="1" applyFont="1" applyFill="1" applyBorder="1" applyAlignment="1">
      <alignment horizontal="center" vertical="center"/>
    </xf>
    <xf numFmtId="41" fontId="7" fillId="0" borderId="0" xfId="2" applyNumberFormat="1" applyFont="1" applyFill="1" applyBorder="1" applyAlignment="1">
      <alignment horizontal="right" vertical="center"/>
    </xf>
    <xf numFmtId="0" fontId="8" fillId="0" borderId="2" xfId="2" applyNumberFormat="1" applyFont="1" applyFill="1" applyBorder="1" applyAlignment="1">
      <alignment vertical="center"/>
    </xf>
    <xf numFmtId="0" fontId="8" fillId="0" borderId="3" xfId="2" applyNumberFormat="1" applyFont="1" applyFill="1" applyBorder="1" applyAlignment="1">
      <alignment vertical="center"/>
    </xf>
    <xf numFmtId="177" fontId="7" fillId="0" borderId="0" xfId="1" applyNumberFormat="1" applyFont="1" applyFill="1" applyBorder="1" applyAlignment="1">
      <alignment horizontal="center" vertical="center"/>
    </xf>
    <xf numFmtId="176" fontId="9" fillId="0" borderId="7" xfId="3" applyNumberFormat="1" applyFont="1" applyFill="1" applyBorder="1" applyAlignment="1">
      <alignment horizontal="right" vertical="center"/>
    </xf>
    <xf numFmtId="0" fontId="8" fillId="0" borderId="16" xfId="2" applyNumberFormat="1" applyFont="1" applyFill="1" applyBorder="1" applyAlignment="1">
      <alignment vertical="center"/>
    </xf>
    <xf numFmtId="177" fontId="8" fillId="0" borderId="0" xfId="1" applyNumberFormat="1" applyFont="1" applyFill="1" applyBorder="1" applyAlignment="1">
      <alignment horizontal="center" vertical="center"/>
    </xf>
    <xf numFmtId="41" fontId="8" fillId="0" borderId="0" xfId="3" applyNumberFormat="1" applyFont="1" applyFill="1" applyBorder="1" applyAlignment="1">
      <alignment horizontal="right" vertical="center"/>
    </xf>
    <xf numFmtId="0" fontId="7" fillId="0" borderId="0" xfId="2" applyNumberFormat="1" applyFont="1" applyFill="1" applyBorder="1" applyAlignment="1">
      <alignment horizontal="left" vertical="center"/>
    </xf>
    <xf numFmtId="176" fontId="15" fillId="0" borderId="3" xfId="12" applyNumberFormat="1" applyFont="1" applyFill="1" applyBorder="1" applyAlignment="1">
      <alignment vertical="center"/>
    </xf>
    <xf numFmtId="176" fontId="18" fillId="0" borderId="3" xfId="12" applyNumberFormat="1" applyFont="1" applyFill="1" applyBorder="1" applyAlignment="1">
      <alignment vertical="center"/>
    </xf>
    <xf numFmtId="176" fontId="15" fillId="2" borderId="3" xfId="12" applyNumberFormat="1" applyFont="1" applyFill="1" applyBorder="1" applyAlignment="1">
      <alignment vertical="center"/>
    </xf>
    <xf numFmtId="178" fontId="25" fillId="0" borderId="0" xfId="11" applyNumberFormat="1" applyFont="1" applyFill="1" applyBorder="1" applyAlignment="1">
      <alignment vertical="center"/>
    </xf>
    <xf numFmtId="177" fontId="22" fillId="0" borderId="0" xfId="11" applyNumberFormat="1" applyFont="1" applyFill="1" applyBorder="1" applyAlignment="1">
      <alignment vertical="center" shrinkToFit="1"/>
    </xf>
    <xf numFmtId="181" fontId="24" fillId="0" borderId="0" xfId="12" applyNumberFormat="1" applyFont="1" applyFill="1" applyBorder="1" applyAlignment="1">
      <alignment vertical="center" shrinkToFit="1"/>
    </xf>
    <xf numFmtId="178" fontId="24" fillId="0" borderId="0" xfId="11" applyNumberFormat="1" applyFont="1" applyFill="1" applyBorder="1" applyAlignment="1">
      <alignment vertical="center" shrinkToFit="1"/>
    </xf>
    <xf numFmtId="41" fontId="23" fillId="0" borderId="0" xfId="12" applyFont="1" applyFill="1" applyAlignment="1">
      <alignment vertical="center"/>
    </xf>
    <xf numFmtId="41" fontId="23" fillId="0" borderId="0" xfId="12" applyFont="1" applyFill="1" applyAlignment="1">
      <alignment horizontal="center" vertical="center"/>
    </xf>
    <xf numFmtId="0" fontId="23" fillId="2" borderId="0" xfId="11" applyFont="1" applyFill="1" applyAlignment="1">
      <alignment vertical="center"/>
    </xf>
    <xf numFmtId="0" fontId="27" fillId="0" borderId="0" xfId="11" applyFont="1" applyAlignment="1">
      <alignment vertical="center"/>
    </xf>
    <xf numFmtId="41" fontId="27" fillId="0" borderId="0" xfId="12" applyFont="1" applyFill="1" applyAlignment="1">
      <alignment vertical="center"/>
    </xf>
    <xf numFmtId="176" fontId="27" fillId="0" borderId="0" xfId="12" applyNumberFormat="1" applyFont="1" applyFill="1" applyAlignment="1">
      <alignment vertical="center"/>
    </xf>
    <xf numFmtId="177" fontId="16" fillId="0" borderId="0" xfId="0" applyNumberFormat="1" applyFont="1" applyAlignment="1">
      <alignment vertical="center"/>
    </xf>
    <xf numFmtId="177" fontId="17" fillId="0" borderId="0" xfId="0" applyNumberFormat="1" applyFont="1" applyAlignment="1">
      <alignment vertical="center"/>
    </xf>
    <xf numFmtId="177" fontId="17" fillId="0" borderId="0" xfId="12" applyNumberFormat="1" applyFont="1" applyAlignment="1">
      <alignment vertical="center"/>
    </xf>
    <xf numFmtId="177" fontId="14" fillId="0" borderId="20" xfId="0" applyNumberFormat="1" applyFont="1" applyBorder="1" applyAlignment="1">
      <alignment vertical="center"/>
    </xf>
    <xf numFmtId="177" fontId="14" fillId="0" borderId="0" xfId="12" applyNumberFormat="1" applyFont="1" applyAlignment="1">
      <alignment horizontal="right" vertical="center"/>
    </xf>
    <xf numFmtId="177" fontId="15" fillId="3" borderId="46" xfId="0" applyNumberFormat="1" applyFont="1" applyFill="1" applyBorder="1" applyAlignment="1">
      <alignment horizontal="center" vertical="center"/>
    </xf>
    <xf numFmtId="177" fontId="18" fillId="2" borderId="27" xfId="0" applyNumberFormat="1" applyFont="1" applyFill="1" applyBorder="1" applyAlignment="1">
      <alignment vertical="center"/>
    </xf>
    <xf numFmtId="0" fontId="23" fillId="0" borderId="0" xfId="11" applyFont="1" applyAlignment="1">
      <alignment vertical="center"/>
    </xf>
    <xf numFmtId="0" fontId="24" fillId="0" borderId="0" xfId="11" applyFont="1" applyAlignment="1">
      <alignment vertical="center"/>
    </xf>
    <xf numFmtId="0" fontId="19" fillId="0" borderId="27" xfId="65" applyNumberFormat="1" applyFont="1" applyFill="1" applyBorder="1" applyAlignment="1">
      <alignment horizontal="left" vertical="center"/>
    </xf>
    <xf numFmtId="41" fontId="19" fillId="0" borderId="15" xfId="65" applyFont="1" applyFill="1" applyBorder="1" applyAlignment="1">
      <alignment vertical="center"/>
    </xf>
    <xf numFmtId="0" fontId="20" fillId="0" borderId="6" xfId="65" applyNumberFormat="1" applyFont="1" applyFill="1" applyBorder="1" applyAlignment="1">
      <alignment horizontal="center" vertical="center" shrinkToFit="1"/>
    </xf>
    <xf numFmtId="0" fontId="20" fillId="0" borderId="1" xfId="65" applyNumberFormat="1" applyFont="1" applyFill="1" applyBorder="1" applyAlignment="1">
      <alignment horizontal="center" vertical="center" shrinkToFit="1"/>
    </xf>
    <xf numFmtId="41" fontId="24" fillId="0" borderId="15" xfId="65" applyNumberFormat="1" applyFont="1" applyFill="1" applyBorder="1" applyAlignment="1">
      <alignment horizontal="right" vertical="center"/>
    </xf>
    <xf numFmtId="179" fontId="15" fillId="0" borderId="3" xfId="65" applyNumberFormat="1" applyFont="1" applyFill="1" applyBorder="1" applyAlignment="1">
      <alignment horizontal="right" vertical="center"/>
    </xf>
    <xf numFmtId="0" fontId="13" fillId="0" borderId="0" xfId="11" applyNumberFormat="1" applyFill="1"/>
    <xf numFmtId="0" fontId="29" fillId="0" borderId="0" xfId="11" applyNumberFormat="1" applyFont="1" applyFill="1" applyAlignment="1">
      <alignment vertical="center"/>
    </xf>
    <xf numFmtId="0" fontId="20" fillId="0" borderId="1" xfId="11" applyNumberFormat="1" applyFont="1" applyFill="1" applyBorder="1" applyAlignment="1">
      <alignment horizontal="center" vertical="center"/>
    </xf>
    <xf numFmtId="0" fontId="20" fillId="0" borderId="0" xfId="11" applyNumberFormat="1" applyFont="1" applyFill="1" applyBorder="1" applyAlignment="1">
      <alignment horizontal="center" vertical="center"/>
    </xf>
    <xf numFmtId="0" fontId="10" fillId="0" borderId="0" xfId="11" applyNumberFormat="1" applyFont="1" applyFill="1" applyAlignment="1">
      <alignment vertical="center"/>
    </xf>
    <xf numFmtId="0" fontId="24" fillId="0" borderId="44" xfId="11" applyNumberFormat="1" applyFont="1" applyFill="1" applyBorder="1" applyAlignment="1">
      <alignment vertical="center"/>
    </xf>
    <xf numFmtId="179" fontId="24" fillId="0" borderId="2" xfId="65" applyNumberFormat="1" applyFont="1" applyFill="1" applyBorder="1" applyAlignment="1">
      <alignment horizontal="right" vertical="center"/>
    </xf>
    <xf numFmtId="179" fontId="24" fillId="0" borderId="8" xfId="65" applyNumberFormat="1" applyFont="1" applyFill="1" applyBorder="1" applyAlignment="1">
      <alignment horizontal="right" vertical="center"/>
    </xf>
    <xf numFmtId="179" fontId="15" fillId="0" borderId="2" xfId="65" applyNumberFormat="1" applyFont="1" applyFill="1" applyBorder="1" applyAlignment="1">
      <alignment horizontal="right" vertical="center"/>
    </xf>
    <xf numFmtId="0" fontId="20" fillId="0" borderId="0" xfId="65" applyNumberFormat="1" applyFont="1" applyFill="1" applyBorder="1" applyAlignment="1">
      <alignment horizontal="center" vertical="center" shrinkToFit="1"/>
    </xf>
    <xf numFmtId="41" fontId="24" fillId="0" borderId="27" xfId="65" applyNumberFormat="1" applyFont="1" applyFill="1" applyBorder="1" applyAlignment="1">
      <alignment vertical="center"/>
    </xf>
    <xf numFmtId="41" fontId="24" fillId="0" borderId="1" xfId="65" applyNumberFormat="1" applyFont="1" applyFill="1" applyBorder="1" applyAlignment="1">
      <alignment horizontal="center" vertical="center"/>
    </xf>
    <xf numFmtId="0" fontId="15" fillId="0" borderId="0" xfId="11" applyNumberFormat="1" applyFont="1" applyAlignment="1">
      <alignment vertical="center"/>
    </xf>
    <xf numFmtId="0" fontId="20" fillId="0" borderId="16" xfId="11" applyFont="1" applyBorder="1" applyAlignment="1">
      <alignment vertical="center"/>
    </xf>
    <xf numFmtId="0" fontId="20" fillId="0" borderId="2" xfId="17" applyFont="1" applyBorder="1" applyAlignment="1">
      <alignment vertical="center"/>
    </xf>
    <xf numFmtId="0" fontId="20" fillId="0" borderId="2" xfId="11" applyFont="1" applyBorder="1" applyAlignment="1">
      <alignment vertical="center"/>
    </xf>
    <xf numFmtId="41" fontId="20" fillId="2" borderId="5" xfId="65" applyNumberFormat="1" applyFont="1" applyFill="1" applyBorder="1" applyAlignment="1">
      <alignment horizontal="center" vertical="center" shrinkToFit="1"/>
    </xf>
    <xf numFmtId="0" fontId="15" fillId="0" borderId="0" xfId="11" applyFont="1" applyAlignment="1">
      <alignment vertical="center"/>
    </xf>
    <xf numFmtId="0" fontId="15" fillId="0" borderId="0" xfId="11" applyFont="1" applyBorder="1" applyAlignment="1">
      <alignment vertical="center"/>
    </xf>
    <xf numFmtId="0" fontId="24" fillId="0" borderId="0" xfId="11" applyNumberFormat="1" applyFont="1" applyFill="1" applyAlignment="1">
      <alignment vertical="center"/>
    </xf>
    <xf numFmtId="0" fontId="24" fillId="0" borderId="0" xfId="11" applyNumberFormat="1" applyFont="1" applyFill="1" applyBorder="1" applyAlignment="1">
      <alignment vertical="center"/>
    </xf>
    <xf numFmtId="0" fontId="24" fillId="0" borderId="16" xfId="11" applyNumberFormat="1" applyFont="1" applyFill="1" applyBorder="1" applyAlignment="1">
      <alignment vertical="center"/>
    </xf>
    <xf numFmtId="0" fontId="24" fillId="0" borderId="3" xfId="11" applyNumberFormat="1" applyFont="1" applyFill="1" applyBorder="1" applyAlignment="1">
      <alignment vertical="center"/>
    </xf>
    <xf numFmtId="0" fontId="24" fillId="0" borderId="2" xfId="11" applyNumberFormat="1" applyFont="1" applyFill="1" applyBorder="1" applyAlignment="1">
      <alignment vertical="center"/>
    </xf>
    <xf numFmtId="0" fontId="24" fillId="0" borderId="0" xfId="11" applyNumberFormat="1" applyFont="1" applyFill="1" applyBorder="1" applyAlignment="1">
      <alignment horizontal="center" vertical="center"/>
    </xf>
    <xf numFmtId="0" fontId="24" fillId="0" borderId="8" xfId="11" applyNumberFormat="1" applyFont="1" applyFill="1" applyBorder="1" applyAlignment="1">
      <alignment vertical="center"/>
    </xf>
    <xf numFmtId="0" fontId="24" fillId="0" borderId="26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center"/>
    </xf>
    <xf numFmtId="179" fontId="20" fillId="0" borderId="8" xfId="65" applyNumberFormat="1" applyFont="1" applyFill="1" applyBorder="1" applyAlignment="1">
      <alignment horizontal="right" vertical="center"/>
    </xf>
    <xf numFmtId="179" fontId="20" fillId="0" borderId="7" xfId="65" applyNumberFormat="1" applyFont="1" applyFill="1" applyBorder="1" applyAlignment="1">
      <alignment horizontal="right" vertical="center"/>
    </xf>
    <xf numFmtId="179" fontId="20" fillId="0" borderId="3" xfId="65" applyNumberFormat="1" applyFont="1" applyFill="1" applyBorder="1" applyAlignment="1">
      <alignment horizontal="right" vertical="center"/>
    </xf>
    <xf numFmtId="179" fontId="20" fillId="0" borderId="2" xfId="65" applyNumberFormat="1" applyFont="1" applyFill="1" applyBorder="1" applyAlignment="1">
      <alignment horizontal="right" vertical="center"/>
    </xf>
    <xf numFmtId="179" fontId="20" fillId="0" borderId="26" xfId="65" applyNumberFormat="1" applyFont="1" applyFill="1" applyBorder="1" applyAlignment="1">
      <alignment horizontal="right" vertical="center"/>
    </xf>
    <xf numFmtId="179" fontId="20" fillId="0" borderId="9" xfId="65" applyNumberFormat="1" applyFont="1" applyFill="1" applyBorder="1" applyAlignment="1">
      <alignment horizontal="right" vertical="center"/>
    </xf>
    <xf numFmtId="41" fontId="31" fillId="0" borderId="0" xfId="12" applyFont="1" applyFill="1" applyAlignment="1">
      <alignment vertical="center"/>
    </xf>
    <xf numFmtId="41" fontId="20" fillId="0" borderId="5" xfId="3" applyNumberFormat="1" applyFont="1" applyFill="1" applyBorder="1" applyAlignment="1">
      <alignment horizontal="left" vertical="center"/>
    </xf>
    <xf numFmtId="41" fontId="20" fillId="0" borderId="5" xfId="3" applyNumberFormat="1" applyFont="1" applyFill="1" applyBorder="1" applyAlignment="1">
      <alignment horizontal="center" vertical="center"/>
    </xf>
    <xf numFmtId="41" fontId="20" fillId="0" borderId="11" xfId="3" applyNumberFormat="1" applyFont="1" applyFill="1" applyBorder="1" applyAlignment="1">
      <alignment horizontal="right" vertical="center"/>
    </xf>
    <xf numFmtId="0" fontId="20" fillId="0" borderId="0" xfId="3" applyNumberFormat="1" applyFont="1" applyFill="1" applyBorder="1" applyAlignment="1">
      <alignment horizontal="left" vertical="center"/>
    </xf>
    <xf numFmtId="41" fontId="19" fillId="0" borderId="15" xfId="3" applyNumberFormat="1" applyFont="1" applyFill="1" applyBorder="1" applyAlignment="1">
      <alignment vertical="center"/>
    </xf>
    <xf numFmtId="0" fontId="19" fillId="0" borderId="0" xfId="2" applyNumberFormat="1" applyFont="1" applyBorder="1" applyAlignment="1">
      <alignment horizontal="left" vertical="center" shrinkToFit="1"/>
    </xf>
    <xf numFmtId="0" fontId="19" fillId="0" borderId="6" xfId="2" applyNumberFormat="1" applyFont="1" applyFill="1" applyBorder="1" applyAlignment="1">
      <alignment horizontal="left" vertical="center" shrinkToFit="1"/>
    </xf>
    <xf numFmtId="177" fontId="15" fillId="3" borderId="39" xfId="0" applyNumberFormat="1" applyFont="1" applyFill="1" applyBorder="1" applyAlignment="1">
      <alignment horizontal="center" vertical="center"/>
    </xf>
    <xf numFmtId="177" fontId="15" fillId="2" borderId="44" xfId="0" applyNumberFormat="1" applyFont="1" applyFill="1" applyBorder="1" applyAlignment="1">
      <alignment vertical="center"/>
    </xf>
    <xf numFmtId="176" fontId="15" fillId="2" borderId="46" xfId="12" applyNumberFormat="1" applyFont="1" applyFill="1" applyBorder="1" applyAlignment="1">
      <alignment vertical="center"/>
    </xf>
    <xf numFmtId="0" fontId="29" fillId="0" borderId="0" xfId="11" applyNumberFormat="1" applyFont="1" applyFill="1" applyBorder="1" applyAlignment="1">
      <alignment vertical="center"/>
    </xf>
    <xf numFmtId="0" fontId="24" fillId="3" borderId="51" xfId="11" applyNumberFormat="1" applyFont="1" applyFill="1" applyBorder="1" applyAlignment="1">
      <alignment horizontal="center" vertical="center"/>
    </xf>
    <xf numFmtId="0" fontId="24" fillId="3" borderId="37" xfId="11" applyNumberFormat="1" applyFont="1" applyFill="1" applyBorder="1" applyAlignment="1">
      <alignment horizontal="center" vertical="center"/>
    </xf>
    <xf numFmtId="176" fontId="19" fillId="0" borderId="7" xfId="3" applyNumberFormat="1" applyFont="1" applyFill="1" applyBorder="1" applyAlignment="1">
      <alignment horizontal="right" vertical="center"/>
    </xf>
    <xf numFmtId="176" fontId="18" fillId="0" borderId="7" xfId="3" applyNumberFormat="1" applyFont="1" applyFill="1" applyBorder="1" applyAlignment="1">
      <alignment horizontal="right" vertical="center"/>
    </xf>
    <xf numFmtId="0" fontId="19" fillId="0" borderId="6" xfId="2" applyNumberFormat="1" applyFont="1" applyFill="1" applyBorder="1" applyAlignment="1">
      <alignment horizontal="center" vertical="center"/>
    </xf>
    <xf numFmtId="176" fontId="19" fillId="0" borderId="8" xfId="3" applyNumberFormat="1" applyFont="1" applyFill="1" applyBorder="1" applyAlignment="1">
      <alignment horizontal="right" vertical="center"/>
    </xf>
    <xf numFmtId="176" fontId="18" fillId="0" borderId="8" xfId="3" applyNumberFormat="1" applyFont="1" applyFill="1" applyBorder="1" applyAlignment="1">
      <alignment horizontal="right" vertical="center"/>
    </xf>
    <xf numFmtId="0" fontId="20" fillId="0" borderId="0" xfId="17" applyFont="1" applyFill="1" applyBorder="1" applyAlignment="1">
      <alignment horizontal="center" vertical="center" shrinkToFit="1"/>
    </xf>
    <xf numFmtId="38" fontId="15" fillId="0" borderId="0" xfId="11" applyNumberFormat="1" applyFont="1" applyFill="1" applyBorder="1" applyAlignment="1">
      <alignment vertical="center"/>
    </xf>
    <xf numFmtId="179" fontId="15" fillId="0" borderId="7" xfId="65" applyNumberFormat="1" applyFont="1" applyFill="1" applyBorder="1" applyAlignment="1">
      <alignment horizontal="right" vertical="center"/>
    </xf>
    <xf numFmtId="38" fontId="15" fillId="0" borderId="0" xfId="11" applyNumberFormat="1" applyFont="1" applyFill="1" applyAlignment="1">
      <alignment vertical="center"/>
    </xf>
    <xf numFmtId="178" fontId="20" fillId="0" borderId="2" xfId="10" applyNumberFormat="1" applyFont="1" applyBorder="1" applyAlignment="1">
      <alignment horizontal="right" vertical="center"/>
    </xf>
    <xf numFmtId="0" fontId="15" fillId="0" borderId="0" xfId="5" applyNumberFormat="1" applyFont="1" applyAlignment="1">
      <alignment vertical="center"/>
    </xf>
    <xf numFmtId="179" fontId="20" fillId="0" borderId="2" xfId="10" applyNumberFormat="1" applyFont="1" applyBorder="1" applyAlignment="1">
      <alignment vertical="center"/>
    </xf>
    <xf numFmtId="178" fontId="20" fillId="0" borderId="8" xfId="10" applyNumberFormat="1" applyFont="1" applyBorder="1" applyAlignment="1">
      <alignment horizontal="right" vertical="center"/>
    </xf>
    <xf numFmtId="178" fontId="20" fillId="0" borderId="26" xfId="12" applyNumberFormat="1" applyFont="1" applyBorder="1" applyAlignment="1">
      <alignment vertical="center"/>
    </xf>
    <xf numFmtId="0" fontId="20" fillId="0" borderId="2" xfId="5" applyFont="1" applyBorder="1" applyAlignment="1">
      <alignment vertical="center"/>
    </xf>
    <xf numFmtId="178" fontId="20" fillId="0" borderId="2" xfId="12" applyNumberFormat="1" applyFont="1" applyBorder="1" applyAlignment="1">
      <alignment vertical="center"/>
    </xf>
    <xf numFmtId="176" fontId="20" fillId="0" borderId="2" xfId="12" applyNumberFormat="1" applyFont="1" applyBorder="1" applyAlignment="1">
      <alignment vertical="center"/>
    </xf>
    <xf numFmtId="178" fontId="20" fillId="0" borderId="8" xfId="12" applyNumberFormat="1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176" fontId="18" fillId="2" borderId="8" xfId="12" applyNumberFormat="1" applyFont="1" applyFill="1" applyBorder="1" applyAlignment="1">
      <alignment vertical="center"/>
    </xf>
    <xf numFmtId="176" fontId="18" fillId="2" borderId="7" xfId="12" applyNumberFormat="1" applyFont="1" applyFill="1" applyBorder="1" applyAlignment="1">
      <alignment vertical="center"/>
    </xf>
    <xf numFmtId="176" fontId="18" fillId="2" borderId="3" xfId="12" applyNumberFormat="1" applyFont="1" applyFill="1" applyBorder="1" applyAlignment="1">
      <alignment vertical="center"/>
    </xf>
    <xf numFmtId="176" fontId="18" fillId="35" borderId="7" xfId="12" applyNumberFormat="1" applyFont="1" applyFill="1" applyBorder="1" applyAlignment="1">
      <alignment vertical="center"/>
    </xf>
    <xf numFmtId="176" fontId="18" fillId="2" borderId="35" xfId="12" applyNumberFormat="1" applyFont="1" applyFill="1" applyBorder="1" applyAlignment="1">
      <alignment horizontal="right" vertical="center" shrinkToFit="1"/>
    </xf>
    <xf numFmtId="176" fontId="18" fillId="35" borderId="35" xfId="12" applyNumberFormat="1" applyFont="1" applyFill="1" applyBorder="1" applyAlignment="1">
      <alignment horizontal="right" vertical="center" shrinkToFit="1"/>
    </xf>
    <xf numFmtId="176" fontId="15" fillId="2" borderId="35" xfId="12" applyNumberFormat="1" applyFont="1" applyFill="1" applyBorder="1" applyAlignment="1">
      <alignment horizontal="right" vertical="center" shrinkToFit="1"/>
    </xf>
    <xf numFmtId="176" fontId="15" fillId="2" borderId="43" xfId="12" applyNumberFormat="1" applyFont="1" applyFill="1" applyBorder="1" applyAlignment="1">
      <alignment vertical="center"/>
    </xf>
    <xf numFmtId="176" fontId="15" fillId="2" borderId="40" xfId="12" applyNumberFormat="1" applyFont="1" applyFill="1" applyBorder="1" applyAlignment="1">
      <alignment horizontal="right" vertical="center" shrinkToFit="1"/>
    </xf>
    <xf numFmtId="0" fontId="8" fillId="3" borderId="46" xfId="2" applyNumberFormat="1" applyFont="1" applyFill="1" applyBorder="1" applyAlignment="1">
      <alignment horizontal="center" vertical="center"/>
    </xf>
    <xf numFmtId="176" fontId="26" fillId="3" borderId="50" xfId="12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center" vertical="center"/>
    </xf>
    <xf numFmtId="0" fontId="9" fillId="0" borderId="33" xfId="2" applyNumberFormat="1" applyFont="1" applyFill="1" applyBorder="1" applyAlignment="1">
      <alignment vertical="center"/>
    </xf>
    <xf numFmtId="0" fontId="9" fillId="0" borderId="21" xfId="2" applyNumberFormat="1" applyFont="1" applyFill="1" applyBorder="1" applyAlignment="1">
      <alignment vertical="center"/>
    </xf>
    <xf numFmtId="0" fontId="9" fillId="0" borderId="30" xfId="2" applyNumberFormat="1" applyFont="1" applyFill="1" applyBorder="1" applyAlignment="1">
      <alignment vertical="center"/>
    </xf>
    <xf numFmtId="0" fontId="8" fillId="0" borderId="0" xfId="3" applyNumberFormat="1" applyFont="1" applyFill="1" applyBorder="1" applyAlignment="1">
      <alignment horizontal="left" vertical="center"/>
    </xf>
    <xf numFmtId="0" fontId="8" fillId="0" borderId="0" xfId="2" applyNumberFormat="1" applyFont="1" applyFill="1" applyBorder="1" applyAlignment="1">
      <alignment horizontal="center" vertical="center"/>
    </xf>
    <xf numFmtId="41" fontId="8" fillId="0" borderId="0" xfId="2" applyNumberFormat="1" applyFont="1" applyFill="1" applyBorder="1" applyAlignment="1">
      <alignment horizontal="right" vertical="center"/>
    </xf>
    <xf numFmtId="0" fontId="8" fillId="0" borderId="0" xfId="2" applyNumberFormat="1" applyFont="1" applyFill="1" applyBorder="1" applyAlignment="1">
      <alignment vertical="center"/>
    </xf>
    <xf numFmtId="0" fontId="9" fillId="0" borderId="23" xfId="2" applyNumberFormat="1" applyFont="1" applyFill="1" applyBorder="1" applyAlignment="1">
      <alignment vertical="center"/>
    </xf>
    <xf numFmtId="0" fontId="9" fillId="0" borderId="6" xfId="2" applyNumberFormat="1" applyFont="1" applyFill="1" applyBorder="1" applyAlignment="1">
      <alignment vertical="center"/>
    </xf>
    <xf numFmtId="0" fontId="9" fillId="0" borderId="29" xfId="2" applyNumberFormat="1" applyFont="1" applyFill="1" applyBorder="1" applyAlignment="1">
      <alignment vertical="center"/>
    </xf>
    <xf numFmtId="176" fontId="19" fillId="0" borderId="7" xfId="3" applyNumberFormat="1" applyFont="1" applyFill="1" applyBorder="1" applyAlignment="1">
      <alignment vertical="center"/>
    </xf>
    <xf numFmtId="41" fontId="20" fillId="0" borderId="0" xfId="3" applyNumberFormat="1" applyFont="1" applyFill="1" applyBorder="1" applyAlignment="1">
      <alignment horizontal="center" vertical="center"/>
    </xf>
    <xf numFmtId="0" fontId="9" fillId="0" borderId="62" xfId="2" applyNumberFormat="1" applyFont="1" applyFill="1" applyBorder="1" applyAlignment="1">
      <alignment vertical="center"/>
    </xf>
    <xf numFmtId="0" fontId="9" fillId="0" borderId="3" xfId="2" applyNumberFormat="1" applyFont="1" applyFill="1" applyBorder="1" applyAlignment="1">
      <alignment vertical="center"/>
    </xf>
    <xf numFmtId="0" fontId="24" fillId="0" borderId="23" xfId="11" applyNumberFormat="1" applyFont="1" applyFill="1" applyBorder="1" applyAlignment="1">
      <alignment vertical="center"/>
    </xf>
    <xf numFmtId="0" fontId="15" fillId="0" borderId="0" xfId="11" applyFont="1"/>
    <xf numFmtId="0" fontId="24" fillId="0" borderId="31" xfId="11" applyNumberFormat="1" applyFont="1" applyFill="1" applyBorder="1" applyAlignment="1">
      <alignment vertical="center"/>
    </xf>
    <xf numFmtId="178" fontId="15" fillId="0" borderId="0" xfId="5" applyNumberFormat="1" applyFont="1" applyFill="1" applyBorder="1" applyAlignment="1">
      <alignment vertical="center"/>
    </xf>
    <xf numFmtId="0" fontId="24" fillId="0" borderId="29" xfId="11" applyNumberFormat="1" applyFont="1" applyFill="1" applyBorder="1" applyAlignment="1">
      <alignment vertical="center"/>
    </xf>
    <xf numFmtId="0" fontId="15" fillId="0" borderId="0" xfId="11" applyFont="1" applyFill="1"/>
    <xf numFmtId="0" fontId="20" fillId="0" borderId="5" xfId="11" applyNumberFormat="1" applyFont="1" applyFill="1" applyBorder="1" applyAlignment="1">
      <alignment horizontal="center" vertical="center"/>
    </xf>
    <xf numFmtId="0" fontId="24" fillId="0" borderId="12" xfId="11" applyNumberFormat="1" applyFont="1" applyFill="1" applyBorder="1" applyAlignment="1">
      <alignment vertical="center"/>
    </xf>
    <xf numFmtId="0" fontId="19" fillId="0" borderId="6" xfId="11" applyFont="1" applyFill="1" applyBorder="1" applyAlignment="1">
      <alignment vertical="center" shrinkToFit="1"/>
    </xf>
    <xf numFmtId="0" fontId="24" fillId="0" borderId="2" xfId="11" applyNumberFormat="1" applyFont="1" applyFill="1" applyBorder="1" applyAlignment="1">
      <alignment vertical="top"/>
    </xf>
    <xf numFmtId="179" fontId="15" fillId="0" borderId="8" xfId="65" applyNumberFormat="1" applyFont="1" applyFill="1" applyBorder="1" applyAlignment="1">
      <alignment horizontal="right" vertical="center"/>
    </xf>
    <xf numFmtId="0" fontId="8" fillId="0" borderId="63" xfId="2" applyNumberFormat="1" applyFont="1" applyFill="1" applyBorder="1" applyAlignment="1">
      <alignment vertical="center"/>
    </xf>
    <xf numFmtId="0" fontId="20" fillId="0" borderId="6" xfId="3" applyNumberFormat="1" applyFont="1" applyFill="1" applyBorder="1" applyAlignment="1">
      <alignment horizontal="left" vertical="center"/>
    </xf>
    <xf numFmtId="41" fontId="20" fillId="0" borderId="6" xfId="3" applyNumberFormat="1" applyFont="1" applyFill="1" applyBorder="1" applyAlignment="1">
      <alignment horizontal="center" vertical="center"/>
    </xf>
    <xf numFmtId="41" fontId="20" fillId="0" borderId="15" xfId="3" applyNumberFormat="1" applyFont="1" applyFill="1" applyBorder="1" applyAlignment="1">
      <alignment horizontal="right" vertical="center"/>
    </xf>
    <xf numFmtId="0" fontId="15" fillId="0" borderId="0" xfId="5" applyFont="1" applyBorder="1" applyAlignment="1">
      <alignment vertical="center"/>
    </xf>
    <xf numFmtId="38" fontId="20" fillId="0" borderId="7" xfId="65" applyNumberFormat="1" applyFont="1" applyBorder="1" applyAlignment="1">
      <alignment vertical="center"/>
    </xf>
    <xf numFmtId="176" fontId="20" fillId="0" borderId="7" xfId="65" applyNumberFormat="1" applyFont="1" applyBorder="1" applyAlignment="1">
      <alignment horizontal="right" vertical="center"/>
    </xf>
    <xf numFmtId="41" fontId="20" fillId="2" borderId="4" xfId="65" applyNumberFormat="1" applyFont="1" applyFill="1" applyBorder="1" applyAlignment="1">
      <alignment vertical="center" shrinkToFit="1"/>
    </xf>
    <xf numFmtId="179" fontId="20" fillId="0" borderId="8" xfId="10" applyNumberFormat="1" applyFont="1" applyBorder="1" applyAlignment="1">
      <alignment vertical="center"/>
    </xf>
    <xf numFmtId="176" fontId="20" fillId="0" borderId="8" xfId="12" applyNumberFormat="1" applyFont="1" applyBorder="1" applyAlignment="1">
      <alignment vertical="center"/>
    </xf>
    <xf numFmtId="0" fontId="15" fillId="2" borderId="0" xfId="11" applyNumberFormat="1" applyFont="1" applyFill="1" applyAlignment="1">
      <alignment vertical="center"/>
    </xf>
    <xf numFmtId="0" fontId="15" fillId="2" borderId="0" xfId="11" applyFont="1" applyFill="1" applyAlignment="1">
      <alignment vertical="center"/>
    </xf>
    <xf numFmtId="41" fontId="20" fillId="0" borderId="6" xfId="3" applyNumberFormat="1" applyFont="1" applyFill="1" applyBorder="1" applyAlignment="1">
      <alignment horizontal="left" vertical="center"/>
    </xf>
    <xf numFmtId="0" fontId="20" fillId="0" borderId="23" xfId="3" applyNumberFormat="1" applyFont="1" applyFill="1" applyBorder="1" applyAlignment="1">
      <alignment horizontal="left" vertical="center"/>
    </xf>
    <xf numFmtId="41" fontId="18" fillId="3" borderId="50" xfId="12" applyFont="1" applyFill="1" applyBorder="1" applyAlignment="1">
      <alignment horizontal="right" vertical="center"/>
    </xf>
    <xf numFmtId="176" fontId="18" fillId="3" borderId="61" xfId="12" applyNumberFormat="1" applyFont="1" applyFill="1" applyBorder="1" applyAlignment="1">
      <alignment horizontal="right" vertical="center"/>
    </xf>
    <xf numFmtId="177" fontId="18" fillId="2" borderId="47" xfId="0" applyNumberFormat="1" applyFont="1" applyFill="1" applyBorder="1" applyAlignment="1">
      <alignment vertical="center"/>
    </xf>
    <xf numFmtId="177" fontId="18" fillId="2" borderId="44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horizontal="left" vertical="center"/>
    </xf>
    <xf numFmtId="177" fontId="18" fillId="2" borderId="2" xfId="0" applyNumberFormat="1" applyFont="1" applyFill="1" applyBorder="1" applyAlignment="1">
      <alignment horizontal="left" vertical="center"/>
    </xf>
    <xf numFmtId="177" fontId="18" fillId="2" borderId="3" xfId="0" applyNumberFormat="1" applyFont="1" applyFill="1" applyBorder="1" applyAlignment="1">
      <alignment horizontal="left" vertical="center"/>
    </xf>
    <xf numFmtId="177" fontId="15" fillId="2" borderId="2" xfId="0" applyNumberFormat="1" applyFont="1" applyFill="1" applyBorder="1" applyAlignment="1">
      <alignment horizontal="left" vertical="center"/>
    </xf>
    <xf numFmtId="177" fontId="15" fillId="2" borderId="12" xfId="0" applyNumberFormat="1" applyFont="1" applyFill="1" applyBorder="1" applyAlignment="1">
      <alignment horizontal="left" vertical="center"/>
    </xf>
    <xf numFmtId="177" fontId="15" fillId="2" borderId="7" xfId="0" applyNumberFormat="1" applyFont="1" applyFill="1" applyBorder="1" applyAlignment="1">
      <alignment horizontal="left" vertical="center"/>
    </xf>
    <xf numFmtId="177" fontId="15" fillId="2" borderId="3" xfId="0" applyNumberFormat="1" applyFont="1" applyFill="1" applyBorder="1" applyAlignment="1">
      <alignment horizontal="left" vertical="center"/>
    </xf>
    <xf numFmtId="177" fontId="15" fillId="2" borderId="8" xfId="0" applyNumberFormat="1" applyFont="1" applyFill="1" applyBorder="1" applyAlignment="1">
      <alignment horizontal="left" vertical="center"/>
    </xf>
    <xf numFmtId="177" fontId="15" fillId="2" borderId="19" xfId="0" applyNumberFormat="1" applyFont="1" applyFill="1" applyBorder="1" applyAlignment="1">
      <alignment horizontal="left" vertical="center"/>
    </xf>
    <xf numFmtId="177" fontId="15" fillId="2" borderId="46" xfId="0" applyNumberFormat="1" applyFont="1" applyFill="1" applyBorder="1" applyAlignment="1">
      <alignment horizontal="left" vertical="center"/>
    </xf>
    <xf numFmtId="0" fontId="0" fillId="0" borderId="0" xfId="0" applyNumberFormat="1" applyAlignment="1">
      <alignment vertical="center"/>
    </xf>
    <xf numFmtId="177" fontId="18" fillId="35" borderId="23" xfId="0" applyNumberFormat="1" applyFont="1" applyFill="1" applyBorder="1" applyAlignment="1">
      <alignment vertical="center"/>
    </xf>
    <xf numFmtId="177" fontId="18" fillId="35" borderId="6" xfId="0" applyNumberFormat="1" applyFont="1" applyFill="1" applyBorder="1" applyAlignment="1">
      <alignment vertical="center"/>
    </xf>
    <xf numFmtId="177" fontId="18" fillId="35" borderId="29" xfId="0" applyNumberFormat="1" applyFont="1" applyFill="1" applyBorder="1" applyAlignment="1">
      <alignment vertical="center"/>
    </xf>
    <xf numFmtId="177" fontId="18" fillId="2" borderId="23" xfId="0" applyNumberFormat="1" applyFont="1" applyFill="1" applyBorder="1" applyAlignment="1">
      <alignment vertical="center"/>
    </xf>
    <xf numFmtId="177" fontId="18" fillId="2" borderId="6" xfId="0" applyNumberFormat="1" applyFont="1" applyFill="1" applyBorder="1" applyAlignment="1">
      <alignment vertical="center"/>
    </xf>
    <xf numFmtId="177" fontId="18" fillId="2" borderId="29" xfId="0" applyNumberFormat="1" applyFont="1" applyFill="1" applyBorder="1" applyAlignment="1">
      <alignment vertical="center"/>
    </xf>
    <xf numFmtId="41" fontId="31" fillId="0" borderId="20" xfId="3" applyNumberFormat="1" applyFont="1" applyFill="1" applyBorder="1" applyAlignment="1">
      <alignment horizontal="right" vertical="center"/>
    </xf>
    <xf numFmtId="0" fontId="13" fillId="0" borderId="0" xfId="11" applyNumberFormat="1" applyFill="1" applyAlignment="1"/>
    <xf numFmtId="0" fontId="28" fillId="0" borderId="0" xfId="11" applyNumberFormat="1" applyFont="1" applyFill="1" applyAlignment="1"/>
    <xf numFmtId="176" fontId="19" fillId="3" borderId="50" xfId="12" applyNumberFormat="1" applyFont="1" applyFill="1" applyBorder="1" applyAlignment="1">
      <alignment horizontal="right" vertical="center"/>
    </xf>
    <xf numFmtId="0" fontId="26" fillId="0" borderId="12" xfId="11" applyNumberFormat="1" applyFont="1" applyFill="1" applyBorder="1" applyAlignment="1">
      <alignment horizontal="left" vertical="center"/>
    </xf>
    <xf numFmtId="0" fontId="26" fillId="0" borderId="2" xfId="11" applyNumberFormat="1" applyFont="1" applyFill="1" applyBorder="1" applyAlignment="1">
      <alignment horizontal="left" vertical="center"/>
    </xf>
    <xf numFmtId="0" fontId="26" fillId="0" borderId="1" xfId="11" applyNumberFormat="1" applyFont="1" applyFill="1" applyBorder="1" applyAlignment="1">
      <alignment horizontal="left" vertical="center"/>
    </xf>
    <xf numFmtId="0" fontId="26" fillId="0" borderId="29" xfId="11" applyNumberFormat="1" applyFont="1" applyFill="1" applyBorder="1" applyAlignment="1">
      <alignment horizontal="left" vertical="center"/>
    </xf>
    <xf numFmtId="0" fontId="24" fillId="0" borderId="26" xfId="11" applyNumberFormat="1" applyFont="1" applyFill="1" applyBorder="1" applyAlignment="1">
      <alignment vertical="top"/>
    </xf>
    <xf numFmtId="3" fontId="20" fillId="0" borderId="10" xfId="5" applyNumberFormat="1" applyFont="1" applyFill="1" applyBorder="1" applyAlignment="1">
      <alignment horizontal="right" vertical="center"/>
    </xf>
    <xf numFmtId="0" fontId="20" fillId="0" borderId="3" xfId="17" applyFont="1" applyBorder="1" applyAlignment="1">
      <alignment horizontal="left" vertical="top"/>
    </xf>
    <xf numFmtId="3" fontId="19" fillId="0" borderId="10" xfId="5" applyNumberFormat="1" applyFont="1" applyFill="1" applyBorder="1" applyAlignment="1">
      <alignment horizontal="right" vertical="center"/>
    </xf>
    <xf numFmtId="0" fontId="20" fillId="0" borderId="2" xfId="5" applyFont="1" applyBorder="1" applyAlignment="1">
      <alignment vertical="top"/>
    </xf>
    <xf numFmtId="0" fontId="20" fillId="0" borderId="8" xfId="5" applyFont="1" applyBorder="1" applyAlignment="1">
      <alignment vertical="top"/>
    </xf>
    <xf numFmtId="3" fontId="20" fillId="0" borderId="11" xfId="5" applyNumberFormat="1" applyFont="1" applyFill="1" applyBorder="1" applyAlignment="1">
      <alignment horizontal="right" vertical="center"/>
    </xf>
    <xf numFmtId="0" fontId="20" fillId="0" borderId="26" xfId="5" applyFont="1" applyBorder="1" applyAlignment="1">
      <alignment vertical="top"/>
    </xf>
    <xf numFmtId="0" fontId="20" fillId="0" borderId="4" xfId="5" applyFont="1" applyFill="1" applyBorder="1" applyAlignment="1">
      <alignment horizontal="justify" vertical="center"/>
    </xf>
    <xf numFmtId="0" fontId="20" fillId="0" borderId="3" xfId="5" applyFont="1" applyBorder="1" applyAlignment="1">
      <alignment vertical="top"/>
    </xf>
    <xf numFmtId="0" fontId="20" fillId="0" borderId="19" xfId="5" applyFont="1" applyBorder="1" applyAlignment="1">
      <alignment vertical="top"/>
    </xf>
    <xf numFmtId="176" fontId="18" fillId="0" borderId="7" xfId="12" applyNumberFormat="1" applyFont="1" applyFill="1" applyBorder="1" applyAlignment="1">
      <alignment vertical="center"/>
    </xf>
    <xf numFmtId="176" fontId="20" fillId="0" borderId="3" xfId="12" applyNumberFormat="1" applyFont="1" applyBorder="1" applyAlignment="1">
      <alignment vertical="center"/>
    </xf>
    <xf numFmtId="0" fontId="20" fillId="0" borderId="0" xfId="11" applyFont="1" applyFill="1" applyBorder="1" applyAlignment="1">
      <alignment horizontal="center" vertical="center"/>
    </xf>
    <xf numFmtId="0" fontId="20" fillId="0" borderId="5" xfId="11" applyFont="1" applyFill="1" applyBorder="1" applyAlignment="1">
      <alignment horizontal="center" vertical="center"/>
    </xf>
    <xf numFmtId="0" fontId="9" fillId="0" borderId="32" xfId="2" applyNumberFormat="1" applyFont="1" applyFill="1" applyBorder="1" applyAlignment="1">
      <alignment vertical="center"/>
    </xf>
    <xf numFmtId="0" fontId="20" fillId="0" borderId="3" xfId="17" applyFont="1" applyBorder="1" applyAlignment="1">
      <alignment vertical="center"/>
    </xf>
    <xf numFmtId="178" fontId="20" fillId="0" borderId="3" xfId="10" applyNumberFormat="1" applyFont="1" applyBorder="1" applyAlignment="1">
      <alignment horizontal="right" vertical="center"/>
    </xf>
    <xf numFmtId="179" fontId="20" fillId="0" borderId="3" xfId="10" applyNumberFormat="1" applyFont="1" applyBorder="1" applyAlignment="1">
      <alignment vertical="center"/>
    </xf>
    <xf numFmtId="0" fontId="20" fillId="0" borderId="1" xfId="17" applyFont="1" applyFill="1" applyBorder="1" applyAlignment="1">
      <alignment horizontal="center" vertical="center" shrinkToFit="1"/>
    </xf>
    <xf numFmtId="178" fontId="20" fillId="0" borderId="3" xfId="12" applyNumberFormat="1" applyFont="1" applyBorder="1" applyAlignment="1">
      <alignment vertical="center"/>
    </xf>
    <xf numFmtId="0" fontId="20" fillId="0" borderId="5" xfId="17" applyFont="1" applyFill="1" applyBorder="1" applyAlignment="1">
      <alignment horizontal="center" vertical="center" shrinkToFit="1"/>
    </xf>
    <xf numFmtId="176" fontId="20" fillId="0" borderId="1" xfId="12" applyNumberFormat="1" applyFont="1" applyBorder="1" applyAlignment="1">
      <alignment vertical="center"/>
    </xf>
    <xf numFmtId="178" fontId="20" fillId="0" borderId="19" xfId="10" applyNumberFormat="1" applyFont="1" applyBorder="1" applyAlignment="1">
      <alignment horizontal="right" vertical="center"/>
    </xf>
    <xf numFmtId="0" fontId="20" fillId="0" borderId="20" xfId="17" applyFont="1" applyFill="1" applyBorder="1" applyAlignment="1">
      <alignment horizontal="center" vertical="center" shrinkToFit="1"/>
    </xf>
    <xf numFmtId="0" fontId="19" fillId="0" borderId="12" xfId="65" applyNumberFormat="1" applyFont="1" applyFill="1" applyBorder="1" applyAlignment="1">
      <alignment horizontal="left" vertical="center"/>
    </xf>
    <xf numFmtId="0" fontId="20" fillId="0" borderId="12" xfId="65" applyNumberFormat="1" applyFont="1" applyFill="1" applyBorder="1" applyAlignment="1">
      <alignment horizontal="left" vertical="center"/>
    </xf>
    <xf numFmtId="0" fontId="20" fillId="0" borderId="4" xfId="65" applyNumberFormat="1" applyFont="1" applyFill="1" applyBorder="1" applyAlignment="1">
      <alignment horizontal="left" vertical="center"/>
    </xf>
    <xf numFmtId="3" fontId="19" fillId="0" borderId="17" xfId="5" applyNumberFormat="1" applyFont="1" applyFill="1" applyBorder="1" applyAlignment="1">
      <alignment horizontal="right" vertical="center"/>
    </xf>
    <xf numFmtId="0" fontId="26" fillId="0" borderId="0" xfId="11" applyNumberFormat="1" applyFont="1" applyFill="1" applyBorder="1" applyAlignment="1">
      <alignment horizontal="left" vertical="center"/>
    </xf>
    <xf numFmtId="41" fontId="24" fillId="0" borderId="23" xfId="65" applyNumberFormat="1" applyFont="1" applyFill="1" applyBorder="1" applyAlignment="1">
      <alignment horizontal="center" vertical="center"/>
    </xf>
    <xf numFmtId="0" fontId="26" fillId="0" borderId="26" xfId="11" applyNumberFormat="1" applyFont="1" applyFill="1" applyBorder="1" applyAlignment="1">
      <alignment horizontal="left" vertical="center"/>
    </xf>
    <xf numFmtId="0" fontId="20" fillId="0" borderId="2" xfId="17" applyFont="1" applyBorder="1" applyAlignment="1">
      <alignment horizontal="left" vertical="top"/>
    </xf>
    <xf numFmtId="178" fontId="20" fillId="0" borderId="26" xfId="10" applyNumberFormat="1" applyFont="1" applyBorder="1" applyAlignment="1">
      <alignment horizontal="right" vertical="center"/>
    </xf>
    <xf numFmtId="0" fontId="20" fillId="0" borderId="8" xfId="5" applyFont="1" applyBorder="1" applyAlignment="1">
      <alignment vertical="center"/>
    </xf>
    <xf numFmtId="178" fontId="20" fillId="0" borderId="9" xfId="10" applyNumberFormat="1" applyFont="1" applyBorder="1" applyAlignment="1">
      <alignment horizontal="right" vertical="center"/>
    </xf>
    <xf numFmtId="0" fontId="20" fillId="0" borderId="18" xfId="11" applyFont="1" applyBorder="1" applyAlignment="1">
      <alignment vertical="center"/>
    </xf>
    <xf numFmtId="0" fontId="20" fillId="0" borderId="19" xfId="11" applyFont="1" applyBorder="1" applyAlignment="1">
      <alignment vertical="center"/>
    </xf>
    <xf numFmtId="0" fontId="20" fillId="0" borderId="19" xfId="17" applyFont="1" applyBorder="1" applyAlignment="1">
      <alignment horizontal="left" vertical="top"/>
    </xf>
    <xf numFmtId="0" fontId="20" fillId="0" borderId="19" xfId="17" applyFont="1" applyBorder="1" applyAlignment="1">
      <alignment vertical="center"/>
    </xf>
    <xf numFmtId="179" fontId="15" fillId="0" borderId="19" xfId="65" applyNumberFormat="1" applyFont="1" applyFill="1" applyBorder="1" applyAlignment="1">
      <alignment horizontal="right" vertical="center"/>
    </xf>
    <xf numFmtId="0" fontId="20" fillId="0" borderId="25" xfId="65" applyNumberFormat="1" applyFont="1" applyFill="1" applyBorder="1" applyAlignment="1">
      <alignment horizontal="left" vertical="center"/>
    </xf>
    <xf numFmtId="0" fontId="20" fillId="0" borderId="20" xfId="11" applyFont="1" applyFill="1" applyBorder="1" applyAlignment="1">
      <alignment horizontal="center" vertical="center"/>
    </xf>
    <xf numFmtId="3" fontId="20" fillId="0" borderId="11" xfId="11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right" vertical="center"/>
    </xf>
    <xf numFmtId="41" fontId="19" fillId="0" borderId="15" xfId="3" applyNumberFormat="1" applyFont="1" applyFill="1" applyBorder="1" applyAlignment="1">
      <alignment horizontal="right" vertical="center"/>
    </xf>
    <xf numFmtId="41" fontId="19" fillId="0" borderId="15" xfId="65" applyFon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177" fontId="15" fillId="2" borderId="24" xfId="0" applyNumberFormat="1" applyFont="1" applyFill="1" applyBorder="1" applyAlignment="1">
      <alignment vertical="center"/>
    </xf>
    <xf numFmtId="177" fontId="15" fillId="2" borderId="25" xfId="0" applyNumberFormat="1" applyFont="1" applyFill="1" applyBorder="1" applyAlignment="1">
      <alignment horizontal="left" vertical="center"/>
    </xf>
    <xf numFmtId="177" fontId="18" fillId="2" borderId="42" xfId="0" applyNumberFormat="1" applyFont="1" applyFill="1" applyBorder="1" applyAlignment="1">
      <alignment vertical="center"/>
    </xf>
    <xf numFmtId="176" fontId="15" fillId="0" borderId="46" xfId="12" applyNumberFormat="1" applyFont="1" applyFill="1" applyBorder="1" applyAlignment="1">
      <alignment vertical="center"/>
    </xf>
    <xf numFmtId="3" fontId="20" fillId="0" borderId="28" xfId="5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left" vertical="center"/>
    </xf>
    <xf numFmtId="0" fontId="24" fillId="0" borderId="8" xfId="11" applyNumberFormat="1" applyFont="1" applyFill="1" applyBorder="1" applyAlignment="1">
      <alignment vertical="top"/>
    </xf>
    <xf numFmtId="0" fontId="9" fillId="0" borderId="2" xfId="2" applyNumberFormat="1" applyFont="1" applyFill="1" applyBorder="1" applyAlignment="1">
      <alignment vertical="center"/>
    </xf>
    <xf numFmtId="176" fontId="49" fillId="0" borderId="0" xfId="0" applyNumberFormat="1" applyFont="1">
      <alignment vertical="center"/>
    </xf>
    <xf numFmtId="177" fontId="18" fillId="35" borderId="47" xfId="0" applyNumberFormat="1" applyFont="1" applyFill="1" applyBorder="1" applyAlignment="1">
      <alignment vertical="center"/>
    </xf>
    <xf numFmtId="176" fontId="18" fillId="35" borderId="8" xfId="12" applyNumberFormat="1" applyFont="1" applyFill="1" applyBorder="1" applyAlignment="1">
      <alignment vertical="center"/>
    </xf>
    <xf numFmtId="3" fontId="49" fillId="0" borderId="0" xfId="0" applyNumberFormat="1" applyFont="1">
      <alignment vertical="center"/>
    </xf>
    <xf numFmtId="177" fontId="18" fillId="2" borderId="16" xfId="0" applyNumberFormat="1" applyFont="1" applyFill="1" applyBorder="1" applyAlignment="1">
      <alignment vertical="center"/>
    </xf>
    <xf numFmtId="177" fontId="18" fillId="0" borderId="27" xfId="0" applyNumberFormat="1" applyFont="1" applyFill="1" applyBorder="1" applyAlignment="1">
      <alignment vertical="center"/>
    </xf>
    <xf numFmtId="0" fontId="11" fillId="0" borderId="0" xfId="0" applyNumberFormat="1" applyFont="1">
      <alignment vertical="center"/>
    </xf>
    <xf numFmtId="177" fontId="18" fillId="2" borderId="1" xfId="0" applyNumberFormat="1" applyFont="1" applyFill="1" applyBorder="1" applyAlignment="1">
      <alignment vertical="center"/>
    </xf>
    <xf numFmtId="0" fontId="18" fillId="2" borderId="7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vertical="center"/>
    </xf>
    <xf numFmtId="0" fontId="18" fillId="2" borderId="23" xfId="0" applyNumberFormat="1" applyFont="1" applyFill="1" applyBorder="1" applyAlignment="1">
      <alignment vertical="center"/>
    </xf>
    <xf numFmtId="177" fontId="18" fillId="0" borderId="2" xfId="0" applyNumberFormat="1" applyFont="1" applyFill="1" applyBorder="1" applyAlignment="1">
      <alignment vertical="center"/>
    </xf>
    <xf numFmtId="177" fontId="18" fillId="35" borderId="5" xfId="0" applyNumberFormat="1" applyFont="1" applyFill="1" applyBorder="1" applyAlignment="1">
      <alignment vertical="center"/>
    </xf>
    <xf numFmtId="177" fontId="18" fillId="2" borderId="24" xfId="0" applyNumberFormat="1" applyFont="1" applyFill="1" applyBorder="1" applyAlignment="1">
      <alignment vertical="center"/>
    </xf>
    <xf numFmtId="177" fontId="18" fillId="2" borderId="19" xfId="0" applyNumberFormat="1" applyFont="1" applyFill="1" applyBorder="1" applyAlignment="1">
      <alignment horizontal="left" vertical="center"/>
    </xf>
    <xf numFmtId="177" fontId="18" fillId="2" borderId="25" xfId="0" applyNumberFormat="1" applyFont="1" applyFill="1" applyBorder="1" applyAlignment="1">
      <alignment horizontal="left" vertical="center"/>
    </xf>
    <xf numFmtId="0" fontId="9" fillId="0" borderId="4" xfId="2" applyNumberFormat="1" applyFont="1" applyFill="1" applyBorder="1" applyAlignment="1">
      <alignment vertical="center"/>
    </xf>
    <xf numFmtId="0" fontId="9" fillId="0" borderId="5" xfId="2" applyNumberFormat="1" applyFont="1" applyFill="1" applyBorder="1" applyAlignment="1">
      <alignment vertical="center"/>
    </xf>
    <xf numFmtId="0" fontId="9" fillId="0" borderId="9" xfId="2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top"/>
    </xf>
    <xf numFmtId="180" fontId="31" fillId="0" borderId="20" xfId="3" applyNumberFormat="1" applyFont="1" applyFill="1" applyBorder="1" applyAlignment="1">
      <alignment horizontal="right" vertical="center"/>
    </xf>
    <xf numFmtId="180" fontId="24" fillId="3" borderId="38" xfId="11" applyNumberFormat="1" applyFont="1" applyFill="1" applyBorder="1" applyAlignment="1">
      <alignment horizontal="right" vertical="center"/>
    </xf>
    <xf numFmtId="180" fontId="20" fillId="0" borderId="11" xfId="3" applyNumberFormat="1" applyFont="1" applyFill="1" applyBorder="1" applyAlignment="1">
      <alignment horizontal="right" vertical="center"/>
    </xf>
    <xf numFmtId="180" fontId="19" fillId="0" borderId="15" xfId="3" applyNumberFormat="1" applyFont="1" applyFill="1" applyBorder="1" applyAlignment="1">
      <alignment horizontal="right" vertical="center"/>
    </xf>
    <xf numFmtId="176" fontId="15" fillId="0" borderId="8" xfId="3" applyNumberFormat="1" applyFont="1" applyFill="1" applyBorder="1" applyAlignment="1">
      <alignment horizontal="right" vertical="center"/>
    </xf>
    <xf numFmtId="176" fontId="15" fillId="0" borderId="2" xfId="3" applyNumberFormat="1" applyFont="1" applyFill="1" applyBorder="1" applyAlignment="1">
      <alignment horizontal="right" vertical="center"/>
    </xf>
    <xf numFmtId="180" fontId="19" fillId="0" borderId="17" xfId="5" applyNumberFormat="1" applyFont="1" applyFill="1" applyBorder="1" applyAlignment="1">
      <alignment horizontal="right" vertical="center"/>
    </xf>
    <xf numFmtId="180" fontId="20" fillId="0" borderId="28" xfId="5" applyNumberFormat="1" applyFont="1" applyFill="1" applyBorder="1" applyAlignment="1">
      <alignment horizontal="right" vertical="center"/>
    </xf>
    <xf numFmtId="0" fontId="19" fillId="0" borderId="5" xfId="11" applyFont="1" applyFill="1" applyBorder="1" applyAlignment="1">
      <alignment vertical="center" shrinkToFit="1"/>
    </xf>
    <xf numFmtId="0" fontId="20" fillId="0" borderId="5" xfId="65" applyNumberFormat="1" applyFont="1" applyFill="1" applyBorder="1" applyAlignment="1">
      <alignment horizontal="center" vertical="center" shrinkToFit="1"/>
    </xf>
    <xf numFmtId="180" fontId="19" fillId="0" borderId="11" xfId="65" applyNumberFormat="1" applyFont="1" applyFill="1" applyBorder="1" applyAlignment="1">
      <alignment horizontal="right" vertical="center"/>
    </xf>
    <xf numFmtId="184" fontId="20" fillId="0" borderId="19" xfId="10" applyNumberFormat="1" applyFont="1" applyBorder="1" applyAlignment="1">
      <alignment horizontal="right"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right" vertical="center"/>
    </xf>
    <xf numFmtId="176" fontId="18" fillId="3" borderId="50" xfId="12" applyNumberFormat="1" applyFont="1" applyFill="1" applyBorder="1" applyAlignment="1">
      <alignment vertical="center"/>
    </xf>
    <xf numFmtId="177" fontId="15" fillId="2" borderId="7" xfId="0" applyNumberFormat="1" applyFont="1" applyFill="1" applyBorder="1" applyAlignment="1">
      <alignment vertical="center"/>
    </xf>
    <xf numFmtId="41" fontId="20" fillId="0" borderId="20" xfId="3" applyNumberFormat="1" applyFont="1" applyFill="1" applyBorder="1" applyAlignment="1">
      <alignment horizontal="right" vertical="center"/>
    </xf>
    <xf numFmtId="176" fontId="18" fillId="3" borderId="45" xfId="3" applyNumberFormat="1" applyFont="1" applyFill="1" applyBorder="1" applyAlignment="1">
      <alignment horizontal="right" vertical="center"/>
    </xf>
    <xf numFmtId="176" fontId="18" fillId="0" borderId="22" xfId="3" applyNumberFormat="1" applyFont="1" applyFill="1" applyBorder="1" applyAlignment="1">
      <alignment horizontal="right" vertical="center"/>
    </xf>
    <xf numFmtId="0" fontId="19" fillId="0" borderId="69" xfId="2" applyNumberFormat="1" applyFont="1" applyFill="1" applyBorder="1" applyAlignment="1">
      <alignment vertical="center"/>
    </xf>
    <xf numFmtId="0" fontId="19" fillId="0" borderId="4" xfId="2" applyNumberFormat="1" applyFont="1" applyFill="1" applyBorder="1" applyAlignment="1">
      <alignment vertical="center"/>
    </xf>
    <xf numFmtId="176" fontId="26" fillId="0" borderId="8" xfId="12" applyNumberFormat="1" applyFont="1" applyFill="1" applyBorder="1" applyAlignment="1">
      <alignment horizontal="right" vertical="center"/>
    </xf>
    <xf numFmtId="0" fontId="20" fillId="0" borderId="16" xfId="2" applyNumberFormat="1" applyFont="1" applyFill="1" applyBorder="1" applyAlignment="1">
      <alignment vertical="center"/>
    </xf>
    <xf numFmtId="0" fontId="19" fillId="0" borderId="23" xfId="2" applyNumberFormat="1" applyFont="1" applyFill="1" applyBorder="1" applyAlignment="1">
      <alignment vertical="center"/>
    </xf>
    <xf numFmtId="0" fontId="24" fillId="0" borderId="18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top"/>
    </xf>
    <xf numFmtId="0" fontId="24" fillId="0" borderId="70" xfId="11" applyNumberFormat="1" applyFont="1" applyFill="1" applyBorder="1" applyAlignment="1">
      <alignment vertical="top"/>
    </xf>
    <xf numFmtId="179" fontId="20" fillId="0" borderId="19" xfId="65" applyNumberFormat="1" applyFont="1" applyFill="1" applyBorder="1" applyAlignment="1">
      <alignment horizontal="right" vertical="center"/>
    </xf>
    <xf numFmtId="176" fontId="18" fillId="3" borderId="2" xfId="12" applyNumberFormat="1" applyFont="1" applyFill="1" applyBorder="1" applyAlignment="1">
      <alignment vertical="center"/>
    </xf>
    <xf numFmtId="177" fontId="18" fillId="35" borderId="65" xfId="0" applyNumberFormat="1" applyFont="1" applyFill="1" applyBorder="1" applyAlignment="1">
      <alignment vertical="center"/>
    </xf>
    <xf numFmtId="177" fontId="18" fillId="35" borderId="21" xfId="0" applyNumberFormat="1" applyFont="1" applyFill="1" applyBorder="1" applyAlignment="1">
      <alignment vertical="center"/>
    </xf>
    <xf numFmtId="177" fontId="18" fillId="35" borderId="0" xfId="0" applyNumberFormat="1" applyFont="1" applyFill="1" applyBorder="1" applyAlignment="1">
      <alignment horizontal="center" vertical="center"/>
    </xf>
    <xf numFmtId="177" fontId="18" fillId="35" borderId="26" xfId="0" applyNumberFormat="1" applyFont="1" applyFill="1" applyBorder="1" applyAlignment="1">
      <alignment horizontal="center" vertical="center"/>
    </xf>
    <xf numFmtId="176" fontId="18" fillId="35" borderId="22" xfId="12" applyNumberFormat="1" applyFont="1" applyFill="1" applyBorder="1" applyAlignment="1">
      <alignment vertical="center"/>
    </xf>
    <xf numFmtId="176" fontId="18" fillId="35" borderId="66" xfId="12" applyNumberFormat="1" applyFont="1" applyFill="1" applyBorder="1" applyAlignment="1">
      <alignment horizontal="right" vertical="center"/>
    </xf>
    <xf numFmtId="177" fontId="18" fillId="35" borderId="71" xfId="0" applyNumberFormat="1" applyFont="1" applyFill="1" applyBorder="1" applyAlignment="1">
      <alignment vertical="center"/>
    </xf>
    <xf numFmtId="177" fontId="18" fillId="2" borderId="69" xfId="0" applyNumberFormat="1" applyFont="1" applyFill="1" applyBorder="1" applyAlignment="1">
      <alignment vertical="center"/>
    </xf>
    <xf numFmtId="0" fontId="0" fillId="0" borderId="0" xfId="0" applyNumberFormat="1" applyFill="1">
      <alignment vertical="center"/>
    </xf>
    <xf numFmtId="177" fontId="18" fillId="2" borderId="18" xfId="0" applyNumberFormat="1" applyFont="1" applyFill="1" applyBorder="1" applyAlignment="1">
      <alignment vertical="center"/>
    </xf>
    <xf numFmtId="177" fontId="18" fillId="36" borderId="44" xfId="0" applyNumberFormat="1" applyFont="1" applyFill="1" applyBorder="1" applyAlignment="1">
      <alignment vertical="center"/>
    </xf>
    <xf numFmtId="177" fontId="18" fillId="36" borderId="5" xfId="0" applyNumberFormat="1" applyFont="1" applyFill="1" applyBorder="1" applyAlignment="1">
      <alignment vertical="center"/>
    </xf>
    <xf numFmtId="176" fontId="18" fillId="36" borderId="8" xfId="12" applyNumberFormat="1" applyFont="1" applyFill="1" applyBorder="1" applyAlignment="1">
      <alignment vertical="center"/>
    </xf>
    <xf numFmtId="176" fontId="18" fillId="36" borderId="73" xfId="12" applyNumberFormat="1" applyFont="1" applyFill="1" applyBorder="1" applyAlignment="1">
      <alignment horizontal="right" vertical="center"/>
    </xf>
    <xf numFmtId="177" fontId="18" fillId="36" borderId="47" xfId="0" applyNumberFormat="1" applyFont="1" applyFill="1" applyBorder="1" applyAlignment="1">
      <alignment vertical="center"/>
    </xf>
    <xf numFmtId="177" fontId="18" fillId="36" borderId="6" xfId="0" applyNumberFormat="1" applyFont="1" applyFill="1" applyBorder="1" applyAlignment="1">
      <alignment vertical="center"/>
    </xf>
    <xf numFmtId="177" fontId="18" fillId="36" borderId="29" xfId="0" applyNumberFormat="1" applyFont="1" applyFill="1" applyBorder="1" applyAlignment="1">
      <alignment vertical="center"/>
    </xf>
    <xf numFmtId="177" fontId="18" fillId="36" borderId="20" xfId="0" applyNumberFormat="1" applyFont="1" applyFill="1" applyBorder="1" applyAlignment="1">
      <alignment vertical="center"/>
    </xf>
    <xf numFmtId="177" fontId="18" fillId="36" borderId="70" xfId="0" applyNumberFormat="1" applyFont="1" applyFill="1" applyBorder="1" applyAlignment="1">
      <alignment vertical="center"/>
    </xf>
    <xf numFmtId="176" fontId="18" fillId="36" borderId="19" xfId="12" applyNumberFormat="1" applyFont="1" applyFill="1" applyBorder="1" applyAlignment="1">
      <alignment vertical="center"/>
    </xf>
    <xf numFmtId="177" fontId="18" fillId="36" borderId="23" xfId="0" applyNumberFormat="1" applyFont="1" applyFill="1" applyBorder="1" applyAlignment="1">
      <alignment vertical="center"/>
    </xf>
    <xf numFmtId="176" fontId="18" fillId="36" borderId="7" xfId="12" applyNumberFormat="1" applyFont="1" applyFill="1" applyBorder="1" applyAlignment="1">
      <alignment vertical="center"/>
    </xf>
    <xf numFmtId="176" fontId="18" fillId="36" borderId="35" xfId="12" applyNumberFormat="1" applyFont="1" applyFill="1" applyBorder="1" applyAlignment="1">
      <alignment horizontal="right" vertical="center"/>
    </xf>
    <xf numFmtId="0" fontId="20" fillId="2" borderId="16" xfId="11" applyFont="1" applyFill="1" applyBorder="1" applyAlignment="1">
      <alignment vertical="center"/>
    </xf>
    <xf numFmtId="0" fontId="20" fillId="2" borderId="2" xfId="11" applyFont="1" applyFill="1" applyBorder="1" applyAlignment="1">
      <alignment vertical="center"/>
    </xf>
    <xf numFmtId="176" fontId="18" fillId="0" borderId="2" xfId="3" applyNumberFormat="1" applyFont="1" applyFill="1" applyBorder="1" applyAlignment="1">
      <alignment horizontal="right" vertical="center"/>
    </xf>
    <xf numFmtId="176" fontId="19" fillId="0" borderId="8" xfId="3" applyNumberFormat="1" applyFont="1" applyFill="1" applyBorder="1" applyAlignment="1">
      <alignment vertical="center"/>
    </xf>
    <xf numFmtId="177" fontId="18" fillId="36" borderId="9" xfId="0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76" fontId="18" fillId="3" borderId="50" xfId="3" applyNumberFormat="1" applyFont="1" applyFill="1" applyBorder="1" applyAlignment="1">
      <alignment horizontal="right" vertical="center"/>
    </xf>
    <xf numFmtId="177" fontId="15" fillId="2" borderId="16" xfId="0" applyNumberFormat="1" applyFont="1" applyFill="1" applyBorder="1" applyAlignment="1">
      <alignment vertical="center"/>
    </xf>
    <xf numFmtId="177" fontId="18" fillId="35" borderId="4" xfId="0" applyNumberFormat="1" applyFont="1" applyFill="1" applyBorder="1" applyAlignment="1">
      <alignment vertical="center"/>
    </xf>
    <xf numFmtId="177" fontId="18" fillId="35" borderId="9" xfId="0" applyNumberFormat="1" applyFont="1" applyFill="1" applyBorder="1" applyAlignment="1">
      <alignment vertical="center"/>
    </xf>
    <xf numFmtId="176" fontId="18" fillId="35" borderId="73" xfId="12" applyNumberFormat="1" applyFont="1" applyFill="1" applyBorder="1" applyAlignment="1">
      <alignment horizontal="right" vertical="center" shrinkToFit="1"/>
    </xf>
    <xf numFmtId="176" fontId="15" fillId="2" borderId="7" xfId="12" applyNumberFormat="1" applyFont="1" applyFill="1" applyBorder="1" applyAlignment="1">
      <alignment vertical="center"/>
    </xf>
    <xf numFmtId="176" fontId="18" fillId="35" borderId="19" xfId="12" applyNumberFormat="1" applyFont="1" applyFill="1" applyBorder="1" applyAlignment="1">
      <alignment vertical="center"/>
    </xf>
    <xf numFmtId="177" fontId="18" fillId="2" borderId="8" xfId="0" applyNumberFormat="1" applyFont="1" applyFill="1" applyBorder="1" applyAlignment="1">
      <alignment vertical="center"/>
    </xf>
    <xf numFmtId="177" fontId="18" fillId="2" borderId="2" xfId="0" applyNumberFormat="1" applyFont="1" applyFill="1" applyBorder="1" applyAlignment="1">
      <alignment vertical="center"/>
    </xf>
    <xf numFmtId="0" fontId="20" fillId="0" borderId="26" xfId="5" applyFont="1" applyFill="1" applyBorder="1" applyAlignment="1">
      <alignment vertical="top"/>
    </xf>
    <xf numFmtId="0" fontId="24" fillId="0" borderId="4" xfId="11" applyNumberFormat="1" applyFont="1" applyFill="1" applyBorder="1" applyAlignment="1">
      <alignment vertical="center"/>
    </xf>
    <xf numFmtId="41" fontId="19" fillId="0" borderId="11" xfId="65" applyFont="1" applyFill="1" applyBorder="1" applyAlignment="1">
      <alignment horizontal="right" vertical="center"/>
    </xf>
    <xf numFmtId="0" fontId="20" fillId="0" borderId="19" xfId="5" applyFont="1" applyBorder="1" applyAlignment="1">
      <alignment vertical="center"/>
    </xf>
    <xf numFmtId="178" fontId="20" fillId="0" borderId="19" xfId="12" applyNumberFormat="1" applyFont="1" applyBorder="1" applyAlignment="1">
      <alignment vertical="center"/>
    </xf>
    <xf numFmtId="178" fontId="20" fillId="0" borderId="70" xfId="10" applyNumberFormat="1" applyFont="1" applyBorder="1" applyAlignment="1">
      <alignment horizontal="right" vertical="center"/>
    </xf>
    <xf numFmtId="176" fontId="20" fillId="0" borderId="19" xfId="12" applyNumberFormat="1" applyFont="1" applyBorder="1" applyAlignment="1">
      <alignment vertical="center"/>
    </xf>
    <xf numFmtId="0" fontId="20" fillId="0" borderId="70" xfId="5" applyFont="1" applyBorder="1" applyAlignment="1">
      <alignment vertical="top"/>
    </xf>
    <xf numFmtId="178" fontId="0" fillId="0" borderId="0" xfId="0" applyNumberFormat="1">
      <alignment vertical="center"/>
    </xf>
    <xf numFmtId="177" fontId="18" fillId="36" borderId="0" xfId="0" applyNumberFormat="1" applyFont="1" applyFill="1" applyBorder="1" applyAlignment="1">
      <alignment vertical="center"/>
    </xf>
    <xf numFmtId="177" fontId="18" fillId="36" borderId="68" xfId="0" applyNumberFormat="1" applyFont="1" applyFill="1" applyBorder="1" applyAlignment="1">
      <alignment vertical="center"/>
    </xf>
    <xf numFmtId="177" fontId="18" fillId="36" borderId="72" xfId="0" applyNumberFormat="1" applyFont="1" applyFill="1" applyBorder="1" applyAlignment="1">
      <alignment vertical="center"/>
    </xf>
    <xf numFmtId="176" fontId="18" fillId="36" borderId="40" xfId="12" applyNumberFormat="1" applyFont="1" applyFill="1" applyBorder="1" applyAlignment="1">
      <alignment horizontal="right" vertical="center"/>
    </xf>
    <xf numFmtId="177" fontId="18" fillId="2" borderId="8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vertical="center"/>
    </xf>
    <xf numFmtId="0" fontId="0" fillId="0" borderId="0" xfId="0" applyNumberFormat="1" applyBorder="1">
      <alignment vertical="center"/>
    </xf>
    <xf numFmtId="177" fontId="15" fillId="2" borderId="3" xfId="0" applyNumberFormat="1" applyFont="1" applyFill="1" applyBorder="1" applyAlignment="1">
      <alignment vertical="center"/>
    </xf>
    <xf numFmtId="0" fontId="20" fillId="0" borderId="12" xfId="5" applyFont="1" applyFill="1" applyBorder="1" applyAlignment="1">
      <alignment horizontal="justify" vertical="center"/>
    </xf>
    <xf numFmtId="0" fontId="11" fillId="0" borderId="0" xfId="0" applyNumberFormat="1" applyFont="1" applyAlignment="1">
      <alignment vertical="center"/>
    </xf>
    <xf numFmtId="0" fontId="18" fillId="0" borderId="23" xfId="2" applyNumberFormat="1" applyFont="1" applyFill="1" applyBorder="1" applyAlignment="1">
      <alignment vertical="center"/>
    </xf>
    <xf numFmtId="0" fontId="15" fillId="0" borderId="0" xfId="3" applyNumberFormat="1" applyFont="1" applyFill="1" applyBorder="1" applyAlignment="1">
      <alignment horizontal="left" vertical="center"/>
    </xf>
    <xf numFmtId="0" fontId="18" fillId="0" borderId="6" xfId="2" applyNumberFormat="1" applyFont="1" applyFill="1" applyBorder="1" applyAlignment="1">
      <alignment horizontal="left" vertical="center" shrinkToFit="1"/>
    </xf>
    <xf numFmtId="41" fontId="15" fillId="0" borderId="1" xfId="65" applyNumberFormat="1" applyFont="1" applyFill="1" applyBorder="1" applyAlignment="1">
      <alignment horizontal="center" vertical="center"/>
    </xf>
    <xf numFmtId="41" fontId="20" fillId="0" borderId="1" xfId="65" applyNumberFormat="1" applyFont="1" applyFill="1" applyBorder="1" applyAlignment="1">
      <alignment horizontal="center" vertical="center"/>
    </xf>
    <xf numFmtId="180" fontId="20" fillId="0" borderId="15" xfId="65" applyNumberFormat="1" applyFont="1" applyFill="1" applyBorder="1" applyAlignment="1">
      <alignment horizontal="right" vertical="center"/>
    </xf>
    <xf numFmtId="0" fontId="18" fillId="0" borderId="27" xfId="2" applyNumberFormat="1" applyFont="1" applyBorder="1" applyAlignment="1">
      <alignment horizontal="left" vertical="center" shrinkToFit="1"/>
    </xf>
    <xf numFmtId="180" fontId="19" fillId="0" borderId="17" xfId="65" applyNumberFormat="1" applyFont="1" applyFill="1" applyBorder="1" applyAlignment="1">
      <alignment horizontal="right" vertical="center"/>
    </xf>
    <xf numFmtId="0" fontId="18" fillId="0" borderId="12" xfId="65" applyNumberFormat="1" applyFont="1" applyFill="1" applyBorder="1" applyAlignment="1">
      <alignment horizontal="left" vertical="center"/>
    </xf>
    <xf numFmtId="0" fontId="15" fillId="0" borderId="16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center"/>
    </xf>
    <xf numFmtId="0" fontId="51" fillId="0" borderId="0" xfId="0" applyNumberFormat="1" applyFont="1">
      <alignment vertical="center"/>
    </xf>
    <xf numFmtId="3" fontId="51" fillId="0" borderId="0" xfId="0" applyNumberFormat="1" applyFont="1">
      <alignment vertical="center"/>
    </xf>
    <xf numFmtId="0" fontId="18" fillId="2" borderId="19" xfId="0" applyNumberFormat="1" applyFont="1" applyFill="1" applyBorder="1" applyAlignment="1">
      <alignment vertical="center"/>
    </xf>
    <xf numFmtId="0" fontId="18" fillId="2" borderId="3" xfId="0" applyNumberFormat="1" applyFont="1" applyFill="1" applyBorder="1" applyAlignment="1">
      <alignment vertical="center"/>
    </xf>
    <xf numFmtId="0" fontId="15" fillId="2" borderId="7" xfId="0" applyNumberFormat="1" applyFont="1" applyFill="1" applyBorder="1" applyAlignment="1">
      <alignment vertical="center"/>
    </xf>
    <xf numFmtId="176" fontId="15" fillId="2" borderId="29" xfId="12" applyNumberFormat="1" applyFont="1" applyFill="1" applyBorder="1" applyAlignment="1">
      <alignment vertical="center"/>
    </xf>
    <xf numFmtId="0" fontId="15" fillId="2" borderId="19" xfId="0" applyNumberFormat="1" applyFont="1" applyFill="1" applyBorder="1" applyAlignment="1">
      <alignment vertical="center"/>
    </xf>
    <xf numFmtId="176" fontId="15" fillId="2" borderId="19" xfId="12" applyNumberFormat="1" applyFont="1" applyFill="1" applyBorder="1" applyAlignment="1">
      <alignment vertical="center"/>
    </xf>
    <xf numFmtId="176" fontId="15" fillId="2" borderId="67" xfId="12" applyNumberFormat="1" applyFont="1" applyFill="1" applyBorder="1" applyAlignment="1">
      <alignment horizontal="right" vertical="center" shrinkToFit="1"/>
    </xf>
    <xf numFmtId="176" fontId="15" fillId="0" borderId="7" xfId="12" applyNumberFormat="1" applyFont="1" applyFill="1" applyBorder="1" applyAlignment="1">
      <alignment vertical="center"/>
    </xf>
    <xf numFmtId="0" fontId="15" fillId="0" borderId="4" xfId="5" quotePrefix="1" applyFont="1" applyBorder="1" applyAlignment="1">
      <alignment horizontal="justify" vertical="center"/>
    </xf>
    <xf numFmtId="0" fontId="15" fillId="0" borderId="5" xfId="11" applyFont="1" applyFill="1" applyBorder="1" applyAlignment="1">
      <alignment horizontal="center" vertical="center"/>
    </xf>
    <xf numFmtId="3" fontId="15" fillId="0" borderId="10" xfId="5" applyNumberFormat="1" applyFont="1" applyFill="1" applyBorder="1" applyAlignment="1">
      <alignment horizontal="right" vertical="center"/>
    </xf>
    <xf numFmtId="0" fontId="15" fillId="0" borderId="0" xfId="11" applyNumberFormat="1" applyFont="1" applyFill="1" applyBorder="1" applyAlignment="1">
      <alignment horizontal="center" vertical="center"/>
    </xf>
    <xf numFmtId="0" fontId="15" fillId="0" borderId="4" xfId="2" applyNumberFormat="1" applyFont="1" applyBorder="1" applyAlignment="1">
      <alignment horizontal="left" vertical="center" shrinkToFit="1"/>
    </xf>
    <xf numFmtId="0" fontId="15" fillId="0" borderId="5" xfId="11" applyNumberFormat="1" applyFont="1" applyFill="1" applyBorder="1" applyAlignment="1">
      <alignment horizontal="center" vertical="center"/>
    </xf>
    <xf numFmtId="0" fontId="15" fillId="0" borderId="0" xfId="11" applyFont="1" applyFill="1" applyBorder="1" applyAlignment="1">
      <alignment horizontal="center" vertical="center"/>
    </xf>
    <xf numFmtId="3" fontId="18" fillId="0" borderId="10" xfId="5" applyNumberFormat="1" applyFont="1" applyFill="1" applyBorder="1" applyAlignment="1">
      <alignment horizontal="right" vertical="center"/>
    </xf>
    <xf numFmtId="0" fontId="15" fillId="0" borderId="4" xfId="65" applyNumberFormat="1" applyFont="1" applyFill="1" applyBorder="1" applyAlignment="1">
      <alignment horizontal="left" vertical="center"/>
    </xf>
    <xf numFmtId="3" fontId="15" fillId="0" borderId="11" xfId="5" applyNumberFormat="1" applyFont="1" applyFill="1" applyBorder="1" applyAlignment="1">
      <alignment horizontal="right" vertical="center"/>
    </xf>
    <xf numFmtId="0" fontId="15" fillId="0" borderId="12" xfId="65" applyNumberFormat="1" applyFont="1" applyFill="1" applyBorder="1" applyAlignment="1">
      <alignment horizontal="left" vertical="center"/>
    </xf>
    <xf numFmtId="0" fontId="18" fillId="0" borderId="6" xfId="11" applyFont="1" applyFill="1" applyBorder="1" applyAlignment="1">
      <alignment vertical="center" shrinkToFit="1"/>
    </xf>
    <xf numFmtId="0" fontId="15" fillId="0" borderId="6" xfId="65" applyNumberFormat="1" applyFont="1" applyFill="1" applyBorder="1" applyAlignment="1">
      <alignment horizontal="center" vertical="center" shrinkToFit="1"/>
    </xf>
    <xf numFmtId="41" fontId="18" fillId="0" borderId="15" xfId="65" applyFont="1" applyFill="1" applyBorder="1" applyAlignment="1">
      <alignment horizontal="right" vertical="center"/>
    </xf>
    <xf numFmtId="0" fontId="18" fillId="0" borderId="27" xfId="65" applyNumberFormat="1" applyFont="1" applyFill="1" applyBorder="1" applyAlignment="1">
      <alignment horizontal="left" vertical="center"/>
    </xf>
    <xf numFmtId="0" fontId="15" fillId="0" borderId="1" xfId="11" applyNumberFormat="1" applyFont="1" applyFill="1" applyBorder="1" applyAlignment="1">
      <alignment horizontal="center" vertical="center"/>
    </xf>
    <xf numFmtId="3" fontId="18" fillId="0" borderId="17" xfId="5" applyNumberFormat="1" applyFont="1" applyFill="1" applyBorder="1" applyAlignment="1">
      <alignment horizontal="right" vertical="center"/>
    </xf>
    <xf numFmtId="0" fontId="15" fillId="0" borderId="6" xfId="3" applyNumberFormat="1" applyFont="1" applyFill="1" applyBorder="1" applyAlignment="1">
      <alignment horizontal="left" vertical="center"/>
    </xf>
    <xf numFmtId="41" fontId="15" fillId="0" borderId="6" xfId="3" applyNumberFormat="1" applyFont="1" applyFill="1" applyBorder="1" applyAlignment="1">
      <alignment horizontal="center" vertical="center"/>
    </xf>
    <xf numFmtId="0" fontId="18" fillId="0" borderId="6" xfId="2" applyNumberFormat="1" applyFont="1" applyFill="1" applyBorder="1" applyAlignment="1">
      <alignment horizontal="center" vertical="center"/>
    </xf>
    <xf numFmtId="41" fontId="18" fillId="0" borderId="15" xfId="3" applyNumberFormat="1" applyFont="1" applyFill="1" applyBorder="1" applyAlignment="1">
      <alignment vertical="center"/>
    </xf>
    <xf numFmtId="41" fontId="15" fillId="0" borderId="27" xfId="65" applyNumberFormat="1" applyFont="1" applyFill="1" applyBorder="1" applyAlignment="1">
      <alignment vertical="center"/>
    </xf>
    <xf numFmtId="41" fontId="15" fillId="0" borderId="15" xfId="65" applyNumberFormat="1" applyFont="1" applyFill="1" applyBorder="1" applyAlignment="1">
      <alignment horizontal="right" vertical="center"/>
    </xf>
    <xf numFmtId="3" fontId="15" fillId="0" borderId="11" xfId="11" applyNumberFormat="1" applyFont="1" applyFill="1" applyBorder="1" applyAlignment="1">
      <alignment horizontal="right" vertical="center"/>
    </xf>
    <xf numFmtId="41" fontId="15" fillId="0" borderId="6" xfId="3" applyNumberFormat="1" applyFont="1" applyFill="1" applyBorder="1" applyAlignment="1">
      <alignment horizontal="left" vertical="center"/>
    </xf>
    <xf numFmtId="41" fontId="15" fillId="0" borderId="15" xfId="3" applyNumberFormat="1" applyFont="1" applyFill="1" applyBorder="1" applyAlignment="1">
      <alignment horizontal="right" vertical="center"/>
    </xf>
    <xf numFmtId="41" fontId="18" fillId="0" borderId="15" xfId="65" applyFont="1" applyFill="1" applyBorder="1" applyAlignment="1">
      <alignment vertical="center"/>
    </xf>
    <xf numFmtId="3" fontId="15" fillId="0" borderId="10" xfId="11" applyNumberFormat="1" applyFont="1" applyFill="1" applyBorder="1" applyAlignment="1">
      <alignment horizontal="right" vertical="center"/>
    </xf>
    <xf numFmtId="3" fontId="15" fillId="0" borderId="28" xfId="5" applyNumberFormat="1" applyFont="1" applyFill="1" applyBorder="1" applyAlignment="1">
      <alignment horizontal="right" vertical="center"/>
    </xf>
    <xf numFmtId="0" fontId="15" fillId="0" borderId="0" xfId="65" applyNumberFormat="1" applyFont="1" applyFill="1" applyBorder="1" applyAlignment="1">
      <alignment horizontal="left" vertical="center"/>
    </xf>
    <xf numFmtId="41" fontId="15" fillId="0" borderId="5" xfId="3" applyNumberFormat="1" applyFont="1" applyFill="1" applyBorder="1" applyAlignment="1">
      <alignment horizontal="left" vertical="center"/>
    </xf>
    <xf numFmtId="41" fontId="15" fillId="0" borderId="5" xfId="3" applyNumberFormat="1" applyFont="1" applyFill="1" applyBorder="1" applyAlignment="1">
      <alignment horizontal="center" vertical="center"/>
    </xf>
    <xf numFmtId="180" fontId="15" fillId="0" borderId="11" xfId="3" applyNumberFormat="1" applyFont="1" applyFill="1" applyBorder="1" applyAlignment="1">
      <alignment horizontal="right" vertical="center"/>
    </xf>
    <xf numFmtId="41" fontId="15" fillId="0" borderId="0" xfId="3" applyNumberFormat="1" applyFont="1" applyFill="1" applyBorder="1" applyAlignment="1">
      <alignment horizontal="center" vertical="center"/>
    </xf>
    <xf numFmtId="180" fontId="18" fillId="0" borderId="15" xfId="3" applyNumberFormat="1" applyFont="1" applyFill="1" applyBorder="1" applyAlignment="1">
      <alignment vertical="center"/>
    </xf>
    <xf numFmtId="180" fontId="15" fillId="0" borderId="15" xfId="65" applyNumberFormat="1" applyFont="1" applyFill="1" applyBorder="1" applyAlignment="1">
      <alignment horizontal="right" vertical="center"/>
    </xf>
    <xf numFmtId="180" fontId="18" fillId="0" borderId="17" xfId="5" applyNumberFormat="1" applyFont="1" applyFill="1" applyBorder="1" applyAlignment="1">
      <alignment horizontal="right" vertical="center"/>
    </xf>
    <xf numFmtId="0" fontId="15" fillId="0" borderId="20" xfId="11" applyNumberFormat="1" applyFont="1" applyFill="1" applyBorder="1" applyAlignment="1">
      <alignment horizontal="center" vertical="center"/>
    </xf>
    <xf numFmtId="3" fontId="18" fillId="0" borderId="10" xfId="11" applyNumberFormat="1" applyFont="1" applyFill="1" applyBorder="1" applyAlignment="1">
      <alignment horizontal="right" vertical="center"/>
    </xf>
    <xf numFmtId="0" fontId="15" fillId="0" borderId="0" xfId="65" applyNumberFormat="1" applyFont="1" applyFill="1" applyBorder="1" applyAlignment="1">
      <alignment horizontal="center" vertical="center" shrinkToFit="1"/>
    </xf>
    <xf numFmtId="0" fontId="15" fillId="0" borderId="1" xfId="65" applyNumberFormat="1" applyFont="1" applyFill="1" applyBorder="1" applyAlignment="1">
      <alignment horizontal="center" vertical="center" shrinkToFit="1"/>
    </xf>
    <xf numFmtId="0" fontId="15" fillId="0" borderId="1" xfId="17" applyFont="1" applyFill="1" applyBorder="1" applyAlignment="1">
      <alignment horizontal="center" vertical="center" shrinkToFit="1"/>
    </xf>
    <xf numFmtId="0" fontId="18" fillId="0" borderId="0" xfId="65" applyNumberFormat="1" applyFont="1" applyFill="1" applyBorder="1" applyAlignment="1">
      <alignment horizontal="left" vertical="center"/>
    </xf>
    <xf numFmtId="41" fontId="15" fillId="2" borderId="4" xfId="65" applyNumberFormat="1" applyFont="1" applyFill="1" applyBorder="1" applyAlignment="1">
      <alignment vertical="center" shrinkToFit="1"/>
    </xf>
    <xf numFmtId="41" fontId="15" fillId="2" borderId="5" xfId="65" applyNumberFormat="1" applyFont="1" applyFill="1" applyBorder="1" applyAlignment="1">
      <alignment horizontal="center" vertical="center" shrinkToFit="1"/>
    </xf>
    <xf numFmtId="41" fontId="18" fillId="2" borderId="15" xfId="65" applyFont="1" applyFill="1" applyBorder="1" applyAlignment="1">
      <alignment horizontal="right" vertical="center"/>
    </xf>
    <xf numFmtId="176" fontId="15" fillId="0" borderId="1" xfId="12" applyNumberFormat="1" applyFont="1" applyBorder="1" applyAlignment="1">
      <alignment vertical="center"/>
    </xf>
    <xf numFmtId="0" fontId="15" fillId="0" borderId="0" xfId="17" applyFont="1" applyFill="1" applyBorder="1" applyAlignment="1">
      <alignment horizontal="center" vertical="center" shrinkToFit="1"/>
    </xf>
    <xf numFmtId="0" fontId="15" fillId="0" borderId="12" xfId="5" quotePrefix="1" applyFont="1" applyBorder="1" applyAlignment="1">
      <alignment horizontal="justify" vertical="center"/>
    </xf>
    <xf numFmtId="41" fontId="15" fillId="0" borderId="11" xfId="3" applyNumberFormat="1" applyFont="1" applyFill="1" applyBorder="1" applyAlignment="1">
      <alignment horizontal="right" vertical="center"/>
    </xf>
    <xf numFmtId="41" fontId="15" fillId="0" borderId="23" xfId="65" applyNumberFormat="1" applyFont="1" applyFill="1" applyBorder="1" applyAlignment="1">
      <alignment horizontal="center" vertical="center"/>
    </xf>
    <xf numFmtId="0" fontId="18" fillId="0" borderId="0" xfId="2" applyNumberFormat="1" applyFont="1" applyBorder="1" applyAlignment="1">
      <alignment horizontal="left" vertical="center" shrinkToFit="1"/>
    </xf>
    <xf numFmtId="0" fontId="15" fillId="0" borderId="12" xfId="2" applyNumberFormat="1" applyFont="1" applyBorder="1" applyAlignment="1">
      <alignment horizontal="left" vertical="center" shrinkToFit="1"/>
    </xf>
    <xf numFmtId="0" fontId="15" fillId="0" borderId="12" xfId="2" applyNumberFormat="1" applyFont="1" applyFill="1" applyBorder="1" applyAlignment="1">
      <alignment horizontal="left" vertical="center" shrinkToFit="1"/>
    </xf>
    <xf numFmtId="0" fontId="15" fillId="0" borderId="0" xfId="2" applyNumberFormat="1" applyFont="1" applyBorder="1" applyAlignment="1">
      <alignment horizontal="left" vertical="center" shrinkToFit="1"/>
    </xf>
    <xf numFmtId="177" fontId="15" fillId="2" borderId="29" xfId="0" applyNumberFormat="1" applyFont="1" applyFill="1" applyBorder="1" applyAlignment="1">
      <alignment vertical="center"/>
    </xf>
    <xf numFmtId="177" fontId="18" fillId="2" borderId="3" xfId="0" applyNumberFormat="1" applyFont="1" applyFill="1" applyBorder="1" applyAlignment="1">
      <alignment vertical="center"/>
    </xf>
    <xf numFmtId="0" fontId="24" fillId="0" borderId="10" xfId="11" applyNumberFormat="1" applyFont="1" applyFill="1" applyBorder="1" applyAlignment="1">
      <alignment vertical="center"/>
    </xf>
    <xf numFmtId="0" fontId="24" fillId="0" borderId="17" xfId="11" applyNumberFormat="1" applyFont="1" applyFill="1" applyBorder="1" applyAlignment="1">
      <alignment vertical="center"/>
    </xf>
    <xf numFmtId="0" fontId="15" fillId="0" borderId="10" xfId="11" applyNumberFormat="1" applyFont="1" applyFill="1" applyBorder="1" applyAlignment="1">
      <alignment vertical="center"/>
    </xf>
    <xf numFmtId="0" fontId="10" fillId="0" borderId="17" xfId="11" applyFont="1" applyFill="1" applyBorder="1" applyAlignment="1">
      <alignment vertical="center"/>
    </xf>
    <xf numFmtId="0" fontId="20" fillId="0" borderId="15" xfId="11" applyFont="1" applyBorder="1" applyAlignment="1">
      <alignment vertical="center"/>
    </xf>
    <xf numFmtId="49" fontId="20" fillId="0" borderId="15" xfId="11" applyNumberFormat="1" applyFont="1" applyBorder="1" applyAlignment="1">
      <alignment vertical="center"/>
    </xf>
    <xf numFmtId="0" fontId="20" fillId="0" borderId="10" xfId="5" applyFont="1" applyFill="1" applyBorder="1" applyAlignment="1">
      <alignment vertical="center" wrapText="1"/>
    </xf>
    <xf numFmtId="0" fontId="20" fillId="0" borderId="10" xfId="5" applyFont="1" applyFill="1" applyBorder="1" applyAlignment="1">
      <alignment vertical="center" shrinkToFit="1"/>
    </xf>
    <xf numFmtId="0" fontId="20" fillId="2" borderId="15" xfId="11" applyFont="1" applyFill="1" applyBorder="1" applyAlignment="1">
      <alignment vertical="center"/>
    </xf>
    <xf numFmtId="0" fontId="20" fillId="2" borderId="15" xfId="5" applyFont="1" applyFill="1" applyBorder="1" applyAlignment="1">
      <alignment vertical="center"/>
    </xf>
    <xf numFmtId="0" fontId="20" fillId="2" borderId="10" xfId="5" applyFont="1" applyFill="1" applyBorder="1" applyAlignment="1">
      <alignment horizontal="justify" vertical="center" wrapText="1"/>
    </xf>
    <xf numFmtId="0" fontId="20" fillId="0" borderId="15" xfId="5" applyFont="1" applyBorder="1" applyAlignment="1">
      <alignment horizontal="justify" vertical="center" wrapText="1"/>
    </xf>
    <xf numFmtId="0" fontId="20" fillId="0" borderId="10" xfId="5" applyFont="1" applyBorder="1" applyAlignment="1">
      <alignment horizontal="justify" vertical="center" wrapText="1"/>
    </xf>
    <xf numFmtId="177" fontId="18" fillId="35" borderId="1" xfId="0" applyNumberFormat="1" applyFont="1" applyFill="1" applyBorder="1" applyAlignment="1">
      <alignment vertical="center"/>
    </xf>
    <xf numFmtId="177" fontId="18" fillId="35" borderId="20" xfId="0" applyNumberFormat="1" applyFont="1" applyFill="1" applyBorder="1" applyAlignment="1">
      <alignment vertical="center"/>
    </xf>
    <xf numFmtId="0" fontId="6" fillId="0" borderId="0" xfId="2"/>
    <xf numFmtId="0" fontId="52" fillId="0" borderId="0" xfId="2" applyFont="1" applyAlignment="1">
      <alignment horizontal="right"/>
    </xf>
    <xf numFmtId="0" fontId="6" fillId="37" borderId="0" xfId="2" applyFill="1"/>
    <xf numFmtId="0" fontId="6" fillId="37" borderId="0" xfId="2" applyFill="1" applyAlignment="1">
      <alignment horizontal="center"/>
    </xf>
    <xf numFmtId="0" fontId="6" fillId="0" borderId="0" xfId="2" applyAlignment="1"/>
    <xf numFmtId="0" fontId="56" fillId="0" borderId="0" xfId="2" applyFont="1" applyAlignment="1">
      <alignment horizontal="center" vertical="center"/>
    </xf>
    <xf numFmtId="0" fontId="18" fillId="0" borderId="32" xfId="2" applyNumberFormat="1" applyFont="1" applyFill="1" applyBorder="1" applyAlignment="1">
      <alignment vertical="center"/>
    </xf>
    <xf numFmtId="0" fontId="18" fillId="0" borderId="33" xfId="2" applyNumberFormat="1" applyFont="1" applyFill="1" applyBorder="1" applyAlignment="1">
      <alignment vertical="center"/>
    </xf>
    <xf numFmtId="0" fontId="18" fillId="0" borderId="21" xfId="2" applyNumberFormat="1" applyFont="1" applyFill="1" applyBorder="1" applyAlignment="1">
      <alignment vertical="center"/>
    </xf>
    <xf numFmtId="0" fontId="18" fillId="0" borderId="30" xfId="2" applyNumberFormat="1" applyFont="1" applyFill="1" applyBorder="1" applyAlignment="1">
      <alignment vertical="center"/>
    </xf>
    <xf numFmtId="0" fontId="15" fillId="0" borderId="16" xfId="2" applyNumberFormat="1" applyFont="1" applyFill="1" applyBorder="1" applyAlignment="1">
      <alignment vertical="center"/>
    </xf>
    <xf numFmtId="0" fontId="18" fillId="0" borderId="6" xfId="2" applyNumberFormat="1" applyFont="1" applyFill="1" applyBorder="1" applyAlignment="1">
      <alignment vertical="center"/>
    </xf>
    <xf numFmtId="0" fontId="18" fillId="0" borderId="29" xfId="2" applyNumberFormat="1" applyFont="1" applyFill="1" applyBorder="1" applyAlignment="1">
      <alignment vertical="center"/>
    </xf>
    <xf numFmtId="0" fontId="15" fillId="0" borderId="2" xfId="2" applyNumberFormat="1" applyFont="1" applyFill="1" applyBorder="1" applyAlignment="1">
      <alignment vertical="center"/>
    </xf>
    <xf numFmtId="176" fontId="18" fillId="0" borderId="7" xfId="3" applyNumberFormat="1" applyFont="1" applyFill="1" applyBorder="1" applyAlignment="1">
      <alignment vertical="center"/>
    </xf>
    <xf numFmtId="0" fontId="18" fillId="0" borderId="62" xfId="2" applyNumberFormat="1" applyFont="1" applyFill="1" applyBorder="1" applyAlignment="1">
      <alignment vertical="center"/>
    </xf>
    <xf numFmtId="0" fontId="18" fillId="0" borderId="3" xfId="2" applyNumberFormat="1" applyFont="1" applyFill="1" applyBorder="1" applyAlignment="1">
      <alignment vertical="center"/>
    </xf>
    <xf numFmtId="41" fontId="18" fillId="0" borderId="15" xfId="3" applyNumberFormat="1" applyFont="1" applyFill="1" applyBorder="1" applyAlignment="1">
      <alignment horizontal="right" vertical="center"/>
    </xf>
    <xf numFmtId="0" fontId="18" fillId="0" borderId="12" xfId="11" applyNumberFormat="1" applyFont="1" applyFill="1" applyBorder="1" applyAlignment="1">
      <alignment horizontal="left" vertical="center"/>
    </xf>
    <xf numFmtId="0" fontId="18" fillId="0" borderId="2" xfId="11" applyNumberFormat="1" applyFont="1" applyFill="1" applyBorder="1" applyAlignment="1">
      <alignment horizontal="left" vertical="center"/>
    </xf>
    <xf numFmtId="0" fontId="18" fillId="0" borderId="1" xfId="11" applyNumberFormat="1" applyFont="1" applyFill="1" applyBorder="1" applyAlignment="1">
      <alignment horizontal="left" vertical="center"/>
    </xf>
    <xf numFmtId="0" fontId="15" fillId="0" borderId="23" xfId="11" applyNumberFormat="1" applyFont="1" applyFill="1" applyBorder="1" applyAlignment="1">
      <alignment vertical="center"/>
    </xf>
    <xf numFmtId="0" fontId="18" fillId="0" borderId="29" xfId="11" applyNumberFormat="1" applyFont="1" applyFill="1" applyBorder="1" applyAlignment="1">
      <alignment horizontal="left" vertical="center"/>
    </xf>
    <xf numFmtId="0" fontId="15" fillId="0" borderId="31" xfId="11" applyNumberFormat="1" applyFont="1" applyFill="1" applyBorder="1" applyAlignment="1">
      <alignment vertical="center"/>
    </xf>
    <xf numFmtId="0" fontId="15" fillId="0" borderId="29" xfId="11" applyNumberFormat="1" applyFont="1" applyFill="1" applyBorder="1" applyAlignment="1">
      <alignment vertical="center"/>
    </xf>
    <xf numFmtId="0" fontId="15" fillId="0" borderId="12" xfId="11" applyNumberFormat="1" applyFont="1" applyFill="1" applyBorder="1" applyAlignment="1">
      <alignment vertical="center"/>
    </xf>
    <xf numFmtId="179" fontId="15" fillId="0" borderId="26" xfId="65" applyNumberFormat="1" applyFont="1" applyFill="1" applyBorder="1" applyAlignment="1">
      <alignment horizontal="right" vertical="center"/>
    </xf>
    <xf numFmtId="0" fontId="15" fillId="0" borderId="8" xfId="11" applyNumberFormat="1" applyFont="1" applyFill="1" applyBorder="1" applyAlignment="1">
      <alignment vertical="center"/>
    </xf>
    <xf numFmtId="179" fontId="15" fillId="0" borderId="9" xfId="65" applyNumberFormat="1" applyFont="1" applyFill="1" applyBorder="1" applyAlignment="1">
      <alignment horizontal="right" vertical="center"/>
    </xf>
    <xf numFmtId="0" fontId="15" fillId="0" borderId="3" xfId="5" applyFont="1" applyBorder="1" applyAlignment="1">
      <alignment vertical="top"/>
    </xf>
    <xf numFmtId="0" fontId="15" fillId="0" borderId="2" xfId="5" applyFont="1" applyBorder="1" applyAlignment="1">
      <alignment vertical="top"/>
    </xf>
    <xf numFmtId="0" fontId="15" fillId="0" borderId="63" xfId="2" applyNumberFormat="1" applyFont="1" applyFill="1" applyBorder="1" applyAlignment="1">
      <alignment vertical="center"/>
    </xf>
    <xf numFmtId="0" fontId="15" fillId="0" borderId="16" xfId="11" applyFont="1" applyBorder="1" applyAlignment="1">
      <alignment vertical="center"/>
    </xf>
    <xf numFmtId="0" fontId="15" fillId="0" borderId="2" xfId="11" applyFont="1" applyBorder="1" applyAlignment="1">
      <alignment vertical="center"/>
    </xf>
    <xf numFmtId="0" fontId="15" fillId="0" borderId="3" xfId="17" applyFont="1" applyBorder="1" applyAlignment="1">
      <alignment horizontal="left" vertical="top"/>
    </xf>
    <xf numFmtId="0" fontId="15" fillId="0" borderId="3" xfId="17" applyFont="1" applyBorder="1" applyAlignment="1">
      <alignment vertical="center"/>
    </xf>
    <xf numFmtId="178" fontId="15" fillId="0" borderId="3" xfId="10" applyNumberFormat="1" applyFont="1" applyBorder="1" applyAlignment="1">
      <alignment horizontal="right" vertical="center"/>
    </xf>
    <xf numFmtId="0" fontId="15" fillId="0" borderId="2" xfId="17" applyFont="1" applyBorder="1" applyAlignment="1">
      <alignment horizontal="left" vertical="top"/>
    </xf>
    <xf numFmtId="0" fontId="15" fillId="0" borderId="2" xfId="17" applyFont="1" applyBorder="1" applyAlignment="1">
      <alignment vertical="center"/>
    </xf>
    <xf numFmtId="178" fontId="15" fillId="0" borderId="2" xfId="10" applyNumberFormat="1" applyFont="1" applyBorder="1" applyAlignment="1">
      <alignment horizontal="right" vertical="center"/>
    </xf>
    <xf numFmtId="0" fontId="18" fillId="0" borderId="2" xfId="2" applyNumberFormat="1" applyFont="1" applyFill="1" applyBorder="1" applyAlignment="1">
      <alignment vertical="center"/>
    </xf>
    <xf numFmtId="0" fontId="15" fillId="0" borderId="0" xfId="5" quotePrefix="1" applyFont="1" applyBorder="1" applyAlignment="1">
      <alignment horizontal="justify" vertical="center"/>
    </xf>
    <xf numFmtId="0" fontId="15" fillId="0" borderId="8" xfId="17" applyFont="1" applyBorder="1" applyAlignment="1">
      <alignment vertical="center"/>
    </xf>
    <xf numFmtId="179" fontId="15" fillId="0" borderId="2" xfId="10" applyNumberFormat="1" applyFont="1" applyBorder="1" applyAlignment="1">
      <alignment vertical="center"/>
    </xf>
    <xf numFmtId="0" fontId="15" fillId="0" borderId="2" xfId="5" applyFont="1" applyBorder="1" applyAlignment="1">
      <alignment vertical="center"/>
    </xf>
    <xf numFmtId="178" fontId="15" fillId="0" borderId="3" xfId="12" applyNumberFormat="1" applyFont="1" applyBorder="1" applyAlignment="1">
      <alignment vertical="center"/>
    </xf>
    <xf numFmtId="176" fontId="15" fillId="0" borderId="3" xfId="12" applyNumberFormat="1" applyFont="1" applyBorder="1" applyAlignment="1">
      <alignment vertical="center"/>
    </xf>
    <xf numFmtId="178" fontId="15" fillId="0" borderId="2" xfId="12" applyNumberFormat="1" applyFont="1" applyBorder="1" applyAlignment="1">
      <alignment vertical="center"/>
    </xf>
    <xf numFmtId="178" fontId="15" fillId="0" borderId="26" xfId="10" applyNumberFormat="1" applyFont="1" applyBorder="1" applyAlignment="1">
      <alignment horizontal="right" vertical="center"/>
    </xf>
    <xf numFmtId="176" fontId="15" fillId="0" borderId="2" xfId="12" applyNumberFormat="1" applyFont="1" applyBorder="1" applyAlignment="1">
      <alignment vertical="center"/>
    </xf>
    <xf numFmtId="176" fontId="15" fillId="0" borderId="0" xfId="12" applyNumberFormat="1" applyFont="1" applyBorder="1" applyAlignment="1">
      <alignment vertical="center"/>
    </xf>
    <xf numFmtId="0" fontId="15" fillId="0" borderId="8" xfId="5" applyFont="1" applyBorder="1" applyAlignment="1">
      <alignment vertical="top"/>
    </xf>
    <xf numFmtId="178" fontId="15" fillId="0" borderId="8" xfId="12" applyNumberFormat="1" applyFont="1" applyBorder="1" applyAlignment="1">
      <alignment vertical="center"/>
    </xf>
    <xf numFmtId="178" fontId="15" fillId="0" borderId="9" xfId="10" applyNumberFormat="1" applyFont="1" applyBorder="1" applyAlignment="1">
      <alignment horizontal="right" vertical="center"/>
    </xf>
    <xf numFmtId="176" fontId="15" fillId="0" borderId="8" xfId="12" applyNumberFormat="1" applyFont="1" applyBorder="1" applyAlignment="1">
      <alignment vertical="center"/>
    </xf>
    <xf numFmtId="0" fontId="15" fillId="0" borderId="26" xfId="5" applyFont="1" applyBorder="1" applyAlignment="1">
      <alignment vertical="top"/>
    </xf>
    <xf numFmtId="0" fontId="15" fillId="0" borderId="8" xfId="5" applyFont="1" applyBorder="1" applyAlignment="1">
      <alignment vertical="center"/>
    </xf>
    <xf numFmtId="0" fontId="18" fillId="0" borderId="0" xfId="11" applyNumberFormat="1" applyFont="1" applyFill="1" applyBorder="1" applyAlignment="1">
      <alignment horizontal="left" vertical="center"/>
    </xf>
    <xf numFmtId="0" fontId="15" fillId="0" borderId="8" xfId="11" applyNumberFormat="1" applyFont="1" applyFill="1" applyBorder="1" applyAlignment="1">
      <alignment vertical="top"/>
    </xf>
    <xf numFmtId="0" fontId="18" fillId="0" borderId="26" xfId="11" applyNumberFormat="1" applyFont="1" applyFill="1" applyBorder="1" applyAlignment="1">
      <alignment horizontal="left" vertical="center"/>
    </xf>
    <xf numFmtId="0" fontId="15" fillId="2" borderId="26" xfId="5" applyFont="1" applyFill="1" applyBorder="1" applyAlignment="1">
      <alignment vertical="top"/>
    </xf>
    <xf numFmtId="0" fontId="15" fillId="0" borderId="9" xfId="5" applyFont="1" applyBorder="1" applyAlignment="1">
      <alignment vertical="top"/>
    </xf>
    <xf numFmtId="0" fontId="15" fillId="0" borderId="18" xfId="11" applyFont="1" applyBorder="1" applyAlignment="1">
      <alignment vertical="center"/>
    </xf>
    <xf numFmtId="0" fontId="15" fillId="0" borderId="19" xfId="11" applyFont="1" applyBorder="1" applyAlignment="1">
      <alignment vertical="center"/>
    </xf>
    <xf numFmtId="0" fontId="15" fillId="0" borderId="19" xfId="11" applyNumberFormat="1" applyFont="1" applyFill="1" applyBorder="1" applyAlignment="1">
      <alignment vertical="center"/>
    </xf>
    <xf numFmtId="0" fontId="15" fillId="0" borderId="19" xfId="17" applyFont="1" applyBorder="1" applyAlignment="1">
      <alignment horizontal="left" vertical="top"/>
    </xf>
    <xf numFmtId="0" fontId="15" fillId="0" borderId="19" xfId="17" applyFont="1" applyBorder="1" applyAlignment="1">
      <alignment vertical="center"/>
    </xf>
    <xf numFmtId="178" fontId="15" fillId="0" borderId="19" xfId="10" applyNumberFormat="1" applyFont="1" applyBorder="1" applyAlignment="1">
      <alignment horizontal="right" vertical="center"/>
    </xf>
    <xf numFmtId="0" fontId="15" fillId="0" borderId="25" xfId="65" applyNumberFormat="1" applyFont="1" applyFill="1" applyBorder="1" applyAlignment="1">
      <alignment horizontal="left" vertical="center"/>
    </xf>
    <xf numFmtId="0" fontId="15" fillId="0" borderId="20" xfId="11" applyFont="1" applyFill="1" applyBorder="1" applyAlignment="1">
      <alignment horizontal="center" vertical="center"/>
    </xf>
    <xf numFmtId="0" fontId="15" fillId="0" borderId="4" xfId="11" applyNumberFormat="1" applyFont="1" applyFill="1" applyBorder="1" applyAlignment="1">
      <alignment vertical="center"/>
    </xf>
    <xf numFmtId="38" fontId="15" fillId="0" borderId="7" xfId="65" applyNumberFormat="1" applyFont="1" applyBorder="1" applyAlignment="1">
      <alignment vertical="center"/>
    </xf>
    <xf numFmtId="176" fontId="15" fillId="0" borderId="7" xfId="65" applyNumberFormat="1" applyFont="1" applyBorder="1" applyAlignment="1">
      <alignment horizontal="right" vertical="center"/>
    </xf>
    <xf numFmtId="0" fontId="15" fillId="0" borderId="3" xfId="5" applyFont="1" applyBorder="1" applyAlignment="1">
      <alignment vertical="center"/>
    </xf>
    <xf numFmtId="0" fontId="15" fillId="2" borderId="16" xfId="11" applyFont="1" applyFill="1" applyBorder="1" applyAlignment="1">
      <alignment vertical="center"/>
    </xf>
    <xf numFmtId="0" fontId="15" fillId="2" borderId="2" xfId="11" applyFont="1" applyFill="1" applyBorder="1" applyAlignment="1">
      <alignment vertical="center"/>
    </xf>
    <xf numFmtId="178" fontId="15" fillId="0" borderId="8" xfId="10" applyNumberFormat="1" applyFont="1" applyBorder="1" applyAlignment="1">
      <alignment horizontal="right" vertical="center"/>
    </xf>
    <xf numFmtId="179" fontId="15" fillId="0" borderId="8" xfId="10" applyNumberFormat="1" applyFont="1" applyBorder="1" applyAlignment="1">
      <alignment vertical="center"/>
    </xf>
    <xf numFmtId="0" fontId="15" fillId="0" borderId="4" xfId="5" applyFont="1" applyFill="1" applyBorder="1" applyAlignment="1">
      <alignment horizontal="justify" vertical="center"/>
    </xf>
    <xf numFmtId="0" fontId="15" fillId="0" borderId="5" xfId="17" applyFont="1" applyFill="1" applyBorder="1" applyAlignment="1">
      <alignment horizontal="center" vertical="center" shrinkToFit="1"/>
    </xf>
    <xf numFmtId="0" fontId="18" fillId="0" borderId="1" xfId="65" applyNumberFormat="1" applyFont="1" applyFill="1" applyBorder="1" applyAlignment="1">
      <alignment horizontal="left" vertical="center"/>
    </xf>
    <xf numFmtId="0" fontId="15" fillId="0" borderId="1" xfId="11" applyFont="1" applyFill="1" applyBorder="1" applyAlignment="1">
      <alignment horizontal="center" vertical="center"/>
    </xf>
    <xf numFmtId="179" fontId="15" fillId="0" borderId="3" xfId="10" applyNumberFormat="1" applyFont="1" applyBorder="1" applyAlignment="1">
      <alignment vertical="center"/>
    </xf>
    <xf numFmtId="178" fontId="15" fillId="0" borderId="26" xfId="12" applyNumberFormat="1" applyFont="1" applyBorder="1" applyAlignment="1">
      <alignment vertical="center"/>
    </xf>
    <xf numFmtId="178" fontId="15" fillId="0" borderId="9" xfId="12" applyNumberFormat="1" applyFont="1" applyBorder="1" applyAlignment="1">
      <alignment vertical="center"/>
    </xf>
    <xf numFmtId="0" fontId="15" fillId="0" borderId="9" xfId="11" applyNumberFormat="1" applyFont="1" applyFill="1" applyBorder="1" applyAlignment="1">
      <alignment vertical="center"/>
    </xf>
    <xf numFmtId="0" fontId="18" fillId="0" borderId="5" xfId="11" applyFont="1" applyFill="1" applyBorder="1" applyAlignment="1">
      <alignment vertical="center" shrinkToFit="1"/>
    </xf>
    <xf numFmtId="0" fontId="15" fillId="0" borderId="5" xfId="65" applyNumberFormat="1" applyFont="1" applyFill="1" applyBorder="1" applyAlignment="1">
      <alignment horizontal="center" vertical="center" shrinkToFit="1"/>
    </xf>
    <xf numFmtId="41" fontId="18" fillId="0" borderId="11" xfId="65" applyFont="1" applyFill="1" applyBorder="1" applyAlignment="1">
      <alignment horizontal="right" vertical="center"/>
    </xf>
    <xf numFmtId="0" fontId="15" fillId="0" borderId="19" xfId="11" applyNumberFormat="1" applyFont="1" applyFill="1" applyBorder="1" applyAlignment="1">
      <alignment vertical="top"/>
    </xf>
    <xf numFmtId="0" fontId="15" fillId="0" borderId="70" xfId="11" applyNumberFormat="1" applyFont="1" applyFill="1" applyBorder="1" applyAlignment="1">
      <alignment vertical="top"/>
    </xf>
    <xf numFmtId="180" fontId="15" fillId="0" borderId="28" xfId="11" applyNumberFormat="1" applyFont="1" applyFill="1" applyBorder="1" applyAlignment="1">
      <alignment horizontal="right" vertical="center"/>
    </xf>
    <xf numFmtId="41" fontId="15" fillId="0" borderId="23" xfId="3" applyNumberFormat="1" applyFont="1" applyFill="1" applyBorder="1" applyAlignment="1">
      <alignment horizontal="left" vertical="center"/>
    </xf>
    <xf numFmtId="180" fontId="15" fillId="0" borderId="15" xfId="3" applyNumberFormat="1" applyFont="1" applyFill="1" applyBorder="1" applyAlignment="1">
      <alignment horizontal="right" vertical="center"/>
    </xf>
    <xf numFmtId="180" fontId="18" fillId="0" borderId="15" xfId="3" applyNumberFormat="1" applyFont="1" applyFill="1" applyBorder="1" applyAlignment="1">
      <alignment horizontal="right" vertical="center"/>
    </xf>
    <xf numFmtId="180" fontId="18" fillId="0" borderId="15" xfId="65" applyNumberFormat="1" applyFont="1" applyFill="1" applyBorder="1" applyAlignment="1">
      <alignment horizontal="right" vertical="center"/>
    </xf>
    <xf numFmtId="0" fontId="18" fillId="0" borderId="4" xfId="2" applyNumberFormat="1" applyFont="1" applyFill="1" applyBorder="1" applyAlignment="1">
      <alignment vertical="center"/>
    </xf>
    <xf numFmtId="0" fontId="15" fillId="0" borderId="3" xfId="2" applyNumberFormat="1" applyFont="1" applyFill="1" applyBorder="1" applyAlignment="1">
      <alignment vertical="center"/>
    </xf>
    <xf numFmtId="0" fontId="15" fillId="0" borderId="9" xfId="11" applyNumberFormat="1" applyFont="1" applyFill="1" applyBorder="1" applyAlignment="1">
      <alignment vertical="top"/>
    </xf>
    <xf numFmtId="0" fontId="18" fillId="0" borderId="5" xfId="2" applyNumberFormat="1" applyFont="1" applyFill="1" applyBorder="1" applyAlignment="1">
      <alignment vertical="center"/>
    </xf>
    <xf numFmtId="0" fontId="18" fillId="0" borderId="9" xfId="2" applyNumberFormat="1" applyFont="1" applyFill="1" applyBorder="1" applyAlignment="1">
      <alignment vertical="center"/>
    </xf>
    <xf numFmtId="176" fontId="18" fillId="0" borderId="8" xfId="12" applyNumberFormat="1" applyFont="1" applyFill="1" applyBorder="1" applyAlignment="1">
      <alignment horizontal="right" vertical="center"/>
    </xf>
    <xf numFmtId="0" fontId="15" fillId="0" borderId="3" xfId="11" applyNumberFormat="1" applyFont="1" applyFill="1" applyBorder="1" applyAlignment="1">
      <alignment vertical="center"/>
    </xf>
    <xf numFmtId="0" fontId="18" fillId="0" borderId="1" xfId="2" applyNumberFormat="1" applyFont="1" applyBorder="1" applyAlignment="1">
      <alignment horizontal="left" vertical="center" shrinkToFit="1"/>
    </xf>
    <xf numFmtId="176" fontId="18" fillId="0" borderId="8" xfId="3" applyNumberFormat="1" applyFont="1" applyFill="1" applyBorder="1" applyAlignment="1">
      <alignment vertical="center"/>
    </xf>
    <xf numFmtId="0" fontId="15" fillId="0" borderId="23" xfId="3" applyNumberFormat="1" applyFont="1" applyFill="1" applyBorder="1" applyAlignment="1">
      <alignment horizontal="left" vertical="center"/>
    </xf>
    <xf numFmtId="177" fontId="18" fillId="2" borderId="23" xfId="0" applyNumberFormat="1" applyFont="1" applyFill="1" applyBorder="1" applyAlignment="1">
      <alignment horizontal="left" vertical="center"/>
    </xf>
    <xf numFmtId="0" fontId="18" fillId="0" borderId="5" xfId="2" applyNumberFormat="1" applyFont="1" applyFill="1" applyBorder="1" applyAlignment="1">
      <alignment horizontal="left" vertical="center" shrinkToFit="1"/>
    </xf>
    <xf numFmtId="41" fontId="20" fillId="0" borderId="1" xfId="3" applyNumberFormat="1" applyFont="1" applyFill="1" applyBorder="1" applyAlignment="1">
      <alignment horizontal="center" vertical="center"/>
    </xf>
    <xf numFmtId="0" fontId="18" fillId="0" borderId="5" xfId="2" applyNumberFormat="1" applyFont="1" applyFill="1" applyBorder="1" applyAlignment="1">
      <alignment horizontal="center" vertical="center"/>
    </xf>
    <xf numFmtId="41" fontId="18" fillId="0" borderId="11" xfId="3" applyNumberFormat="1" applyFont="1" applyFill="1" applyBorder="1" applyAlignment="1">
      <alignment vertical="center"/>
    </xf>
    <xf numFmtId="0" fontId="15" fillId="0" borderId="69" xfId="11" applyNumberFormat="1" applyFont="1" applyFill="1" applyBorder="1" applyAlignment="1">
      <alignment vertical="center"/>
    </xf>
    <xf numFmtId="0" fontId="15" fillId="0" borderId="44" xfId="11" applyNumberFormat="1" applyFont="1" applyFill="1" applyBorder="1" applyAlignment="1">
      <alignment vertical="center"/>
    </xf>
    <xf numFmtId="0" fontId="15" fillId="0" borderId="0" xfId="11" applyNumberFormat="1" applyFont="1" applyFill="1" applyAlignment="1">
      <alignment vertical="center"/>
    </xf>
    <xf numFmtId="41" fontId="18" fillId="2" borderId="11" xfId="65" applyFont="1" applyFill="1" applyBorder="1" applyAlignment="1">
      <alignment horizontal="right" vertical="center"/>
    </xf>
    <xf numFmtId="41" fontId="19" fillId="2" borderId="11" xfId="65" applyFont="1" applyFill="1" applyBorder="1" applyAlignment="1">
      <alignment horizontal="right" vertical="center"/>
    </xf>
    <xf numFmtId="0" fontId="19" fillId="0" borderId="27" xfId="2" applyNumberFormat="1" applyFont="1" applyBorder="1" applyAlignment="1">
      <alignment horizontal="left" vertical="center" shrinkToFit="1"/>
    </xf>
    <xf numFmtId="0" fontId="9" fillId="0" borderId="69" xfId="2" applyNumberFormat="1" applyFont="1" applyFill="1" applyBorder="1" applyAlignment="1">
      <alignment vertical="center"/>
    </xf>
    <xf numFmtId="179" fontId="20" fillId="0" borderId="31" xfId="65" applyNumberFormat="1" applyFont="1" applyFill="1" applyBorder="1" applyAlignment="1">
      <alignment horizontal="right" vertical="center"/>
    </xf>
    <xf numFmtId="179" fontId="24" fillId="0" borderId="3" xfId="65" applyNumberFormat="1" applyFont="1" applyFill="1" applyBorder="1" applyAlignment="1">
      <alignment horizontal="right" vertical="center"/>
    </xf>
    <xf numFmtId="41" fontId="24" fillId="0" borderId="23" xfId="65" applyNumberFormat="1" applyFont="1" applyFill="1" applyBorder="1" applyAlignment="1">
      <alignment vertical="center"/>
    </xf>
    <xf numFmtId="41" fontId="24" fillId="0" borderId="6" xfId="65" applyNumberFormat="1" applyFont="1" applyFill="1" applyBorder="1" applyAlignment="1">
      <alignment horizontal="center" vertical="center"/>
    </xf>
    <xf numFmtId="0" fontId="15" fillId="0" borderId="4" xfId="65" applyNumberFormat="1" applyFont="1" applyFill="1" applyBorder="1" applyAlignment="1">
      <alignment horizontal="left" vertical="center" wrapText="1"/>
    </xf>
    <xf numFmtId="0" fontId="19" fillId="0" borderId="32" xfId="2" applyNumberFormat="1" applyFont="1" applyFill="1" applyBorder="1" applyAlignment="1">
      <alignment vertical="center"/>
    </xf>
    <xf numFmtId="0" fontId="19" fillId="0" borderId="33" xfId="2" applyNumberFormat="1" applyFont="1" applyFill="1" applyBorder="1" applyAlignment="1">
      <alignment vertical="center"/>
    </xf>
    <xf numFmtId="176" fontId="18" fillId="0" borderId="45" xfId="3" applyNumberFormat="1" applyFont="1" applyFill="1" applyBorder="1" applyAlignment="1">
      <alignment horizontal="right" vertical="center"/>
    </xf>
    <xf numFmtId="176" fontId="26" fillId="0" borderId="22" xfId="12" applyNumberFormat="1" applyFont="1" applyFill="1" applyBorder="1" applyAlignment="1">
      <alignment horizontal="right" vertical="center"/>
    </xf>
    <xf numFmtId="41" fontId="20" fillId="0" borderId="21" xfId="3" applyNumberFormat="1" applyFont="1" applyFill="1" applyBorder="1" applyAlignment="1">
      <alignment horizontal="left" vertical="center"/>
    </xf>
    <xf numFmtId="41" fontId="20" fillId="0" borderId="21" xfId="3" applyNumberFormat="1" applyFont="1" applyFill="1" applyBorder="1" applyAlignment="1">
      <alignment horizontal="center" vertical="center"/>
    </xf>
    <xf numFmtId="41" fontId="20" fillId="0" borderId="74" xfId="3" applyNumberFormat="1" applyFont="1" applyFill="1" applyBorder="1" applyAlignment="1">
      <alignment horizontal="right" vertical="center"/>
    </xf>
    <xf numFmtId="0" fontId="24" fillId="0" borderId="69" xfId="11" applyNumberFormat="1" applyFont="1" applyFill="1" applyBorder="1" applyAlignment="1">
      <alignment vertical="center"/>
    </xf>
    <xf numFmtId="0" fontId="15" fillId="0" borderId="4" xfId="3" applyNumberFormat="1" applyFont="1" applyFill="1" applyBorder="1" applyAlignment="1">
      <alignment horizontal="left" vertical="center"/>
    </xf>
    <xf numFmtId="41" fontId="15" fillId="0" borderId="21" xfId="3" applyNumberFormat="1" applyFont="1" applyFill="1" applyBorder="1" applyAlignment="1">
      <alignment horizontal="left" vertical="center"/>
    </xf>
    <xf numFmtId="41" fontId="15" fillId="0" borderId="21" xfId="3" applyNumberFormat="1" applyFont="1" applyFill="1" applyBorder="1" applyAlignment="1">
      <alignment horizontal="center" vertical="center"/>
    </xf>
    <xf numFmtId="41" fontId="15" fillId="0" borderId="74" xfId="3" applyNumberFormat="1" applyFont="1" applyFill="1" applyBorder="1" applyAlignment="1">
      <alignment horizontal="right" vertical="center"/>
    </xf>
    <xf numFmtId="0" fontId="20" fillId="0" borderId="4" xfId="65" applyNumberFormat="1" applyFont="1" applyFill="1" applyBorder="1" applyAlignment="1">
      <alignment horizontal="left" vertical="center" wrapText="1"/>
    </xf>
    <xf numFmtId="0" fontId="15" fillId="0" borderId="25" xfId="65" applyNumberFormat="1" applyFont="1" applyFill="1" applyBorder="1" applyAlignment="1">
      <alignment horizontal="left" vertical="center" wrapText="1"/>
    </xf>
    <xf numFmtId="177" fontId="18" fillId="35" borderId="25" xfId="0" applyNumberFormat="1" applyFont="1" applyFill="1" applyBorder="1" applyAlignment="1">
      <alignment vertical="center"/>
    </xf>
    <xf numFmtId="177" fontId="18" fillId="35" borderId="27" xfId="0" applyNumberFormat="1" applyFont="1" applyFill="1" applyBorder="1" applyAlignment="1">
      <alignment vertical="center"/>
    </xf>
    <xf numFmtId="176" fontId="18" fillId="35" borderId="40" xfId="12" applyNumberFormat="1" applyFont="1" applyFill="1" applyBorder="1" applyAlignment="1">
      <alignment horizontal="right" vertical="center" shrinkToFit="1"/>
    </xf>
    <xf numFmtId="0" fontId="15" fillId="0" borderId="12" xfId="2" applyNumberFormat="1" applyFont="1" applyBorder="1" applyAlignment="1">
      <alignment horizontal="left" vertical="center" wrapText="1" shrinkToFit="1"/>
    </xf>
    <xf numFmtId="41" fontId="0" fillId="0" borderId="0" xfId="0" applyNumberFormat="1">
      <alignment vertical="center"/>
    </xf>
    <xf numFmtId="41" fontId="11" fillId="0" borderId="0" xfId="1">
      <alignment vertical="center"/>
    </xf>
    <xf numFmtId="41" fontId="24" fillId="0" borderId="0" xfId="11" applyNumberFormat="1" applyFont="1" applyFill="1" applyAlignment="1">
      <alignment vertical="center"/>
    </xf>
    <xf numFmtId="41" fontId="11" fillId="0" borderId="0" xfId="1" applyAlignment="1">
      <alignment vertical="center"/>
    </xf>
    <xf numFmtId="0" fontId="24" fillId="0" borderId="46" xfId="11" applyNumberFormat="1" applyFont="1" applyFill="1" applyBorder="1" applyAlignment="1">
      <alignment vertical="top"/>
    </xf>
    <xf numFmtId="179" fontId="20" fillId="0" borderId="46" xfId="65" applyNumberFormat="1" applyFont="1" applyFill="1" applyBorder="1" applyAlignment="1">
      <alignment horizontal="right" vertical="center"/>
    </xf>
    <xf numFmtId="177" fontId="18" fillId="2" borderId="25" xfId="0" applyNumberFormat="1" applyFont="1" applyFill="1" applyBorder="1" applyAlignment="1">
      <alignment vertical="center"/>
    </xf>
    <xf numFmtId="177" fontId="15" fillId="2" borderId="46" xfId="0" applyNumberFormat="1" applyFont="1" applyFill="1" applyBorder="1" applyAlignment="1">
      <alignment vertical="center"/>
    </xf>
    <xf numFmtId="41" fontId="11" fillId="0" borderId="0" xfId="1">
      <alignment vertical="center"/>
    </xf>
    <xf numFmtId="180" fontId="15" fillId="0" borderId="10" xfId="65" applyNumberFormat="1" applyFont="1" applyFill="1" applyBorder="1" applyAlignment="1">
      <alignment horizontal="right" vertical="center"/>
    </xf>
    <xf numFmtId="0" fontId="15" fillId="0" borderId="12" xfId="65" applyNumberFormat="1" applyFont="1" applyFill="1" applyBorder="1" applyAlignment="1">
      <alignment horizontal="left" vertical="center" shrinkToFit="1"/>
    </xf>
    <xf numFmtId="41" fontId="15" fillId="2" borderId="23" xfId="65" applyNumberFormat="1" applyFont="1" applyFill="1" applyBorder="1" applyAlignment="1">
      <alignment vertical="center" shrinkToFit="1"/>
    </xf>
    <xf numFmtId="0" fontId="15" fillId="0" borderId="12" xfId="5" quotePrefix="1" applyFont="1" applyFill="1" applyBorder="1" applyAlignment="1">
      <alignment horizontal="justify" vertical="center"/>
    </xf>
    <xf numFmtId="41" fontId="15" fillId="0" borderId="4" xfId="65" applyNumberFormat="1" applyFont="1" applyFill="1" applyBorder="1" applyAlignment="1">
      <alignment vertical="center" shrinkToFit="1"/>
    </xf>
    <xf numFmtId="41" fontId="15" fillId="0" borderId="5" xfId="65" applyNumberFormat="1" applyFont="1" applyFill="1" applyBorder="1" applyAlignment="1">
      <alignment horizontal="center" vertical="center" shrinkToFit="1"/>
    </xf>
    <xf numFmtId="176" fontId="15" fillId="0" borderId="1" xfId="12" applyNumberFormat="1" applyFont="1" applyFill="1" applyBorder="1" applyAlignment="1">
      <alignment vertical="center"/>
    </xf>
    <xf numFmtId="0" fontId="18" fillId="0" borderId="1" xfId="2" applyNumberFormat="1" applyFont="1" applyFill="1" applyBorder="1" applyAlignment="1">
      <alignment horizontal="left" vertical="center" shrinkToFit="1"/>
    </xf>
    <xf numFmtId="0" fontId="18" fillId="0" borderId="0" xfId="2" applyNumberFormat="1" applyFont="1" applyFill="1" applyBorder="1" applyAlignment="1">
      <alignment horizontal="left" vertical="center" shrinkToFit="1"/>
    </xf>
    <xf numFmtId="0" fontId="15" fillId="0" borderId="68" xfId="65" applyNumberFormat="1" applyFont="1" applyFill="1" applyBorder="1" applyAlignment="1">
      <alignment horizontal="left" vertical="center" wrapText="1"/>
    </xf>
    <xf numFmtId="0" fontId="15" fillId="0" borderId="72" xfId="11" applyNumberFormat="1" applyFont="1" applyFill="1" applyBorder="1" applyAlignment="1">
      <alignment horizontal="center" vertical="center"/>
    </xf>
    <xf numFmtId="3" fontId="15" fillId="0" borderId="75" xfId="5" applyNumberFormat="1" applyFont="1" applyFill="1" applyBorder="1" applyAlignment="1">
      <alignment horizontal="right" vertical="center"/>
    </xf>
    <xf numFmtId="0" fontId="18" fillId="0" borderId="27" xfId="11" applyNumberFormat="1" applyFont="1" applyFill="1" applyBorder="1" applyAlignment="1">
      <alignment horizontal="left" vertical="center"/>
    </xf>
    <xf numFmtId="41" fontId="11" fillId="0" borderId="0" xfId="1">
      <alignment vertical="center"/>
    </xf>
    <xf numFmtId="0" fontId="20" fillId="0" borderId="26" xfId="17" applyFont="1" applyBorder="1" applyAlignment="1">
      <alignment vertical="center"/>
    </xf>
    <xf numFmtId="0" fontId="15" fillId="36" borderId="0" xfId="11" applyNumberFormat="1" applyFont="1" applyFill="1" applyBorder="1" applyAlignment="1">
      <alignment horizontal="center" vertical="center"/>
    </xf>
    <xf numFmtId="3" fontId="15" fillId="36" borderId="10" xfId="5" applyNumberFormat="1" applyFont="1" applyFill="1" applyBorder="1" applyAlignment="1">
      <alignment horizontal="right" vertical="center"/>
    </xf>
    <xf numFmtId="0" fontId="24" fillId="0" borderId="6" xfId="11" applyNumberFormat="1" applyFont="1" applyFill="1" applyBorder="1" applyAlignment="1">
      <alignment vertical="center"/>
    </xf>
    <xf numFmtId="0" fontId="26" fillId="0" borderId="3" xfId="11" applyNumberFormat="1" applyFont="1" applyFill="1" applyBorder="1" applyAlignment="1">
      <alignment horizontal="left" vertical="center"/>
    </xf>
    <xf numFmtId="0" fontId="24" fillId="0" borderId="3" xfId="11" applyNumberFormat="1" applyFont="1" applyFill="1" applyBorder="1" applyAlignment="1">
      <alignment vertical="top"/>
    </xf>
    <xf numFmtId="0" fontId="15" fillId="0" borderId="12" xfId="65" applyNumberFormat="1" applyFont="1" applyFill="1" applyBorder="1" applyAlignment="1">
      <alignment horizontal="left" vertical="center" wrapText="1"/>
    </xf>
    <xf numFmtId="0" fontId="15" fillId="0" borderId="0" xfId="5" quotePrefix="1" applyFont="1" applyFill="1" applyBorder="1" applyAlignment="1">
      <alignment horizontal="justify" vertical="center"/>
    </xf>
    <xf numFmtId="41" fontId="11" fillId="0" borderId="0" xfId="1">
      <alignment vertical="center"/>
    </xf>
    <xf numFmtId="0" fontId="60" fillId="0" borderId="12" xfId="65" applyNumberFormat="1" applyFont="1" applyFill="1" applyBorder="1" applyAlignment="1">
      <alignment horizontal="left" vertical="center"/>
    </xf>
    <xf numFmtId="177" fontId="15" fillId="2" borderId="29" xfId="0" applyNumberFormat="1" applyFont="1" applyFill="1" applyBorder="1" applyAlignment="1">
      <alignment horizontal="left" vertical="center"/>
    </xf>
    <xf numFmtId="0" fontId="15" fillId="36" borderId="12" xfId="5" quotePrefix="1" applyFont="1" applyFill="1" applyBorder="1" applyAlignment="1">
      <alignment horizontal="justify" vertical="center"/>
    </xf>
    <xf numFmtId="0" fontId="15" fillId="36" borderId="0" xfId="11" applyFont="1" applyFill="1" applyBorder="1" applyAlignment="1">
      <alignment horizontal="center" vertical="center"/>
    </xf>
    <xf numFmtId="0" fontId="15" fillId="36" borderId="4" xfId="65" applyNumberFormat="1" applyFont="1" applyFill="1" applyBorder="1" applyAlignment="1">
      <alignment horizontal="left" vertical="center"/>
    </xf>
    <xf numFmtId="0" fontId="15" fillId="36" borderId="5" xfId="11" applyFont="1" applyFill="1" applyBorder="1" applyAlignment="1">
      <alignment horizontal="center" vertical="center"/>
    </xf>
    <xf numFmtId="0" fontId="20" fillId="36" borderId="4" xfId="65" applyNumberFormat="1" applyFont="1" applyFill="1" applyBorder="1" applyAlignment="1">
      <alignment horizontal="left" vertical="center"/>
    </xf>
    <xf numFmtId="0" fontId="20" fillId="36" borderId="5" xfId="11" applyFont="1" applyFill="1" applyBorder="1" applyAlignment="1">
      <alignment horizontal="center" vertical="center"/>
    </xf>
    <xf numFmtId="3" fontId="20" fillId="36" borderId="11" xfId="5" applyNumberFormat="1" applyFont="1" applyFill="1" applyBorder="1" applyAlignment="1">
      <alignment horizontal="right" vertical="center"/>
    </xf>
    <xf numFmtId="0" fontId="15" fillId="36" borderId="12" xfId="65" applyNumberFormat="1" applyFont="1" applyFill="1" applyBorder="1" applyAlignment="1">
      <alignment horizontal="left" vertical="center"/>
    </xf>
    <xf numFmtId="0" fontId="15" fillId="36" borderId="0" xfId="65" applyNumberFormat="1" applyFont="1" applyFill="1" applyBorder="1" applyAlignment="1">
      <alignment horizontal="left" vertical="center"/>
    </xf>
    <xf numFmtId="0" fontId="15" fillId="36" borderId="5" xfId="65" applyNumberFormat="1" applyFont="1" applyFill="1" applyBorder="1" applyAlignment="1">
      <alignment horizontal="left" vertical="center"/>
    </xf>
    <xf numFmtId="3" fontId="15" fillId="36" borderId="11" xfId="5" applyNumberFormat="1" applyFont="1" applyFill="1" applyBorder="1" applyAlignment="1">
      <alignment horizontal="right" vertical="center"/>
    </xf>
    <xf numFmtId="0" fontId="60" fillId="0" borderId="12" xfId="2" applyNumberFormat="1" applyFont="1" applyFill="1" applyBorder="1" applyAlignment="1">
      <alignment horizontal="left" vertical="center" shrinkToFit="1"/>
    </xf>
    <xf numFmtId="0" fontId="15" fillId="36" borderId="12" xfId="2" applyNumberFormat="1" applyFont="1" applyFill="1" applyBorder="1" applyAlignment="1">
      <alignment horizontal="left" vertical="center" shrinkToFit="1"/>
    </xf>
    <xf numFmtId="180" fontId="15" fillId="36" borderId="10" xfId="65" applyNumberFormat="1" applyFont="1" applyFill="1" applyBorder="1" applyAlignment="1">
      <alignment horizontal="right" vertical="center"/>
    </xf>
    <xf numFmtId="3" fontId="15" fillId="36" borderId="10" xfId="11" applyNumberFormat="1" applyFont="1" applyFill="1" applyBorder="1" applyAlignment="1">
      <alignment horizontal="right" vertical="center"/>
    </xf>
    <xf numFmtId="0" fontId="15" fillId="36" borderId="5" xfId="11" applyNumberFormat="1" applyFont="1" applyFill="1" applyBorder="1" applyAlignment="1">
      <alignment horizontal="center" vertical="center"/>
    </xf>
    <xf numFmtId="3" fontId="15" fillId="36" borderId="11" xfId="11" applyNumberFormat="1" applyFont="1" applyFill="1" applyBorder="1" applyAlignment="1">
      <alignment horizontal="right" vertical="center"/>
    </xf>
    <xf numFmtId="0" fontId="15" fillId="36" borderId="4" xfId="5" quotePrefix="1" applyFont="1" applyFill="1" applyBorder="1" applyAlignment="1">
      <alignment horizontal="justify" vertical="center"/>
    </xf>
    <xf numFmtId="0" fontId="60" fillId="0" borderId="27" xfId="65" applyNumberFormat="1" applyFont="1" applyFill="1" applyBorder="1" applyAlignment="1">
      <alignment horizontal="left" vertical="center"/>
    </xf>
    <xf numFmtId="0" fontId="15" fillId="0" borderId="5" xfId="3" applyNumberFormat="1" applyFont="1" applyFill="1" applyBorder="1" applyAlignment="1">
      <alignment horizontal="left" vertical="center"/>
    </xf>
    <xf numFmtId="0" fontId="15" fillId="0" borderId="5" xfId="2" applyNumberFormat="1" applyFont="1" applyBorder="1" applyAlignment="1">
      <alignment horizontal="left" vertical="center" shrinkToFit="1"/>
    </xf>
    <xf numFmtId="0" fontId="60" fillId="0" borderId="0" xfId="2" applyNumberFormat="1" applyFont="1" applyBorder="1" applyAlignment="1">
      <alignment horizontal="left" vertical="center" shrinkToFit="1"/>
    </xf>
    <xf numFmtId="0" fontId="15" fillId="36" borderId="0" xfId="2" applyNumberFormat="1" applyFont="1" applyFill="1" applyBorder="1" applyAlignment="1">
      <alignment horizontal="left" vertical="center" shrinkToFit="1"/>
    </xf>
    <xf numFmtId="0" fontId="15" fillId="36" borderId="4" xfId="2" applyNumberFormat="1" applyFont="1" applyFill="1" applyBorder="1" applyAlignment="1">
      <alignment horizontal="left" vertical="center" shrinkToFit="1"/>
    </xf>
    <xf numFmtId="0" fontId="15" fillId="36" borderId="20" xfId="2" applyNumberFormat="1" applyFont="1" applyFill="1" applyBorder="1" applyAlignment="1">
      <alignment horizontal="left" vertical="center" shrinkToFit="1"/>
    </xf>
    <xf numFmtId="0" fontId="15" fillId="36" borderId="20" xfId="11" applyNumberFormat="1" applyFont="1" applyFill="1" applyBorder="1" applyAlignment="1">
      <alignment horizontal="center" vertical="center"/>
    </xf>
    <xf numFmtId="3" fontId="15" fillId="36" borderId="28" xfId="5" applyNumberFormat="1" applyFont="1" applyFill="1" applyBorder="1" applyAlignment="1">
      <alignment horizontal="right" vertical="center"/>
    </xf>
    <xf numFmtId="0" fontId="60" fillId="0" borderId="23" xfId="2" applyNumberFormat="1" applyFont="1" applyFill="1" applyBorder="1" applyAlignment="1">
      <alignment vertical="center"/>
    </xf>
    <xf numFmtId="0" fontId="60" fillId="0" borderId="4" xfId="2" applyNumberFormat="1" applyFont="1" applyFill="1" applyBorder="1" applyAlignment="1">
      <alignment vertical="center"/>
    </xf>
    <xf numFmtId="177" fontId="60" fillId="2" borderId="23" xfId="0" applyNumberFormat="1" applyFont="1" applyFill="1" applyBorder="1" applyAlignment="1">
      <alignment vertical="center"/>
    </xf>
    <xf numFmtId="0" fontId="10" fillId="0" borderId="9" xfId="11" applyNumberFormat="1" applyFont="1" applyFill="1" applyBorder="1" applyAlignment="1">
      <alignment vertical="center"/>
    </xf>
    <xf numFmtId="0" fontId="60" fillId="0" borderId="12" xfId="2" applyNumberFormat="1" applyFont="1" applyBorder="1" applyAlignment="1">
      <alignment horizontal="left" vertical="center" shrinkToFit="1"/>
    </xf>
    <xf numFmtId="179" fontId="10" fillId="0" borderId="8" xfId="65" applyNumberFormat="1" applyFont="1" applyFill="1" applyBorder="1" applyAlignment="1">
      <alignment horizontal="right" vertical="center"/>
    </xf>
    <xf numFmtId="0" fontId="10" fillId="0" borderId="2" xfId="11" applyNumberFormat="1" applyFont="1" applyFill="1" applyBorder="1" applyAlignment="1">
      <alignment vertical="center"/>
    </xf>
    <xf numFmtId="0" fontId="10" fillId="0" borderId="26" xfId="11" applyNumberFormat="1" applyFont="1" applyFill="1" applyBorder="1" applyAlignment="1">
      <alignment vertical="center"/>
    </xf>
    <xf numFmtId="0" fontId="10" fillId="0" borderId="70" xfId="11" applyNumberFormat="1" applyFont="1" applyFill="1" applyBorder="1" applyAlignment="1">
      <alignment vertical="center"/>
    </xf>
    <xf numFmtId="0" fontId="60" fillId="0" borderId="12" xfId="65" applyNumberFormat="1" applyFont="1" applyFill="1" applyBorder="1" applyAlignment="1">
      <alignment horizontal="left" vertical="center" wrapText="1"/>
    </xf>
    <xf numFmtId="177" fontId="60" fillId="2" borderId="4" xfId="0" applyNumberFormat="1" applyFont="1" applyFill="1" applyBorder="1" applyAlignment="1">
      <alignment vertical="center"/>
    </xf>
    <xf numFmtId="0" fontId="10" fillId="0" borderId="70" xfId="11" applyNumberFormat="1" applyFont="1" applyFill="1" applyBorder="1" applyAlignment="1">
      <alignment vertical="top"/>
    </xf>
    <xf numFmtId="180" fontId="18" fillId="0" borderId="10" xfId="5" applyNumberFormat="1" applyFont="1" applyFill="1" applyBorder="1" applyAlignment="1">
      <alignment horizontal="right" vertical="center"/>
    </xf>
    <xf numFmtId="0" fontId="15" fillId="36" borderId="25" xfId="65" applyNumberFormat="1" applyFont="1" applyFill="1" applyBorder="1" applyAlignment="1">
      <alignment horizontal="left" vertical="center" wrapText="1"/>
    </xf>
    <xf numFmtId="180" fontId="15" fillId="36" borderId="28" xfId="11" applyNumberFormat="1" applyFont="1" applyFill="1" applyBorder="1" applyAlignment="1">
      <alignment horizontal="right" vertical="center"/>
    </xf>
    <xf numFmtId="180" fontId="15" fillId="0" borderId="10" xfId="11" applyNumberFormat="1" applyFont="1" applyFill="1" applyBorder="1" applyAlignment="1">
      <alignment horizontal="right" vertical="center"/>
    </xf>
    <xf numFmtId="0" fontId="15" fillId="36" borderId="4" xfId="65" applyNumberFormat="1" applyFont="1" applyFill="1" applyBorder="1" applyAlignment="1">
      <alignment horizontal="left" vertical="center" wrapText="1"/>
    </xf>
    <xf numFmtId="180" fontId="15" fillId="36" borderId="11" xfId="11" applyNumberFormat="1" applyFont="1" applyFill="1" applyBorder="1" applyAlignment="1">
      <alignment horizontal="right" vertical="center"/>
    </xf>
    <xf numFmtId="180" fontId="15" fillId="0" borderId="10" xfId="5" applyNumberFormat="1" applyFont="1" applyFill="1" applyBorder="1" applyAlignment="1">
      <alignment horizontal="right" vertical="center"/>
    </xf>
    <xf numFmtId="0" fontId="15" fillId="0" borderId="0" xfId="2" applyNumberFormat="1" applyFont="1" applyFill="1" applyBorder="1" applyAlignment="1">
      <alignment horizontal="left" vertical="center" shrinkToFit="1"/>
    </xf>
    <xf numFmtId="0" fontId="60" fillId="0" borderId="0" xfId="2" applyNumberFormat="1" applyFont="1" applyFill="1" applyBorder="1" applyAlignment="1">
      <alignment horizontal="left" vertical="center" shrinkToFit="1"/>
    </xf>
    <xf numFmtId="0" fontId="18" fillId="39" borderId="12" xfId="65" applyNumberFormat="1" applyFont="1" applyFill="1" applyBorder="1" applyAlignment="1">
      <alignment horizontal="left" vertical="center"/>
    </xf>
    <xf numFmtId="0" fontId="15" fillId="39" borderId="0" xfId="11" applyNumberFormat="1" applyFont="1" applyFill="1" applyBorder="1" applyAlignment="1">
      <alignment horizontal="center" vertical="center"/>
    </xf>
    <xf numFmtId="3" fontId="15" fillId="39" borderId="10" xfId="5" applyNumberFormat="1" applyFont="1" applyFill="1" applyBorder="1" applyAlignment="1">
      <alignment horizontal="right" vertical="center"/>
    </xf>
    <xf numFmtId="41" fontId="11" fillId="0" borderId="0" xfId="1">
      <alignment vertical="center"/>
    </xf>
    <xf numFmtId="0" fontId="15" fillId="0" borderId="26" xfId="17" applyFont="1" applyBorder="1" applyAlignment="1">
      <alignment vertical="center"/>
    </xf>
    <xf numFmtId="0" fontId="15" fillId="0" borderId="8" xfId="17" applyFont="1" applyBorder="1" applyAlignment="1">
      <alignment horizontal="left" vertical="top"/>
    </xf>
    <xf numFmtId="0" fontId="15" fillId="0" borderId="19" xfId="17" applyFont="1" applyBorder="1" applyAlignment="1">
      <alignment vertical="top"/>
    </xf>
    <xf numFmtId="0" fontId="15" fillId="36" borderId="20" xfId="11" applyFont="1" applyFill="1" applyBorder="1" applyAlignment="1">
      <alignment horizontal="center" vertical="center"/>
    </xf>
    <xf numFmtId="176" fontId="15" fillId="2" borderId="70" xfId="12" applyNumberFormat="1" applyFont="1" applyFill="1" applyBorder="1" applyAlignment="1">
      <alignment vertical="center"/>
    </xf>
    <xf numFmtId="41" fontId="11" fillId="0" borderId="0" xfId="1">
      <alignment vertical="center"/>
    </xf>
    <xf numFmtId="0" fontId="20" fillId="0" borderId="8" xfId="17" applyFont="1" applyBorder="1" applyAlignment="1">
      <alignment vertical="center"/>
    </xf>
    <xf numFmtId="0" fontId="15" fillId="36" borderId="4" xfId="5" quotePrefix="1" applyFont="1" applyFill="1" applyBorder="1" applyAlignment="1">
      <alignment vertical="center" shrinkToFit="1"/>
    </xf>
    <xf numFmtId="0" fontId="10" fillId="0" borderId="2" xfId="17" applyFont="1" applyBorder="1" applyAlignment="1">
      <alignment vertical="center"/>
    </xf>
    <xf numFmtId="0" fontId="10" fillId="0" borderId="26" xfId="17" applyFont="1" applyBorder="1" applyAlignment="1">
      <alignment vertical="center" shrinkToFit="1"/>
    </xf>
    <xf numFmtId="0" fontId="15" fillId="36" borderId="12" xfId="65" applyNumberFormat="1" applyFont="1" applyFill="1" applyBorder="1" applyAlignment="1">
      <alignment horizontal="left" vertical="center" wrapText="1"/>
    </xf>
    <xf numFmtId="0" fontId="54" fillId="0" borderId="0" xfId="2" applyFont="1" applyAlignment="1">
      <alignment horizontal="center" vertical="center" shrinkToFit="1"/>
    </xf>
    <xf numFmtId="0" fontId="55" fillId="37" borderId="0" xfId="2" applyFont="1" applyFill="1" applyAlignment="1">
      <alignment horizontal="center"/>
    </xf>
    <xf numFmtId="0" fontId="57" fillId="0" borderId="0" xfId="2" applyFont="1" applyAlignment="1">
      <alignment horizontal="center" vertical="center"/>
    </xf>
    <xf numFmtId="0" fontId="58" fillId="38" borderId="0" xfId="2" applyFont="1" applyFill="1" applyAlignment="1">
      <alignment horizontal="center" vertical="center"/>
    </xf>
    <xf numFmtId="177" fontId="15" fillId="3" borderId="13" xfId="0" applyNumberFormat="1" applyFont="1" applyFill="1" applyBorder="1" applyAlignment="1">
      <alignment horizontal="center" vertical="center"/>
    </xf>
    <xf numFmtId="177" fontId="15" fillId="3" borderId="14" xfId="0" applyNumberFormat="1" applyFont="1" applyFill="1" applyBorder="1" applyAlignment="1">
      <alignment horizontal="center" vertical="center"/>
    </xf>
    <xf numFmtId="41" fontId="15" fillId="3" borderId="45" xfId="12" applyFont="1" applyFill="1" applyBorder="1" applyAlignment="1">
      <alignment horizontal="center" vertical="center" wrapText="1"/>
    </xf>
    <xf numFmtId="41" fontId="15" fillId="3" borderId="19" xfId="12" applyFont="1" applyFill="1" applyBorder="1" applyAlignment="1">
      <alignment horizontal="center" vertical="center"/>
    </xf>
    <xf numFmtId="177" fontId="15" fillId="3" borderId="34" xfId="12" applyNumberFormat="1" applyFont="1" applyFill="1" applyBorder="1" applyAlignment="1">
      <alignment horizontal="center" vertical="center" wrapText="1"/>
    </xf>
    <xf numFmtId="177" fontId="15" fillId="3" borderId="40" xfId="12" applyNumberFormat="1" applyFont="1" applyFill="1" applyBorder="1" applyAlignment="1">
      <alignment horizontal="center" vertical="center"/>
    </xf>
    <xf numFmtId="177" fontId="18" fillId="3" borderId="36" xfId="0" applyNumberFormat="1" applyFont="1" applyFill="1" applyBorder="1" applyAlignment="1">
      <alignment horizontal="center" vertical="center"/>
    </xf>
    <xf numFmtId="177" fontId="18" fillId="3" borderId="37" xfId="0" applyNumberFormat="1" applyFont="1" applyFill="1" applyBorder="1" applyAlignment="1">
      <alignment horizontal="center" vertical="center"/>
    </xf>
    <xf numFmtId="177" fontId="15" fillId="3" borderId="41" xfId="0" applyNumberFormat="1" applyFont="1" applyFill="1" applyBorder="1" applyAlignment="1">
      <alignment horizontal="center" vertical="center"/>
    </xf>
    <xf numFmtId="177" fontId="18" fillId="3" borderId="48" xfId="0" applyNumberFormat="1" applyFont="1" applyFill="1" applyBorder="1" applyAlignment="1">
      <alignment horizontal="center" vertical="center"/>
    </xf>
    <xf numFmtId="177" fontId="15" fillId="3" borderId="68" xfId="0" applyNumberFormat="1" applyFont="1" applyFill="1" applyBorder="1" applyAlignment="1">
      <alignment horizontal="center" vertical="center"/>
    </xf>
    <xf numFmtId="177" fontId="15" fillId="3" borderId="72" xfId="0" applyNumberFormat="1" applyFont="1" applyFill="1" applyBorder="1" applyAlignment="1">
      <alignment horizontal="center" vertical="center"/>
    </xf>
    <xf numFmtId="177" fontId="15" fillId="3" borderId="64" xfId="0" applyNumberFormat="1" applyFont="1" applyFill="1" applyBorder="1" applyAlignment="1">
      <alignment horizontal="center" vertical="center"/>
    </xf>
    <xf numFmtId="0" fontId="20" fillId="3" borderId="30" xfId="2" applyNumberFormat="1" applyFont="1" applyFill="1" applyBorder="1" applyAlignment="1">
      <alignment horizontal="center" vertical="center"/>
    </xf>
    <xf numFmtId="0" fontId="20" fillId="3" borderId="22" xfId="2" applyNumberFormat="1" applyFont="1" applyFill="1" applyBorder="1" applyAlignment="1">
      <alignment horizontal="center" vertical="center"/>
    </xf>
    <xf numFmtId="0" fontId="20" fillId="3" borderId="34" xfId="2" applyNumberFormat="1" applyFont="1" applyFill="1" applyBorder="1" applyAlignment="1">
      <alignment horizontal="center" vertical="center"/>
    </xf>
    <xf numFmtId="0" fontId="20" fillId="3" borderId="31" xfId="2" applyNumberFormat="1" applyFont="1" applyFill="1" applyBorder="1" applyAlignment="1">
      <alignment horizontal="center" vertical="center"/>
    </xf>
    <xf numFmtId="0" fontId="20" fillId="3" borderId="3" xfId="2" applyNumberFormat="1" applyFont="1" applyFill="1" applyBorder="1" applyAlignment="1">
      <alignment horizontal="center" vertical="center"/>
    </xf>
    <xf numFmtId="0" fontId="20" fillId="3" borderId="43" xfId="2" applyNumberFormat="1" applyFont="1" applyFill="1" applyBorder="1" applyAlignment="1">
      <alignment horizontal="center" vertical="center"/>
    </xf>
    <xf numFmtId="0" fontId="26" fillId="3" borderId="36" xfId="11" applyNumberFormat="1" applyFont="1" applyFill="1" applyBorder="1" applyAlignment="1">
      <alignment horizontal="center" vertical="center"/>
    </xf>
    <xf numFmtId="0" fontId="26" fillId="3" borderId="37" xfId="11" applyNumberFormat="1" applyFont="1" applyFill="1" applyBorder="1" applyAlignment="1">
      <alignment horizontal="center" vertical="center"/>
    </xf>
    <xf numFmtId="0" fontId="26" fillId="3" borderId="48" xfId="11" applyNumberFormat="1" applyFont="1" applyFill="1" applyBorder="1" applyAlignment="1">
      <alignment horizontal="center" vertical="center"/>
    </xf>
    <xf numFmtId="0" fontId="20" fillId="0" borderId="23" xfId="11" applyFont="1" applyBorder="1" applyAlignment="1">
      <alignment horizontal="left" vertical="center"/>
    </xf>
    <xf numFmtId="0" fontId="20" fillId="0" borderId="29" xfId="11" applyFont="1" applyBorder="1" applyAlignment="1">
      <alignment horizontal="left" vertical="center"/>
    </xf>
    <xf numFmtId="0" fontId="8" fillId="3" borderId="49" xfId="2" applyNumberFormat="1" applyFont="1" applyFill="1" applyBorder="1" applyAlignment="1">
      <alignment horizontal="center" vertical="center"/>
    </xf>
    <xf numFmtId="0" fontId="8" fillId="3" borderId="18" xfId="2" applyNumberFormat="1" applyFont="1" applyFill="1" applyBorder="1" applyAlignment="1">
      <alignment horizontal="center" vertical="center"/>
    </xf>
    <xf numFmtId="0" fontId="8" fillId="3" borderId="33" xfId="2" applyNumberFormat="1" applyFont="1" applyFill="1" applyBorder="1" applyAlignment="1">
      <alignment horizontal="center" vertical="center"/>
    </xf>
    <xf numFmtId="0" fontId="8" fillId="3" borderId="21" xfId="2" applyNumberFormat="1" applyFont="1" applyFill="1" applyBorder="1" applyAlignment="1">
      <alignment horizontal="center" vertical="center"/>
    </xf>
    <xf numFmtId="0" fontId="8" fillId="3" borderId="30" xfId="2" applyNumberFormat="1" applyFont="1" applyFill="1" applyBorder="1" applyAlignment="1">
      <alignment horizontal="center" vertical="center"/>
    </xf>
    <xf numFmtId="177" fontId="15" fillId="3" borderId="22" xfId="12" applyNumberFormat="1" applyFont="1" applyFill="1" applyBorder="1" applyAlignment="1">
      <alignment horizontal="center" vertical="center" wrapText="1"/>
    </xf>
    <xf numFmtId="177" fontId="15" fillId="3" borderId="46" xfId="12" applyNumberFormat="1" applyFont="1" applyFill="1" applyBorder="1" applyAlignment="1">
      <alignment horizontal="center" vertical="center"/>
    </xf>
    <xf numFmtId="0" fontId="15" fillId="0" borderId="23" xfId="11" applyFont="1" applyBorder="1" applyAlignment="1">
      <alignment horizontal="left" vertical="center"/>
    </xf>
    <xf numFmtId="0" fontId="15" fillId="0" borderId="29" xfId="11" applyFont="1" applyBorder="1" applyAlignment="1">
      <alignment horizontal="left" vertical="center"/>
    </xf>
    <xf numFmtId="0" fontId="9" fillId="0" borderId="0" xfId="3" applyNumberFormat="1" applyFont="1" applyFill="1" applyBorder="1" applyAlignment="1">
      <alignment horizontal="left" vertical="center"/>
    </xf>
    <xf numFmtId="41" fontId="11" fillId="0" borderId="0" xfId="1">
      <alignment vertical="center"/>
    </xf>
    <xf numFmtId="177" fontId="15" fillId="3" borderId="65" xfId="0" applyNumberFormat="1" applyFont="1" applyFill="1" applyBorder="1" applyAlignment="1">
      <alignment horizontal="center" vertical="center"/>
    </xf>
    <xf numFmtId="177" fontId="15" fillId="3" borderId="21" xfId="0" applyNumberFormat="1" applyFont="1" applyFill="1" applyBorder="1" applyAlignment="1">
      <alignment horizontal="center" vertical="center"/>
    </xf>
    <xf numFmtId="177" fontId="15" fillId="3" borderId="30" xfId="0" applyNumberFormat="1" applyFont="1" applyFill="1" applyBorder="1" applyAlignment="1">
      <alignment horizontal="center" vertical="center"/>
    </xf>
    <xf numFmtId="0" fontId="20" fillId="3" borderId="46" xfId="2" applyNumberFormat="1" applyFont="1" applyFill="1" applyBorder="1" applyAlignment="1">
      <alignment horizontal="center" vertical="center"/>
    </xf>
    <xf numFmtId="0" fontId="20" fillId="3" borderId="40" xfId="2" applyNumberFormat="1" applyFont="1" applyFill="1" applyBorder="1" applyAlignment="1">
      <alignment horizontal="center" vertical="center"/>
    </xf>
  </cellXfs>
  <cellStyles count="93">
    <cellStyle name="20% - 강조색1 2" xfId="33"/>
    <cellStyle name="20% - 강조색2 2" xfId="34"/>
    <cellStyle name="20% - 강조색3 2" xfId="35"/>
    <cellStyle name="20% - 강조색4 2" xfId="36"/>
    <cellStyle name="20% - 강조색5 2" xfId="37"/>
    <cellStyle name="20% - 강조색6 2" xfId="38"/>
    <cellStyle name="40% - 강조색1 2" xfId="39"/>
    <cellStyle name="40% - 강조색2 2" xfId="40"/>
    <cellStyle name="40% - 강조색3 2" xfId="41"/>
    <cellStyle name="40% - 강조색4 2" xfId="42"/>
    <cellStyle name="40% - 강조색5 2" xfId="43"/>
    <cellStyle name="40% - 강조색6 2" xfId="44"/>
    <cellStyle name="60% - 강조색1 2" xfId="45"/>
    <cellStyle name="60% - 강조색2 2" xfId="46"/>
    <cellStyle name="60% - 강조색3 2" xfId="47"/>
    <cellStyle name="60% - 강조색4 2" xfId="48"/>
    <cellStyle name="60% - 강조색5 2" xfId="49"/>
    <cellStyle name="60% - 강조색6 2" xfId="50"/>
    <cellStyle name="강조색1 2" xfId="51"/>
    <cellStyle name="강조색2 2" xfId="52"/>
    <cellStyle name="강조색3 2" xfId="53"/>
    <cellStyle name="강조색4 2" xfId="54"/>
    <cellStyle name="강조색5 2" xfId="55"/>
    <cellStyle name="강조색6 2" xfId="56"/>
    <cellStyle name="경고문 2" xfId="57"/>
    <cellStyle name="계산 2" xfId="58"/>
    <cellStyle name="나쁨 2" xfId="59"/>
    <cellStyle name="메모 2" xfId="60"/>
    <cellStyle name="백분율 2" xfId="8"/>
    <cellStyle name="백분율 2 2" xfId="25"/>
    <cellStyle name="백분율 3" xfId="15"/>
    <cellStyle name="보통 2" xfId="61"/>
    <cellStyle name="설명 텍스트 2" xfId="62"/>
    <cellStyle name="셀 확인 2" xfId="63"/>
    <cellStyle name="쉼표 [0]" xfId="1" builtinId="6"/>
    <cellStyle name="쉼표 [0] 10" xfId="92"/>
    <cellStyle name="쉼표 [0] 2" xfId="3"/>
    <cellStyle name="쉼표 [0] 2 2" xfId="12"/>
    <cellStyle name="쉼표 [0] 2 2 2" xfId="28"/>
    <cellStyle name="쉼표 [0] 2 2 3" xfId="82"/>
    <cellStyle name="쉼표 [0] 2 3" xfId="16"/>
    <cellStyle name="쉼표 [0] 2 3 2" xfId="65"/>
    <cellStyle name="쉼표 [0] 2 4" xfId="22"/>
    <cellStyle name="쉼표 [0] 2 5" xfId="81"/>
    <cellStyle name="쉼표 [0] 3" xfId="10"/>
    <cellStyle name="쉼표 [0] 3 2" xfId="30"/>
    <cellStyle name="쉼표 [0] 3 3" xfId="21"/>
    <cellStyle name="쉼표 [0] 3 4" xfId="83"/>
    <cellStyle name="쉼표 [0] 4" xfId="4"/>
    <cellStyle name="쉼표 [0] 4 2" xfId="24"/>
    <cellStyle name="쉼표 [0] 4 3" xfId="84"/>
    <cellStyle name="쉼표 [0] 5" xfId="14"/>
    <cellStyle name="쉼표 [0] 5 2" xfId="26"/>
    <cellStyle name="쉼표 [0] 5 3" xfId="85"/>
    <cellStyle name="쉼표 [0] 6" xfId="6"/>
    <cellStyle name="쉼표 [0] 6 2" xfId="27"/>
    <cellStyle name="쉼표 [0] 7" xfId="64"/>
    <cellStyle name="쉼표 [0] 8" xfId="20"/>
    <cellStyle name="쉼표 [0] 9" xfId="80"/>
    <cellStyle name="연결된 셀 2" xfId="66"/>
    <cellStyle name="요약 2" xfId="67"/>
    <cellStyle name="입력 2" xfId="68"/>
    <cellStyle name="제목 1 2" xfId="70"/>
    <cellStyle name="제목 2 2" xfId="71"/>
    <cellStyle name="제목 3 2" xfId="72"/>
    <cellStyle name="제목 4 2" xfId="73"/>
    <cellStyle name="제목 5" xfId="69"/>
    <cellStyle name="좋음 2" xfId="74"/>
    <cellStyle name="출력 2" xfId="75"/>
    <cellStyle name="표준" xfId="0" builtinId="0"/>
    <cellStyle name="표준 2" xfId="5"/>
    <cellStyle name="표준 2 2" xfId="2"/>
    <cellStyle name="표준 2 2 2" xfId="11"/>
    <cellStyle name="표준 2 3" xfId="29"/>
    <cellStyle name="표준 2 4" xfId="76"/>
    <cellStyle name="표준 2 5" xfId="19"/>
    <cellStyle name="표준 2 5 2" xfId="78"/>
    <cellStyle name="표준 2 5 2 2" xfId="79"/>
    <cellStyle name="표준 2 5 2 2 2" xfId="89"/>
    <cellStyle name="표준 2 5 2 2 2 2" xfId="90"/>
    <cellStyle name="표준 2 5 2 2 2 2 3" xfId="91"/>
    <cellStyle name="표준 2 5 3" xfId="77"/>
    <cellStyle name="표준 2 6" xfId="23"/>
    <cellStyle name="표준 3" xfId="7"/>
    <cellStyle name="표준 3 2" xfId="13"/>
    <cellStyle name="표준 3 2 2" xfId="18"/>
    <cellStyle name="표준 3 3" xfId="31"/>
    <cellStyle name="표준 4" xfId="9"/>
    <cellStyle name="표준 4 2" xfId="86"/>
    <cellStyle name="표준 5" xfId="17"/>
    <cellStyle name="표준 5 2" xfId="87"/>
    <cellStyle name="표준 6" xfId="32"/>
    <cellStyle name="표준 7" xfId="88"/>
  </cellStyles>
  <dxfs count="208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colors>
    <mruColors>
      <color rgb="FF0000FF"/>
      <color rgb="FFFF6699"/>
      <color rgb="FFFF99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582705</xdr:colOff>
      <xdr:row>21</xdr:row>
      <xdr:rowOff>145678</xdr:rowOff>
    </xdr:from>
    <xdr:to>
      <xdr:col>3</xdr:col>
      <xdr:colOff>98551</xdr:colOff>
      <xdr:row>24</xdr:row>
      <xdr:rowOff>80923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1255058" y="5031443"/>
          <a:ext cx="860552" cy="59639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025&#45380;%20&#48376;&#50696;&#49328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40229)%202024&#45380;%202&#54924;%20&#52628;&#44221;(&#49464;&#4851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입예산 총괄표"/>
      <sheetName val="지출예산 총괄표"/>
      <sheetName val="지출예산"/>
      <sheetName val="행정관리부"/>
      <sheetName val="기획홍보부"/>
      <sheetName val="수익사업부"/>
      <sheetName val="유치협력부"/>
      <sheetName val="운영부"/>
      <sheetName val="행사부"/>
      <sheetName val="시설조성부"/>
      <sheetName val="전시연출부"/>
      <sheetName val="예비비"/>
      <sheetName val="지출예산(위탁)"/>
      <sheetName val="기획본부(위탁)"/>
      <sheetName val="운영본부(위탁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성연출부"/>
      <sheetName val="홍보사업부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3:M25"/>
  <sheetViews>
    <sheetView zoomScale="85" zoomScaleNormal="85" workbookViewId="0">
      <selection activeCell="A13" sqref="A13:M13"/>
    </sheetView>
  </sheetViews>
  <sheetFormatPr defaultRowHeight="13.5"/>
  <cols>
    <col min="1" max="13" width="8.75" style="449" customWidth="1"/>
    <col min="14" max="16384" width="9" style="449"/>
  </cols>
  <sheetData>
    <row r="3" spans="1:13" ht="26.25">
      <c r="M3" s="450" t="s">
        <v>885</v>
      </c>
    </row>
    <row r="11" spans="1:13">
      <c r="K11" s="451"/>
      <c r="L11" s="452"/>
      <c r="M11" s="452"/>
    </row>
    <row r="13" spans="1:13" ht="35.25">
      <c r="A13" s="687" t="s">
        <v>884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</row>
    <row r="15" spans="1:13" ht="14.25">
      <c r="A15" s="688"/>
      <c r="B15" s="688"/>
      <c r="C15" s="688"/>
    </row>
    <row r="16" spans="1:13" ht="25.5">
      <c r="C16" s="453"/>
      <c r="D16" s="454"/>
      <c r="E16" s="454"/>
      <c r="F16" s="454"/>
      <c r="G16" s="454"/>
      <c r="H16" s="454"/>
      <c r="I16" s="454"/>
      <c r="J16" s="454"/>
    </row>
    <row r="17" spans="1:13" ht="25.5">
      <c r="C17" s="453"/>
      <c r="D17" s="454"/>
      <c r="E17" s="454"/>
      <c r="F17" s="454"/>
      <c r="G17" s="454"/>
      <c r="H17" s="454"/>
      <c r="I17" s="454"/>
      <c r="J17" s="454"/>
    </row>
    <row r="18" spans="1:13" ht="25.5">
      <c r="C18" s="453"/>
      <c r="D18" s="454"/>
      <c r="E18" s="454"/>
      <c r="F18" s="454"/>
      <c r="G18" s="454"/>
      <c r="H18" s="454"/>
      <c r="I18" s="454"/>
      <c r="J18" s="454"/>
    </row>
    <row r="19" spans="1:13" ht="25.5">
      <c r="C19" s="453"/>
      <c r="D19" s="454"/>
      <c r="E19" s="454"/>
      <c r="F19" s="454"/>
      <c r="G19" s="454"/>
      <c r="H19" s="454"/>
      <c r="I19" s="454"/>
      <c r="J19" s="454"/>
    </row>
    <row r="20" spans="1:13" ht="21.75">
      <c r="A20" s="689"/>
      <c r="B20" s="689"/>
      <c r="C20" s="689"/>
      <c r="D20" s="689"/>
      <c r="E20" s="689"/>
      <c r="F20" s="689"/>
      <c r="G20" s="689"/>
      <c r="H20" s="689"/>
      <c r="I20" s="689"/>
      <c r="J20" s="689"/>
      <c r="K20" s="689"/>
      <c r="L20" s="689"/>
      <c r="M20" s="689"/>
    </row>
    <row r="21" spans="1:13" ht="25.5">
      <c r="C21" s="453"/>
      <c r="D21" s="454"/>
      <c r="E21" s="454"/>
      <c r="F21" s="454"/>
      <c r="G21" s="454"/>
      <c r="H21" s="454"/>
      <c r="I21" s="454"/>
      <c r="J21" s="454"/>
    </row>
    <row r="22" spans="1:13" ht="25.5" customHeight="1">
      <c r="C22" s="453"/>
      <c r="D22" s="690" t="s">
        <v>886</v>
      </c>
      <c r="E22" s="690"/>
      <c r="F22" s="690"/>
      <c r="G22" s="690"/>
      <c r="H22" s="690"/>
      <c r="I22" s="690"/>
      <c r="J22" s="690"/>
      <c r="K22" s="690"/>
    </row>
    <row r="23" spans="1:13" ht="13.5" customHeight="1">
      <c r="D23" s="690"/>
      <c r="E23" s="690"/>
      <c r="F23" s="690"/>
      <c r="G23" s="690"/>
      <c r="H23" s="690"/>
      <c r="I23" s="690"/>
      <c r="J23" s="690"/>
      <c r="K23" s="690"/>
    </row>
    <row r="24" spans="1:13" ht="13.5" customHeight="1">
      <c r="D24" s="690"/>
      <c r="E24" s="690"/>
      <c r="F24" s="690"/>
      <c r="G24" s="690"/>
      <c r="H24" s="690"/>
      <c r="I24" s="690"/>
      <c r="J24" s="690"/>
      <c r="K24" s="690"/>
    </row>
    <row r="25" spans="1:13">
      <c r="D25" s="690"/>
      <c r="E25" s="690"/>
      <c r="F25" s="690"/>
      <c r="G25" s="690"/>
      <c r="H25" s="690"/>
      <c r="I25" s="690"/>
      <c r="J25" s="690"/>
      <c r="K25" s="690"/>
    </row>
  </sheetData>
  <mergeCells count="4">
    <mergeCell ref="A13:M13"/>
    <mergeCell ref="A15:C15"/>
    <mergeCell ref="A20:M20"/>
    <mergeCell ref="D22:K25"/>
  </mergeCells>
  <phoneticPr fontId="1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FF"/>
    <pageSetUpPr fitToPage="1"/>
  </sheetPr>
  <dimension ref="A1:J35"/>
  <sheetViews>
    <sheetView zoomScale="115" zoomScaleNormal="115" workbookViewId="0">
      <selection activeCell="F10" sqref="F10 F14 F16 F20 F22"/>
    </sheetView>
  </sheetViews>
  <sheetFormatPr defaultRowHeight="16.5"/>
  <cols>
    <col min="1" max="4" width="4.625" customWidth="1"/>
    <col min="5" max="5" width="21" customWidth="1"/>
    <col min="6" max="7" width="14.375" customWidth="1"/>
    <col min="8" max="8" width="12.125" customWidth="1"/>
    <col min="10" max="10" width="10.875" bestFit="1" customWidth="1"/>
  </cols>
  <sheetData>
    <row r="1" spans="1:10" ht="18" customHeight="1">
      <c r="A1" s="27" t="s">
        <v>148</v>
      </c>
      <c r="B1" s="27"/>
      <c r="C1" s="28"/>
      <c r="D1" s="28"/>
      <c r="E1" s="28"/>
      <c r="F1" s="29"/>
      <c r="G1" s="29"/>
      <c r="H1" s="29"/>
    </row>
    <row r="2" spans="1:10" ht="17.25" thickBot="1">
      <c r="A2" s="30"/>
      <c r="B2" s="30"/>
      <c r="C2" s="30"/>
      <c r="D2" s="30"/>
      <c r="E2" s="30"/>
      <c r="F2" s="30"/>
      <c r="G2" s="30"/>
      <c r="H2" s="31" t="s">
        <v>149</v>
      </c>
    </row>
    <row r="3" spans="1:10" ht="18" customHeight="1">
      <c r="A3" s="691" t="s">
        <v>5</v>
      </c>
      <c r="B3" s="692"/>
      <c r="C3" s="692"/>
      <c r="D3" s="692"/>
      <c r="E3" s="692"/>
      <c r="F3" s="693" t="s">
        <v>728</v>
      </c>
      <c r="G3" s="693" t="s">
        <v>729</v>
      </c>
      <c r="H3" s="695" t="s">
        <v>150</v>
      </c>
    </row>
    <row r="4" spans="1:10" ht="18" thickBot="1">
      <c r="A4" s="85" t="s">
        <v>12</v>
      </c>
      <c r="B4" s="32" t="s">
        <v>151</v>
      </c>
      <c r="C4" s="32" t="s">
        <v>152</v>
      </c>
      <c r="D4" s="32" t="s">
        <v>153</v>
      </c>
      <c r="E4" s="32" t="s">
        <v>6</v>
      </c>
      <c r="F4" s="694"/>
      <c r="G4" s="694"/>
      <c r="H4" s="696"/>
      <c r="J4" s="246"/>
    </row>
    <row r="5" spans="1:10" ht="18" thickBot="1">
      <c r="A5" s="697" t="s">
        <v>154</v>
      </c>
      <c r="B5" s="698"/>
      <c r="C5" s="698"/>
      <c r="D5" s="698"/>
      <c r="E5" s="698"/>
      <c r="F5" s="161">
        <f>F6</f>
        <v>33799578</v>
      </c>
      <c r="G5" s="161">
        <v>30150147</v>
      </c>
      <c r="H5" s="162">
        <f>F5-G5</f>
        <v>3649431</v>
      </c>
      <c r="J5" s="246"/>
    </row>
    <row r="6" spans="1:10" ht="17.25">
      <c r="A6" s="247" t="s">
        <v>155</v>
      </c>
      <c r="B6" s="177"/>
      <c r="C6" s="177"/>
      <c r="D6" s="177"/>
      <c r="E6" s="177"/>
      <c r="F6" s="248">
        <f>SUM(F7,F28)</f>
        <v>33799578</v>
      </c>
      <c r="G6" s="248">
        <v>30150147</v>
      </c>
      <c r="H6" s="115">
        <f t="shared" ref="H6:H34" si="0">F6-G6</f>
        <v>3649431</v>
      </c>
      <c r="J6" s="249"/>
    </row>
    <row r="7" spans="1:10" ht="17.25">
      <c r="A7" s="240"/>
      <c r="B7" s="176" t="s">
        <v>156</v>
      </c>
      <c r="C7" s="177"/>
      <c r="D7" s="177"/>
      <c r="E7" s="177"/>
      <c r="F7" s="113">
        <f>SUM(F8,F23)</f>
        <v>27219881</v>
      </c>
      <c r="G7" s="113">
        <v>24012100</v>
      </c>
      <c r="H7" s="115">
        <f>F7-G7</f>
        <v>3207781</v>
      </c>
      <c r="J7" s="249"/>
    </row>
    <row r="8" spans="1:10" ht="18" customHeight="1">
      <c r="A8" s="250"/>
      <c r="B8" s="251"/>
      <c r="C8" s="176" t="s">
        <v>157</v>
      </c>
      <c r="D8" s="177"/>
      <c r="E8" s="177"/>
      <c r="F8" s="113">
        <f>SUM(F9,F11,F13,F15,F17,F19,F21)</f>
        <v>26962100</v>
      </c>
      <c r="G8" s="113">
        <v>24012100</v>
      </c>
      <c r="H8" s="115">
        <f t="shared" si="0"/>
        <v>2950000</v>
      </c>
      <c r="J8" s="249"/>
    </row>
    <row r="9" spans="1:10" ht="18" customHeight="1">
      <c r="A9" s="164"/>
      <c r="B9" s="166"/>
      <c r="C9" s="33"/>
      <c r="D9" s="33" t="s">
        <v>556</v>
      </c>
      <c r="E9" s="253"/>
      <c r="F9" s="111">
        <f>F10</f>
        <v>120000</v>
      </c>
      <c r="G9" s="111">
        <v>120000</v>
      </c>
      <c r="H9" s="114">
        <f t="shared" ref="H9:H10" si="1">F9-G9</f>
        <v>0</v>
      </c>
    </row>
    <row r="10" spans="1:10" ht="18" customHeight="1">
      <c r="A10" s="164"/>
      <c r="B10" s="166"/>
      <c r="C10" s="166"/>
      <c r="D10" s="254"/>
      <c r="E10" s="371" t="s">
        <v>557</v>
      </c>
      <c r="F10" s="372">
        <v>120000</v>
      </c>
      <c r="G10" s="16">
        <v>120000</v>
      </c>
      <c r="H10" s="116">
        <f t="shared" si="1"/>
        <v>0</v>
      </c>
    </row>
    <row r="11" spans="1:10" ht="18" customHeight="1">
      <c r="A11" s="164"/>
      <c r="B11" s="166"/>
      <c r="C11" s="332"/>
      <c r="D11" s="33" t="s">
        <v>158</v>
      </c>
      <c r="E11" s="253"/>
      <c r="F11" s="111">
        <f>F12</f>
        <v>17270000</v>
      </c>
      <c r="G11" s="111">
        <v>14320000</v>
      </c>
      <c r="H11" s="114">
        <f t="shared" si="0"/>
        <v>2950000</v>
      </c>
    </row>
    <row r="12" spans="1:10" ht="18" customHeight="1">
      <c r="A12" s="164"/>
      <c r="B12" s="166"/>
      <c r="C12" s="166"/>
      <c r="D12" s="254"/>
      <c r="E12" s="371" t="s">
        <v>159</v>
      </c>
      <c r="F12" s="372">
        <f>G12+1000000+1700000+250000</f>
        <v>17270000</v>
      </c>
      <c r="G12" s="16">
        <f>1000000+3380000+600000+270000+5500000+1200000+300000+90000+390000+1200000+390000</f>
        <v>14320000</v>
      </c>
      <c r="H12" s="116">
        <f t="shared" si="0"/>
        <v>2950000</v>
      </c>
    </row>
    <row r="13" spans="1:10" ht="18" customHeight="1">
      <c r="A13" s="164"/>
      <c r="B13" s="166"/>
      <c r="C13" s="332"/>
      <c r="D13" s="33" t="s">
        <v>558</v>
      </c>
      <c r="E13" s="253"/>
      <c r="F13" s="111">
        <f>F14</f>
        <v>6600000</v>
      </c>
      <c r="G13" s="111">
        <v>6600000</v>
      </c>
      <c r="H13" s="114">
        <f t="shared" ref="H13:H14" si="2">F13-G13</f>
        <v>0</v>
      </c>
    </row>
    <row r="14" spans="1:10" ht="18" customHeight="1">
      <c r="A14" s="164"/>
      <c r="B14" s="166"/>
      <c r="C14" s="166"/>
      <c r="D14" s="254"/>
      <c r="E14" s="371" t="s">
        <v>559</v>
      </c>
      <c r="F14" s="372">
        <v>6600000</v>
      </c>
      <c r="G14" s="16">
        <v>6600000</v>
      </c>
      <c r="H14" s="116">
        <f t="shared" si="2"/>
        <v>0</v>
      </c>
    </row>
    <row r="15" spans="1:10" ht="18" customHeight="1">
      <c r="A15" s="164"/>
      <c r="B15" s="165"/>
      <c r="C15" s="332"/>
      <c r="D15" s="179" t="s">
        <v>464</v>
      </c>
      <c r="E15" s="181"/>
      <c r="F15" s="111">
        <f>F16</f>
        <v>689000</v>
      </c>
      <c r="G15" s="111">
        <v>689000</v>
      </c>
      <c r="H15" s="114">
        <f t="shared" si="0"/>
        <v>0</v>
      </c>
    </row>
    <row r="16" spans="1:10" ht="18" customHeight="1">
      <c r="A16" s="164"/>
      <c r="B16" s="166"/>
      <c r="C16" s="165"/>
      <c r="D16" s="256"/>
      <c r="E16" s="371" t="s">
        <v>160</v>
      </c>
      <c r="F16" s="372">
        <v>689000</v>
      </c>
      <c r="G16" s="16">
        <v>689000</v>
      </c>
      <c r="H16" s="116">
        <f t="shared" si="0"/>
        <v>0</v>
      </c>
      <c r="J16" s="352"/>
    </row>
    <row r="17" spans="1:8" ht="18" customHeight="1">
      <c r="A17" s="164"/>
      <c r="B17" s="165"/>
      <c r="C17" s="255"/>
      <c r="D17" s="179" t="s">
        <v>161</v>
      </c>
      <c r="E17" s="181"/>
      <c r="F17" s="111">
        <f>F18</f>
        <v>1245100</v>
      </c>
      <c r="G17" s="111">
        <v>1245100</v>
      </c>
      <c r="H17" s="114">
        <f t="shared" si="0"/>
        <v>0</v>
      </c>
    </row>
    <row r="18" spans="1:8" ht="18" customHeight="1">
      <c r="A18" s="164"/>
      <c r="B18" s="166"/>
      <c r="C18" s="165"/>
      <c r="D18" s="256"/>
      <c r="E18" s="371" t="s">
        <v>162</v>
      </c>
      <c r="F18" s="372">
        <v>1245100</v>
      </c>
      <c r="G18" s="16">
        <v>1245100</v>
      </c>
      <c r="H18" s="116">
        <f>F18-G18</f>
        <v>0</v>
      </c>
    </row>
    <row r="19" spans="1:8" ht="18" customHeight="1">
      <c r="A19" s="164"/>
      <c r="B19" s="165"/>
      <c r="C19" s="255"/>
      <c r="D19" s="179" t="s">
        <v>438</v>
      </c>
      <c r="E19" s="181"/>
      <c r="F19" s="111">
        <f>F20</f>
        <v>410000</v>
      </c>
      <c r="G19" s="111">
        <v>410000</v>
      </c>
      <c r="H19" s="114">
        <f>F19-G19</f>
        <v>0</v>
      </c>
    </row>
    <row r="20" spans="1:8" ht="18" customHeight="1">
      <c r="A20" s="164"/>
      <c r="B20" s="166"/>
      <c r="C20" s="165"/>
      <c r="D20" s="256"/>
      <c r="E20" s="371" t="s">
        <v>439</v>
      </c>
      <c r="F20" s="372">
        <v>410000</v>
      </c>
      <c r="G20" s="16">
        <v>410000</v>
      </c>
      <c r="H20" s="116">
        <f t="shared" ref="H20" si="3">F20-G20</f>
        <v>0</v>
      </c>
    </row>
    <row r="21" spans="1:8" ht="18" customHeight="1">
      <c r="A21" s="164"/>
      <c r="B21" s="165"/>
      <c r="C21" s="255"/>
      <c r="D21" s="179" t="s">
        <v>560</v>
      </c>
      <c r="E21" s="181"/>
      <c r="F21" s="111">
        <f>F22</f>
        <v>628000</v>
      </c>
      <c r="G21" s="111">
        <v>628000</v>
      </c>
      <c r="H21" s="114">
        <f>F21-G21</f>
        <v>0</v>
      </c>
    </row>
    <row r="22" spans="1:8" ht="18" customHeight="1">
      <c r="A22" s="164"/>
      <c r="B22" s="166"/>
      <c r="C22" s="165"/>
      <c r="D22" s="256"/>
      <c r="E22" s="371" t="s">
        <v>561</v>
      </c>
      <c r="F22" s="372">
        <v>628000</v>
      </c>
      <c r="G22" s="16">
        <v>628000</v>
      </c>
      <c r="H22" s="116">
        <f t="shared" ref="H22" si="4">F22-G22</f>
        <v>0</v>
      </c>
    </row>
    <row r="23" spans="1:8" ht="18" customHeight="1">
      <c r="A23" s="250"/>
      <c r="B23" s="257"/>
      <c r="C23" s="176" t="s">
        <v>163</v>
      </c>
      <c r="D23" s="177"/>
      <c r="E23" s="177"/>
      <c r="F23" s="113">
        <f>F24+F26</f>
        <v>257781</v>
      </c>
      <c r="G23" s="113">
        <v>0</v>
      </c>
      <c r="H23" s="115">
        <f t="shared" si="0"/>
        <v>257781</v>
      </c>
    </row>
    <row r="24" spans="1:8" ht="18" customHeight="1">
      <c r="A24" s="164"/>
      <c r="B24" s="166"/>
      <c r="C24" s="33"/>
      <c r="D24" s="33" t="s">
        <v>164</v>
      </c>
      <c r="E24" s="253"/>
      <c r="F24" s="111">
        <f>F25</f>
        <v>200000</v>
      </c>
      <c r="G24" s="111">
        <v>0</v>
      </c>
      <c r="H24" s="114">
        <f t="shared" si="0"/>
        <v>200000</v>
      </c>
    </row>
    <row r="25" spans="1:8" ht="18" customHeight="1">
      <c r="A25" s="164"/>
      <c r="B25" s="166"/>
      <c r="C25" s="166"/>
      <c r="D25" s="254"/>
      <c r="E25" s="371" t="s">
        <v>165</v>
      </c>
      <c r="F25" s="372">
        <v>200000</v>
      </c>
      <c r="G25" s="16">
        <v>0</v>
      </c>
      <c r="H25" s="116">
        <f t="shared" si="0"/>
        <v>200000</v>
      </c>
    </row>
    <row r="26" spans="1:8" ht="18" customHeight="1">
      <c r="A26" s="164"/>
      <c r="B26" s="166"/>
      <c r="C26" s="332"/>
      <c r="D26" s="33" t="s">
        <v>835</v>
      </c>
      <c r="E26" s="253"/>
      <c r="F26" s="111">
        <f>F27</f>
        <v>57781</v>
      </c>
      <c r="G26" s="111">
        <v>0</v>
      </c>
      <c r="H26" s="114">
        <f t="shared" ref="H26" si="5">F26-G26</f>
        <v>57781</v>
      </c>
    </row>
    <row r="27" spans="1:8" ht="18" customHeight="1">
      <c r="A27" s="164"/>
      <c r="B27" s="166"/>
      <c r="C27" s="165"/>
      <c r="D27" s="254"/>
      <c r="E27" s="371" t="s">
        <v>836</v>
      </c>
      <c r="F27" s="372">
        <f>41680+16101</f>
        <v>57781</v>
      </c>
      <c r="G27" s="16">
        <v>0</v>
      </c>
      <c r="H27" s="116">
        <f>F27-G27</f>
        <v>57781</v>
      </c>
    </row>
    <row r="28" spans="1:8" ht="18" customHeight="1">
      <c r="A28" s="250"/>
      <c r="B28" s="176" t="s">
        <v>166</v>
      </c>
      <c r="C28" s="177"/>
      <c r="D28" s="258"/>
      <c r="E28" s="258"/>
      <c r="F28" s="113">
        <f>F29+F32</f>
        <v>6579697</v>
      </c>
      <c r="G28" s="113">
        <v>6138047</v>
      </c>
      <c r="H28" s="115">
        <f t="shared" si="0"/>
        <v>441650</v>
      </c>
    </row>
    <row r="29" spans="1:8">
      <c r="A29" s="250"/>
      <c r="B29" s="251"/>
      <c r="C29" s="176" t="s">
        <v>167</v>
      </c>
      <c r="D29" s="177"/>
      <c r="E29" s="177"/>
      <c r="F29" s="113">
        <f>F30</f>
        <v>3233000</v>
      </c>
      <c r="G29" s="113">
        <v>3233000</v>
      </c>
      <c r="H29" s="115">
        <f t="shared" ref="H29:H31" si="6">F29-G29</f>
        <v>0</v>
      </c>
    </row>
    <row r="30" spans="1:8">
      <c r="A30" s="164"/>
      <c r="B30" s="166"/>
      <c r="C30" s="33"/>
      <c r="D30" s="33" t="s">
        <v>168</v>
      </c>
      <c r="E30" s="253"/>
      <c r="F30" s="111">
        <f>F31</f>
        <v>3233000</v>
      </c>
      <c r="G30" s="111">
        <v>3233000</v>
      </c>
      <c r="H30" s="114">
        <f t="shared" si="6"/>
        <v>0</v>
      </c>
    </row>
    <row r="31" spans="1:8">
      <c r="A31" s="164"/>
      <c r="B31" s="166"/>
      <c r="C31" s="347"/>
      <c r="D31" s="254"/>
      <c r="E31" s="371" t="s">
        <v>169</v>
      </c>
      <c r="F31" s="372">
        <v>3233000</v>
      </c>
      <c r="G31" s="329">
        <v>3233000</v>
      </c>
      <c r="H31" s="116">
        <f t="shared" si="6"/>
        <v>0</v>
      </c>
    </row>
    <row r="32" spans="1:8">
      <c r="A32" s="250"/>
      <c r="B32" s="257"/>
      <c r="C32" s="326" t="s">
        <v>475</v>
      </c>
      <c r="D32" s="258"/>
      <c r="E32" s="258"/>
      <c r="F32" s="248">
        <f>F33</f>
        <v>3346697</v>
      </c>
      <c r="G32" s="248">
        <v>2905047</v>
      </c>
      <c r="H32" s="328">
        <f t="shared" si="0"/>
        <v>441650</v>
      </c>
    </row>
    <row r="33" spans="1:8">
      <c r="A33" s="164"/>
      <c r="B33" s="166"/>
      <c r="C33" s="33"/>
      <c r="D33" s="33" t="s">
        <v>476</v>
      </c>
      <c r="E33" s="253"/>
      <c r="F33" s="111">
        <f>F34+F35</f>
        <v>3346697</v>
      </c>
      <c r="G33" s="111">
        <v>2905047</v>
      </c>
      <c r="H33" s="114">
        <f t="shared" si="0"/>
        <v>441650</v>
      </c>
    </row>
    <row r="34" spans="1:8">
      <c r="A34" s="164"/>
      <c r="B34" s="166"/>
      <c r="C34" s="165"/>
      <c r="D34" s="370"/>
      <c r="E34" s="371" t="s">
        <v>477</v>
      </c>
      <c r="F34" s="372">
        <f>2905047+441650</f>
        <v>3346697</v>
      </c>
      <c r="G34" s="329">
        <v>2905047</v>
      </c>
      <c r="H34" s="116">
        <f t="shared" si="0"/>
        <v>441650</v>
      </c>
    </row>
    <row r="35" spans="1:8" ht="17.25" thickBot="1">
      <c r="A35" s="259"/>
      <c r="B35" s="260"/>
      <c r="C35" s="261"/>
      <c r="D35" s="369"/>
      <c r="E35" s="373" t="s">
        <v>478</v>
      </c>
      <c r="F35" s="680">
        <v>0</v>
      </c>
      <c r="G35" s="374">
        <v>0</v>
      </c>
      <c r="H35" s="375">
        <f>F35-G35</f>
        <v>0</v>
      </c>
    </row>
  </sheetData>
  <mergeCells count="5">
    <mergeCell ref="A3:E3"/>
    <mergeCell ref="F3:F4"/>
    <mergeCell ref="G3:G4"/>
    <mergeCell ref="H3:H4"/>
    <mergeCell ref="A5:E5"/>
  </mergeCells>
  <phoneticPr fontId="12" type="noConversion"/>
  <conditionalFormatting sqref="H3:H4">
    <cfRule type="containsText" dxfId="2081" priority="1" operator="containsText" text="허하나로">
      <formula>NOT(ISERROR(SEARCH("허하나로",F806)))</formula>
    </cfRule>
    <cfRule type="containsText" dxfId="2080" priority="2" operator="containsText" text="한별">
      <formula>NOT(ISERROR(SEARCH("한별",F806)))</formula>
    </cfRule>
    <cfRule type="containsText" dxfId="2079" priority="3" operator="containsText" text="정홍조">
      <formula>NOT(ISERROR(SEARCH("정홍조",F806)))</formula>
    </cfRule>
    <cfRule type="containsText" dxfId="2078" priority="4" operator="containsText" text="김지윤">
      <formula>NOT(ISERROR(SEARCH("김지윤",F806)))</formula>
    </cfRule>
    <cfRule type="containsText" dxfId="2077" priority="5" operator="containsText" text="전준영">
      <formula>NOT(ISERROR(SEARCH("전준영",F806)))</formula>
    </cfRule>
    <cfRule type="containsText" dxfId="2076" priority="6" operator="containsText" text="차재성">
      <formula>NOT(ISERROR(SEARCH("차재성",F806)))</formula>
    </cfRule>
  </conditionalFormatting>
  <pageMargins left="0.25" right="0.25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N30"/>
  <sheetViews>
    <sheetView topLeftCell="A3" zoomScale="85" zoomScaleNormal="85" workbookViewId="0">
      <selection activeCell="I36" sqref="I36"/>
    </sheetView>
  </sheetViews>
  <sheetFormatPr defaultRowHeight="16.5"/>
  <cols>
    <col min="1" max="1" width="5.625" style="175" customWidth="1"/>
    <col min="2" max="4" width="8" style="175" bestFit="1" customWidth="1"/>
    <col min="5" max="5" width="6.75" style="175" bestFit="1" customWidth="1"/>
    <col min="6" max="6" width="14.875" style="175" customWidth="1"/>
    <col min="7" max="8" width="14.375" style="175" customWidth="1"/>
    <col min="9" max="9" width="12.125" style="175" customWidth="1"/>
    <col min="12" max="12" width="10" bestFit="1" customWidth="1"/>
  </cols>
  <sheetData>
    <row r="1" spans="1:14" ht="18" customHeight="1">
      <c r="A1" s="27" t="s">
        <v>248</v>
      </c>
      <c r="B1" s="28"/>
      <c r="C1" s="28"/>
      <c r="D1" s="28"/>
      <c r="E1" s="28"/>
      <c r="F1" s="28"/>
      <c r="G1" s="29"/>
      <c r="H1" s="29"/>
      <c r="I1" s="29"/>
    </row>
    <row r="2" spans="1:14" ht="17.25" thickBot="1">
      <c r="A2" s="30"/>
      <c r="B2" s="30"/>
      <c r="C2" s="30"/>
      <c r="D2" s="30"/>
      <c r="E2" s="30"/>
      <c r="F2" s="30"/>
      <c r="G2" s="30"/>
      <c r="H2" s="30"/>
      <c r="I2" s="31" t="s">
        <v>149</v>
      </c>
    </row>
    <row r="3" spans="1:14" ht="18" customHeight="1">
      <c r="A3" s="691" t="s">
        <v>5</v>
      </c>
      <c r="B3" s="692"/>
      <c r="C3" s="692"/>
      <c r="D3" s="692"/>
      <c r="E3" s="692"/>
      <c r="F3" s="699"/>
      <c r="G3" s="693" t="s">
        <v>728</v>
      </c>
      <c r="H3" s="693" t="s">
        <v>729</v>
      </c>
      <c r="I3" s="695" t="s">
        <v>249</v>
      </c>
    </row>
    <row r="4" spans="1:14" ht="17.25" thickBot="1">
      <c r="A4" s="85" t="s">
        <v>250</v>
      </c>
      <c r="B4" s="32" t="s">
        <v>13</v>
      </c>
      <c r="C4" s="701"/>
      <c r="D4" s="702"/>
      <c r="E4" s="702"/>
      <c r="F4" s="703"/>
      <c r="G4" s="694"/>
      <c r="H4" s="694"/>
      <c r="I4" s="696"/>
      <c r="L4" s="323"/>
    </row>
    <row r="5" spans="1:14" ht="17.25" thickBot="1">
      <c r="A5" s="697" t="s">
        <v>877</v>
      </c>
      <c r="B5" s="698"/>
      <c r="C5" s="698"/>
      <c r="D5" s="698"/>
      <c r="E5" s="698"/>
      <c r="F5" s="700"/>
      <c r="G5" s="294">
        <f>G6+G23</f>
        <v>33799578</v>
      </c>
      <c r="H5" s="294">
        <v>30150147</v>
      </c>
      <c r="I5" s="162">
        <f>G5-H5</f>
        <v>3649431</v>
      </c>
      <c r="K5" s="252"/>
      <c r="L5" s="341"/>
    </row>
    <row r="6" spans="1:14" ht="18" customHeight="1">
      <c r="A6" s="295" t="s">
        <v>634</v>
      </c>
      <c r="B6" s="296"/>
      <c r="C6" s="297"/>
      <c r="D6" s="297"/>
      <c r="E6" s="297"/>
      <c r="F6" s="298"/>
      <c r="G6" s="299">
        <f>SUM(G7,G18)</f>
        <v>16529578</v>
      </c>
      <c r="H6" s="299">
        <v>15830147</v>
      </c>
      <c r="I6" s="300">
        <f>G6-H6</f>
        <v>699431</v>
      </c>
      <c r="K6" s="252"/>
      <c r="L6" s="341"/>
      <c r="M6" s="323"/>
      <c r="N6" s="252"/>
    </row>
    <row r="7" spans="1:14" ht="18" customHeight="1">
      <c r="A7" s="301" t="s">
        <v>2</v>
      </c>
      <c r="B7" s="177"/>
      <c r="C7" s="177"/>
      <c r="D7" s="177"/>
      <c r="E7" s="177"/>
      <c r="F7" s="178"/>
      <c r="G7" s="113">
        <f>SUM(G8:G17)</f>
        <v>12980477</v>
      </c>
      <c r="H7" s="113">
        <v>9597147</v>
      </c>
      <c r="I7" s="115">
        <f t="shared" ref="I7:I22" si="0">G7-H7</f>
        <v>3383330</v>
      </c>
      <c r="K7" s="252"/>
      <c r="L7" s="341"/>
    </row>
    <row r="8" spans="1:14" ht="18" customHeight="1">
      <c r="A8" s="164"/>
      <c r="B8" s="176" t="s">
        <v>508</v>
      </c>
      <c r="C8" s="177"/>
      <c r="D8" s="177"/>
      <c r="E8" s="177"/>
      <c r="F8" s="178"/>
      <c r="G8" s="113">
        <f>종합상황실!H5</f>
        <v>21920</v>
      </c>
      <c r="H8" s="113">
        <v>16292</v>
      </c>
      <c r="I8" s="115">
        <f>G8-H8</f>
        <v>5628</v>
      </c>
    </row>
    <row r="9" spans="1:14" ht="18" customHeight="1">
      <c r="A9" s="250"/>
      <c r="B9" s="176" t="s">
        <v>254</v>
      </c>
      <c r="C9" s="177"/>
      <c r="D9" s="177"/>
      <c r="E9" s="177"/>
      <c r="F9" s="178"/>
      <c r="G9" s="113">
        <f>행정관리부!H5</f>
        <v>1092031</v>
      </c>
      <c r="H9" s="113">
        <v>974983</v>
      </c>
      <c r="I9" s="115">
        <f t="shared" si="0"/>
        <v>117048</v>
      </c>
      <c r="J9" s="252"/>
      <c r="K9" s="252"/>
      <c r="L9" s="341"/>
      <c r="M9" s="323"/>
    </row>
    <row r="10" spans="1:14" ht="18" customHeight="1">
      <c r="A10" s="250"/>
      <c r="B10" s="176" t="s">
        <v>255</v>
      </c>
      <c r="C10" s="177"/>
      <c r="D10" s="177"/>
      <c r="E10" s="177"/>
      <c r="F10" s="178"/>
      <c r="G10" s="113">
        <f>기획홍보부!H5</f>
        <v>225012</v>
      </c>
      <c r="H10" s="113">
        <v>170012</v>
      </c>
      <c r="I10" s="115">
        <f t="shared" si="0"/>
        <v>55000</v>
      </c>
      <c r="J10" s="252"/>
      <c r="K10" s="252"/>
      <c r="L10" s="341"/>
      <c r="M10" s="323"/>
    </row>
    <row r="11" spans="1:14" ht="18" customHeight="1">
      <c r="A11" s="164"/>
      <c r="B11" s="176" t="s">
        <v>256</v>
      </c>
      <c r="C11" s="177"/>
      <c r="D11" s="177"/>
      <c r="E11" s="177"/>
      <c r="F11" s="178"/>
      <c r="G11" s="113">
        <f>수익사업부!H5</f>
        <v>232436</v>
      </c>
      <c r="H11" s="113">
        <v>197636</v>
      </c>
      <c r="I11" s="115">
        <f t="shared" si="0"/>
        <v>34800</v>
      </c>
      <c r="K11" s="252"/>
      <c r="L11" s="341"/>
      <c r="M11" s="323"/>
    </row>
    <row r="12" spans="1:14" ht="18" customHeight="1">
      <c r="A12" s="164"/>
      <c r="B12" s="176" t="s">
        <v>257</v>
      </c>
      <c r="C12" s="177"/>
      <c r="D12" s="177"/>
      <c r="E12" s="177"/>
      <c r="F12" s="178"/>
      <c r="G12" s="113">
        <f>유치협력부!H5</f>
        <v>308648</v>
      </c>
      <c r="H12" s="113">
        <v>47440</v>
      </c>
      <c r="I12" s="115">
        <f t="shared" si="0"/>
        <v>261208</v>
      </c>
      <c r="K12" s="252"/>
      <c r="L12" s="341"/>
      <c r="M12" s="323"/>
    </row>
    <row r="13" spans="1:14" ht="18" customHeight="1">
      <c r="A13" s="250"/>
      <c r="B13" s="176" t="s">
        <v>258</v>
      </c>
      <c r="C13" s="177"/>
      <c r="D13" s="177"/>
      <c r="E13" s="177"/>
      <c r="F13" s="178"/>
      <c r="G13" s="113">
        <f>운영부!H5</f>
        <v>3868944</v>
      </c>
      <c r="H13" s="113">
        <v>3686944</v>
      </c>
      <c r="I13" s="115">
        <f t="shared" ref="I13:I16" si="1">G13-H13</f>
        <v>182000</v>
      </c>
      <c r="K13" s="252"/>
      <c r="L13" s="341"/>
      <c r="M13" s="323"/>
    </row>
    <row r="14" spans="1:14" ht="18" customHeight="1">
      <c r="A14" s="250"/>
      <c r="B14" s="176" t="s">
        <v>259</v>
      </c>
      <c r="C14" s="177"/>
      <c r="D14" s="177"/>
      <c r="E14" s="177"/>
      <c r="F14" s="178"/>
      <c r="G14" s="113">
        <f>행사부!H5</f>
        <v>96648</v>
      </c>
      <c r="H14" s="113">
        <v>20648</v>
      </c>
      <c r="I14" s="115">
        <f t="shared" si="1"/>
        <v>76000</v>
      </c>
      <c r="K14" s="252"/>
      <c r="L14" s="341"/>
    </row>
    <row r="15" spans="1:14" ht="18" customHeight="1">
      <c r="A15" s="164"/>
      <c r="B15" s="176" t="s">
        <v>260</v>
      </c>
      <c r="C15" s="177"/>
      <c r="D15" s="177"/>
      <c r="E15" s="177"/>
      <c r="F15" s="178"/>
      <c r="G15" s="113">
        <f>시설조성부!H5</f>
        <v>1823648</v>
      </c>
      <c r="H15" s="113">
        <v>1765648</v>
      </c>
      <c r="I15" s="115">
        <f t="shared" si="1"/>
        <v>58000</v>
      </c>
    </row>
    <row r="16" spans="1:14" ht="18" customHeight="1">
      <c r="A16" s="164"/>
      <c r="B16" s="176" t="s">
        <v>261</v>
      </c>
      <c r="C16" s="177"/>
      <c r="D16" s="177"/>
      <c r="E16" s="177"/>
      <c r="F16" s="178"/>
      <c r="G16" s="113">
        <f>전시연출부!H5</f>
        <v>2121344</v>
      </c>
      <c r="H16" s="113">
        <v>2121344</v>
      </c>
      <c r="I16" s="115">
        <f t="shared" si="1"/>
        <v>0</v>
      </c>
    </row>
    <row r="17" spans="1:9" ht="18" customHeight="1">
      <c r="A17" s="302"/>
      <c r="B17" s="176" t="s">
        <v>3</v>
      </c>
      <c r="C17" s="177"/>
      <c r="D17" s="177"/>
      <c r="E17" s="177"/>
      <c r="F17" s="178"/>
      <c r="G17" s="113">
        <f>예비비!H5</f>
        <v>3189846</v>
      </c>
      <c r="H17" s="113">
        <v>596200</v>
      </c>
      <c r="I17" s="115">
        <f t="shared" si="0"/>
        <v>2593646</v>
      </c>
    </row>
    <row r="18" spans="1:9" s="303" customFormat="1" ht="18" customHeight="1">
      <c r="A18" s="301" t="s">
        <v>191</v>
      </c>
      <c r="B18" s="177"/>
      <c r="C18" s="177"/>
      <c r="D18" s="177"/>
      <c r="E18" s="177"/>
      <c r="F18" s="178"/>
      <c r="G18" s="113">
        <f>시설조성부!H38</f>
        <v>3549101</v>
      </c>
      <c r="H18" s="113">
        <v>6233000</v>
      </c>
      <c r="I18" s="115">
        <f t="shared" si="0"/>
        <v>-2683899</v>
      </c>
    </row>
    <row r="19" spans="1:9" s="303" customFormat="1" ht="18" customHeight="1">
      <c r="A19" s="240"/>
      <c r="B19" s="447" t="s">
        <v>497</v>
      </c>
      <c r="C19" s="447"/>
      <c r="D19" s="447"/>
      <c r="E19" s="447"/>
      <c r="F19" s="177"/>
      <c r="G19" s="113">
        <f>시설조성부!H39</f>
        <v>3249101</v>
      </c>
      <c r="H19" s="113">
        <v>3233000</v>
      </c>
      <c r="I19" s="115">
        <f t="shared" si="0"/>
        <v>16101</v>
      </c>
    </row>
    <row r="20" spans="1:9" s="303" customFormat="1" ht="18" customHeight="1">
      <c r="A20" s="250"/>
      <c r="B20" s="587" t="s">
        <v>617</v>
      </c>
      <c r="C20" s="447"/>
      <c r="D20" s="177"/>
      <c r="E20" s="177"/>
      <c r="F20" s="177"/>
      <c r="G20" s="113">
        <f>시설조성부!H48</f>
        <v>0</v>
      </c>
      <c r="H20" s="113">
        <v>1000000</v>
      </c>
      <c r="I20" s="115">
        <f t="shared" si="0"/>
        <v>-1000000</v>
      </c>
    </row>
    <row r="21" spans="1:9" s="303" customFormat="1" ht="18" customHeight="1">
      <c r="A21" s="250"/>
      <c r="B21" s="176" t="s">
        <v>633</v>
      </c>
      <c r="C21" s="177"/>
      <c r="D21" s="258"/>
      <c r="E21" s="258"/>
      <c r="F21" s="258"/>
      <c r="G21" s="248">
        <f>시설조성부!H57</f>
        <v>300000</v>
      </c>
      <c r="H21" s="248">
        <v>2000000</v>
      </c>
      <c r="I21" s="115">
        <f t="shared" si="0"/>
        <v>-1700000</v>
      </c>
    </row>
    <row r="22" spans="1:9" ht="17.25" thickBot="1">
      <c r="A22" s="304"/>
      <c r="B22" s="448" t="s">
        <v>193</v>
      </c>
      <c r="C22" s="586"/>
      <c r="D22" s="448"/>
      <c r="E22" s="448"/>
      <c r="F22" s="448"/>
      <c r="G22" s="330">
        <f>예비비!H21</f>
        <v>0</v>
      </c>
      <c r="H22" s="330">
        <v>0</v>
      </c>
      <c r="I22" s="588">
        <f t="shared" si="0"/>
        <v>0</v>
      </c>
    </row>
    <row r="23" spans="1:9" ht="18" customHeight="1">
      <c r="A23" s="305" t="s">
        <v>305</v>
      </c>
      <c r="B23" s="306"/>
      <c r="C23" s="306"/>
      <c r="D23" s="306"/>
      <c r="E23" s="306"/>
      <c r="F23" s="306"/>
      <c r="G23" s="307">
        <f>G24+G28</f>
        <v>17270000</v>
      </c>
      <c r="H23" s="307">
        <v>14320000</v>
      </c>
      <c r="I23" s="308">
        <f t="shared" ref="I23:I25" si="2">G23-H23</f>
        <v>2950000</v>
      </c>
    </row>
    <row r="24" spans="1:9" ht="18" customHeight="1">
      <c r="A24" s="309" t="s">
        <v>2</v>
      </c>
      <c r="B24" s="310"/>
      <c r="C24" s="310"/>
      <c r="D24" s="310"/>
      <c r="E24" s="310"/>
      <c r="F24" s="311"/>
      <c r="G24" s="307">
        <f>SUM(G25:G27)</f>
        <v>11000000</v>
      </c>
      <c r="H24" s="307">
        <v>10750000</v>
      </c>
      <c r="I24" s="308">
        <f t="shared" si="2"/>
        <v>250000</v>
      </c>
    </row>
    <row r="25" spans="1:9">
      <c r="A25" s="240"/>
      <c r="B25" s="315" t="s">
        <v>407</v>
      </c>
      <c r="C25" s="310"/>
      <c r="D25" s="310"/>
      <c r="E25" s="310"/>
      <c r="F25" s="311"/>
      <c r="G25" s="316">
        <f>'기획본부(위탁)'!H6</f>
        <v>1000000</v>
      </c>
      <c r="H25" s="316">
        <v>1000000</v>
      </c>
      <c r="I25" s="317">
        <f t="shared" si="2"/>
        <v>0</v>
      </c>
    </row>
    <row r="26" spans="1:9">
      <c r="A26" s="250"/>
      <c r="B26" s="315" t="s">
        <v>408</v>
      </c>
      <c r="C26" s="310"/>
      <c r="D26" s="310"/>
      <c r="E26" s="310"/>
      <c r="F26" s="311"/>
      <c r="G26" s="316">
        <f>'기획본부(위탁)'!H30</f>
        <v>4500000</v>
      </c>
      <c r="H26" s="316">
        <v>4250000</v>
      </c>
      <c r="I26" s="317">
        <f t="shared" ref="I26:I30" si="3">G26-H26</f>
        <v>250000</v>
      </c>
    </row>
    <row r="27" spans="1:9">
      <c r="A27" s="250"/>
      <c r="B27" s="315" t="s">
        <v>409</v>
      </c>
      <c r="C27" s="306"/>
      <c r="D27" s="306"/>
      <c r="E27" s="306"/>
      <c r="F27" s="322"/>
      <c r="G27" s="316">
        <f>'운영본부(위탁)'!H6</f>
        <v>5500000</v>
      </c>
      <c r="H27" s="307">
        <v>5500000</v>
      </c>
      <c r="I27" s="308">
        <f t="shared" si="3"/>
        <v>0</v>
      </c>
    </row>
    <row r="28" spans="1:9" ht="18" customHeight="1">
      <c r="A28" s="305" t="s">
        <v>276</v>
      </c>
      <c r="B28" s="306"/>
      <c r="C28" s="306"/>
      <c r="D28" s="306"/>
      <c r="E28" s="306"/>
      <c r="F28" s="322"/>
      <c r="G28" s="307">
        <f>SUM(G29:G30)</f>
        <v>6270000</v>
      </c>
      <c r="H28" s="307">
        <v>3570000</v>
      </c>
      <c r="I28" s="308">
        <f t="shared" si="3"/>
        <v>2700000</v>
      </c>
    </row>
    <row r="29" spans="1:9" ht="18" customHeight="1">
      <c r="A29" s="240"/>
      <c r="B29" s="315" t="s">
        <v>410</v>
      </c>
      <c r="C29" s="342"/>
      <c r="D29" s="310"/>
      <c r="E29" s="310"/>
      <c r="F29" s="311"/>
      <c r="G29" s="316">
        <f>'운영본부(위탁)'!H14</f>
        <v>4680000</v>
      </c>
      <c r="H29" s="316">
        <v>1980000</v>
      </c>
      <c r="I29" s="308">
        <f t="shared" si="3"/>
        <v>2700000</v>
      </c>
    </row>
    <row r="30" spans="1:9" ht="17.25" thickBot="1">
      <c r="A30" s="304"/>
      <c r="B30" s="343" t="s">
        <v>382</v>
      </c>
      <c r="C30" s="344"/>
      <c r="D30" s="312"/>
      <c r="E30" s="312"/>
      <c r="F30" s="313"/>
      <c r="G30" s="314">
        <f>'운영본부(위탁)'!H43</f>
        <v>1590000</v>
      </c>
      <c r="H30" s="314">
        <v>1590000</v>
      </c>
      <c r="I30" s="345">
        <f t="shared" si="3"/>
        <v>0</v>
      </c>
    </row>
  </sheetData>
  <mergeCells count="6">
    <mergeCell ref="A3:F3"/>
    <mergeCell ref="G3:G4"/>
    <mergeCell ref="H3:H4"/>
    <mergeCell ref="I3:I4"/>
    <mergeCell ref="A5:F5"/>
    <mergeCell ref="C4:F4"/>
  </mergeCells>
  <phoneticPr fontId="12" type="noConversion"/>
  <pageMargins left="0.25" right="0.25" top="0.75" bottom="0.75" header="0.3" footer="0.3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7"/>
    <pageSetUpPr fitToPage="1"/>
  </sheetPr>
  <dimension ref="A1:I257"/>
  <sheetViews>
    <sheetView zoomScale="85" zoomScaleNormal="85" workbookViewId="0">
      <pane xSplit="8" ySplit="5" topLeftCell="I21" activePane="bottomRight" state="frozen"/>
      <selection activeCell="M4" sqref="M4"/>
      <selection pane="topRight" activeCell="M4" sqref="M4"/>
      <selection pane="bottomLeft" activeCell="M4" sqref="M4"/>
      <selection pane="bottomRight" activeCell="O21" sqref="O21"/>
    </sheetView>
  </sheetViews>
  <sheetFormatPr defaultRowHeight="16.5"/>
  <cols>
    <col min="1" max="5" width="3.875" style="175" customWidth="1"/>
    <col min="6" max="6" width="32.625" style="175" customWidth="1"/>
    <col min="7" max="7" width="14.625" style="175" customWidth="1"/>
    <col min="8" max="8" width="14.875" style="175" customWidth="1"/>
    <col min="9" max="9" width="14.625" style="175" customWidth="1"/>
  </cols>
  <sheetData>
    <row r="1" spans="1:9" ht="18" customHeight="1">
      <c r="A1" s="27" t="s">
        <v>145</v>
      </c>
      <c r="B1" s="28"/>
      <c r="C1" s="28"/>
      <c r="D1" s="28"/>
      <c r="E1" s="28"/>
      <c r="F1" s="28"/>
      <c r="G1" s="29"/>
      <c r="H1" s="29"/>
      <c r="I1" s="29"/>
    </row>
    <row r="2" spans="1:9" ht="18" customHeight="1" thickBot="1">
      <c r="A2" s="30"/>
      <c r="B2" s="30"/>
      <c r="C2" s="30"/>
      <c r="D2" s="30"/>
      <c r="E2" s="30"/>
      <c r="F2" s="30"/>
      <c r="G2" s="30"/>
      <c r="H2" s="30"/>
      <c r="I2" s="31" t="s">
        <v>147</v>
      </c>
    </row>
    <row r="3" spans="1:9" ht="18" customHeight="1">
      <c r="A3" s="691" t="s">
        <v>5</v>
      </c>
      <c r="B3" s="692"/>
      <c r="C3" s="692"/>
      <c r="D3" s="692"/>
      <c r="E3" s="692"/>
      <c r="F3" s="699"/>
      <c r="G3" s="693" t="s">
        <v>728</v>
      </c>
      <c r="H3" s="693" t="s">
        <v>729</v>
      </c>
      <c r="I3" s="695" t="s">
        <v>467</v>
      </c>
    </row>
    <row r="4" spans="1:9" ht="18" customHeight="1" thickBot="1">
      <c r="A4" s="85" t="s">
        <v>12</v>
      </c>
      <c r="B4" s="32" t="s">
        <v>13</v>
      </c>
      <c r="C4" s="32" t="s">
        <v>14</v>
      </c>
      <c r="D4" s="32" t="s">
        <v>15</v>
      </c>
      <c r="E4" s="32" t="s">
        <v>6</v>
      </c>
      <c r="F4" s="32" t="s">
        <v>19</v>
      </c>
      <c r="G4" s="694"/>
      <c r="H4" s="694"/>
      <c r="I4" s="696"/>
    </row>
    <row r="5" spans="1:9" ht="18" customHeight="1" thickBot="1">
      <c r="A5" s="697" t="s">
        <v>139</v>
      </c>
      <c r="B5" s="698"/>
      <c r="C5" s="698"/>
      <c r="D5" s="698"/>
      <c r="E5" s="698"/>
      <c r="F5" s="700"/>
      <c r="G5" s="161">
        <f>G6+G237</f>
        <v>16529578</v>
      </c>
      <c r="H5" s="162">
        <f>SUM(H6,H237)</f>
        <v>15830147</v>
      </c>
      <c r="I5" s="162">
        <f>G5-H5</f>
        <v>699431</v>
      </c>
    </row>
    <row r="6" spans="1:9" ht="18" customHeight="1">
      <c r="A6" s="163" t="s">
        <v>135</v>
      </c>
      <c r="B6" s="180"/>
      <c r="C6" s="180"/>
      <c r="D6" s="180"/>
      <c r="E6" s="180"/>
      <c r="F6" s="181"/>
      <c r="G6" s="110">
        <f>SUM(G24,G57,G95,G125,G153,G172,G188,G208,G7,G230)</f>
        <v>12980477</v>
      </c>
      <c r="H6" s="110">
        <v>9597147</v>
      </c>
      <c r="I6" s="114">
        <f>G6-H6</f>
        <v>3383330</v>
      </c>
    </row>
    <row r="7" spans="1:9" ht="18" customHeight="1">
      <c r="A7" s="240"/>
      <c r="B7" s="176" t="s">
        <v>502</v>
      </c>
      <c r="C7" s="177"/>
      <c r="D7" s="177"/>
      <c r="E7" s="177"/>
      <c r="F7" s="178"/>
      <c r="G7" s="113">
        <f>종합상황실!H4</f>
        <v>21920</v>
      </c>
      <c r="H7" s="113">
        <v>16292</v>
      </c>
      <c r="I7" s="115">
        <f>G7-H7</f>
        <v>5628</v>
      </c>
    </row>
    <row r="8" spans="1:9" ht="18" customHeight="1">
      <c r="A8" s="164"/>
      <c r="B8" s="165"/>
      <c r="C8" s="179" t="s">
        <v>859</v>
      </c>
      <c r="D8" s="180"/>
      <c r="E8" s="180"/>
      <c r="F8" s="181"/>
      <c r="G8" s="15">
        <f>종합상황실!H7</f>
        <v>3500</v>
      </c>
      <c r="H8" s="15">
        <v>0</v>
      </c>
      <c r="I8" s="114">
        <f t="shared" ref="I8:I16" si="0">G8-H8</f>
        <v>3500</v>
      </c>
    </row>
    <row r="9" spans="1:9" ht="18" customHeight="1">
      <c r="A9" s="164"/>
      <c r="B9" s="166"/>
      <c r="C9" s="167"/>
      <c r="D9" s="179" t="s">
        <v>859</v>
      </c>
      <c r="E9" s="180"/>
      <c r="F9" s="181"/>
      <c r="G9" s="15">
        <f>종합상황실!H8</f>
        <v>3500</v>
      </c>
      <c r="H9" s="15">
        <v>0</v>
      </c>
      <c r="I9" s="114">
        <f t="shared" si="0"/>
        <v>3500</v>
      </c>
    </row>
    <row r="10" spans="1:9" ht="18" customHeight="1">
      <c r="A10" s="164"/>
      <c r="B10" s="166"/>
      <c r="C10" s="165"/>
      <c r="D10" s="167"/>
      <c r="E10" s="179" t="s">
        <v>105</v>
      </c>
      <c r="F10" s="181"/>
      <c r="G10" s="15">
        <f>종합상황실!H10</f>
        <v>3500</v>
      </c>
      <c r="H10" s="15">
        <v>0</v>
      </c>
      <c r="I10" s="114">
        <f t="shared" si="0"/>
        <v>3500</v>
      </c>
    </row>
    <row r="11" spans="1:9" ht="18" customHeight="1">
      <c r="A11" s="86"/>
      <c r="B11" s="168"/>
      <c r="C11" s="169"/>
      <c r="D11" s="168"/>
      <c r="E11" s="171"/>
      <c r="F11" s="171" t="s">
        <v>106</v>
      </c>
      <c r="G11" s="14">
        <f>종합상황실!H11</f>
        <v>3500</v>
      </c>
      <c r="H11" s="14">
        <v>0</v>
      </c>
      <c r="I11" s="116">
        <f t="shared" si="0"/>
        <v>3500</v>
      </c>
    </row>
    <row r="12" spans="1:9" ht="18" customHeight="1">
      <c r="A12" s="164"/>
      <c r="B12" s="165"/>
      <c r="C12" s="179" t="s">
        <v>503</v>
      </c>
      <c r="D12" s="180"/>
      <c r="E12" s="180"/>
      <c r="F12" s="181"/>
      <c r="G12" s="15">
        <f>종합상황실!H15</f>
        <v>18420</v>
      </c>
      <c r="H12" s="15">
        <v>16292</v>
      </c>
      <c r="I12" s="114">
        <f t="shared" si="0"/>
        <v>2128</v>
      </c>
    </row>
    <row r="13" spans="1:9" ht="18" customHeight="1">
      <c r="A13" s="164"/>
      <c r="B13" s="166"/>
      <c r="C13" s="167"/>
      <c r="D13" s="179" t="s">
        <v>110</v>
      </c>
      <c r="E13" s="180"/>
      <c r="F13" s="181"/>
      <c r="G13" s="15">
        <f>종합상황실!H16</f>
        <v>18420</v>
      </c>
      <c r="H13" s="15">
        <v>16292</v>
      </c>
      <c r="I13" s="114">
        <f t="shared" si="0"/>
        <v>2128</v>
      </c>
    </row>
    <row r="14" spans="1:9" ht="18" customHeight="1">
      <c r="A14" s="164"/>
      <c r="B14" s="166"/>
      <c r="C14" s="165"/>
      <c r="D14" s="167"/>
      <c r="E14" s="179" t="s">
        <v>105</v>
      </c>
      <c r="F14" s="181"/>
      <c r="G14" s="15">
        <f>종합상황실!H18</f>
        <v>6320</v>
      </c>
      <c r="H14" s="15">
        <v>4592</v>
      </c>
      <c r="I14" s="114">
        <f t="shared" si="0"/>
        <v>1728</v>
      </c>
    </row>
    <row r="15" spans="1:9" ht="18" customHeight="1">
      <c r="A15" s="86"/>
      <c r="B15" s="168"/>
      <c r="C15" s="169"/>
      <c r="D15" s="168"/>
      <c r="E15" s="171"/>
      <c r="F15" s="171" t="s">
        <v>106</v>
      </c>
      <c r="G15" s="14">
        <f>종합상황실!H19</f>
        <v>2000</v>
      </c>
      <c r="H15" s="14">
        <v>2000</v>
      </c>
      <c r="I15" s="116">
        <f t="shared" si="0"/>
        <v>0</v>
      </c>
    </row>
    <row r="16" spans="1:9" ht="18" customHeight="1">
      <c r="A16" s="86"/>
      <c r="B16" s="168"/>
      <c r="C16" s="169"/>
      <c r="D16" s="168"/>
      <c r="E16" s="172"/>
      <c r="F16" s="171" t="s">
        <v>308</v>
      </c>
      <c r="G16" s="14">
        <f>종합상황실!H21</f>
        <v>4320</v>
      </c>
      <c r="H16" s="14">
        <v>2592</v>
      </c>
      <c r="I16" s="116">
        <f t="shared" si="0"/>
        <v>1728</v>
      </c>
    </row>
    <row r="17" spans="1:9" ht="18" customHeight="1">
      <c r="A17" s="164"/>
      <c r="B17" s="166"/>
      <c r="C17" s="165"/>
      <c r="D17" s="166"/>
      <c r="E17" s="179" t="s">
        <v>116</v>
      </c>
      <c r="F17" s="181"/>
      <c r="G17" s="15">
        <f>종합상황실!H25</f>
        <v>9000</v>
      </c>
      <c r="H17" s="15">
        <v>9000</v>
      </c>
      <c r="I17" s="114">
        <f t="shared" ref="I17" si="1">G17-H17</f>
        <v>0</v>
      </c>
    </row>
    <row r="18" spans="1:9" ht="18" customHeight="1">
      <c r="A18" s="86"/>
      <c r="B18" s="168"/>
      <c r="C18" s="169"/>
      <c r="D18" s="168"/>
      <c r="E18" s="171"/>
      <c r="F18" s="171" t="s">
        <v>107</v>
      </c>
      <c r="G18" s="14">
        <f>종합상황실!H26</f>
        <v>9000</v>
      </c>
      <c r="H18" s="14">
        <v>9000</v>
      </c>
      <c r="I18" s="116">
        <f>G18-H18</f>
        <v>0</v>
      </c>
    </row>
    <row r="19" spans="1:9" ht="18" customHeight="1">
      <c r="A19" s="164"/>
      <c r="B19" s="166"/>
      <c r="C19" s="165"/>
      <c r="D19" s="166"/>
      <c r="E19" s="179" t="s">
        <v>509</v>
      </c>
      <c r="F19" s="181" t="s">
        <v>480</v>
      </c>
      <c r="G19" s="15">
        <f>종합상황실!H29</f>
        <v>1500</v>
      </c>
      <c r="H19" s="15">
        <v>1500</v>
      </c>
      <c r="I19" s="114">
        <f t="shared" ref="I19:I23" si="2">G19-H19</f>
        <v>0</v>
      </c>
    </row>
    <row r="20" spans="1:9" ht="18" customHeight="1">
      <c r="A20" s="86"/>
      <c r="B20" s="168"/>
      <c r="C20" s="169"/>
      <c r="D20" s="168"/>
      <c r="E20" s="170"/>
      <c r="F20" s="171" t="s">
        <v>119</v>
      </c>
      <c r="G20" s="14">
        <f>종합상황실!H30</f>
        <v>1500</v>
      </c>
      <c r="H20" s="14">
        <v>1500</v>
      </c>
      <c r="I20" s="116">
        <f t="shared" si="2"/>
        <v>0</v>
      </c>
    </row>
    <row r="21" spans="1:9" ht="18" customHeight="1">
      <c r="A21" s="164"/>
      <c r="B21" s="166"/>
      <c r="C21" s="165"/>
      <c r="D21" s="166"/>
      <c r="E21" s="179" t="s">
        <v>417</v>
      </c>
      <c r="F21" s="181"/>
      <c r="G21" s="15">
        <f>종합상황실!H32</f>
        <v>1600</v>
      </c>
      <c r="H21" s="15">
        <v>1200</v>
      </c>
      <c r="I21" s="114">
        <f t="shared" si="2"/>
        <v>400</v>
      </c>
    </row>
    <row r="22" spans="1:9" ht="18" customHeight="1">
      <c r="A22" s="250"/>
      <c r="B22" s="166"/>
      <c r="C22" s="165"/>
      <c r="D22" s="166"/>
      <c r="E22" s="433"/>
      <c r="F22" s="432" t="s">
        <v>743</v>
      </c>
      <c r="G22" s="14">
        <f>종합상황실!H33</f>
        <v>400</v>
      </c>
      <c r="H22" s="14">
        <v>0</v>
      </c>
      <c r="I22" s="116">
        <f t="shared" si="2"/>
        <v>400</v>
      </c>
    </row>
    <row r="23" spans="1:9" ht="18" customHeight="1">
      <c r="A23" s="325"/>
      <c r="B23" s="172"/>
      <c r="C23" s="243"/>
      <c r="D23" s="172"/>
      <c r="E23" s="172"/>
      <c r="F23" s="623" t="s">
        <v>418</v>
      </c>
      <c r="G23" s="376">
        <f>종합상황실!H36</f>
        <v>1200</v>
      </c>
      <c r="H23" s="376">
        <v>1200</v>
      </c>
      <c r="I23" s="116">
        <f t="shared" si="2"/>
        <v>0</v>
      </c>
    </row>
    <row r="24" spans="1:9" ht="18" customHeight="1">
      <c r="A24" s="250"/>
      <c r="B24" s="176" t="s">
        <v>290</v>
      </c>
      <c r="C24" s="177"/>
      <c r="D24" s="177"/>
      <c r="E24" s="177"/>
      <c r="F24" s="178"/>
      <c r="G24" s="113">
        <f>SUM(G25,G30)</f>
        <v>1092031</v>
      </c>
      <c r="H24" s="113">
        <v>974983</v>
      </c>
      <c r="I24" s="115">
        <f t="shared" ref="I24:I25" si="3">G24-H24</f>
        <v>117048</v>
      </c>
    </row>
    <row r="25" spans="1:9" ht="18" customHeight="1">
      <c r="A25" s="250"/>
      <c r="B25" s="165"/>
      <c r="C25" s="179" t="s">
        <v>334</v>
      </c>
      <c r="D25" s="180"/>
      <c r="E25" s="180"/>
      <c r="F25" s="181"/>
      <c r="G25" s="201">
        <f>SUM(,G26)</f>
        <v>26100</v>
      </c>
      <c r="H25" s="201">
        <v>26100</v>
      </c>
      <c r="I25" s="114">
        <f t="shared" si="3"/>
        <v>0</v>
      </c>
    </row>
    <row r="26" spans="1:9" ht="18" customHeight="1">
      <c r="A26" s="164"/>
      <c r="B26" s="166"/>
      <c r="C26" s="166"/>
      <c r="D26" s="179" t="s">
        <v>335</v>
      </c>
      <c r="E26" s="180"/>
      <c r="F26" s="181"/>
      <c r="G26" s="15">
        <f>G27</f>
        <v>26100</v>
      </c>
      <c r="H26" s="15">
        <v>26100</v>
      </c>
      <c r="I26" s="114">
        <f t="shared" ref="I26:I34" si="4">G26-H26</f>
        <v>0</v>
      </c>
    </row>
    <row r="27" spans="1:9" ht="18" customHeight="1">
      <c r="A27" s="164"/>
      <c r="B27" s="166"/>
      <c r="C27" s="165"/>
      <c r="D27" s="167"/>
      <c r="E27" s="179" t="s">
        <v>105</v>
      </c>
      <c r="F27" s="181"/>
      <c r="G27" s="15">
        <f>행정관리부!H10</f>
        <v>26100</v>
      </c>
      <c r="H27" s="15">
        <v>26100</v>
      </c>
      <c r="I27" s="114">
        <f t="shared" si="4"/>
        <v>0</v>
      </c>
    </row>
    <row r="28" spans="1:9" ht="18" customHeight="1">
      <c r="A28" s="86"/>
      <c r="B28" s="168"/>
      <c r="C28" s="169"/>
      <c r="D28" s="168"/>
      <c r="E28" s="171"/>
      <c r="F28" s="171" t="s">
        <v>106</v>
      </c>
      <c r="G28" s="14">
        <f>행정관리부!H11</f>
        <v>24900</v>
      </c>
      <c r="H28" s="14">
        <v>24900</v>
      </c>
      <c r="I28" s="116">
        <f t="shared" si="4"/>
        <v>0</v>
      </c>
    </row>
    <row r="29" spans="1:9" ht="18" customHeight="1">
      <c r="A29" s="86"/>
      <c r="B29" s="168"/>
      <c r="C29" s="169"/>
      <c r="D29" s="168"/>
      <c r="E29" s="172"/>
      <c r="F29" s="171" t="s">
        <v>109</v>
      </c>
      <c r="G29" s="14">
        <f>행정관리부!H19</f>
        <v>1200</v>
      </c>
      <c r="H29" s="14">
        <v>1200</v>
      </c>
      <c r="I29" s="116">
        <f t="shared" si="4"/>
        <v>0</v>
      </c>
    </row>
    <row r="30" spans="1:9" ht="18" customHeight="1">
      <c r="A30" s="164"/>
      <c r="B30" s="165"/>
      <c r="C30" s="179" t="s">
        <v>281</v>
      </c>
      <c r="D30" s="180"/>
      <c r="E30" s="180"/>
      <c r="F30" s="181"/>
      <c r="G30" s="15">
        <f>G31</f>
        <v>1065931</v>
      </c>
      <c r="H30" s="15">
        <v>948883</v>
      </c>
      <c r="I30" s="114">
        <f t="shared" si="4"/>
        <v>117048</v>
      </c>
    </row>
    <row r="31" spans="1:9" ht="18" customHeight="1">
      <c r="A31" s="164"/>
      <c r="B31" s="166"/>
      <c r="C31" s="167"/>
      <c r="D31" s="179" t="s">
        <v>282</v>
      </c>
      <c r="E31" s="180"/>
      <c r="F31" s="181"/>
      <c r="G31" s="15">
        <f>SUM(G32,G36,G38,G43,G45,G47,G50,G52,G55)</f>
        <v>1065931</v>
      </c>
      <c r="H31" s="15">
        <v>948883</v>
      </c>
      <c r="I31" s="114">
        <f t="shared" si="4"/>
        <v>117048</v>
      </c>
    </row>
    <row r="32" spans="1:9" ht="18" customHeight="1">
      <c r="A32" s="164"/>
      <c r="B32" s="166"/>
      <c r="C32" s="165"/>
      <c r="D32" s="167"/>
      <c r="E32" s="179" t="s">
        <v>111</v>
      </c>
      <c r="F32" s="181"/>
      <c r="G32" s="15">
        <f>행정관리부!H24</f>
        <v>652637</v>
      </c>
      <c r="H32" s="15">
        <v>651710</v>
      </c>
      <c r="I32" s="114">
        <f t="shared" si="4"/>
        <v>927</v>
      </c>
    </row>
    <row r="33" spans="1:9" ht="18" customHeight="1">
      <c r="A33" s="86"/>
      <c r="B33" s="168"/>
      <c r="C33" s="169"/>
      <c r="D33" s="168"/>
      <c r="E33" s="171"/>
      <c r="F33" s="171" t="s">
        <v>112</v>
      </c>
      <c r="G33" s="14">
        <f>행정관리부!H25</f>
        <v>402600</v>
      </c>
      <c r="H33" s="14">
        <v>402600</v>
      </c>
      <c r="I33" s="116">
        <f t="shared" si="4"/>
        <v>0</v>
      </c>
    </row>
    <row r="34" spans="1:9" ht="18" customHeight="1">
      <c r="A34" s="86"/>
      <c r="B34" s="168"/>
      <c r="C34" s="169"/>
      <c r="D34" s="168"/>
      <c r="E34" s="168"/>
      <c r="F34" s="171" t="s">
        <v>336</v>
      </c>
      <c r="G34" s="14">
        <f>행정관리부!H30</f>
        <v>220208</v>
      </c>
      <c r="H34" s="14">
        <v>219281</v>
      </c>
      <c r="I34" s="116">
        <f t="shared" si="4"/>
        <v>927</v>
      </c>
    </row>
    <row r="35" spans="1:9" ht="18" customHeight="1">
      <c r="A35" s="86"/>
      <c r="B35" s="168"/>
      <c r="C35" s="169"/>
      <c r="D35" s="168"/>
      <c r="E35" s="172"/>
      <c r="F35" s="171" t="s">
        <v>337</v>
      </c>
      <c r="G35" s="14">
        <f>행정관리부!H39</f>
        <v>29829</v>
      </c>
      <c r="H35" s="14">
        <v>29829</v>
      </c>
      <c r="I35" s="116">
        <f t="shared" ref="I35:I37" si="5">G35-H35</f>
        <v>0</v>
      </c>
    </row>
    <row r="36" spans="1:9" ht="18" customHeight="1">
      <c r="A36" s="164"/>
      <c r="B36" s="166"/>
      <c r="C36" s="165"/>
      <c r="D36" s="166"/>
      <c r="E36" s="179" t="s">
        <v>338</v>
      </c>
      <c r="F36" s="181"/>
      <c r="G36" s="15">
        <f>행정관리부!H43</f>
        <v>52200</v>
      </c>
      <c r="H36" s="15">
        <v>52200</v>
      </c>
      <c r="I36" s="114">
        <f t="shared" si="5"/>
        <v>0</v>
      </c>
    </row>
    <row r="37" spans="1:9" ht="18" customHeight="1">
      <c r="A37" s="86"/>
      <c r="B37" s="168"/>
      <c r="C37" s="169"/>
      <c r="D37" s="168"/>
      <c r="E37" s="171"/>
      <c r="F37" s="171" t="s">
        <v>339</v>
      </c>
      <c r="G37" s="14">
        <f>행정관리부!H44</f>
        <v>52200</v>
      </c>
      <c r="H37" s="14">
        <v>52200</v>
      </c>
      <c r="I37" s="116">
        <f t="shared" si="5"/>
        <v>0</v>
      </c>
    </row>
    <row r="38" spans="1:9" ht="18" customHeight="1">
      <c r="A38" s="164"/>
      <c r="B38" s="166"/>
      <c r="C38" s="165"/>
      <c r="D38" s="166"/>
      <c r="E38" s="179" t="s">
        <v>113</v>
      </c>
      <c r="F38" s="181"/>
      <c r="G38" s="15">
        <f>행정관리부!H49</f>
        <v>233980</v>
      </c>
      <c r="H38" s="15">
        <v>137760</v>
      </c>
      <c r="I38" s="114">
        <f>G38-H38</f>
        <v>96220</v>
      </c>
    </row>
    <row r="39" spans="1:9" ht="18" customHeight="1">
      <c r="A39" s="86"/>
      <c r="B39" s="168"/>
      <c r="C39" s="169"/>
      <c r="D39" s="168"/>
      <c r="E39" s="171"/>
      <c r="F39" s="171" t="s">
        <v>114</v>
      </c>
      <c r="G39" s="14">
        <f>행정관리부!H50</f>
        <v>153220</v>
      </c>
      <c r="H39" s="14">
        <v>82220</v>
      </c>
      <c r="I39" s="116">
        <f>G39-H39</f>
        <v>71000</v>
      </c>
    </row>
    <row r="40" spans="1:9" ht="18" customHeight="1">
      <c r="A40" s="86"/>
      <c r="B40" s="168"/>
      <c r="C40" s="169"/>
      <c r="D40" s="168"/>
      <c r="E40" s="168"/>
      <c r="F40" s="171" t="s">
        <v>115</v>
      </c>
      <c r="G40" s="14">
        <f>행정관리부!H71</f>
        <v>35460</v>
      </c>
      <c r="H40" s="14">
        <v>35460</v>
      </c>
      <c r="I40" s="116">
        <f t="shared" ref="I40:I42" si="6">G40-H40</f>
        <v>0</v>
      </c>
    </row>
    <row r="41" spans="1:9" ht="18" customHeight="1">
      <c r="A41" s="86"/>
      <c r="B41" s="168"/>
      <c r="C41" s="169"/>
      <c r="D41" s="168"/>
      <c r="E41" s="168"/>
      <c r="F41" s="171" t="s">
        <v>867</v>
      </c>
      <c r="G41" s="14">
        <f>행정관리부!H78</f>
        <v>25000</v>
      </c>
      <c r="H41" s="14">
        <v>0</v>
      </c>
      <c r="I41" s="116">
        <f t="shared" si="6"/>
        <v>25000</v>
      </c>
    </row>
    <row r="42" spans="1:9" ht="18" customHeight="1">
      <c r="A42" s="86"/>
      <c r="B42" s="168"/>
      <c r="C42" s="169"/>
      <c r="D42" s="168"/>
      <c r="E42" s="172"/>
      <c r="F42" s="171" t="s">
        <v>138</v>
      </c>
      <c r="G42" s="14">
        <f>행정관리부!H81</f>
        <v>20300</v>
      </c>
      <c r="H42" s="14">
        <v>20080</v>
      </c>
      <c r="I42" s="116">
        <f t="shared" si="6"/>
        <v>220</v>
      </c>
    </row>
    <row r="43" spans="1:9" ht="18" customHeight="1">
      <c r="A43" s="164"/>
      <c r="B43" s="166"/>
      <c r="C43" s="165"/>
      <c r="D43" s="166"/>
      <c r="E43" s="179" t="s">
        <v>116</v>
      </c>
      <c r="F43" s="181"/>
      <c r="G43" s="15">
        <f>행정관리부!H89</f>
        <v>11990</v>
      </c>
      <c r="H43" s="15">
        <v>11990</v>
      </c>
      <c r="I43" s="114">
        <f t="shared" ref="I43" si="7">G43-H43</f>
        <v>0</v>
      </c>
    </row>
    <row r="44" spans="1:9" ht="18" customHeight="1">
      <c r="A44" s="86"/>
      <c r="B44" s="168"/>
      <c r="C44" s="169"/>
      <c r="D44" s="168"/>
      <c r="E44" s="171"/>
      <c r="F44" s="171" t="s">
        <v>107</v>
      </c>
      <c r="G44" s="14">
        <f>행정관리부!H90</f>
        <v>11990</v>
      </c>
      <c r="H44" s="14">
        <v>11990</v>
      </c>
      <c r="I44" s="116">
        <f>G44-H44</f>
        <v>0</v>
      </c>
    </row>
    <row r="45" spans="1:9" ht="18" customHeight="1">
      <c r="A45" s="164"/>
      <c r="B45" s="166"/>
      <c r="C45" s="165"/>
      <c r="D45" s="166"/>
      <c r="E45" s="179" t="s">
        <v>118</v>
      </c>
      <c r="F45" s="181"/>
      <c r="G45" s="15">
        <f>행정관리부!H93</f>
        <v>36600</v>
      </c>
      <c r="H45" s="15">
        <v>36600</v>
      </c>
      <c r="I45" s="114">
        <f t="shared" ref="I45:I47" si="8">G45-H45</f>
        <v>0</v>
      </c>
    </row>
    <row r="46" spans="1:9" ht="18" customHeight="1">
      <c r="A46" s="86"/>
      <c r="B46" s="168"/>
      <c r="C46" s="169"/>
      <c r="D46" s="168"/>
      <c r="E46" s="170"/>
      <c r="F46" s="171" t="s">
        <v>119</v>
      </c>
      <c r="G46" s="14">
        <f>행정관리부!H94</f>
        <v>36600</v>
      </c>
      <c r="H46" s="14">
        <v>36600</v>
      </c>
      <c r="I46" s="116">
        <f t="shared" si="8"/>
        <v>0</v>
      </c>
    </row>
    <row r="47" spans="1:9" ht="18" customHeight="1">
      <c r="A47" s="164"/>
      <c r="B47" s="166"/>
      <c r="C47" s="165"/>
      <c r="D47" s="166"/>
      <c r="E47" s="179" t="s">
        <v>120</v>
      </c>
      <c r="F47" s="181"/>
      <c r="G47" s="15">
        <f>행정관리부!H101</f>
        <v>27120</v>
      </c>
      <c r="H47" s="15">
        <v>27120</v>
      </c>
      <c r="I47" s="114">
        <f t="shared" si="8"/>
        <v>0</v>
      </c>
    </row>
    <row r="48" spans="1:9" ht="18" customHeight="1">
      <c r="A48" s="164"/>
      <c r="B48" s="166"/>
      <c r="C48" s="165"/>
      <c r="D48" s="166"/>
      <c r="E48" s="33"/>
      <c r="F48" s="171" t="s">
        <v>121</v>
      </c>
      <c r="G48" s="14">
        <f>행정관리부!H102</f>
        <v>20400</v>
      </c>
      <c r="H48" s="14">
        <v>20400</v>
      </c>
      <c r="I48" s="116">
        <f>G48-H48</f>
        <v>0</v>
      </c>
    </row>
    <row r="49" spans="1:9" ht="18" customHeight="1">
      <c r="A49" s="86"/>
      <c r="B49" s="168"/>
      <c r="C49" s="169"/>
      <c r="D49" s="168"/>
      <c r="E49" s="172"/>
      <c r="F49" s="171" t="s">
        <v>140</v>
      </c>
      <c r="G49" s="14">
        <f>행정관리부!H105</f>
        <v>6720</v>
      </c>
      <c r="H49" s="14">
        <v>6720</v>
      </c>
      <c r="I49" s="116">
        <f>G49-H49</f>
        <v>0</v>
      </c>
    </row>
    <row r="50" spans="1:9" ht="18" customHeight="1">
      <c r="A50" s="164"/>
      <c r="B50" s="166"/>
      <c r="C50" s="165"/>
      <c r="D50" s="166"/>
      <c r="E50" s="179" t="s">
        <v>122</v>
      </c>
      <c r="F50" s="181"/>
      <c r="G50" s="15">
        <f>행정관리부!H107</f>
        <v>28000</v>
      </c>
      <c r="H50" s="15">
        <v>8000</v>
      </c>
      <c r="I50" s="114">
        <f t="shared" ref="I50" si="9">G50-H50</f>
        <v>20000</v>
      </c>
    </row>
    <row r="51" spans="1:9" ht="18" customHeight="1">
      <c r="A51" s="86"/>
      <c r="B51" s="168"/>
      <c r="C51" s="169"/>
      <c r="D51" s="168"/>
      <c r="E51" s="170"/>
      <c r="F51" s="171" t="s">
        <v>123</v>
      </c>
      <c r="G51" s="14">
        <f>행정관리부!H108</f>
        <v>28000</v>
      </c>
      <c r="H51" s="14">
        <v>8000</v>
      </c>
      <c r="I51" s="116">
        <f>G51-H51</f>
        <v>20000</v>
      </c>
    </row>
    <row r="52" spans="1:9" ht="18" customHeight="1">
      <c r="A52" s="164"/>
      <c r="B52" s="166"/>
      <c r="C52" s="165"/>
      <c r="D52" s="166"/>
      <c r="E52" s="179" t="s">
        <v>124</v>
      </c>
      <c r="F52" s="181"/>
      <c r="G52" s="15">
        <f>행정관리부!H112</f>
        <v>4980</v>
      </c>
      <c r="H52" s="15">
        <v>5140</v>
      </c>
      <c r="I52" s="114">
        <f t="shared" ref="I52" si="10">G52-H52</f>
        <v>-160</v>
      </c>
    </row>
    <row r="53" spans="1:9" ht="18" customHeight="1">
      <c r="A53" s="86"/>
      <c r="B53" s="168"/>
      <c r="C53" s="169"/>
      <c r="D53" s="168"/>
      <c r="E53" s="171"/>
      <c r="F53" s="171" t="s">
        <v>125</v>
      </c>
      <c r="G53" s="14">
        <f>행정관리부!H113</f>
        <v>2880</v>
      </c>
      <c r="H53" s="14">
        <v>3040</v>
      </c>
      <c r="I53" s="117">
        <f>G53-H53</f>
        <v>-160</v>
      </c>
    </row>
    <row r="54" spans="1:9" ht="18" customHeight="1">
      <c r="A54" s="86"/>
      <c r="B54" s="168"/>
      <c r="C54" s="169"/>
      <c r="D54" s="168"/>
      <c r="E54" s="172"/>
      <c r="F54" s="171" t="s">
        <v>126</v>
      </c>
      <c r="G54" s="14">
        <f>행정관리부!H117</f>
        <v>2100</v>
      </c>
      <c r="H54" s="14">
        <v>2100</v>
      </c>
      <c r="I54" s="117">
        <f>G54-H54</f>
        <v>0</v>
      </c>
    </row>
    <row r="55" spans="1:9" ht="18" customHeight="1">
      <c r="A55" s="164"/>
      <c r="B55" s="166"/>
      <c r="C55" s="165"/>
      <c r="D55" s="166"/>
      <c r="E55" s="179" t="s">
        <v>340</v>
      </c>
      <c r="F55" s="181"/>
      <c r="G55" s="15">
        <f>행정관리부!H120</f>
        <v>18424</v>
      </c>
      <c r="H55" s="15">
        <v>18363</v>
      </c>
      <c r="I55" s="114">
        <f t="shared" ref="I55" si="11">G55-H55</f>
        <v>61</v>
      </c>
    </row>
    <row r="56" spans="1:9" ht="18" customHeight="1">
      <c r="A56" s="86"/>
      <c r="B56" s="168"/>
      <c r="C56" s="169"/>
      <c r="D56" s="168"/>
      <c r="E56" s="171"/>
      <c r="F56" s="171" t="s">
        <v>341</v>
      </c>
      <c r="G56" s="14">
        <f>행정관리부!H121</f>
        <v>18424</v>
      </c>
      <c r="H56" s="14">
        <v>18363</v>
      </c>
      <c r="I56" s="117">
        <f>G56-H56</f>
        <v>61</v>
      </c>
    </row>
    <row r="57" spans="1:9" ht="18" customHeight="1">
      <c r="A57" s="250"/>
      <c r="B57" s="176" t="s">
        <v>263</v>
      </c>
      <c r="C57" s="177"/>
      <c r="D57" s="177"/>
      <c r="E57" s="177"/>
      <c r="F57" s="178"/>
      <c r="G57" s="113">
        <f>SUM(G58,G66,G73,G84)</f>
        <v>225012</v>
      </c>
      <c r="H57" s="113">
        <v>170012</v>
      </c>
      <c r="I57" s="115">
        <f t="shared" ref="I57:I66" si="12">G57-H57</f>
        <v>55000</v>
      </c>
    </row>
    <row r="58" spans="1:9" ht="18" customHeight="1">
      <c r="A58" s="164"/>
      <c r="B58" s="165"/>
      <c r="C58" s="179" t="s">
        <v>280</v>
      </c>
      <c r="D58" s="180"/>
      <c r="E58" s="180"/>
      <c r="F58" s="181"/>
      <c r="G58" s="15">
        <f>기획홍보부!H7</f>
        <v>75200</v>
      </c>
      <c r="H58" s="111">
        <v>20200</v>
      </c>
      <c r="I58" s="114">
        <f>G58-H58</f>
        <v>55000</v>
      </c>
    </row>
    <row r="59" spans="1:9" ht="18" customHeight="1">
      <c r="A59" s="164"/>
      <c r="B59" s="166"/>
      <c r="C59" s="166"/>
      <c r="D59" s="179" t="s">
        <v>469</v>
      </c>
      <c r="E59" s="180"/>
      <c r="F59" s="181"/>
      <c r="G59" s="15">
        <f>기획홍보부!H8</f>
        <v>60000</v>
      </c>
      <c r="H59" s="112">
        <v>5000</v>
      </c>
      <c r="I59" s="114">
        <f t="shared" ref="I59:I61" si="13">G59-H59</f>
        <v>55000</v>
      </c>
    </row>
    <row r="60" spans="1:9" ht="18" customHeight="1">
      <c r="A60" s="164"/>
      <c r="B60" s="166"/>
      <c r="C60" s="165"/>
      <c r="D60" s="167"/>
      <c r="E60" s="179" t="s">
        <v>543</v>
      </c>
      <c r="F60" s="181"/>
      <c r="G60" s="15">
        <f>기획홍보부!H10</f>
        <v>60000</v>
      </c>
      <c r="H60" s="112">
        <v>5000</v>
      </c>
      <c r="I60" s="114">
        <f t="shared" si="13"/>
        <v>55000</v>
      </c>
    </row>
    <row r="61" spans="1:9" ht="18" customHeight="1">
      <c r="A61" s="86"/>
      <c r="B61" s="168"/>
      <c r="C61" s="169"/>
      <c r="D61" s="168"/>
      <c r="E61" s="171"/>
      <c r="F61" s="171" t="s">
        <v>544</v>
      </c>
      <c r="G61" s="14">
        <f>기획홍보부!H11</f>
        <v>60000</v>
      </c>
      <c r="H61" s="16">
        <v>5000</v>
      </c>
      <c r="I61" s="116">
        <f t="shared" si="13"/>
        <v>55000</v>
      </c>
    </row>
    <row r="62" spans="1:9" ht="18" customHeight="1">
      <c r="A62" s="164"/>
      <c r="B62" s="166"/>
      <c r="C62" s="166"/>
      <c r="D62" s="179" t="s">
        <v>401</v>
      </c>
      <c r="E62" s="180"/>
      <c r="F62" s="181"/>
      <c r="G62" s="15">
        <f>기획홍보부!H16</f>
        <v>15200</v>
      </c>
      <c r="H62" s="112">
        <v>15200</v>
      </c>
      <c r="I62" s="114">
        <f t="shared" ref="I62:I64" si="14">G62-H62</f>
        <v>0</v>
      </c>
    </row>
    <row r="63" spans="1:9" ht="18" customHeight="1">
      <c r="A63" s="164"/>
      <c r="B63" s="166"/>
      <c r="C63" s="165"/>
      <c r="D63" s="167"/>
      <c r="E63" s="179" t="s">
        <v>105</v>
      </c>
      <c r="F63" s="181"/>
      <c r="G63" s="15">
        <f>기획홍보부!H18</f>
        <v>15200</v>
      </c>
      <c r="H63" s="112">
        <v>15200</v>
      </c>
      <c r="I63" s="114">
        <f t="shared" si="14"/>
        <v>0</v>
      </c>
    </row>
    <row r="64" spans="1:9" ht="18" customHeight="1">
      <c r="A64" s="86"/>
      <c r="B64" s="168"/>
      <c r="C64" s="169"/>
      <c r="D64" s="168"/>
      <c r="E64" s="171"/>
      <c r="F64" s="171" t="s">
        <v>106</v>
      </c>
      <c r="G64" s="14">
        <f>기획홍보부!H19</f>
        <v>15000</v>
      </c>
      <c r="H64" s="16">
        <v>15000</v>
      </c>
      <c r="I64" s="116">
        <f t="shared" si="14"/>
        <v>0</v>
      </c>
    </row>
    <row r="65" spans="1:9" ht="18" customHeight="1">
      <c r="A65" s="86"/>
      <c r="B65" s="168"/>
      <c r="C65" s="169"/>
      <c r="D65" s="168"/>
      <c r="E65" s="168"/>
      <c r="F65" s="171" t="s">
        <v>109</v>
      </c>
      <c r="G65" s="14">
        <f>기획홍보부!H23</f>
        <v>200</v>
      </c>
      <c r="H65" s="16">
        <v>200</v>
      </c>
      <c r="I65" s="116">
        <f>G65-H65</f>
        <v>0</v>
      </c>
    </row>
    <row r="66" spans="1:9" ht="18" customHeight="1">
      <c r="A66" s="164"/>
      <c r="B66" s="165"/>
      <c r="C66" s="179" t="s">
        <v>285</v>
      </c>
      <c r="D66" s="180"/>
      <c r="E66" s="180"/>
      <c r="F66" s="181"/>
      <c r="G66" s="15">
        <f>기획홍보부!H25</f>
        <v>53300</v>
      </c>
      <c r="H66" s="111">
        <v>53300</v>
      </c>
      <c r="I66" s="114">
        <f t="shared" si="12"/>
        <v>0</v>
      </c>
    </row>
    <row r="67" spans="1:9" ht="18" customHeight="1">
      <c r="A67" s="164"/>
      <c r="B67" s="166"/>
      <c r="C67" s="166"/>
      <c r="D67" s="179" t="s">
        <v>286</v>
      </c>
      <c r="E67" s="180"/>
      <c r="F67" s="181"/>
      <c r="G67" s="15">
        <f>기획홍보부!H26</f>
        <v>50000</v>
      </c>
      <c r="H67" s="112">
        <v>50000</v>
      </c>
      <c r="I67" s="114">
        <f t="shared" ref="I67:I75" si="15">G67-H67</f>
        <v>0</v>
      </c>
    </row>
    <row r="68" spans="1:9" ht="18" customHeight="1">
      <c r="A68" s="164"/>
      <c r="B68" s="166"/>
      <c r="C68" s="165"/>
      <c r="D68" s="167"/>
      <c r="E68" s="179" t="s">
        <v>131</v>
      </c>
      <c r="F68" s="181"/>
      <c r="G68" s="15">
        <f>기획홍보부!H28</f>
        <v>50000</v>
      </c>
      <c r="H68" s="112">
        <v>50000</v>
      </c>
      <c r="I68" s="114">
        <f t="shared" si="15"/>
        <v>0</v>
      </c>
    </row>
    <row r="69" spans="1:9" ht="18" customHeight="1">
      <c r="A69" s="86"/>
      <c r="B69" s="168"/>
      <c r="C69" s="169"/>
      <c r="D69" s="168"/>
      <c r="E69" s="170"/>
      <c r="F69" s="171" t="s">
        <v>123</v>
      </c>
      <c r="G69" s="14">
        <f>기획홍보부!H29</f>
        <v>50000</v>
      </c>
      <c r="H69" s="16">
        <v>50000</v>
      </c>
      <c r="I69" s="116">
        <f t="shared" si="15"/>
        <v>0</v>
      </c>
    </row>
    <row r="70" spans="1:9" ht="18" customHeight="1">
      <c r="A70" s="164"/>
      <c r="B70" s="166"/>
      <c r="C70" s="166"/>
      <c r="D70" s="179" t="s">
        <v>479</v>
      </c>
      <c r="E70" s="180"/>
      <c r="F70" s="181"/>
      <c r="G70" s="15">
        <f>기획홍보부!H31</f>
        <v>3300</v>
      </c>
      <c r="H70" s="112">
        <v>3300</v>
      </c>
      <c r="I70" s="114">
        <f t="shared" ref="I70:I72" si="16">G70-H70</f>
        <v>0</v>
      </c>
    </row>
    <row r="71" spans="1:9" ht="18" customHeight="1">
      <c r="A71" s="164"/>
      <c r="B71" s="166"/>
      <c r="C71" s="165"/>
      <c r="D71" s="167"/>
      <c r="E71" s="179" t="s">
        <v>116</v>
      </c>
      <c r="F71" s="181"/>
      <c r="G71" s="15">
        <f>기획홍보부!H33</f>
        <v>3300</v>
      </c>
      <c r="H71" s="112">
        <v>3300</v>
      </c>
      <c r="I71" s="114">
        <f>G71-H71</f>
        <v>0</v>
      </c>
    </row>
    <row r="72" spans="1:9" ht="18" customHeight="1">
      <c r="A72" s="86"/>
      <c r="B72" s="168"/>
      <c r="C72" s="169"/>
      <c r="D72" s="168"/>
      <c r="E72" s="170"/>
      <c r="F72" s="171" t="s">
        <v>107</v>
      </c>
      <c r="G72" s="14">
        <f>기획홍보부!H34</f>
        <v>3300</v>
      </c>
      <c r="H72" s="16">
        <v>3300</v>
      </c>
      <c r="I72" s="116">
        <f t="shared" si="16"/>
        <v>0</v>
      </c>
    </row>
    <row r="73" spans="1:9" ht="18" customHeight="1">
      <c r="A73" s="164"/>
      <c r="B73" s="165"/>
      <c r="C73" s="179" t="s">
        <v>296</v>
      </c>
      <c r="D73" s="180"/>
      <c r="E73" s="180"/>
      <c r="F73" s="181"/>
      <c r="G73" s="15">
        <f>기획홍보부!H36</f>
        <v>21512</v>
      </c>
      <c r="H73" s="111">
        <v>21512</v>
      </c>
      <c r="I73" s="114">
        <f t="shared" si="15"/>
        <v>0</v>
      </c>
    </row>
    <row r="74" spans="1:9" ht="18" customHeight="1">
      <c r="A74" s="164"/>
      <c r="B74" s="166"/>
      <c r="C74" s="167"/>
      <c r="D74" s="179" t="s">
        <v>110</v>
      </c>
      <c r="E74" s="180"/>
      <c r="F74" s="181"/>
      <c r="G74" s="15">
        <f>기획홍보부!H37</f>
        <v>21512</v>
      </c>
      <c r="H74" s="112">
        <v>21512</v>
      </c>
      <c r="I74" s="114">
        <f t="shared" si="15"/>
        <v>0</v>
      </c>
    </row>
    <row r="75" spans="1:9" ht="18" customHeight="1">
      <c r="A75" s="164"/>
      <c r="B75" s="166"/>
      <c r="C75" s="165"/>
      <c r="D75" s="167"/>
      <c r="E75" s="179" t="s">
        <v>113</v>
      </c>
      <c r="F75" s="181"/>
      <c r="G75" s="15">
        <f>기획홍보부!H39</f>
        <v>8912</v>
      </c>
      <c r="H75" s="112">
        <v>8912</v>
      </c>
      <c r="I75" s="114">
        <f t="shared" si="15"/>
        <v>0</v>
      </c>
    </row>
    <row r="76" spans="1:9" ht="18" customHeight="1">
      <c r="A76" s="86"/>
      <c r="B76" s="168"/>
      <c r="C76" s="169"/>
      <c r="D76" s="168"/>
      <c r="E76" s="171"/>
      <c r="F76" s="171" t="s">
        <v>114</v>
      </c>
      <c r="G76" s="14">
        <f>기획홍보부!H40</f>
        <v>2000</v>
      </c>
      <c r="H76" s="16">
        <v>2000</v>
      </c>
      <c r="I76" s="116">
        <f>G76-H76</f>
        <v>0</v>
      </c>
    </row>
    <row r="77" spans="1:9" ht="18" customHeight="1">
      <c r="A77" s="86"/>
      <c r="B77" s="168"/>
      <c r="C77" s="169"/>
      <c r="D77" s="168"/>
      <c r="E77" s="172"/>
      <c r="F77" s="171" t="s">
        <v>308</v>
      </c>
      <c r="G77" s="14">
        <f>기획홍보부!H42</f>
        <v>6912</v>
      </c>
      <c r="H77" s="16">
        <v>6912</v>
      </c>
      <c r="I77" s="116">
        <f>G77-H77</f>
        <v>0</v>
      </c>
    </row>
    <row r="78" spans="1:9" ht="18" customHeight="1">
      <c r="A78" s="164"/>
      <c r="B78" s="166"/>
      <c r="C78" s="165"/>
      <c r="D78" s="166"/>
      <c r="E78" s="179" t="s">
        <v>116</v>
      </c>
      <c r="F78" s="181"/>
      <c r="G78" s="15">
        <f>기획홍보부!H44</f>
        <v>9000</v>
      </c>
      <c r="H78" s="112">
        <v>9000</v>
      </c>
      <c r="I78" s="114">
        <f t="shared" ref="I78" si="17">G78-H78</f>
        <v>0</v>
      </c>
    </row>
    <row r="79" spans="1:9" ht="18" customHeight="1">
      <c r="A79" s="86"/>
      <c r="B79" s="168"/>
      <c r="C79" s="169"/>
      <c r="D79" s="168"/>
      <c r="E79" s="170"/>
      <c r="F79" s="171" t="s">
        <v>107</v>
      </c>
      <c r="G79" s="14">
        <f>기획홍보부!H45</f>
        <v>9000</v>
      </c>
      <c r="H79" s="16">
        <v>9000</v>
      </c>
      <c r="I79" s="116">
        <f>G79-H79</f>
        <v>0</v>
      </c>
    </row>
    <row r="80" spans="1:9" ht="18" customHeight="1">
      <c r="A80" s="164"/>
      <c r="B80" s="166"/>
      <c r="C80" s="165"/>
      <c r="D80" s="166"/>
      <c r="E80" s="179" t="s">
        <v>118</v>
      </c>
      <c r="F80" s="181"/>
      <c r="G80" s="15">
        <f>기획홍보부!H48</f>
        <v>1500</v>
      </c>
      <c r="H80" s="112">
        <v>1500</v>
      </c>
      <c r="I80" s="114">
        <f t="shared" ref="I80:I83" si="18">G80-H80</f>
        <v>0</v>
      </c>
    </row>
    <row r="81" spans="1:9" ht="18" customHeight="1">
      <c r="A81" s="86"/>
      <c r="B81" s="168"/>
      <c r="C81" s="169"/>
      <c r="D81" s="168"/>
      <c r="E81" s="170"/>
      <c r="F81" s="171" t="s">
        <v>119</v>
      </c>
      <c r="G81" s="14">
        <f>기획홍보부!H49</f>
        <v>1500</v>
      </c>
      <c r="H81" s="16">
        <v>1500</v>
      </c>
      <c r="I81" s="116">
        <f t="shared" si="18"/>
        <v>0</v>
      </c>
    </row>
    <row r="82" spans="1:9" ht="18" customHeight="1">
      <c r="A82" s="164"/>
      <c r="B82" s="166"/>
      <c r="C82" s="165"/>
      <c r="D82" s="166"/>
      <c r="E82" s="179" t="s">
        <v>417</v>
      </c>
      <c r="F82" s="181"/>
      <c r="G82" s="15">
        <f>기획홍보부!H51</f>
        <v>2100</v>
      </c>
      <c r="H82" s="112">
        <v>2100</v>
      </c>
      <c r="I82" s="114">
        <f t="shared" si="18"/>
        <v>0</v>
      </c>
    </row>
    <row r="83" spans="1:9" ht="18" customHeight="1">
      <c r="A83" s="86"/>
      <c r="B83" s="168"/>
      <c r="C83" s="169"/>
      <c r="D83" s="168"/>
      <c r="E83" s="170"/>
      <c r="F83" s="171" t="s">
        <v>418</v>
      </c>
      <c r="G83" s="14">
        <f>기획홍보부!H52</f>
        <v>2100</v>
      </c>
      <c r="H83" s="16">
        <v>2100</v>
      </c>
      <c r="I83" s="116">
        <f t="shared" si="18"/>
        <v>0</v>
      </c>
    </row>
    <row r="84" spans="1:9" ht="18" customHeight="1">
      <c r="A84" s="164"/>
      <c r="B84" s="165"/>
      <c r="C84" s="179" t="s">
        <v>283</v>
      </c>
      <c r="D84" s="180"/>
      <c r="E84" s="180"/>
      <c r="F84" s="181"/>
      <c r="G84" s="15">
        <f>기획홍보부!H54</f>
        <v>75000</v>
      </c>
      <c r="H84" s="111">
        <v>75000</v>
      </c>
      <c r="I84" s="114">
        <f t="shared" ref="I84:I89" si="19">G84-H84</f>
        <v>0</v>
      </c>
    </row>
    <row r="85" spans="1:9" ht="18" customHeight="1">
      <c r="A85" s="164"/>
      <c r="B85" s="166"/>
      <c r="C85" s="167"/>
      <c r="D85" s="179" t="s">
        <v>284</v>
      </c>
      <c r="E85" s="180"/>
      <c r="F85" s="181"/>
      <c r="G85" s="15">
        <f>기획홍보부!H55</f>
        <v>75000</v>
      </c>
      <c r="H85" s="112">
        <v>75000</v>
      </c>
      <c r="I85" s="114">
        <f t="shared" si="19"/>
        <v>0</v>
      </c>
    </row>
    <row r="86" spans="1:9" ht="18" customHeight="1">
      <c r="A86" s="164"/>
      <c r="B86" s="166"/>
      <c r="C86" s="165"/>
      <c r="D86" s="167"/>
      <c r="E86" s="179" t="s">
        <v>113</v>
      </c>
      <c r="F86" s="181"/>
      <c r="G86" s="15">
        <f>기획홍보부!H57</f>
        <v>15000</v>
      </c>
      <c r="H86" s="112">
        <v>15000</v>
      </c>
      <c r="I86" s="114">
        <f t="shared" si="19"/>
        <v>0</v>
      </c>
    </row>
    <row r="87" spans="1:9" ht="18" customHeight="1">
      <c r="A87" s="86"/>
      <c r="B87" s="168"/>
      <c r="C87" s="169"/>
      <c r="D87" s="168"/>
      <c r="E87" s="171"/>
      <c r="F87" s="171" t="s">
        <v>114</v>
      </c>
      <c r="G87" s="14">
        <f>기획홍보부!H58</f>
        <v>5000</v>
      </c>
      <c r="H87" s="16">
        <v>5000</v>
      </c>
      <c r="I87" s="116">
        <f t="shared" ref="I87:I88" si="20">G87-H87</f>
        <v>0</v>
      </c>
    </row>
    <row r="88" spans="1:9" ht="18" customHeight="1">
      <c r="A88" s="86"/>
      <c r="B88" s="168"/>
      <c r="C88" s="169"/>
      <c r="D88" s="168"/>
      <c r="E88" s="168"/>
      <c r="F88" s="171" t="s">
        <v>115</v>
      </c>
      <c r="G88" s="14">
        <f>기획홍보부!H60</f>
        <v>5000</v>
      </c>
      <c r="H88" s="16">
        <v>5000</v>
      </c>
      <c r="I88" s="116">
        <f t="shared" si="20"/>
        <v>0</v>
      </c>
    </row>
    <row r="89" spans="1:9" ht="18" customHeight="1">
      <c r="A89" s="86"/>
      <c r="B89" s="168"/>
      <c r="C89" s="169"/>
      <c r="D89" s="168"/>
      <c r="E89" s="172"/>
      <c r="F89" s="170" t="s">
        <v>141</v>
      </c>
      <c r="G89" s="376">
        <f>기획홍보부!H62</f>
        <v>5000</v>
      </c>
      <c r="H89" s="329">
        <v>5000</v>
      </c>
      <c r="I89" s="116">
        <f t="shared" si="19"/>
        <v>0</v>
      </c>
    </row>
    <row r="90" spans="1:9" ht="18" customHeight="1">
      <c r="A90" s="164"/>
      <c r="B90" s="166"/>
      <c r="C90" s="165"/>
      <c r="D90" s="166"/>
      <c r="E90" s="179" t="s">
        <v>116</v>
      </c>
      <c r="F90" s="181"/>
      <c r="G90" s="15">
        <f>기획홍보부!H64</f>
        <v>55000</v>
      </c>
      <c r="H90" s="112">
        <v>55000</v>
      </c>
      <c r="I90" s="114">
        <f t="shared" ref="I90" si="21">G90-H90</f>
        <v>0</v>
      </c>
    </row>
    <row r="91" spans="1:9" ht="18" customHeight="1">
      <c r="A91" s="86"/>
      <c r="B91" s="168"/>
      <c r="C91" s="169"/>
      <c r="D91" s="168"/>
      <c r="E91" s="171"/>
      <c r="F91" s="171" t="s">
        <v>107</v>
      </c>
      <c r="G91" s="14">
        <f>기획홍보부!H65</f>
        <v>5000</v>
      </c>
      <c r="H91" s="16">
        <v>5000</v>
      </c>
      <c r="I91" s="116">
        <f>G91-H91</f>
        <v>0</v>
      </c>
    </row>
    <row r="92" spans="1:9" ht="18" customHeight="1">
      <c r="A92" s="86"/>
      <c r="B92" s="168"/>
      <c r="C92" s="169"/>
      <c r="D92" s="168"/>
      <c r="E92" s="172"/>
      <c r="F92" s="171" t="s">
        <v>117</v>
      </c>
      <c r="G92" s="14">
        <f>기획홍보부!H67</f>
        <v>50000</v>
      </c>
      <c r="H92" s="16">
        <v>50000</v>
      </c>
      <c r="I92" s="116">
        <f>G92-H92</f>
        <v>0</v>
      </c>
    </row>
    <row r="93" spans="1:9" ht="18" customHeight="1">
      <c r="A93" s="164"/>
      <c r="B93" s="166"/>
      <c r="C93" s="165"/>
      <c r="D93" s="166"/>
      <c r="E93" s="179" t="s">
        <v>118</v>
      </c>
      <c r="F93" s="181"/>
      <c r="G93" s="15">
        <f>기획홍보부!H69</f>
        <v>5000</v>
      </c>
      <c r="H93" s="112">
        <v>5000</v>
      </c>
      <c r="I93" s="114">
        <f t="shared" ref="I93:I94" si="22">G93-H93</f>
        <v>0</v>
      </c>
    </row>
    <row r="94" spans="1:9" ht="18" customHeight="1">
      <c r="A94" s="86"/>
      <c r="B94" s="168"/>
      <c r="C94" s="169"/>
      <c r="D94" s="168"/>
      <c r="E94" s="170"/>
      <c r="F94" s="171" t="s">
        <v>119</v>
      </c>
      <c r="G94" s="14">
        <f>기획홍보부!H70</f>
        <v>5000</v>
      </c>
      <c r="H94" s="16">
        <v>5000</v>
      </c>
      <c r="I94" s="116">
        <f t="shared" si="22"/>
        <v>0</v>
      </c>
    </row>
    <row r="95" spans="1:9" ht="18" customHeight="1">
      <c r="A95" s="164"/>
      <c r="B95" s="176" t="s">
        <v>291</v>
      </c>
      <c r="C95" s="177"/>
      <c r="D95" s="177"/>
      <c r="E95" s="177"/>
      <c r="F95" s="178"/>
      <c r="G95" s="113">
        <f>수익사업부!H6</f>
        <v>232436</v>
      </c>
      <c r="H95" s="113">
        <v>197636</v>
      </c>
      <c r="I95" s="115">
        <f>G95-H95</f>
        <v>34800</v>
      </c>
    </row>
    <row r="96" spans="1:9" ht="18" customHeight="1">
      <c r="A96" s="164"/>
      <c r="B96" s="165"/>
      <c r="C96" s="179" t="s">
        <v>292</v>
      </c>
      <c r="D96" s="180"/>
      <c r="E96" s="180"/>
      <c r="F96" s="181"/>
      <c r="G96" s="15">
        <f>수익사업부!H7</f>
        <v>207060</v>
      </c>
      <c r="H96" s="15">
        <v>174760</v>
      </c>
      <c r="I96" s="114">
        <f t="shared" ref="I96:I98" si="23">G96-H96</f>
        <v>32300</v>
      </c>
    </row>
    <row r="97" spans="1:9" ht="18" customHeight="1">
      <c r="A97" s="164"/>
      <c r="B97" s="166"/>
      <c r="C97" s="167"/>
      <c r="D97" s="179" t="s">
        <v>446</v>
      </c>
      <c r="E97" s="180"/>
      <c r="F97" s="181"/>
      <c r="G97" s="15">
        <f>수익사업부!H8</f>
        <v>8100</v>
      </c>
      <c r="H97" s="15">
        <v>11300</v>
      </c>
      <c r="I97" s="114">
        <f t="shared" si="23"/>
        <v>-3200</v>
      </c>
    </row>
    <row r="98" spans="1:9" ht="18" customHeight="1">
      <c r="A98" s="164"/>
      <c r="B98" s="166"/>
      <c r="C98" s="165"/>
      <c r="D98" s="167"/>
      <c r="E98" s="179" t="s">
        <v>447</v>
      </c>
      <c r="F98" s="181"/>
      <c r="G98" s="15">
        <f>수익사업부!H10</f>
        <v>8100</v>
      </c>
      <c r="H98" s="15">
        <v>11300</v>
      </c>
      <c r="I98" s="114">
        <f t="shared" si="23"/>
        <v>-3200</v>
      </c>
    </row>
    <row r="99" spans="1:9" ht="18" customHeight="1">
      <c r="A99" s="164"/>
      <c r="B99" s="166"/>
      <c r="C99" s="165"/>
      <c r="D99" s="166"/>
      <c r="E99" s="179"/>
      <c r="F99" s="171" t="s">
        <v>448</v>
      </c>
      <c r="G99" s="14">
        <f>수익사업부!H11</f>
        <v>8100</v>
      </c>
      <c r="H99" s="14">
        <v>11300</v>
      </c>
      <c r="I99" s="116">
        <f>G99-H99</f>
        <v>-3200</v>
      </c>
    </row>
    <row r="100" spans="1:9" ht="18" customHeight="1">
      <c r="A100" s="164"/>
      <c r="B100" s="166"/>
      <c r="C100" s="166"/>
      <c r="D100" s="179" t="s">
        <v>450</v>
      </c>
      <c r="E100" s="180"/>
      <c r="F100" s="181"/>
      <c r="G100" s="15">
        <f>수익사업부!H21</f>
        <v>63460</v>
      </c>
      <c r="H100" s="15">
        <v>63460</v>
      </c>
      <c r="I100" s="114">
        <f t="shared" ref="I100:I119" si="24">G100-H100</f>
        <v>0</v>
      </c>
    </row>
    <row r="101" spans="1:9" ht="18" customHeight="1">
      <c r="A101" s="164"/>
      <c r="B101" s="166"/>
      <c r="C101" s="165"/>
      <c r="D101" s="167"/>
      <c r="E101" s="179" t="s">
        <v>447</v>
      </c>
      <c r="F101" s="181"/>
      <c r="G101" s="15">
        <f>수익사업부!H23</f>
        <v>20160</v>
      </c>
      <c r="H101" s="15">
        <v>20160</v>
      </c>
      <c r="I101" s="114">
        <f t="shared" si="24"/>
        <v>0</v>
      </c>
    </row>
    <row r="102" spans="1:9" ht="18" customHeight="1">
      <c r="A102" s="164"/>
      <c r="B102" s="166"/>
      <c r="C102" s="165"/>
      <c r="D102" s="166"/>
      <c r="E102" s="179"/>
      <c r="F102" s="171" t="s">
        <v>449</v>
      </c>
      <c r="G102" s="14">
        <f>수익사업부!H24</f>
        <v>20160</v>
      </c>
      <c r="H102" s="14">
        <v>20160</v>
      </c>
      <c r="I102" s="116">
        <f>G102-H102</f>
        <v>0</v>
      </c>
    </row>
    <row r="103" spans="1:9" ht="18" customHeight="1">
      <c r="A103" s="164"/>
      <c r="B103" s="166"/>
      <c r="C103" s="165"/>
      <c r="D103" s="166"/>
      <c r="E103" s="179" t="s">
        <v>575</v>
      </c>
      <c r="F103" s="181"/>
      <c r="G103" s="15">
        <f>수익사업부!H28</f>
        <v>3300</v>
      </c>
      <c r="H103" s="15">
        <v>3300</v>
      </c>
      <c r="I103" s="114">
        <f>G103-H103</f>
        <v>0</v>
      </c>
    </row>
    <row r="104" spans="1:9" ht="18" customHeight="1">
      <c r="A104" s="164"/>
      <c r="B104" s="166"/>
      <c r="C104" s="165"/>
      <c r="D104" s="166"/>
      <c r="E104" s="179"/>
      <c r="F104" s="171" t="s">
        <v>574</v>
      </c>
      <c r="G104" s="14">
        <f>수익사업부!H29</f>
        <v>3300</v>
      </c>
      <c r="H104" s="14">
        <v>3300</v>
      </c>
      <c r="I104" s="116">
        <f>G104-H104</f>
        <v>0</v>
      </c>
    </row>
    <row r="105" spans="1:9" ht="18" customHeight="1">
      <c r="A105" s="86"/>
      <c r="B105" s="168"/>
      <c r="C105" s="169"/>
      <c r="D105" s="168"/>
      <c r="E105" s="179" t="s">
        <v>451</v>
      </c>
      <c r="F105" s="171"/>
      <c r="G105" s="15">
        <f>수익사업부!H32</f>
        <v>40000</v>
      </c>
      <c r="H105" s="15">
        <v>40000</v>
      </c>
      <c r="I105" s="114">
        <f t="shared" ref="I105:I106" si="25">G105-H105</f>
        <v>0</v>
      </c>
    </row>
    <row r="106" spans="1:9" ht="18" customHeight="1">
      <c r="A106" s="86"/>
      <c r="B106" s="168"/>
      <c r="C106" s="168"/>
      <c r="D106" s="168"/>
      <c r="E106" s="170"/>
      <c r="F106" s="171" t="s">
        <v>452</v>
      </c>
      <c r="G106" s="14">
        <f>수익사업부!H33</f>
        <v>40000</v>
      </c>
      <c r="H106" s="14">
        <v>40000</v>
      </c>
      <c r="I106" s="116">
        <f t="shared" si="25"/>
        <v>0</v>
      </c>
    </row>
    <row r="107" spans="1:9" ht="18" customHeight="1">
      <c r="A107" s="164"/>
      <c r="B107" s="166"/>
      <c r="C107" s="166"/>
      <c r="D107" s="179" t="s">
        <v>501</v>
      </c>
      <c r="E107" s="180"/>
      <c r="F107" s="181"/>
      <c r="G107" s="15">
        <f>수익사업부!H35</f>
        <v>100000</v>
      </c>
      <c r="H107" s="15">
        <v>100000</v>
      </c>
      <c r="I107" s="114">
        <f t="shared" ref="I107:I108" si="26">G107-H107</f>
        <v>0</v>
      </c>
    </row>
    <row r="108" spans="1:9" ht="18" customHeight="1">
      <c r="A108" s="164"/>
      <c r="B108" s="166"/>
      <c r="C108" s="165"/>
      <c r="D108" s="167"/>
      <c r="E108" s="179" t="s">
        <v>105</v>
      </c>
      <c r="F108" s="181"/>
      <c r="G108" s="15">
        <f>수익사업부!H37</f>
        <v>100000</v>
      </c>
      <c r="H108" s="15">
        <v>100000</v>
      </c>
      <c r="I108" s="114">
        <f t="shared" si="26"/>
        <v>0</v>
      </c>
    </row>
    <row r="109" spans="1:9" ht="18" customHeight="1">
      <c r="A109" s="164"/>
      <c r="B109" s="166"/>
      <c r="C109" s="165"/>
      <c r="D109" s="166"/>
      <c r="E109" s="179"/>
      <c r="F109" s="171" t="s">
        <v>106</v>
      </c>
      <c r="G109" s="14">
        <f>수익사업부!H38</f>
        <v>100000</v>
      </c>
      <c r="H109" s="14">
        <v>100000</v>
      </c>
      <c r="I109" s="116">
        <f>G109-H109</f>
        <v>0</v>
      </c>
    </row>
    <row r="110" spans="1:9" ht="18" customHeight="1">
      <c r="A110" s="164"/>
      <c r="B110" s="166"/>
      <c r="C110" s="166"/>
      <c r="D110" s="179" t="s">
        <v>771</v>
      </c>
      <c r="E110" s="180"/>
      <c r="F110" s="181"/>
      <c r="G110" s="15">
        <f>수익사업부!H40</f>
        <v>35500</v>
      </c>
      <c r="H110" s="15">
        <v>0</v>
      </c>
      <c r="I110" s="114">
        <f t="shared" ref="I110:I111" si="27">G110-H110</f>
        <v>35500</v>
      </c>
    </row>
    <row r="111" spans="1:9" ht="18" customHeight="1">
      <c r="A111" s="164"/>
      <c r="B111" s="166"/>
      <c r="C111" s="165"/>
      <c r="D111" s="167"/>
      <c r="E111" s="179" t="s">
        <v>105</v>
      </c>
      <c r="F111" s="181"/>
      <c r="G111" s="15">
        <f>수익사업부!H42</f>
        <v>35500</v>
      </c>
      <c r="H111" s="15">
        <v>0</v>
      </c>
      <c r="I111" s="114">
        <f t="shared" si="27"/>
        <v>35500</v>
      </c>
    </row>
    <row r="112" spans="1:9" ht="18" customHeight="1">
      <c r="A112" s="164"/>
      <c r="B112" s="166"/>
      <c r="C112" s="165"/>
      <c r="D112" s="166"/>
      <c r="E112" s="179"/>
      <c r="F112" s="171" t="s">
        <v>106</v>
      </c>
      <c r="G112" s="14">
        <f>수익사업부!H43</f>
        <v>35500</v>
      </c>
      <c r="H112" s="14">
        <v>0</v>
      </c>
      <c r="I112" s="116">
        <f>G112-H112</f>
        <v>35500</v>
      </c>
    </row>
    <row r="113" spans="1:9" ht="18" customHeight="1">
      <c r="A113" s="164"/>
      <c r="B113" s="165"/>
      <c r="C113" s="179" t="s">
        <v>297</v>
      </c>
      <c r="D113" s="180"/>
      <c r="E113" s="180"/>
      <c r="F113" s="181"/>
      <c r="G113" s="15">
        <f>SUM(G114)</f>
        <v>25376</v>
      </c>
      <c r="H113" s="15">
        <v>22876</v>
      </c>
      <c r="I113" s="114">
        <f t="shared" si="24"/>
        <v>2500</v>
      </c>
    </row>
    <row r="114" spans="1:9" ht="18" customHeight="1">
      <c r="A114" s="164"/>
      <c r="B114" s="166"/>
      <c r="C114" s="167"/>
      <c r="D114" s="179" t="s">
        <v>132</v>
      </c>
      <c r="E114" s="180"/>
      <c r="F114" s="181"/>
      <c r="G114" s="15">
        <f>SUM(G115,G119,G121,G123)</f>
        <v>25376</v>
      </c>
      <c r="H114" s="15">
        <v>22876</v>
      </c>
      <c r="I114" s="114">
        <f t="shared" si="24"/>
        <v>2500</v>
      </c>
    </row>
    <row r="115" spans="1:9" ht="18" customHeight="1">
      <c r="A115" s="164"/>
      <c r="B115" s="166"/>
      <c r="C115" s="165"/>
      <c r="D115" s="167"/>
      <c r="E115" s="179" t="s">
        <v>133</v>
      </c>
      <c r="F115" s="181"/>
      <c r="G115" s="15">
        <f>수익사업부!H55</f>
        <v>12776</v>
      </c>
      <c r="H115" s="15">
        <v>10276</v>
      </c>
      <c r="I115" s="114">
        <f t="shared" si="24"/>
        <v>2500</v>
      </c>
    </row>
    <row r="116" spans="1:9" ht="18" customHeight="1">
      <c r="A116" s="86"/>
      <c r="B116" s="168"/>
      <c r="C116" s="169"/>
      <c r="D116" s="168"/>
      <c r="E116" s="171"/>
      <c r="F116" s="171" t="s">
        <v>114</v>
      </c>
      <c r="G116" s="14">
        <f>수익사업부!H56</f>
        <v>2000</v>
      </c>
      <c r="H116" s="14">
        <v>2000</v>
      </c>
      <c r="I116" s="116">
        <f t="shared" ref="I116" si="28">G116-H116</f>
        <v>0</v>
      </c>
    </row>
    <row r="117" spans="1:9" ht="18" customHeight="1">
      <c r="A117" s="86"/>
      <c r="B117" s="168"/>
      <c r="C117" s="169"/>
      <c r="D117" s="168"/>
      <c r="E117" s="168"/>
      <c r="F117" s="171" t="s">
        <v>134</v>
      </c>
      <c r="G117" s="14">
        <f>수익사업부!H58</f>
        <v>3000</v>
      </c>
      <c r="H117" s="14">
        <v>500</v>
      </c>
      <c r="I117" s="116">
        <f t="shared" si="24"/>
        <v>2500</v>
      </c>
    </row>
    <row r="118" spans="1:9" ht="18" customHeight="1">
      <c r="A118" s="86"/>
      <c r="B118" s="168"/>
      <c r="C118" s="169"/>
      <c r="D118" s="168"/>
      <c r="E118" s="172"/>
      <c r="F118" s="171" t="s">
        <v>308</v>
      </c>
      <c r="G118" s="14">
        <f>수익사업부!H62</f>
        <v>7776</v>
      </c>
      <c r="H118" s="14">
        <v>7776</v>
      </c>
      <c r="I118" s="116">
        <f>G118-H118</f>
        <v>0</v>
      </c>
    </row>
    <row r="119" spans="1:9" ht="18" customHeight="1">
      <c r="A119" s="164"/>
      <c r="B119" s="166"/>
      <c r="C119" s="165"/>
      <c r="D119" s="166"/>
      <c r="E119" s="179" t="s">
        <v>116</v>
      </c>
      <c r="F119" s="181"/>
      <c r="G119" s="15">
        <f>수익사업부!H64</f>
        <v>9000</v>
      </c>
      <c r="H119" s="15">
        <v>9000</v>
      </c>
      <c r="I119" s="114">
        <f t="shared" si="24"/>
        <v>0</v>
      </c>
    </row>
    <row r="120" spans="1:9" ht="18" customHeight="1">
      <c r="A120" s="86"/>
      <c r="B120" s="168"/>
      <c r="C120" s="169"/>
      <c r="D120" s="168"/>
      <c r="E120" s="171"/>
      <c r="F120" s="171" t="s">
        <v>107</v>
      </c>
      <c r="G120" s="14">
        <f>수익사업부!H65</f>
        <v>9000</v>
      </c>
      <c r="H120" s="14">
        <v>9000</v>
      </c>
      <c r="I120" s="116">
        <f>G120-H120</f>
        <v>0</v>
      </c>
    </row>
    <row r="121" spans="1:9" ht="18" customHeight="1">
      <c r="A121" s="164"/>
      <c r="B121" s="166"/>
      <c r="C121" s="165"/>
      <c r="D121" s="166"/>
      <c r="E121" s="179" t="s">
        <v>118</v>
      </c>
      <c r="F121" s="181"/>
      <c r="G121" s="15">
        <f>수익사업부!H68</f>
        <v>1500</v>
      </c>
      <c r="H121" s="15">
        <v>1500</v>
      </c>
      <c r="I121" s="114">
        <f t="shared" ref="I121:I124" si="29">G121-H121</f>
        <v>0</v>
      </c>
    </row>
    <row r="122" spans="1:9" ht="18" customHeight="1">
      <c r="A122" s="86"/>
      <c r="B122" s="168"/>
      <c r="C122" s="169"/>
      <c r="D122" s="168"/>
      <c r="E122" s="170"/>
      <c r="F122" s="171" t="s">
        <v>119</v>
      </c>
      <c r="G122" s="14">
        <f>수익사업부!H69</f>
        <v>1500</v>
      </c>
      <c r="H122" s="14">
        <v>1500</v>
      </c>
      <c r="I122" s="116">
        <f t="shared" si="29"/>
        <v>0</v>
      </c>
    </row>
    <row r="123" spans="1:9" ht="18" customHeight="1">
      <c r="A123" s="164"/>
      <c r="B123" s="166"/>
      <c r="C123" s="165"/>
      <c r="D123" s="166"/>
      <c r="E123" s="179" t="s">
        <v>417</v>
      </c>
      <c r="F123" s="181"/>
      <c r="G123" s="15">
        <f>수익사업부!H71</f>
        <v>2100</v>
      </c>
      <c r="H123" s="15">
        <v>2100</v>
      </c>
      <c r="I123" s="114">
        <f t="shared" si="29"/>
        <v>0</v>
      </c>
    </row>
    <row r="124" spans="1:9" ht="18" customHeight="1">
      <c r="A124" s="86"/>
      <c r="B124" s="168"/>
      <c r="C124" s="169"/>
      <c r="D124" s="168"/>
      <c r="E124" s="170"/>
      <c r="F124" s="171" t="s">
        <v>418</v>
      </c>
      <c r="G124" s="14">
        <f>수익사업부!H72</f>
        <v>2100</v>
      </c>
      <c r="H124" s="14">
        <v>2100</v>
      </c>
      <c r="I124" s="116">
        <f t="shared" si="29"/>
        <v>0</v>
      </c>
    </row>
    <row r="125" spans="1:9" ht="18" customHeight="1">
      <c r="A125" s="164"/>
      <c r="B125" s="176" t="s">
        <v>251</v>
      </c>
      <c r="C125" s="177"/>
      <c r="D125" s="177"/>
      <c r="E125" s="177"/>
      <c r="F125" s="178"/>
      <c r="G125" s="113">
        <f>SUM(G126,G142)</f>
        <v>308648</v>
      </c>
      <c r="H125" s="113">
        <v>47440</v>
      </c>
      <c r="I125" s="115">
        <f t="shared" ref="I125:I129" si="30">G125-H125</f>
        <v>261208</v>
      </c>
    </row>
    <row r="126" spans="1:9" ht="18" customHeight="1">
      <c r="A126" s="164"/>
      <c r="B126" s="165"/>
      <c r="C126" s="179" t="s">
        <v>552</v>
      </c>
      <c r="D126" s="180"/>
      <c r="E126" s="180"/>
      <c r="F126" s="181"/>
      <c r="G126" s="15">
        <f>유치협력부!H7</f>
        <v>287508</v>
      </c>
      <c r="H126" s="111">
        <v>26300</v>
      </c>
      <c r="I126" s="114">
        <f t="shared" si="30"/>
        <v>261208</v>
      </c>
    </row>
    <row r="127" spans="1:9" ht="18" customHeight="1">
      <c r="A127" s="164"/>
      <c r="B127" s="166"/>
      <c r="C127" s="167"/>
      <c r="D127" s="179" t="s">
        <v>583</v>
      </c>
      <c r="E127" s="180"/>
      <c r="F127" s="181"/>
      <c r="G127" s="15">
        <f>유치협력부!H8</f>
        <v>26300</v>
      </c>
      <c r="H127" s="112">
        <v>26300</v>
      </c>
      <c r="I127" s="114">
        <f t="shared" si="30"/>
        <v>0</v>
      </c>
    </row>
    <row r="128" spans="1:9" ht="18" customHeight="1">
      <c r="A128" s="164"/>
      <c r="B128" s="166"/>
      <c r="C128" s="165"/>
      <c r="D128" s="167"/>
      <c r="E128" s="179" t="s">
        <v>133</v>
      </c>
      <c r="F128" s="181"/>
      <c r="G128" s="15">
        <f>유치협력부!H10</f>
        <v>5000</v>
      </c>
      <c r="H128" s="112">
        <v>5000</v>
      </c>
      <c r="I128" s="114">
        <f t="shared" si="30"/>
        <v>0</v>
      </c>
    </row>
    <row r="129" spans="1:9" ht="18" customHeight="1">
      <c r="A129" s="86"/>
      <c r="B129" s="168"/>
      <c r="C129" s="169"/>
      <c r="D129" s="168"/>
      <c r="E129" s="171"/>
      <c r="F129" s="171" t="s">
        <v>584</v>
      </c>
      <c r="G129" s="14">
        <f>유치협력부!H11</f>
        <v>5000</v>
      </c>
      <c r="H129" s="16">
        <v>5000</v>
      </c>
      <c r="I129" s="116">
        <f t="shared" si="30"/>
        <v>0</v>
      </c>
    </row>
    <row r="130" spans="1:9" ht="18" customHeight="1">
      <c r="A130" s="164"/>
      <c r="B130" s="166"/>
      <c r="C130" s="165"/>
      <c r="D130" s="166"/>
      <c r="E130" s="179" t="s">
        <v>116</v>
      </c>
      <c r="F130" s="181"/>
      <c r="G130" s="15">
        <f>유치협력부!H13</f>
        <v>21300</v>
      </c>
      <c r="H130" s="112">
        <v>21300</v>
      </c>
      <c r="I130" s="114">
        <f t="shared" ref="I130" si="31">G130-H130</f>
        <v>0</v>
      </c>
    </row>
    <row r="131" spans="1:9" ht="18" customHeight="1">
      <c r="A131" s="86"/>
      <c r="B131" s="168"/>
      <c r="C131" s="169"/>
      <c r="D131" s="168"/>
      <c r="E131" s="171"/>
      <c r="F131" s="171" t="s">
        <v>107</v>
      </c>
      <c r="G131" s="14">
        <f>유치협력부!H14</f>
        <v>3300</v>
      </c>
      <c r="H131" s="16">
        <v>3300</v>
      </c>
      <c r="I131" s="116">
        <f>G131-H131</f>
        <v>0</v>
      </c>
    </row>
    <row r="132" spans="1:9" ht="18" customHeight="1">
      <c r="A132" s="86"/>
      <c r="B132" s="168"/>
      <c r="C132" s="168"/>
      <c r="D132" s="168"/>
      <c r="E132" s="172"/>
      <c r="F132" s="171" t="s">
        <v>585</v>
      </c>
      <c r="G132" s="14">
        <f>유치협력부!H16</f>
        <v>18000</v>
      </c>
      <c r="H132" s="16">
        <v>18000</v>
      </c>
      <c r="I132" s="116">
        <f>G132-H132</f>
        <v>0</v>
      </c>
    </row>
    <row r="133" spans="1:9" ht="18" customHeight="1">
      <c r="A133" s="164"/>
      <c r="B133" s="166"/>
      <c r="C133" s="166"/>
      <c r="D133" s="179" t="s">
        <v>772</v>
      </c>
      <c r="E133" s="180"/>
      <c r="F133" s="181"/>
      <c r="G133" s="15">
        <f>유치협력부!H18</f>
        <v>1208</v>
      </c>
      <c r="H133" s="112">
        <v>0</v>
      </c>
      <c r="I133" s="114">
        <f t="shared" ref="I133:I138" si="32">G133-H133</f>
        <v>1208</v>
      </c>
    </row>
    <row r="134" spans="1:9" ht="18" customHeight="1">
      <c r="A134" s="164"/>
      <c r="B134" s="166"/>
      <c r="C134" s="165"/>
      <c r="D134" s="167"/>
      <c r="E134" s="179" t="s">
        <v>779</v>
      </c>
      <c r="F134" s="181"/>
      <c r="G134" s="15">
        <f>유치협력부!H20</f>
        <v>1208</v>
      </c>
      <c r="H134" s="112">
        <v>0</v>
      </c>
      <c r="I134" s="114">
        <f t="shared" si="32"/>
        <v>1208</v>
      </c>
    </row>
    <row r="135" spans="1:9" ht="18" customHeight="1">
      <c r="A135" s="86"/>
      <c r="B135" s="168"/>
      <c r="C135" s="168"/>
      <c r="D135" s="168"/>
      <c r="E135" s="171"/>
      <c r="F135" s="171" t="s">
        <v>780</v>
      </c>
      <c r="G135" s="14">
        <f>유치협력부!H21</f>
        <v>1208</v>
      </c>
      <c r="H135" s="16">
        <v>0</v>
      </c>
      <c r="I135" s="116">
        <f t="shared" si="32"/>
        <v>1208</v>
      </c>
    </row>
    <row r="136" spans="1:9" ht="18" customHeight="1">
      <c r="A136" s="164"/>
      <c r="B136" s="166"/>
      <c r="C136" s="166"/>
      <c r="D136" s="179" t="s">
        <v>838</v>
      </c>
      <c r="E136" s="180"/>
      <c r="F136" s="181"/>
      <c r="G136" s="15">
        <f>유치협력부!H23</f>
        <v>50000</v>
      </c>
      <c r="H136" s="112">
        <v>0</v>
      </c>
      <c r="I136" s="114">
        <f t="shared" si="32"/>
        <v>50000</v>
      </c>
    </row>
    <row r="137" spans="1:9" ht="18" customHeight="1">
      <c r="A137" s="164"/>
      <c r="B137" s="166"/>
      <c r="C137" s="166"/>
      <c r="D137" s="167"/>
      <c r="E137" s="179" t="s">
        <v>105</v>
      </c>
      <c r="F137" s="181"/>
      <c r="G137" s="15">
        <f>유치협력부!H25</f>
        <v>50000</v>
      </c>
      <c r="H137" s="112">
        <v>0</v>
      </c>
      <c r="I137" s="114">
        <f t="shared" si="32"/>
        <v>50000</v>
      </c>
    </row>
    <row r="138" spans="1:9" ht="18" customHeight="1">
      <c r="A138" s="86"/>
      <c r="B138" s="168"/>
      <c r="C138" s="168"/>
      <c r="D138" s="168"/>
      <c r="E138" s="171"/>
      <c r="F138" s="171" t="s">
        <v>837</v>
      </c>
      <c r="G138" s="14">
        <f>유치협력부!H26</f>
        <v>50000</v>
      </c>
      <c r="H138" s="16">
        <v>0</v>
      </c>
      <c r="I138" s="116">
        <f t="shared" si="32"/>
        <v>50000</v>
      </c>
    </row>
    <row r="139" spans="1:9" ht="18" customHeight="1">
      <c r="A139" s="164"/>
      <c r="B139" s="166"/>
      <c r="C139" s="166"/>
      <c r="D139" s="353" t="s">
        <v>839</v>
      </c>
      <c r="E139" s="180"/>
      <c r="F139" s="181"/>
      <c r="G139" s="15">
        <f>유치협력부!H29</f>
        <v>210000</v>
      </c>
      <c r="H139" s="112">
        <v>0</v>
      </c>
      <c r="I139" s="114">
        <f t="shared" ref="I139:I141" si="33">G139-H139</f>
        <v>210000</v>
      </c>
    </row>
    <row r="140" spans="1:9" ht="18" customHeight="1">
      <c r="A140" s="164"/>
      <c r="B140" s="166"/>
      <c r="C140" s="166"/>
      <c r="D140" s="167"/>
      <c r="E140" s="179" t="s">
        <v>105</v>
      </c>
      <c r="F140" s="181"/>
      <c r="G140" s="15">
        <f>유치협력부!H31</f>
        <v>210000</v>
      </c>
      <c r="H140" s="112">
        <v>0</v>
      </c>
      <c r="I140" s="114">
        <f t="shared" si="33"/>
        <v>210000</v>
      </c>
    </row>
    <row r="141" spans="1:9" ht="18" customHeight="1">
      <c r="A141" s="86"/>
      <c r="B141" s="168"/>
      <c r="C141" s="172"/>
      <c r="D141" s="168"/>
      <c r="E141" s="171"/>
      <c r="F141" s="171" t="s">
        <v>20</v>
      </c>
      <c r="G141" s="14">
        <f>유치협력부!H32</f>
        <v>210000</v>
      </c>
      <c r="H141" s="16">
        <v>0</v>
      </c>
      <c r="I141" s="116">
        <f t="shared" si="33"/>
        <v>210000</v>
      </c>
    </row>
    <row r="142" spans="1:9" ht="18" customHeight="1">
      <c r="A142" s="164"/>
      <c r="B142" s="165"/>
      <c r="C142" s="179" t="s">
        <v>298</v>
      </c>
      <c r="D142" s="180"/>
      <c r="E142" s="180"/>
      <c r="F142" s="181"/>
      <c r="G142" s="15">
        <f>유치협력부!H35</f>
        <v>21140</v>
      </c>
      <c r="H142" s="111">
        <v>21140</v>
      </c>
      <c r="I142" s="114">
        <f t="shared" ref="I142:I145" si="34">G142-H142</f>
        <v>0</v>
      </c>
    </row>
    <row r="143" spans="1:9" ht="18" customHeight="1">
      <c r="A143" s="164"/>
      <c r="B143" s="166"/>
      <c r="C143" s="167"/>
      <c r="D143" s="179" t="s">
        <v>132</v>
      </c>
      <c r="E143" s="180"/>
      <c r="F143" s="181"/>
      <c r="G143" s="15">
        <f>유치협력부!H36</f>
        <v>21140</v>
      </c>
      <c r="H143" s="112">
        <v>21140</v>
      </c>
      <c r="I143" s="114">
        <f t="shared" si="34"/>
        <v>0</v>
      </c>
    </row>
    <row r="144" spans="1:9" ht="18" customHeight="1">
      <c r="A144" s="164"/>
      <c r="B144" s="166"/>
      <c r="C144" s="165"/>
      <c r="D144" s="167"/>
      <c r="E144" s="179" t="s">
        <v>133</v>
      </c>
      <c r="F144" s="181"/>
      <c r="G144" s="15">
        <f>유치협력부!H38</f>
        <v>7040</v>
      </c>
      <c r="H144" s="112">
        <v>7040</v>
      </c>
      <c r="I144" s="114">
        <f t="shared" si="34"/>
        <v>0</v>
      </c>
    </row>
    <row r="145" spans="1:9" ht="18" customHeight="1">
      <c r="A145" s="86"/>
      <c r="B145" s="168"/>
      <c r="C145" s="169"/>
      <c r="D145" s="168"/>
      <c r="E145" s="171"/>
      <c r="F145" s="171" t="s">
        <v>114</v>
      </c>
      <c r="G145" s="14">
        <f>유치협력부!H39</f>
        <v>2000</v>
      </c>
      <c r="H145" s="16">
        <v>2000</v>
      </c>
      <c r="I145" s="116">
        <f t="shared" si="34"/>
        <v>0</v>
      </c>
    </row>
    <row r="146" spans="1:9" ht="18" customHeight="1">
      <c r="A146" s="86"/>
      <c r="B146" s="168"/>
      <c r="C146" s="169"/>
      <c r="D146" s="168"/>
      <c r="E146" s="172"/>
      <c r="F146" s="171" t="s">
        <v>308</v>
      </c>
      <c r="G146" s="14">
        <f>유치협력부!H41</f>
        <v>5040</v>
      </c>
      <c r="H146" s="16">
        <v>5040</v>
      </c>
      <c r="I146" s="116">
        <f>G146-H146</f>
        <v>0</v>
      </c>
    </row>
    <row r="147" spans="1:9" ht="18" customHeight="1">
      <c r="A147" s="164"/>
      <c r="B147" s="166"/>
      <c r="C147" s="165"/>
      <c r="D147" s="166"/>
      <c r="E147" s="179" t="s">
        <v>116</v>
      </c>
      <c r="F147" s="181"/>
      <c r="G147" s="15">
        <f>유치협력부!H43</f>
        <v>9000</v>
      </c>
      <c r="H147" s="112">
        <v>9000</v>
      </c>
      <c r="I147" s="114">
        <f t="shared" ref="I147" si="35">G147-H147</f>
        <v>0</v>
      </c>
    </row>
    <row r="148" spans="1:9" ht="18" customHeight="1">
      <c r="A148" s="86"/>
      <c r="B148" s="168"/>
      <c r="C148" s="169"/>
      <c r="D148" s="168"/>
      <c r="E148" s="171"/>
      <c r="F148" s="171" t="s">
        <v>107</v>
      </c>
      <c r="G148" s="14">
        <f>유치협력부!H44</f>
        <v>9000</v>
      </c>
      <c r="H148" s="16">
        <v>9000</v>
      </c>
      <c r="I148" s="116">
        <f>G148-H148</f>
        <v>0</v>
      </c>
    </row>
    <row r="149" spans="1:9" ht="18" customHeight="1">
      <c r="A149" s="164"/>
      <c r="B149" s="166"/>
      <c r="C149" s="165"/>
      <c r="D149" s="166"/>
      <c r="E149" s="179" t="s">
        <v>118</v>
      </c>
      <c r="F149" s="181"/>
      <c r="G149" s="15">
        <f>유치협력부!H47</f>
        <v>3000</v>
      </c>
      <c r="H149" s="112">
        <v>3000</v>
      </c>
      <c r="I149" s="114">
        <f>G149-H149</f>
        <v>0</v>
      </c>
    </row>
    <row r="150" spans="1:9" ht="18" customHeight="1">
      <c r="A150" s="86"/>
      <c r="B150" s="168"/>
      <c r="C150" s="169"/>
      <c r="D150" s="168"/>
      <c r="E150" s="170"/>
      <c r="F150" s="171" t="s">
        <v>119</v>
      </c>
      <c r="G150" s="14">
        <f>유치협력부!H48</f>
        <v>3000</v>
      </c>
      <c r="H150" s="16">
        <v>3000</v>
      </c>
      <c r="I150" s="116">
        <f>G150-H150</f>
        <v>0</v>
      </c>
    </row>
    <row r="151" spans="1:9" ht="18" customHeight="1">
      <c r="A151" s="164"/>
      <c r="B151" s="166"/>
      <c r="C151" s="165"/>
      <c r="D151" s="166"/>
      <c r="E151" s="179" t="s">
        <v>417</v>
      </c>
      <c r="F151" s="181"/>
      <c r="G151" s="15">
        <f>유치협력부!H51</f>
        <v>2100</v>
      </c>
      <c r="H151" s="112">
        <v>2100</v>
      </c>
      <c r="I151" s="114">
        <f t="shared" ref="I151:I152" si="36">G151-H151</f>
        <v>0</v>
      </c>
    </row>
    <row r="152" spans="1:9" ht="18" customHeight="1">
      <c r="A152" s="86"/>
      <c r="B152" s="168"/>
      <c r="C152" s="169"/>
      <c r="D152" s="168"/>
      <c r="E152" s="170"/>
      <c r="F152" s="171" t="s">
        <v>418</v>
      </c>
      <c r="G152" s="14">
        <f>유치협력부!H52</f>
        <v>2100</v>
      </c>
      <c r="H152" s="14">
        <v>2100</v>
      </c>
      <c r="I152" s="116">
        <f t="shared" si="36"/>
        <v>0</v>
      </c>
    </row>
    <row r="153" spans="1:9" ht="18" customHeight="1">
      <c r="A153" s="164"/>
      <c r="B153" s="176" t="s">
        <v>293</v>
      </c>
      <c r="C153" s="177"/>
      <c r="D153" s="177"/>
      <c r="E153" s="177"/>
      <c r="F153" s="178"/>
      <c r="G153" s="113">
        <f>SUM(G154,G160)</f>
        <v>3868944</v>
      </c>
      <c r="H153" s="113">
        <v>3686944</v>
      </c>
      <c r="I153" s="115">
        <f t="shared" ref="I153:I156" si="37">G153-H153</f>
        <v>182000</v>
      </c>
    </row>
    <row r="154" spans="1:9" ht="18" customHeight="1">
      <c r="A154" s="164"/>
      <c r="B154" s="165"/>
      <c r="C154" s="179" t="s">
        <v>342</v>
      </c>
      <c r="D154" s="180"/>
      <c r="E154" s="180"/>
      <c r="F154" s="181"/>
      <c r="G154" s="201">
        <f>SUM(G155)</f>
        <v>3817156</v>
      </c>
      <c r="H154" s="201">
        <v>3635156</v>
      </c>
      <c r="I154" s="114">
        <f t="shared" si="37"/>
        <v>182000</v>
      </c>
    </row>
    <row r="155" spans="1:9" ht="18" customHeight="1">
      <c r="A155" s="164"/>
      <c r="B155" s="166"/>
      <c r="C155" s="167"/>
      <c r="D155" s="179" t="s">
        <v>343</v>
      </c>
      <c r="E155" s="180"/>
      <c r="F155" s="181"/>
      <c r="G155" s="15">
        <f>운영부!H8</f>
        <v>3817156</v>
      </c>
      <c r="H155" s="15">
        <v>3635156</v>
      </c>
      <c r="I155" s="114">
        <f t="shared" si="37"/>
        <v>182000</v>
      </c>
    </row>
    <row r="156" spans="1:9" ht="18" customHeight="1">
      <c r="A156" s="164"/>
      <c r="B156" s="166"/>
      <c r="C156" s="165"/>
      <c r="D156" s="167"/>
      <c r="E156" s="179" t="s">
        <v>344</v>
      </c>
      <c r="F156" s="181"/>
      <c r="G156" s="15">
        <f>운영부!H10</f>
        <v>3817156</v>
      </c>
      <c r="H156" s="15">
        <v>3635156</v>
      </c>
      <c r="I156" s="114">
        <f t="shared" si="37"/>
        <v>182000</v>
      </c>
    </row>
    <row r="157" spans="1:9" ht="18" customHeight="1">
      <c r="A157" s="164"/>
      <c r="B157" s="166"/>
      <c r="C157" s="165"/>
      <c r="D157" s="166"/>
      <c r="E157" s="33"/>
      <c r="F157" s="171" t="s">
        <v>106</v>
      </c>
      <c r="G157" s="14">
        <f>운영부!H11</f>
        <v>5000</v>
      </c>
      <c r="H157" s="14">
        <v>5000</v>
      </c>
      <c r="I157" s="116">
        <f>G157-H157</f>
        <v>0</v>
      </c>
    </row>
    <row r="158" spans="1:9" ht="18" customHeight="1">
      <c r="A158" s="164"/>
      <c r="B158" s="166"/>
      <c r="C158" s="165"/>
      <c r="D158" s="166"/>
      <c r="E158" s="332"/>
      <c r="F158" s="171" t="s">
        <v>345</v>
      </c>
      <c r="G158" s="14">
        <f>운영부!H15</f>
        <v>3810156</v>
      </c>
      <c r="H158" s="14">
        <v>3628156</v>
      </c>
      <c r="I158" s="116">
        <f>G158-H158</f>
        <v>182000</v>
      </c>
    </row>
    <row r="159" spans="1:9" ht="18" customHeight="1">
      <c r="A159" s="164"/>
      <c r="B159" s="166"/>
      <c r="C159" s="165"/>
      <c r="D159" s="166"/>
      <c r="E159" s="331"/>
      <c r="F159" s="171" t="s">
        <v>109</v>
      </c>
      <c r="G159" s="14">
        <f>운영부!H19</f>
        <v>2000</v>
      </c>
      <c r="H159" s="14">
        <v>2000</v>
      </c>
      <c r="I159" s="116">
        <f>G159-H159</f>
        <v>0</v>
      </c>
    </row>
    <row r="160" spans="1:9" ht="18" customHeight="1">
      <c r="A160" s="164"/>
      <c r="B160" s="165"/>
      <c r="C160" s="179" t="s">
        <v>379</v>
      </c>
      <c r="D160" s="180"/>
      <c r="E160" s="180"/>
      <c r="F160" s="181"/>
      <c r="G160" s="15">
        <f>운영부!H21</f>
        <v>51788</v>
      </c>
      <c r="H160" s="15">
        <v>51788</v>
      </c>
      <c r="I160" s="114">
        <f t="shared" ref="I160:I165" si="38">G160-H160</f>
        <v>0</v>
      </c>
    </row>
    <row r="161" spans="1:9" ht="18" customHeight="1">
      <c r="A161" s="164"/>
      <c r="B161" s="166"/>
      <c r="C161" s="167"/>
      <c r="D161" s="179" t="s">
        <v>132</v>
      </c>
      <c r="E161" s="180"/>
      <c r="F161" s="181"/>
      <c r="G161" s="15">
        <f>운영부!H22</f>
        <v>51788</v>
      </c>
      <c r="H161" s="15">
        <v>51788</v>
      </c>
      <c r="I161" s="114">
        <f t="shared" si="38"/>
        <v>0</v>
      </c>
    </row>
    <row r="162" spans="1:9" ht="18" customHeight="1">
      <c r="A162" s="164"/>
      <c r="B162" s="166"/>
      <c r="C162" s="165"/>
      <c r="D162" s="167"/>
      <c r="E162" s="179" t="s">
        <v>133</v>
      </c>
      <c r="F162" s="181"/>
      <c r="G162" s="15">
        <f>운영부!H24</f>
        <v>25128</v>
      </c>
      <c r="H162" s="15">
        <v>25128</v>
      </c>
      <c r="I162" s="114">
        <f t="shared" si="38"/>
        <v>0</v>
      </c>
    </row>
    <row r="163" spans="1:9" ht="18" customHeight="1">
      <c r="A163" s="86"/>
      <c r="B163" s="168"/>
      <c r="C163" s="169"/>
      <c r="D163" s="168"/>
      <c r="E163" s="171"/>
      <c r="F163" s="171" t="s">
        <v>114</v>
      </c>
      <c r="G163" s="14">
        <f>운영부!H25</f>
        <v>18000</v>
      </c>
      <c r="H163" s="14">
        <v>18000</v>
      </c>
      <c r="I163" s="116">
        <f t="shared" si="38"/>
        <v>0</v>
      </c>
    </row>
    <row r="164" spans="1:9" ht="18" customHeight="1">
      <c r="A164" s="86"/>
      <c r="B164" s="168"/>
      <c r="C164" s="169"/>
      <c r="D164" s="168"/>
      <c r="E164" s="172"/>
      <c r="F164" s="171" t="s">
        <v>308</v>
      </c>
      <c r="G164" s="14">
        <f>운영부!H29</f>
        <v>7128</v>
      </c>
      <c r="H164" s="14">
        <v>7128</v>
      </c>
      <c r="I164" s="116">
        <f>G164-H164</f>
        <v>0</v>
      </c>
    </row>
    <row r="165" spans="1:9" ht="18" customHeight="1">
      <c r="A165" s="164"/>
      <c r="B165" s="166"/>
      <c r="C165" s="165"/>
      <c r="D165" s="166"/>
      <c r="E165" s="179" t="s">
        <v>116</v>
      </c>
      <c r="F165" s="181"/>
      <c r="G165" s="15">
        <f>운영부!H31</f>
        <v>10060</v>
      </c>
      <c r="H165" s="15">
        <v>10060</v>
      </c>
      <c r="I165" s="114">
        <f t="shared" si="38"/>
        <v>0</v>
      </c>
    </row>
    <row r="166" spans="1:9" ht="18" customHeight="1">
      <c r="A166" s="86"/>
      <c r="B166" s="168"/>
      <c r="C166" s="169"/>
      <c r="D166" s="168"/>
      <c r="E166" s="171"/>
      <c r="F166" s="171" t="s">
        <v>107</v>
      </c>
      <c r="G166" s="14">
        <f>운영부!H32</f>
        <v>10060</v>
      </c>
      <c r="H166" s="14">
        <v>10060</v>
      </c>
      <c r="I166" s="116">
        <f>G166-H166</f>
        <v>0</v>
      </c>
    </row>
    <row r="167" spans="1:9" ht="18" customHeight="1">
      <c r="A167" s="164"/>
      <c r="B167" s="166"/>
      <c r="C167" s="165"/>
      <c r="D167" s="166"/>
      <c r="E167" s="179" t="s">
        <v>118</v>
      </c>
      <c r="F167" s="181"/>
      <c r="G167" s="15">
        <f>운영부!H35</f>
        <v>12100</v>
      </c>
      <c r="H167" s="15">
        <v>12100</v>
      </c>
      <c r="I167" s="114">
        <f t="shared" ref="I167:I168" si="39">G167-H167</f>
        <v>0</v>
      </c>
    </row>
    <row r="168" spans="1:9" ht="18" customHeight="1">
      <c r="A168" s="86"/>
      <c r="B168" s="168"/>
      <c r="C168" s="169"/>
      <c r="D168" s="168"/>
      <c r="E168" s="170"/>
      <c r="F168" s="171" t="s">
        <v>119</v>
      </c>
      <c r="G168" s="14">
        <f>운영부!H36</f>
        <v>12100</v>
      </c>
      <c r="H168" s="14">
        <v>12100</v>
      </c>
      <c r="I168" s="116">
        <f t="shared" si="39"/>
        <v>0</v>
      </c>
    </row>
    <row r="169" spans="1:9" ht="18" customHeight="1">
      <c r="A169" s="164"/>
      <c r="B169" s="166"/>
      <c r="C169" s="165"/>
      <c r="D169" s="166"/>
      <c r="E169" s="179" t="s">
        <v>124</v>
      </c>
      <c r="F169" s="181"/>
      <c r="G169" s="15">
        <f>운영부!H41</f>
        <v>4500</v>
      </c>
      <c r="H169" s="15">
        <v>4500</v>
      </c>
      <c r="I169" s="114">
        <f t="shared" ref="I169:I171" si="40">G169-H169</f>
        <v>0</v>
      </c>
    </row>
    <row r="170" spans="1:9" ht="18" customHeight="1">
      <c r="A170" s="164"/>
      <c r="B170" s="166"/>
      <c r="C170" s="165"/>
      <c r="D170" s="166"/>
      <c r="E170" s="33"/>
      <c r="F170" s="281" t="s">
        <v>380</v>
      </c>
      <c r="G170" s="14">
        <f>운영부!H42</f>
        <v>2400</v>
      </c>
      <c r="H170" s="14">
        <v>2400</v>
      </c>
      <c r="I170" s="116">
        <f t="shared" si="40"/>
        <v>0</v>
      </c>
    </row>
    <row r="171" spans="1:9" ht="18" customHeight="1">
      <c r="A171" s="86"/>
      <c r="B171" s="168"/>
      <c r="C171" s="169"/>
      <c r="D171" s="168"/>
      <c r="E171" s="172"/>
      <c r="F171" s="171" t="s">
        <v>381</v>
      </c>
      <c r="G171" s="14">
        <f>운영부!H44</f>
        <v>2100</v>
      </c>
      <c r="H171" s="14">
        <v>2100</v>
      </c>
      <c r="I171" s="116">
        <f t="shared" si="40"/>
        <v>0</v>
      </c>
    </row>
    <row r="172" spans="1:9" ht="18" customHeight="1">
      <c r="A172" s="164"/>
      <c r="B172" s="176" t="s">
        <v>299</v>
      </c>
      <c r="C172" s="177"/>
      <c r="D172" s="177"/>
      <c r="E172" s="177"/>
      <c r="F172" s="178"/>
      <c r="G172" s="113">
        <f>행사부!H6</f>
        <v>96648</v>
      </c>
      <c r="H172" s="113">
        <v>20648</v>
      </c>
      <c r="I172" s="115">
        <f t="shared" ref="I172" si="41">G172-H172</f>
        <v>76000</v>
      </c>
    </row>
    <row r="173" spans="1:9" ht="18" customHeight="1">
      <c r="A173" s="164"/>
      <c r="B173" s="165"/>
      <c r="C173" s="179" t="s">
        <v>300</v>
      </c>
      <c r="D173" s="180"/>
      <c r="E173" s="180"/>
      <c r="F173" s="181"/>
      <c r="G173" s="15">
        <f>행사부!H7</f>
        <v>20648</v>
      </c>
      <c r="H173" s="111">
        <v>20648</v>
      </c>
      <c r="I173" s="114">
        <f t="shared" ref="I173:I178" si="42">G173-H173</f>
        <v>0</v>
      </c>
    </row>
    <row r="174" spans="1:9" ht="18" customHeight="1">
      <c r="A174" s="164"/>
      <c r="B174" s="166"/>
      <c r="C174" s="167"/>
      <c r="D174" s="179" t="s">
        <v>132</v>
      </c>
      <c r="E174" s="180"/>
      <c r="F174" s="181"/>
      <c r="G174" s="15">
        <f>행사부!H8</f>
        <v>20648</v>
      </c>
      <c r="H174" s="112">
        <v>20648</v>
      </c>
      <c r="I174" s="114">
        <f t="shared" si="42"/>
        <v>0</v>
      </c>
    </row>
    <row r="175" spans="1:9" ht="18" customHeight="1">
      <c r="A175" s="164"/>
      <c r="B175" s="166"/>
      <c r="C175" s="165"/>
      <c r="D175" s="167"/>
      <c r="E175" s="179" t="s">
        <v>133</v>
      </c>
      <c r="F175" s="181"/>
      <c r="G175" s="15">
        <f>행사부!H10</f>
        <v>8048</v>
      </c>
      <c r="H175" s="112">
        <v>8048</v>
      </c>
      <c r="I175" s="114">
        <f t="shared" si="42"/>
        <v>0</v>
      </c>
    </row>
    <row r="176" spans="1:9" ht="18" customHeight="1">
      <c r="A176" s="86"/>
      <c r="B176" s="168"/>
      <c r="C176" s="169"/>
      <c r="D176" s="168"/>
      <c r="E176" s="171"/>
      <c r="F176" s="171" t="s">
        <v>114</v>
      </c>
      <c r="G176" s="14">
        <f>행사부!H11</f>
        <v>2000</v>
      </c>
      <c r="H176" s="16">
        <v>2000</v>
      </c>
      <c r="I176" s="116">
        <f t="shared" si="42"/>
        <v>0</v>
      </c>
    </row>
    <row r="177" spans="1:9" ht="18" customHeight="1">
      <c r="A177" s="86"/>
      <c r="B177" s="168"/>
      <c r="C177" s="169"/>
      <c r="D177" s="168"/>
      <c r="E177" s="172"/>
      <c r="F177" s="171" t="s">
        <v>311</v>
      </c>
      <c r="G177" s="14">
        <f>행사부!H13</f>
        <v>6048</v>
      </c>
      <c r="H177" s="16">
        <v>6048</v>
      </c>
      <c r="I177" s="116">
        <f t="shared" ref="I177" si="43">G177-H177</f>
        <v>0</v>
      </c>
    </row>
    <row r="178" spans="1:9" ht="18" customHeight="1">
      <c r="A178" s="164"/>
      <c r="B178" s="166"/>
      <c r="C178" s="165"/>
      <c r="D178" s="166"/>
      <c r="E178" s="179" t="s">
        <v>116</v>
      </c>
      <c r="F178" s="181"/>
      <c r="G178" s="15">
        <f>행사부!H15</f>
        <v>9000</v>
      </c>
      <c r="H178" s="112">
        <v>9000</v>
      </c>
      <c r="I178" s="114">
        <f t="shared" si="42"/>
        <v>0</v>
      </c>
    </row>
    <row r="179" spans="1:9" ht="18" customHeight="1">
      <c r="A179" s="86"/>
      <c r="B179" s="168"/>
      <c r="C179" s="169"/>
      <c r="D179" s="168"/>
      <c r="E179" s="171"/>
      <c r="F179" s="171" t="s">
        <v>107</v>
      </c>
      <c r="G179" s="14">
        <f>행사부!H16</f>
        <v>9000</v>
      </c>
      <c r="H179" s="16">
        <v>9000</v>
      </c>
      <c r="I179" s="116">
        <f>G179-H179</f>
        <v>0</v>
      </c>
    </row>
    <row r="180" spans="1:9" ht="18" customHeight="1">
      <c r="A180" s="164"/>
      <c r="B180" s="166"/>
      <c r="C180" s="165"/>
      <c r="D180" s="166"/>
      <c r="E180" s="179" t="s">
        <v>118</v>
      </c>
      <c r="F180" s="181"/>
      <c r="G180" s="15">
        <f>행사부!H19</f>
        <v>1500</v>
      </c>
      <c r="H180" s="112">
        <v>1500</v>
      </c>
      <c r="I180" s="114">
        <f t="shared" ref="I180:I192" si="44">G180-H180</f>
        <v>0</v>
      </c>
    </row>
    <row r="181" spans="1:9" ht="18" customHeight="1">
      <c r="A181" s="86"/>
      <c r="B181" s="168"/>
      <c r="C181" s="169"/>
      <c r="D181" s="168"/>
      <c r="E181" s="170"/>
      <c r="F181" s="171" t="s">
        <v>119</v>
      </c>
      <c r="G181" s="14">
        <f>행사부!H20</f>
        <v>1500</v>
      </c>
      <c r="H181" s="16">
        <v>1500</v>
      </c>
      <c r="I181" s="116">
        <f t="shared" si="44"/>
        <v>0</v>
      </c>
    </row>
    <row r="182" spans="1:9" ht="18" customHeight="1">
      <c r="A182" s="164"/>
      <c r="B182" s="166"/>
      <c r="C182" s="165"/>
      <c r="D182" s="166"/>
      <c r="E182" s="179" t="s">
        <v>417</v>
      </c>
      <c r="F182" s="181"/>
      <c r="G182" s="15">
        <f>행사부!H22</f>
        <v>2100</v>
      </c>
      <c r="H182" s="112">
        <v>2100</v>
      </c>
      <c r="I182" s="114">
        <f t="shared" ref="I182:I187" si="45">G182-H182</f>
        <v>0</v>
      </c>
    </row>
    <row r="183" spans="1:9" ht="18" customHeight="1">
      <c r="A183" s="86"/>
      <c r="B183" s="168"/>
      <c r="C183" s="169"/>
      <c r="D183" s="168"/>
      <c r="E183" s="170"/>
      <c r="F183" s="171" t="s">
        <v>418</v>
      </c>
      <c r="G183" s="14">
        <f>행사부!H23</f>
        <v>2100</v>
      </c>
      <c r="H183" s="16">
        <v>2100</v>
      </c>
      <c r="I183" s="116">
        <f t="shared" si="45"/>
        <v>0</v>
      </c>
    </row>
    <row r="184" spans="1:9" ht="18" customHeight="1">
      <c r="A184" s="164"/>
      <c r="B184" s="165"/>
      <c r="C184" s="179" t="s">
        <v>806</v>
      </c>
      <c r="D184" s="180"/>
      <c r="E184" s="180"/>
      <c r="F184" s="181"/>
      <c r="G184" s="15">
        <f>행사부!H25</f>
        <v>76000</v>
      </c>
      <c r="H184" s="15">
        <v>0</v>
      </c>
      <c r="I184" s="114">
        <f t="shared" si="45"/>
        <v>76000</v>
      </c>
    </row>
    <row r="185" spans="1:9" ht="18" customHeight="1">
      <c r="A185" s="164"/>
      <c r="B185" s="166"/>
      <c r="C185" s="167"/>
      <c r="D185" s="179" t="s">
        <v>807</v>
      </c>
      <c r="E185" s="180"/>
      <c r="F185" s="181"/>
      <c r="G185" s="15">
        <f>행사부!H26</f>
        <v>76000</v>
      </c>
      <c r="H185" s="15">
        <v>0</v>
      </c>
      <c r="I185" s="114">
        <f t="shared" si="45"/>
        <v>76000</v>
      </c>
    </row>
    <row r="186" spans="1:9" ht="18" customHeight="1">
      <c r="A186" s="164"/>
      <c r="B186" s="166"/>
      <c r="C186" s="165"/>
      <c r="D186" s="167"/>
      <c r="E186" s="179" t="s">
        <v>105</v>
      </c>
      <c r="F186" s="181"/>
      <c r="G186" s="15">
        <f>행사부!H28</f>
        <v>76000</v>
      </c>
      <c r="H186" s="15">
        <v>0</v>
      </c>
      <c r="I186" s="114">
        <f t="shared" si="45"/>
        <v>76000</v>
      </c>
    </row>
    <row r="187" spans="1:9" ht="18" customHeight="1">
      <c r="A187" s="86"/>
      <c r="B187" s="168"/>
      <c r="C187" s="169"/>
      <c r="D187" s="168"/>
      <c r="E187" s="171"/>
      <c r="F187" s="171" t="s">
        <v>636</v>
      </c>
      <c r="G187" s="14">
        <f>행사부!H29</f>
        <v>76000</v>
      </c>
      <c r="H187" s="14">
        <v>0</v>
      </c>
      <c r="I187" s="116">
        <f t="shared" si="45"/>
        <v>76000</v>
      </c>
    </row>
    <row r="188" spans="1:9" ht="18" customHeight="1">
      <c r="A188" s="164"/>
      <c r="B188" s="176" t="s">
        <v>272</v>
      </c>
      <c r="C188" s="177"/>
      <c r="D188" s="177"/>
      <c r="E188" s="177"/>
      <c r="F188" s="178"/>
      <c r="G188" s="113">
        <f>시설조성부!H6</f>
        <v>1823648</v>
      </c>
      <c r="H188" s="113">
        <v>1765648</v>
      </c>
      <c r="I188" s="115">
        <f t="shared" si="44"/>
        <v>58000</v>
      </c>
    </row>
    <row r="189" spans="1:9" ht="18" customHeight="1">
      <c r="A189" s="164"/>
      <c r="B189" s="165"/>
      <c r="C189" s="179" t="s">
        <v>874</v>
      </c>
      <c r="D189" s="180"/>
      <c r="E189" s="180"/>
      <c r="F189" s="181"/>
      <c r="G189" s="15">
        <f>시설조성부!H7</f>
        <v>58000</v>
      </c>
      <c r="H189" s="15">
        <v>0</v>
      </c>
      <c r="I189" s="114">
        <f t="shared" si="44"/>
        <v>58000</v>
      </c>
    </row>
    <row r="190" spans="1:9" ht="18" customHeight="1">
      <c r="A190" s="164"/>
      <c r="B190" s="166"/>
      <c r="C190" s="167"/>
      <c r="D190" s="129" t="s">
        <v>872</v>
      </c>
      <c r="E190" s="180"/>
      <c r="F190" s="181"/>
      <c r="G190" s="15">
        <f>시설조성부!H8</f>
        <v>58000</v>
      </c>
      <c r="H190" s="15">
        <v>0</v>
      </c>
      <c r="I190" s="114">
        <f t="shared" si="44"/>
        <v>58000</v>
      </c>
    </row>
    <row r="191" spans="1:9" ht="18" customHeight="1">
      <c r="A191" s="164"/>
      <c r="B191" s="166"/>
      <c r="C191" s="165"/>
      <c r="D191" s="167"/>
      <c r="E191" s="179" t="s">
        <v>105</v>
      </c>
      <c r="F191" s="181"/>
      <c r="G191" s="15">
        <f>시설조성부!H10</f>
        <v>58000</v>
      </c>
      <c r="H191" s="15">
        <v>0</v>
      </c>
      <c r="I191" s="114">
        <f t="shared" si="44"/>
        <v>58000</v>
      </c>
    </row>
    <row r="192" spans="1:9" ht="18" customHeight="1">
      <c r="A192" s="86"/>
      <c r="B192" s="168"/>
      <c r="C192" s="169"/>
      <c r="D192" s="168"/>
      <c r="E192" s="171"/>
      <c r="F192" s="171" t="s">
        <v>106</v>
      </c>
      <c r="G192" s="14">
        <f>시설조성부!H11</f>
        <v>58000</v>
      </c>
      <c r="H192" s="14">
        <v>0</v>
      </c>
      <c r="I192" s="116">
        <f t="shared" si="44"/>
        <v>58000</v>
      </c>
    </row>
    <row r="193" spans="1:9" ht="18" customHeight="1">
      <c r="A193" s="164"/>
      <c r="B193" s="165"/>
      <c r="C193" s="179" t="s">
        <v>301</v>
      </c>
      <c r="D193" s="180"/>
      <c r="E193" s="180"/>
      <c r="F193" s="181"/>
      <c r="G193" s="15">
        <f>시설조성부!H14</f>
        <v>20648</v>
      </c>
      <c r="H193" s="15">
        <v>20648</v>
      </c>
      <c r="I193" s="114">
        <f t="shared" ref="I193:I198" si="46">G193-H193</f>
        <v>0</v>
      </c>
    </row>
    <row r="194" spans="1:9" ht="18" customHeight="1">
      <c r="A194" s="164"/>
      <c r="B194" s="166"/>
      <c r="C194" s="167"/>
      <c r="D194" s="179" t="s">
        <v>132</v>
      </c>
      <c r="E194" s="180"/>
      <c r="F194" s="181"/>
      <c r="G194" s="15">
        <f>시설조성부!H15</f>
        <v>20648</v>
      </c>
      <c r="H194" s="15">
        <v>20648</v>
      </c>
      <c r="I194" s="114">
        <f t="shared" si="46"/>
        <v>0</v>
      </c>
    </row>
    <row r="195" spans="1:9" ht="18" customHeight="1">
      <c r="A195" s="164"/>
      <c r="B195" s="166"/>
      <c r="C195" s="165"/>
      <c r="D195" s="167"/>
      <c r="E195" s="179" t="s">
        <v>133</v>
      </c>
      <c r="F195" s="181"/>
      <c r="G195" s="15">
        <f>시설조성부!H17</f>
        <v>8048</v>
      </c>
      <c r="H195" s="15">
        <v>8048</v>
      </c>
      <c r="I195" s="114">
        <f t="shared" si="46"/>
        <v>0</v>
      </c>
    </row>
    <row r="196" spans="1:9" ht="18" customHeight="1">
      <c r="A196" s="86"/>
      <c r="B196" s="168"/>
      <c r="C196" s="169"/>
      <c r="D196" s="168"/>
      <c r="E196" s="171"/>
      <c r="F196" s="171" t="s">
        <v>114</v>
      </c>
      <c r="G196" s="14">
        <f>시설조성부!H18</f>
        <v>2000</v>
      </c>
      <c r="H196" s="14">
        <v>2000</v>
      </c>
      <c r="I196" s="116">
        <f t="shared" si="46"/>
        <v>0</v>
      </c>
    </row>
    <row r="197" spans="1:9" ht="18" customHeight="1">
      <c r="A197" s="86"/>
      <c r="B197" s="168"/>
      <c r="C197" s="169"/>
      <c r="D197" s="168"/>
      <c r="E197" s="172"/>
      <c r="F197" s="171" t="s">
        <v>308</v>
      </c>
      <c r="G197" s="14">
        <f>시설조성부!H20</f>
        <v>6048</v>
      </c>
      <c r="H197" s="14">
        <v>6048</v>
      </c>
      <c r="I197" s="116">
        <f>G197-H197</f>
        <v>0</v>
      </c>
    </row>
    <row r="198" spans="1:9" ht="18" customHeight="1">
      <c r="A198" s="164"/>
      <c r="B198" s="166"/>
      <c r="C198" s="165"/>
      <c r="D198" s="166"/>
      <c r="E198" s="179" t="s">
        <v>116</v>
      </c>
      <c r="F198" s="181"/>
      <c r="G198" s="15">
        <f>시설조성부!H22</f>
        <v>9000</v>
      </c>
      <c r="H198" s="15">
        <v>9000</v>
      </c>
      <c r="I198" s="114">
        <f t="shared" si="46"/>
        <v>0</v>
      </c>
    </row>
    <row r="199" spans="1:9" ht="18" customHeight="1">
      <c r="A199" s="86"/>
      <c r="B199" s="168"/>
      <c r="C199" s="169"/>
      <c r="D199" s="168"/>
      <c r="E199" s="171"/>
      <c r="F199" s="171" t="s">
        <v>107</v>
      </c>
      <c r="G199" s="14">
        <f>시설조성부!H23</f>
        <v>9000</v>
      </c>
      <c r="H199" s="14">
        <v>9000</v>
      </c>
      <c r="I199" s="116">
        <f>G199-H199</f>
        <v>0</v>
      </c>
    </row>
    <row r="200" spans="1:9" ht="18" customHeight="1">
      <c r="A200" s="164"/>
      <c r="B200" s="166"/>
      <c r="C200" s="165"/>
      <c r="D200" s="166"/>
      <c r="E200" s="555" t="s">
        <v>118</v>
      </c>
      <c r="F200" s="181" t="s">
        <v>480</v>
      </c>
      <c r="G200" s="15">
        <f>시설조성부!H26</f>
        <v>1500</v>
      </c>
      <c r="H200" s="15">
        <v>1500</v>
      </c>
      <c r="I200" s="114">
        <f t="shared" ref="I200:I208" si="47">G200-H200</f>
        <v>0</v>
      </c>
    </row>
    <row r="201" spans="1:9" ht="18" customHeight="1">
      <c r="A201" s="86"/>
      <c r="B201" s="168"/>
      <c r="C201" s="169"/>
      <c r="D201" s="168"/>
      <c r="E201" s="170"/>
      <c r="F201" s="171" t="s">
        <v>119</v>
      </c>
      <c r="G201" s="14">
        <f>시설조성부!H27</f>
        <v>1500</v>
      </c>
      <c r="H201" s="14">
        <v>1500</v>
      </c>
      <c r="I201" s="116">
        <f t="shared" si="47"/>
        <v>0</v>
      </c>
    </row>
    <row r="202" spans="1:9" ht="18" customHeight="1">
      <c r="A202" s="164"/>
      <c r="B202" s="166"/>
      <c r="C202" s="165"/>
      <c r="D202" s="166"/>
      <c r="E202" s="179" t="s">
        <v>417</v>
      </c>
      <c r="F202" s="181"/>
      <c r="G202" s="15">
        <f>시설조성부!H29</f>
        <v>2100</v>
      </c>
      <c r="H202" s="15">
        <v>2100</v>
      </c>
      <c r="I202" s="114">
        <f t="shared" si="47"/>
        <v>0</v>
      </c>
    </row>
    <row r="203" spans="1:9" ht="18" customHeight="1">
      <c r="A203" s="86"/>
      <c r="B203" s="168"/>
      <c r="C203" s="169"/>
      <c r="D203" s="168"/>
      <c r="E203" s="170"/>
      <c r="F203" s="171" t="s">
        <v>418</v>
      </c>
      <c r="G203" s="14">
        <f>시설조성부!H30</f>
        <v>2100</v>
      </c>
      <c r="H203" s="14">
        <v>2100</v>
      </c>
      <c r="I203" s="116">
        <f t="shared" si="47"/>
        <v>0</v>
      </c>
    </row>
    <row r="204" spans="1:9" ht="18" customHeight="1">
      <c r="A204" s="164"/>
      <c r="B204" s="165"/>
      <c r="C204" s="179" t="s">
        <v>805</v>
      </c>
      <c r="D204" s="180"/>
      <c r="E204" s="180"/>
      <c r="F204" s="181"/>
      <c r="G204" s="15">
        <f>시설조성부!H32</f>
        <v>1745000</v>
      </c>
      <c r="H204" s="15">
        <v>1745000</v>
      </c>
      <c r="I204" s="114">
        <f t="shared" si="47"/>
        <v>0</v>
      </c>
    </row>
    <row r="205" spans="1:9" ht="18" customHeight="1">
      <c r="A205" s="164"/>
      <c r="B205" s="166"/>
      <c r="C205" s="167"/>
      <c r="D205" s="179" t="s">
        <v>635</v>
      </c>
      <c r="E205" s="180"/>
      <c r="F205" s="181"/>
      <c r="G205" s="15">
        <f>시설조성부!H33</f>
        <v>1745000</v>
      </c>
      <c r="H205" s="15">
        <v>1745000</v>
      </c>
      <c r="I205" s="114">
        <f t="shared" si="47"/>
        <v>0</v>
      </c>
    </row>
    <row r="206" spans="1:9" ht="18" customHeight="1">
      <c r="A206" s="164"/>
      <c r="B206" s="166"/>
      <c r="C206" s="165"/>
      <c r="D206" s="167"/>
      <c r="E206" s="179" t="s">
        <v>105</v>
      </c>
      <c r="F206" s="181"/>
      <c r="G206" s="15">
        <f>시설조성부!H35</f>
        <v>1745000</v>
      </c>
      <c r="H206" s="15">
        <v>1745000</v>
      </c>
      <c r="I206" s="114">
        <f t="shared" si="47"/>
        <v>0</v>
      </c>
    </row>
    <row r="207" spans="1:9" ht="18" customHeight="1">
      <c r="A207" s="86"/>
      <c r="B207" s="168"/>
      <c r="C207" s="169"/>
      <c r="D207" s="168"/>
      <c r="E207" s="171"/>
      <c r="F207" s="171" t="s">
        <v>636</v>
      </c>
      <c r="G207" s="14">
        <f>시설조성부!H36</f>
        <v>1745000</v>
      </c>
      <c r="H207" s="14">
        <v>1745000</v>
      </c>
      <c r="I207" s="116">
        <f t="shared" si="47"/>
        <v>0</v>
      </c>
    </row>
    <row r="208" spans="1:9" ht="18" customHeight="1">
      <c r="A208" s="164"/>
      <c r="B208" s="176" t="s">
        <v>302</v>
      </c>
      <c r="C208" s="177"/>
      <c r="D208" s="177"/>
      <c r="E208" s="177"/>
      <c r="F208" s="178"/>
      <c r="G208" s="113">
        <f>전시연출부!H5</f>
        <v>2121344</v>
      </c>
      <c r="H208" s="113">
        <v>2121344</v>
      </c>
      <c r="I208" s="115">
        <f t="shared" si="47"/>
        <v>0</v>
      </c>
    </row>
    <row r="209" spans="1:9" ht="18" customHeight="1">
      <c r="A209" s="164"/>
      <c r="B209" s="165"/>
      <c r="C209" s="179" t="s">
        <v>474</v>
      </c>
      <c r="D209" s="180"/>
      <c r="E209" s="180"/>
      <c r="F209" s="181"/>
      <c r="G209" s="15">
        <f>전시연출부!H7</f>
        <v>2101200</v>
      </c>
      <c r="H209" s="15">
        <v>2101200</v>
      </c>
      <c r="I209" s="114">
        <f>G209-H209</f>
        <v>0</v>
      </c>
    </row>
    <row r="210" spans="1:9" ht="18" customHeight="1">
      <c r="A210" s="164"/>
      <c r="B210" s="166"/>
      <c r="C210" s="167"/>
      <c r="D210" s="353" t="s">
        <v>623</v>
      </c>
      <c r="E210" s="180"/>
      <c r="F210" s="181"/>
      <c r="G210" s="15">
        <f>전시연출부!H8</f>
        <v>2098000</v>
      </c>
      <c r="H210" s="15">
        <v>2098000</v>
      </c>
      <c r="I210" s="114">
        <f t="shared" ref="I210:I212" si="48">G210-H210</f>
        <v>0</v>
      </c>
    </row>
    <row r="211" spans="1:9" ht="18" customHeight="1">
      <c r="A211" s="164"/>
      <c r="B211" s="166"/>
      <c r="C211" s="165"/>
      <c r="D211" s="167"/>
      <c r="E211" s="179" t="s">
        <v>105</v>
      </c>
      <c r="F211" s="181"/>
      <c r="G211" s="15">
        <f>전시연출부!H10</f>
        <v>2098000</v>
      </c>
      <c r="H211" s="15">
        <v>2098000</v>
      </c>
      <c r="I211" s="114">
        <f t="shared" si="48"/>
        <v>0</v>
      </c>
    </row>
    <row r="212" spans="1:9" ht="18" customHeight="1">
      <c r="A212" s="86"/>
      <c r="B212" s="168"/>
      <c r="C212" s="168"/>
      <c r="D212" s="168"/>
      <c r="E212" s="171"/>
      <c r="F212" s="171" t="s">
        <v>106</v>
      </c>
      <c r="G212" s="14">
        <f>전시연출부!H17</f>
        <v>2092400</v>
      </c>
      <c r="H212" s="14">
        <v>2092400</v>
      </c>
      <c r="I212" s="116">
        <f t="shared" si="48"/>
        <v>0</v>
      </c>
    </row>
    <row r="213" spans="1:9" ht="18" customHeight="1">
      <c r="A213" s="164"/>
      <c r="B213" s="166"/>
      <c r="C213" s="166"/>
      <c r="D213" s="353" t="s">
        <v>471</v>
      </c>
      <c r="E213" s="180"/>
      <c r="F213" s="181"/>
      <c r="G213" s="15">
        <f>전시연출부!H21</f>
        <v>1600</v>
      </c>
      <c r="H213" s="15">
        <v>1600</v>
      </c>
      <c r="I213" s="114">
        <f t="shared" ref="I213:I218" si="49">G213-H213</f>
        <v>0</v>
      </c>
    </row>
    <row r="214" spans="1:9" ht="18" customHeight="1">
      <c r="A214" s="164"/>
      <c r="B214" s="166"/>
      <c r="C214" s="165"/>
      <c r="D214" s="167"/>
      <c r="E214" s="179" t="s">
        <v>105</v>
      </c>
      <c r="F214" s="181"/>
      <c r="G214" s="15">
        <f>전시연출부!H23</f>
        <v>1600</v>
      </c>
      <c r="H214" s="15">
        <v>1600</v>
      </c>
      <c r="I214" s="114">
        <f t="shared" si="49"/>
        <v>0</v>
      </c>
    </row>
    <row r="215" spans="1:9" ht="18" customHeight="1">
      <c r="A215" s="86"/>
      <c r="B215" s="168"/>
      <c r="C215" s="168"/>
      <c r="D215" s="168"/>
      <c r="E215" s="171"/>
      <c r="F215" s="171" t="s">
        <v>106</v>
      </c>
      <c r="G215" s="14">
        <f>전시연출부!H24</f>
        <v>1600</v>
      </c>
      <c r="H215" s="14">
        <v>1600</v>
      </c>
      <c r="I215" s="116">
        <f t="shared" si="49"/>
        <v>0</v>
      </c>
    </row>
    <row r="216" spans="1:9" ht="18" customHeight="1">
      <c r="A216" s="164"/>
      <c r="B216" s="166"/>
      <c r="C216" s="166"/>
      <c r="D216" s="353" t="s">
        <v>473</v>
      </c>
      <c r="E216" s="180"/>
      <c r="F216" s="181"/>
      <c r="G216" s="15">
        <f>전시연출부!H26</f>
        <v>1600</v>
      </c>
      <c r="H216" s="15">
        <v>1600</v>
      </c>
      <c r="I216" s="114">
        <f t="shared" si="49"/>
        <v>0</v>
      </c>
    </row>
    <row r="217" spans="1:9" ht="18" customHeight="1">
      <c r="A217" s="164"/>
      <c r="B217" s="166"/>
      <c r="C217" s="165"/>
      <c r="D217" s="167"/>
      <c r="E217" s="179" t="s">
        <v>105</v>
      </c>
      <c r="F217" s="181"/>
      <c r="G217" s="15">
        <f>전시연출부!H28</f>
        <v>1600</v>
      </c>
      <c r="H217" s="15">
        <v>1600</v>
      </c>
      <c r="I217" s="114">
        <f t="shared" si="49"/>
        <v>0</v>
      </c>
    </row>
    <row r="218" spans="1:9" ht="18" customHeight="1">
      <c r="A218" s="86"/>
      <c r="B218" s="168"/>
      <c r="C218" s="169"/>
      <c r="D218" s="168"/>
      <c r="E218" s="171"/>
      <c r="F218" s="171" t="s">
        <v>106</v>
      </c>
      <c r="G218" s="14">
        <f>전시연출부!H29</f>
        <v>1600</v>
      </c>
      <c r="H218" s="14">
        <v>1600</v>
      </c>
      <c r="I218" s="116">
        <f t="shared" si="49"/>
        <v>0</v>
      </c>
    </row>
    <row r="219" spans="1:9" ht="18" customHeight="1">
      <c r="A219" s="164"/>
      <c r="B219" s="165"/>
      <c r="C219" s="179" t="s">
        <v>244</v>
      </c>
      <c r="D219" s="180"/>
      <c r="E219" s="180"/>
      <c r="F219" s="181"/>
      <c r="G219" s="15">
        <f>전시연출부!H31</f>
        <v>20144</v>
      </c>
      <c r="H219" s="15">
        <v>20144</v>
      </c>
      <c r="I219" s="114">
        <f t="shared" ref="I219:I224" si="50">G219-H219</f>
        <v>0</v>
      </c>
    </row>
    <row r="220" spans="1:9" ht="18" customHeight="1">
      <c r="A220" s="164"/>
      <c r="B220" s="166"/>
      <c r="C220" s="167"/>
      <c r="D220" s="179" t="s">
        <v>132</v>
      </c>
      <c r="E220" s="180"/>
      <c r="F220" s="181"/>
      <c r="G220" s="15">
        <f>전시연출부!H32</f>
        <v>20144</v>
      </c>
      <c r="H220" s="15">
        <v>20144</v>
      </c>
      <c r="I220" s="114">
        <f t="shared" si="50"/>
        <v>0</v>
      </c>
    </row>
    <row r="221" spans="1:9" ht="18" customHeight="1">
      <c r="A221" s="164"/>
      <c r="B221" s="166"/>
      <c r="C221" s="165"/>
      <c r="D221" s="167"/>
      <c r="E221" s="179" t="s">
        <v>133</v>
      </c>
      <c r="F221" s="181"/>
      <c r="G221" s="15">
        <f>전시연출부!H34</f>
        <v>7544</v>
      </c>
      <c r="H221" s="15">
        <v>7544</v>
      </c>
      <c r="I221" s="114">
        <f t="shared" si="50"/>
        <v>0</v>
      </c>
    </row>
    <row r="222" spans="1:9" ht="18" customHeight="1">
      <c r="A222" s="86"/>
      <c r="B222" s="168"/>
      <c r="C222" s="169"/>
      <c r="D222" s="168"/>
      <c r="E222" s="171"/>
      <c r="F222" s="171" t="s">
        <v>114</v>
      </c>
      <c r="G222" s="14">
        <f>전시연출부!H35</f>
        <v>2000</v>
      </c>
      <c r="H222" s="14">
        <v>2000</v>
      </c>
      <c r="I222" s="116">
        <f t="shared" si="50"/>
        <v>0</v>
      </c>
    </row>
    <row r="223" spans="1:9" ht="18" customHeight="1">
      <c r="A223" s="86"/>
      <c r="B223" s="168"/>
      <c r="C223" s="169"/>
      <c r="D223" s="168"/>
      <c r="E223" s="172"/>
      <c r="F223" s="171" t="s">
        <v>308</v>
      </c>
      <c r="G223" s="14">
        <f>전시연출부!H37</f>
        <v>5544</v>
      </c>
      <c r="H223" s="14">
        <v>5544</v>
      </c>
      <c r="I223" s="116">
        <f>G223-H223</f>
        <v>0</v>
      </c>
    </row>
    <row r="224" spans="1:9" ht="18" customHeight="1">
      <c r="A224" s="164"/>
      <c r="B224" s="166"/>
      <c r="C224" s="165"/>
      <c r="D224" s="166"/>
      <c r="E224" s="179" t="s">
        <v>116</v>
      </c>
      <c r="F224" s="181"/>
      <c r="G224" s="15">
        <f>전시연출부!H39</f>
        <v>9000</v>
      </c>
      <c r="H224" s="15">
        <v>9000</v>
      </c>
      <c r="I224" s="114">
        <f t="shared" si="50"/>
        <v>0</v>
      </c>
    </row>
    <row r="225" spans="1:9" ht="18" customHeight="1">
      <c r="A225" s="86"/>
      <c r="B225" s="168"/>
      <c r="C225" s="169"/>
      <c r="D225" s="168"/>
      <c r="E225" s="171"/>
      <c r="F225" s="171" t="s">
        <v>107</v>
      </c>
      <c r="G225" s="14">
        <f>전시연출부!H40</f>
        <v>9000</v>
      </c>
      <c r="H225" s="14">
        <v>9000</v>
      </c>
      <c r="I225" s="116">
        <f>G225-H225</f>
        <v>0</v>
      </c>
    </row>
    <row r="226" spans="1:9" ht="18" customHeight="1">
      <c r="A226" s="164"/>
      <c r="B226" s="166"/>
      <c r="C226" s="165"/>
      <c r="D226" s="166"/>
      <c r="E226" s="179" t="s">
        <v>118</v>
      </c>
      <c r="F226" s="181"/>
      <c r="G226" s="15">
        <f>전시연출부!H43</f>
        <v>1500</v>
      </c>
      <c r="H226" s="15">
        <v>1500</v>
      </c>
      <c r="I226" s="114">
        <f t="shared" ref="I226:I229" si="51">G226-H226</f>
        <v>0</v>
      </c>
    </row>
    <row r="227" spans="1:9" ht="18" customHeight="1">
      <c r="A227" s="86"/>
      <c r="B227" s="168"/>
      <c r="C227" s="169"/>
      <c r="D227" s="168"/>
      <c r="E227" s="170"/>
      <c r="F227" s="171" t="s">
        <v>119</v>
      </c>
      <c r="G227" s="14">
        <f>전시연출부!H44</f>
        <v>1500</v>
      </c>
      <c r="H227" s="14">
        <v>1500</v>
      </c>
      <c r="I227" s="116">
        <f t="shared" si="51"/>
        <v>0</v>
      </c>
    </row>
    <row r="228" spans="1:9" ht="18" customHeight="1">
      <c r="A228" s="164"/>
      <c r="B228" s="166"/>
      <c r="C228" s="165"/>
      <c r="D228" s="166"/>
      <c r="E228" s="179" t="s">
        <v>417</v>
      </c>
      <c r="F228" s="181"/>
      <c r="G228" s="15">
        <f>전시연출부!H46</f>
        <v>2100</v>
      </c>
      <c r="H228" s="15">
        <v>2100</v>
      </c>
      <c r="I228" s="114">
        <f t="shared" si="51"/>
        <v>0</v>
      </c>
    </row>
    <row r="229" spans="1:9" ht="18" customHeight="1">
      <c r="A229" s="86"/>
      <c r="B229" s="168"/>
      <c r="C229" s="169"/>
      <c r="D229" s="168"/>
      <c r="E229" s="170"/>
      <c r="F229" s="171" t="s">
        <v>418</v>
      </c>
      <c r="G229" s="14">
        <f>전시연출부!H47</f>
        <v>2100</v>
      </c>
      <c r="H229" s="14">
        <v>2100</v>
      </c>
      <c r="I229" s="116">
        <f t="shared" si="51"/>
        <v>0</v>
      </c>
    </row>
    <row r="230" spans="1:9" ht="18" customHeight="1">
      <c r="A230" s="164"/>
      <c r="B230" s="176" t="s">
        <v>3</v>
      </c>
      <c r="C230" s="177"/>
      <c r="D230" s="177"/>
      <c r="E230" s="177"/>
      <c r="F230" s="178"/>
      <c r="G230" s="113">
        <f>G231</f>
        <v>3189846</v>
      </c>
      <c r="H230" s="113">
        <v>596200</v>
      </c>
      <c r="I230" s="115">
        <f t="shared" ref="I230:I242" si="52">G230-H230</f>
        <v>2593646</v>
      </c>
    </row>
    <row r="231" spans="1:9" ht="18" customHeight="1">
      <c r="A231" s="164"/>
      <c r="B231" s="165"/>
      <c r="C231" s="179" t="s">
        <v>127</v>
      </c>
      <c r="D231" s="180"/>
      <c r="E231" s="180"/>
      <c r="F231" s="181"/>
      <c r="G231" s="15">
        <f>예비비!H7</f>
        <v>3189846</v>
      </c>
      <c r="H231" s="111">
        <v>596200</v>
      </c>
      <c r="I231" s="114">
        <f t="shared" si="52"/>
        <v>2593646</v>
      </c>
    </row>
    <row r="232" spans="1:9" ht="18" customHeight="1">
      <c r="A232" s="164"/>
      <c r="B232" s="166"/>
      <c r="C232" s="167"/>
      <c r="D232" s="179" t="s">
        <v>97</v>
      </c>
      <c r="E232" s="180"/>
      <c r="F232" s="181"/>
      <c r="G232" s="15">
        <f>예비비!H8</f>
        <v>3119546</v>
      </c>
      <c r="H232" s="112">
        <v>596200</v>
      </c>
      <c r="I232" s="114">
        <f t="shared" si="52"/>
        <v>2523346</v>
      </c>
    </row>
    <row r="233" spans="1:9" ht="18" customHeight="1">
      <c r="A233" s="164"/>
      <c r="B233" s="166"/>
      <c r="C233" s="165"/>
      <c r="D233" s="167"/>
      <c r="E233" s="179" t="s">
        <v>3</v>
      </c>
      <c r="F233" s="181"/>
      <c r="G233" s="15">
        <f>예비비!H9</f>
        <v>3119546</v>
      </c>
      <c r="H233" s="112">
        <v>596200</v>
      </c>
      <c r="I233" s="114">
        <f t="shared" si="52"/>
        <v>2523346</v>
      </c>
    </row>
    <row r="234" spans="1:9" ht="18" customHeight="1">
      <c r="A234" s="86"/>
      <c r="B234" s="168"/>
      <c r="C234" s="169"/>
      <c r="D234" s="168"/>
      <c r="E234" s="170"/>
      <c r="F234" s="170" t="s">
        <v>128</v>
      </c>
      <c r="G234" s="376">
        <f>예비비!H11</f>
        <v>3119546</v>
      </c>
      <c r="H234" s="329">
        <v>596200</v>
      </c>
      <c r="I234" s="116">
        <f t="shared" si="52"/>
        <v>2523346</v>
      </c>
    </row>
    <row r="235" spans="1:9" ht="18" customHeight="1">
      <c r="A235" s="164"/>
      <c r="B235" s="166"/>
      <c r="C235" s="165"/>
      <c r="D235" s="166"/>
      <c r="E235" s="179" t="s">
        <v>854</v>
      </c>
      <c r="F235" s="181"/>
      <c r="G235" s="201">
        <f>예비비!H15</f>
        <v>70300</v>
      </c>
      <c r="H235" s="111">
        <v>0</v>
      </c>
      <c r="I235" s="114">
        <f t="shared" ref="I235:I236" si="53">G235-H235</f>
        <v>70300</v>
      </c>
    </row>
    <row r="236" spans="1:9" ht="18" customHeight="1" thickBot="1">
      <c r="A236" s="238"/>
      <c r="B236" s="173"/>
      <c r="C236" s="239"/>
      <c r="D236" s="173"/>
      <c r="E236" s="174"/>
      <c r="F236" s="174" t="s">
        <v>128</v>
      </c>
      <c r="G236" s="241">
        <f>예비비!H18</f>
        <v>70300</v>
      </c>
      <c r="H236" s="87">
        <v>0</v>
      </c>
      <c r="I236" s="118">
        <f t="shared" si="53"/>
        <v>70300</v>
      </c>
    </row>
    <row r="237" spans="1:9" ht="18" customHeight="1">
      <c r="A237" s="163" t="s">
        <v>264</v>
      </c>
      <c r="B237" s="180"/>
      <c r="C237" s="180"/>
      <c r="D237" s="180"/>
      <c r="E237" s="180"/>
      <c r="F237" s="181"/>
      <c r="G237" s="110">
        <f>SUM(G238,G243,G248,G253)</f>
        <v>3549101</v>
      </c>
      <c r="H237" s="110">
        <v>6233000</v>
      </c>
      <c r="I237" s="114">
        <f t="shared" si="52"/>
        <v>-2683899</v>
      </c>
    </row>
    <row r="238" spans="1:9" ht="18" customHeight="1">
      <c r="A238" s="250"/>
      <c r="B238" s="176" t="s">
        <v>481</v>
      </c>
      <c r="C238" s="177"/>
      <c r="D238" s="177"/>
      <c r="E238" s="177"/>
      <c r="F238" s="178"/>
      <c r="G238" s="113">
        <f>시설조성부!H39</f>
        <v>3249101</v>
      </c>
      <c r="H238" s="113">
        <v>3233000</v>
      </c>
      <c r="I238" s="115">
        <f t="shared" si="52"/>
        <v>16101</v>
      </c>
    </row>
    <row r="239" spans="1:9" ht="18" customHeight="1">
      <c r="A239" s="250"/>
      <c r="B239" s="165"/>
      <c r="C239" s="179" t="s">
        <v>482</v>
      </c>
      <c r="D239" s="180"/>
      <c r="E239" s="180"/>
      <c r="F239" s="181"/>
      <c r="G239" s="15">
        <f>시설조성부!H40</f>
        <v>3249101</v>
      </c>
      <c r="H239" s="111">
        <v>3233000</v>
      </c>
      <c r="I239" s="114">
        <f t="shared" si="52"/>
        <v>16101</v>
      </c>
    </row>
    <row r="240" spans="1:9">
      <c r="A240" s="250"/>
      <c r="B240" s="166"/>
      <c r="C240" s="167"/>
      <c r="D240" s="179" t="s">
        <v>483</v>
      </c>
      <c r="E240" s="180"/>
      <c r="F240" s="181"/>
      <c r="G240" s="15">
        <f>시설조성부!H41</f>
        <v>3249101</v>
      </c>
      <c r="H240" s="112">
        <v>3233000</v>
      </c>
      <c r="I240" s="114">
        <f t="shared" si="52"/>
        <v>16101</v>
      </c>
    </row>
    <row r="241" spans="1:9">
      <c r="A241" s="250"/>
      <c r="B241" s="166"/>
      <c r="C241" s="165"/>
      <c r="D241" s="167"/>
      <c r="E241" s="179" t="s">
        <v>484</v>
      </c>
      <c r="F241" s="181"/>
      <c r="G241" s="15">
        <f>시설조성부!H43</f>
        <v>3249101</v>
      </c>
      <c r="H241" s="112">
        <v>3233000</v>
      </c>
      <c r="I241" s="114">
        <f t="shared" si="52"/>
        <v>16101</v>
      </c>
    </row>
    <row r="242" spans="1:9">
      <c r="A242" s="325"/>
      <c r="B242" s="172"/>
      <c r="C242" s="243"/>
      <c r="D242" s="172"/>
      <c r="E242" s="170"/>
      <c r="F242" s="170" t="s">
        <v>485</v>
      </c>
      <c r="G242" s="376">
        <f>시설조성부!H44</f>
        <v>3249101</v>
      </c>
      <c r="H242" s="329">
        <v>3233000</v>
      </c>
      <c r="I242" s="116">
        <f t="shared" si="52"/>
        <v>16101</v>
      </c>
    </row>
    <row r="243" spans="1:9" ht="18" customHeight="1">
      <c r="A243" s="250"/>
      <c r="B243" s="176" t="s">
        <v>617</v>
      </c>
      <c r="C243" s="177"/>
      <c r="D243" s="177"/>
      <c r="E243" s="177"/>
      <c r="F243" s="178"/>
      <c r="G243" s="113">
        <f>시설조성부!H48</f>
        <v>0</v>
      </c>
      <c r="H243" s="113">
        <v>1000000</v>
      </c>
      <c r="I243" s="115">
        <f t="shared" ref="I243:I247" si="54">G243-H243</f>
        <v>-1000000</v>
      </c>
    </row>
    <row r="244" spans="1:9" ht="18" customHeight="1">
      <c r="A244" s="250"/>
      <c r="B244" s="165"/>
      <c r="C244" s="179" t="s">
        <v>618</v>
      </c>
      <c r="D244" s="180"/>
      <c r="E244" s="180"/>
      <c r="F244" s="181"/>
      <c r="G244" s="15">
        <f>시설조성부!H49</f>
        <v>0</v>
      </c>
      <c r="H244" s="111">
        <v>1000000</v>
      </c>
      <c r="I244" s="114">
        <f t="shared" si="54"/>
        <v>-1000000</v>
      </c>
    </row>
    <row r="245" spans="1:9">
      <c r="A245" s="250"/>
      <c r="B245" s="166"/>
      <c r="C245" s="167"/>
      <c r="D245" s="179" t="s">
        <v>618</v>
      </c>
      <c r="E245" s="180"/>
      <c r="F245" s="181"/>
      <c r="G245" s="15">
        <f>시설조성부!H50</f>
        <v>0</v>
      </c>
      <c r="H245" s="112">
        <v>1000000</v>
      </c>
      <c r="I245" s="114">
        <f t="shared" si="54"/>
        <v>-1000000</v>
      </c>
    </row>
    <row r="246" spans="1:9">
      <c r="A246" s="250"/>
      <c r="B246" s="166"/>
      <c r="C246" s="165"/>
      <c r="D246" s="167"/>
      <c r="E246" s="179" t="s">
        <v>484</v>
      </c>
      <c r="F246" s="181"/>
      <c r="G246" s="15">
        <f>시설조성부!H52</f>
        <v>0</v>
      </c>
      <c r="H246" s="112">
        <v>1000000</v>
      </c>
      <c r="I246" s="114">
        <f t="shared" si="54"/>
        <v>-1000000</v>
      </c>
    </row>
    <row r="247" spans="1:9">
      <c r="A247" s="325"/>
      <c r="B247" s="172"/>
      <c r="C247" s="243"/>
      <c r="D247" s="172"/>
      <c r="E247" s="170"/>
      <c r="F247" s="170" t="s">
        <v>485</v>
      </c>
      <c r="G247" s="376">
        <f>시설조성부!H53</f>
        <v>0</v>
      </c>
      <c r="H247" s="329">
        <v>1000000</v>
      </c>
      <c r="I247" s="116">
        <f t="shared" si="54"/>
        <v>-1000000</v>
      </c>
    </row>
    <row r="248" spans="1:9" ht="18" customHeight="1">
      <c r="A248" s="250"/>
      <c r="B248" s="176" t="s">
        <v>620</v>
      </c>
      <c r="C248" s="177"/>
      <c r="D248" s="177"/>
      <c r="E248" s="177"/>
      <c r="F248" s="178"/>
      <c r="G248" s="113">
        <f>시설조성부!H57</f>
        <v>300000</v>
      </c>
      <c r="H248" s="113">
        <v>2000000</v>
      </c>
      <c r="I248" s="115">
        <f t="shared" ref="I248:I252" si="55">G248-H248</f>
        <v>-1700000</v>
      </c>
    </row>
    <row r="249" spans="1:9" ht="18" customHeight="1">
      <c r="A249" s="250"/>
      <c r="B249" s="165"/>
      <c r="C249" s="179" t="s">
        <v>621</v>
      </c>
      <c r="D249" s="180"/>
      <c r="E249" s="180"/>
      <c r="F249" s="181"/>
      <c r="G249" s="15">
        <f>시설조성부!H58</f>
        <v>300000</v>
      </c>
      <c r="H249" s="111">
        <v>2000000</v>
      </c>
      <c r="I249" s="114">
        <f t="shared" si="55"/>
        <v>-1700000</v>
      </c>
    </row>
    <row r="250" spans="1:9">
      <c r="A250" s="250"/>
      <c r="B250" s="166"/>
      <c r="C250" s="167"/>
      <c r="D250" s="179" t="s">
        <v>621</v>
      </c>
      <c r="E250" s="180"/>
      <c r="F250" s="181"/>
      <c r="G250" s="15">
        <f>시설조성부!H59</f>
        <v>300000</v>
      </c>
      <c r="H250" s="112">
        <v>2000000</v>
      </c>
      <c r="I250" s="114">
        <f t="shared" si="55"/>
        <v>-1700000</v>
      </c>
    </row>
    <row r="251" spans="1:9">
      <c r="A251" s="250"/>
      <c r="B251" s="166"/>
      <c r="C251" s="165"/>
      <c r="D251" s="167"/>
      <c r="E251" s="179" t="s">
        <v>484</v>
      </c>
      <c r="F251" s="181"/>
      <c r="G251" s="15">
        <f>시설조성부!H61</f>
        <v>300000</v>
      </c>
      <c r="H251" s="112">
        <v>2000000</v>
      </c>
      <c r="I251" s="114">
        <f t="shared" si="55"/>
        <v>-1700000</v>
      </c>
    </row>
    <row r="252" spans="1:9">
      <c r="A252" s="325"/>
      <c r="B252" s="172"/>
      <c r="C252" s="243"/>
      <c r="D252" s="172"/>
      <c r="E252" s="170"/>
      <c r="F252" s="170" t="s">
        <v>485</v>
      </c>
      <c r="G252" s="376">
        <f>시설조성부!H62</f>
        <v>300000</v>
      </c>
      <c r="H252" s="329">
        <v>2000000</v>
      </c>
      <c r="I252" s="116">
        <f t="shared" si="55"/>
        <v>-1700000</v>
      </c>
    </row>
    <row r="253" spans="1:9" ht="18" customHeight="1">
      <c r="A253" s="250"/>
      <c r="B253" s="326" t="s">
        <v>303</v>
      </c>
      <c r="C253" s="258"/>
      <c r="D253" s="258"/>
      <c r="E253" s="258"/>
      <c r="F253" s="327"/>
      <c r="G253" s="248">
        <f>G254</f>
        <v>0</v>
      </c>
      <c r="H253" s="248">
        <v>0</v>
      </c>
      <c r="I253" s="328">
        <f t="shared" ref="I253:I257" si="56">G253-H253</f>
        <v>0</v>
      </c>
    </row>
    <row r="254" spans="1:9" ht="18" customHeight="1">
      <c r="A254" s="250"/>
      <c r="B254" s="165"/>
      <c r="C254" s="179" t="s">
        <v>127</v>
      </c>
      <c r="D254" s="180"/>
      <c r="E254" s="180"/>
      <c r="F254" s="181"/>
      <c r="G254" s="15">
        <f>예비비!H23</f>
        <v>0</v>
      </c>
      <c r="H254" s="111">
        <v>0</v>
      </c>
      <c r="I254" s="114">
        <f t="shared" si="56"/>
        <v>0</v>
      </c>
    </row>
    <row r="255" spans="1:9">
      <c r="A255" s="164"/>
      <c r="B255" s="166"/>
      <c r="C255" s="167"/>
      <c r="D255" s="179" t="s">
        <v>97</v>
      </c>
      <c r="E255" s="180"/>
      <c r="F255" s="181"/>
      <c r="G255" s="15">
        <f>예비비!H24</f>
        <v>0</v>
      </c>
      <c r="H255" s="112">
        <v>0</v>
      </c>
      <c r="I255" s="114">
        <f t="shared" si="56"/>
        <v>0</v>
      </c>
    </row>
    <row r="256" spans="1:9">
      <c r="A256" s="164"/>
      <c r="B256" s="166"/>
      <c r="C256" s="165"/>
      <c r="D256" s="167"/>
      <c r="E256" s="179" t="s">
        <v>3</v>
      </c>
      <c r="F256" s="181"/>
      <c r="G256" s="15">
        <f>예비비!H25</f>
        <v>0</v>
      </c>
      <c r="H256" s="112">
        <v>0</v>
      </c>
      <c r="I256" s="114">
        <f t="shared" si="56"/>
        <v>0</v>
      </c>
    </row>
    <row r="257" spans="1:9" ht="17.25" thickBot="1">
      <c r="A257" s="238"/>
      <c r="B257" s="173"/>
      <c r="C257" s="239"/>
      <c r="D257" s="173"/>
      <c r="E257" s="174"/>
      <c r="F257" s="174" t="s">
        <v>304</v>
      </c>
      <c r="G257" s="241">
        <f>예비비!H27</f>
        <v>0</v>
      </c>
      <c r="H257" s="87">
        <v>0</v>
      </c>
      <c r="I257" s="118">
        <f t="shared" si="56"/>
        <v>0</v>
      </c>
    </row>
  </sheetData>
  <autoFilter ref="A4:I257"/>
  <mergeCells count="5">
    <mergeCell ref="G3:G4"/>
    <mergeCell ref="H3:H4"/>
    <mergeCell ref="I3:I4"/>
    <mergeCell ref="A3:F3"/>
    <mergeCell ref="A5:F5"/>
  </mergeCells>
  <phoneticPr fontId="12" type="noConversion"/>
  <pageMargins left="0.23622047244094491" right="0.23622047244094491" top="0.74803149606299213" bottom="0.74803149606299213" header="0.31496062992125984" footer="0.31496062992125984"/>
  <pageSetup paperSize="9" scale="95" fitToHeight="0" orientation="portrait" useFirstPageNumber="1" r:id="rId1"/>
  <headerFooter alignWithMargins="0">
    <oddHeader xml:space="preserve">&amp;L&amp;"돋움,굵게"
</oddHeader>
  </headerFooter>
  <rowBreaks count="6" manualBreakCount="6">
    <brk id="37" max="8" man="1"/>
    <brk id="74" max="8" man="1"/>
    <brk id="111" max="8" man="1"/>
    <brk id="148" max="8" man="1"/>
    <brk id="185" max="8" man="1"/>
    <brk id="22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O37"/>
  <sheetViews>
    <sheetView topLeftCell="B1" zoomScale="85" zoomScaleNormal="85" workbookViewId="0">
      <selection activeCell="K26" sqref="K26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9" style="591"/>
  </cols>
  <sheetData>
    <row r="1" spans="1:15" ht="17.25" thickBot="1">
      <c r="A1" s="88" t="s">
        <v>504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5" ht="16.5" customHeight="1">
      <c r="A2" s="715" t="s">
        <v>21</v>
      </c>
      <c r="B2" s="717" t="s">
        <v>22</v>
      </c>
      <c r="C2" s="718"/>
      <c r="D2" s="719"/>
      <c r="E2" s="717" t="s">
        <v>23</v>
      </c>
      <c r="F2" s="718"/>
      <c r="G2" s="719"/>
      <c r="H2" s="693" t="s">
        <v>728</v>
      </c>
      <c r="I2" s="693" t="s">
        <v>729</v>
      </c>
      <c r="J2" s="720" t="s">
        <v>467</v>
      </c>
      <c r="K2" s="704" t="s">
        <v>1</v>
      </c>
      <c r="L2" s="705"/>
      <c r="M2" s="706"/>
    </row>
    <row r="3" spans="1:15" ht="17.25" thickBot="1">
      <c r="A3" s="716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94"/>
      <c r="I3" s="694"/>
      <c r="J3" s="721"/>
      <c r="K3" s="707"/>
      <c r="L3" s="708"/>
      <c r="M3" s="709"/>
    </row>
    <row r="4" spans="1:15" ht="17.25" thickBot="1">
      <c r="A4" s="710" t="s">
        <v>30</v>
      </c>
      <c r="B4" s="711"/>
      <c r="C4" s="711"/>
      <c r="D4" s="711"/>
      <c r="E4" s="711"/>
      <c r="F4" s="711"/>
      <c r="G4" s="712"/>
      <c r="H4" s="185">
        <f>H5</f>
        <v>21920</v>
      </c>
      <c r="I4" s="185">
        <v>16292</v>
      </c>
      <c r="J4" s="120">
        <f t="shared" ref="J4:J19" si="0">H4-I4</f>
        <v>5628</v>
      </c>
      <c r="K4" s="89"/>
      <c r="L4" s="90"/>
      <c r="M4" s="121"/>
    </row>
    <row r="5" spans="1:15">
      <c r="A5" s="205" t="s">
        <v>2</v>
      </c>
      <c r="B5" s="122"/>
      <c r="C5" s="123"/>
      <c r="D5" s="123"/>
      <c r="E5" s="123"/>
      <c r="F5" s="123"/>
      <c r="G5" s="124"/>
      <c r="H5" s="94">
        <f>H6</f>
        <v>21920</v>
      </c>
      <c r="I5" s="94">
        <v>16292</v>
      </c>
      <c r="J5" s="95">
        <f t="shared" si="0"/>
        <v>5628</v>
      </c>
      <c r="K5" s="78"/>
      <c r="L5" s="79"/>
      <c r="M5" s="80"/>
    </row>
    <row r="6" spans="1:15">
      <c r="A6" s="10"/>
      <c r="B6" s="353" t="s">
        <v>505</v>
      </c>
      <c r="C6" s="129"/>
      <c r="D6" s="130"/>
      <c r="E6" s="130"/>
      <c r="F6" s="130"/>
      <c r="G6" s="131"/>
      <c r="H6" s="91">
        <f>SUM(H7,H15)</f>
        <v>21920</v>
      </c>
      <c r="I6" s="91">
        <v>16292</v>
      </c>
      <c r="J6" s="92">
        <f>H6-I6</f>
        <v>5628</v>
      </c>
      <c r="K6" s="159"/>
      <c r="L6" s="149"/>
      <c r="M6" s="150"/>
    </row>
    <row r="7" spans="1:15">
      <c r="A7" s="10"/>
      <c r="B7" s="6"/>
      <c r="C7" s="653" t="s">
        <v>859</v>
      </c>
      <c r="D7" s="130"/>
      <c r="E7" s="130"/>
      <c r="F7" s="130"/>
      <c r="G7" s="131"/>
      <c r="H7" s="91">
        <f>H8</f>
        <v>3500</v>
      </c>
      <c r="I7" s="91">
        <v>0</v>
      </c>
      <c r="J7" s="92">
        <f t="shared" ref="J7:J11" si="1">H7-I7</f>
        <v>3500</v>
      </c>
      <c r="K7" s="159"/>
      <c r="L7" s="149"/>
      <c r="M7" s="150"/>
      <c r="N7" s="675"/>
    </row>
    <row r="8" spans="1:15">
      <c r="A8" s="10"/>
      <c r="B8" s="6"/>
      <c r="C8" s="147"/>
      <c r="D8" s="651" t="s">
        <v>860</v>
      </c>
      <c r="E8" s="130"/>
      <c r="F8" s="130"/>
      <c r="G8" s="131"/>
      <c r="H8" s="132">
        <f>H9</f>
        <v>3500</v>
      </c>
      <c r="I8" s="132">
        <v>0</v>
      </c>
      <c r="J8" s="9">
        <f t="shared" si="1"/>
        <v>3500</v>
      </c>
      <c r="K8" s="394"/>
      <c r="L8" s="395"/>
      <c r="M8" s="402"/>
      <c r="N8" s="675"/>
    </row>
    <row r="9" spans="1:15">
      <c r="A9" s="10"/>
      <c r="B9" s="6"/>
      <c r="C9" s="134"/>
      <c r="D9" s="135"/>
      <c r="E9" s="129" t="s">
        <v>31</v>
      </c>
      <c r="F9" s="130"/>
      <c r="G9" s="131"/>
      <c r="H9" s="91">
        <f>H10</f>
        <v>3500</v>
      </c>
      <c r="I9" s="91">
        <v>0</v>
      </c>
      <c r="J9" s="92">
        <f t="shared" si="1"/>
        <v>3500</v>
      </c>
      <c r="K9" s="355"/>
      <c r="L9" s="396"/>
      <c r="M9" s="397"/>
      <c r="N9" s="675"/>
    </row>
    <row r="10" spans="1:15">
      <c r="A10" s="63"/>
      <c r="B10" s="65"/>
      <c r="C10" s="65"/>
      <c r="D10" s="65"/>
      <c r="E10" s="65"/>
      <c r="F10" s="136" t="s">
        <v>35</v>
      </c>
      <c r="G10" s="140"/>
      <c r="H10" s="72">
        <f>H11</f>
        <v>3500</v>
      </c>
      <c r="I10" s="72">
        <v>0</v>
      </c>
      <c r="J10" s="98">
        <f t="shared" si="1"/>
        <v>3500</v>
      </c>
      <c r="K10" s="388"/>
      <c r="L10" s="389"/>
      <c r="M10" s="403"/>
      <c r="N10" s="675"/>
    </row>
    <row r="11" spans="1:15">
      <c r="A11" s="55"/>
      <c r="B11" s="57"/>
      <c r="C11" s="65"/>
      <c r="D11" s="65"/>
      <c r="E11" s="65"/>
      <c r="F11" s="192"/>
      <c r="G11" s="206" t="s">
        <v>36</v>
      </c>
      <c r="H11" s="207">
        <f>M11</f>
        <v>3500</v>
      </c>
      <c r="I11" s="207">
        <v>0</v>
      </c>
      <c r="J11" s="41">
        <f t="shared" si="1"/>
        <v>3500</v>
      </c>
      <c r="K11" s="391" t="s">
        <v>52</v>
      </c>
      <c r="L11" s="418"/>
      <c r="M11" s="393">
        <f>SUM(M13,M14)</f>
        <v>3500</v>
      </c>
      <c r="N11" s="675"/>
    </row>
    <row r="12" spans="1:15">
      <c r="A12" s="55"/>
      <c r="B12" s="57"/>
      <c r="C12" s="65"/>
      <c r="D12" s="65"/>
      <c r="E12" s="65"/>
      <c r="F12" s="222"/>
      <c r="G12" s="658" t="s">
        <v>890</v>
      </c>
      <c r="H12" s="100"/>
      <c r="I12" s="100"/>
      <c r="J12" s="50"/>
      <c r="K12" s="622" t="s">
        <v>727</v>
      </c>
      <c r="L12" s="424"/>
      <c r="M12" s="384"/>
      <c r="N12" s="675"/>
    </row>
    <row r="13" spans="1:15">
      <c r="A13" s="55"/>
      <c r="B13" s="57"/>
      <c r="C13" s="65"/>
      <c r="D13" s="65"/>
      <c r="E13" s="65"/>
      <c r="F13" s="56"/>
      <c r="G13" s="56"/>
      <c r="H13" s="100"/>
      <c r="I13" s="100"/>
      <c r="J13" s="102"/>
      <c r="K13" s="624" t="s">
        <v>861</v>
      </c>
      <c r="L13" s="625" t="s">
        <v>37</v>
      </c>
      <c r="M13" s="615">
        <v>2000</v>
      </c>
      <c r="N13" s="675"/>
      <c r="O13" s="590"/>
    </row>
    <row r="14" spans="1:15">
      <c r="A14" s="55"/>
      <c r="B14" s="57"/>
      <c r="C14" s="65"/>
      <c r="D14" s="65"/>
      <c r="E14" s="65"/>
      <c r="F14" s="56"/>
      <c r="G14" s="56"/>
      <c r="H14" s="100"/>
      <c r="I14" s="100"/>
      <c r="J14" s="102"/>
      <c r="K14" s="624" t="s">
        <v>862</v>
      </c>
      <c r="L14" s="625" t="s">
        <v>37</v>
      </c>
      <c r="M14" s="615">
        <v>1500</v>
      </c>
      <c r="N14" s="675"/>
      <c r="O14" s="590"/>
    </row>
    <row r="15" spans="1:15">
      <c r="A15" s="10"/>
      <c r="B15" s="6"/>
      <c r="C15" s="179" t="s">
        <v>506</v>
      </c>
      <c r="D15" s="130"/>
      <c r="E15" s="130"/>
      <c r="F15" s="130"/>
      <c r="G15" s="131"/>
      <c r="H15" s="91">
        <f>H16</f>
        <v>18420</v>
      </c>
      <c r="I15" s="91">
        <v>16292</v>
      </c>
      <c r="J15" s="92">
        <f t="shared" si="0"/>
        <v>2128</v>
      </c>
      <c r="K15" s="159"/>
      <c r="L15" s="149"/>
      <c r="M15" s="150"/>
    </row>
    <row r="16" spans="1:15">
      <c r="A16" s="10"/>
      <c r="B16" s="6"/>
      <c r="C16" s="147"/>
      <c r="D16" s="129" t="s">
        <v>34</v>
      </c>
      <c r="E16" s="130"/>
      <c r="F16" s="130"/>
      <c r="G16" s="131"/>
      <c r="H16" s="132">
        <f>H17</f>
        <v>18420</v>
      </c>
      <c r="I16" s="132">
        <v>16292</v>
      </c>
      <c r="J16" s="9">
        <f t="shared" si="0"/>
        <v>2128</v>
      </c>
      <c r="K16" s="394"/>
      <c r="L16" s="395"/>
      <c r="M16" s="402"/>
    </row>
    <row r="17" spans="1:15">
      <c r="A17" s="10"/>
      <c r="B17" s="6"/>
      <c r="C17" s="134"/>
      <c r="D17" s="135"/>
      <c r="E17" s="129" t="s">
        <v>31</v>
      </c>
      <c r="F17" s="130"/>
      <c r="G17" s="131"/>
      <c r="H17" s="91">
        <f>SUM(H18,H25,H29,H32)</f>
        <v>18420</v>
      </c>
      <c r="I17" s="91">
        <v>16292</v>
      </c>
      <c r="J17" s="92">
        <f t="shared" si="0"/>
        <v>2128</v>
      </c>
      <c r="K17" s="355"/>
      <c r="L17" s="396"/>
      <c r="M17" s="397"/>
    </row>
    <row r="18" spans="1:15">
      <c r="A18" s="63"/>
      <c r="B18" s="65"/>
      <c r="C18" s="65"/>
      <c r="D18" s="65"/>
      <c r="E18" s="65"/>
      <c r="F18" s="136" t="s">
        <v>35</v>
      </c>
      <c r="G18" s="140"/>
      <c r="H18" s="72">
        <f>SUM(H19,H21)</f>
        <v>6320</v>
      </c>
      <c r="I18" s="72">
        <v>4592</v>
      </c>
      <c r="J18" s="98">
        <f t="shared" si="0"/>
        <v>1728</v>
      </c>
      <c r="K18" s="388"/>
      <c r="L18" s="389"/>
      <c r="M18" s="403"/>
    </row>
    <row r="19" spans="1:15">
      <c r="A19" s="55"/>
      <c r="B19" s="57"/>
      <c r="C19" s="65"/>
      <c r="D19" s="65"/>
      <c r="E19" s="65"/>
      <c r="F19" s="192"/>
      <c r="G19" s="206" t="s">
        <v>36</v>
      </c>
      <c r="H19" s="207">
        <f>M19</f>
        <v>2000</v>
      </c>
      <c r="I19" s="207">
        <v>2000</v>
      </c>
      <c r="J19" s="41">
        <f t="shared" si="0"/>
        <v>0</v>
      </c>
      <c r="K19" s="391" t="s">
        <v>47</v>
      </c>
      <c r="L19" s="418"/>
      <c r="M19" s="393">
        <f>SUM(M20:M20)</f>
        <v>2000</v>
      </c>
    </row>
    <row r="20" spans="1:15">
      <c r="A20" s="55"/>
      <c r="B20" s="57"/>
      <c r="C20" s="65"/>
      <c r="D20" s="65"/>
      <c r="E20" s="65"/>
      <c r="F20" s="56"/>
      <c r="G20" s="56"/>
      <c r="H20" s="100"/>
      <c r="I20" s="100"/>
      <c r="J20" s="102"/>
      <c r="K20" s="602" t="s">
        <v>704</v>
      </c>
      <c r="L20" s="383" t="s">
        <v>37</v>
      </c>
      <c r="M20" s="379">
        <v>2000</v>
      </c>
      <c r="O20" s="590"/>
    </row>
    <row r="21" spans="1:15">
      <c r="A21" s="55"/>
      <c r="B21" s="57"/>
      <c r="C21" s="65"/>
      <c r="D21" s="65"/>
      <c r="E21" s="65"/>
      <c r="F21" s="56"/>
      <c r="G21" s="206" t="s">
        <v>309</v>
      </c>
      <c r="H21" s="207">
        <f>M21</f>
        <v>4320</v>
      </c>
      <c r="I21" s="207">
        <v>2592</v>
      </c>
      <c r="J21" s="208">
        <f>H21-I21</f>
        <v>1728</v>
      </c>
      <c r="K21" s="391" t="s">
        <v>310</v>
      </c>
      <c r="L21" s="530"/>
      <c r="M21" s="393">
        <f>M24</f>
        <v>4320</v>
      </c>
    </row>
    <row r="22" spans="1:15">
      <c r="A22" s="55"/>
      <c r="B22" s="57"/>
      <c r="C22" s="65"/>
      <c r="D22" s="65"/>
      <c r="E22" s="65"/>
      <c r="F22" s="56"/>
      <c r="G22" s="56"/>
      <c r="H22" s="100"/>
      <c r="I22" s="100"/>
      <c r="J22" s="102"/>
      <c r="K22" s="387" t="s">
        <v>738</v>
      </c>
      <c r="L22" s="383" t="s">
        <v>0</v>
      </c>
      <c r="M22" s="379">
        <v>2592</v>
      </c>
      <c r="N22" s="621"/>
    </row>
    <row r="23" spans="1:15">
      <c r="A23" s="55"/>
      <c r="B23" s="57"/>
      <c r="C23" s="65"/>
      <c r="D23" s="65"/>
      <c r="E23" s="65"/>
      <c r="F23" s="56"/>
      <c r="G23" s="56"/>
      <c r="H23" s="100"/>
      <c r="I23" s="100"/>
      <c r="J23" s="102"/>
      <c r="K23" s="622" t="s">
        <v>727</v>
      </c>
      <c r="L23" s="383"/>
      <c r="M23" s="384"/>
      <c r="N23" s="621"/>
    </row>
    <row r="24" spans="1:15">
      <c r="A24" s="63"/>
      <c r="B24" s="65"/>
      <c r="C24" s="65"/>
      <c r="D24" s="65"/>
      <c r="E24" s="65"/>
      <c r="F24" s="56"/>
      <c r="G24" s="56"/>
      <c r="H24" s="100"/>
      <c r="I24" s="100"/>
      <c r="J24" s="102"/>
      <c r="K24" s="626" t="s">
        <v>739</v>
      </c>
      <c r="L24" s="627" t="s">
        <v>37</v>
      </c>
      <c r="M24" s="615">
        <v>4320</v>
      </c>
    </row>
    <row r="25" spans="1:15">
      <c r="A25" s="63"/>
      <c r="B25" s="65"/>
      <c r="C25" s="65"/>
      <c r="D25" s="65"/>
      <c r="E25" s="65"/>
      <c r="F25" s="713" t="s">
        <v>40</v>
      </c>
      <c r="G25" s="714"/>
      <c r="H25" s="152">
        <f>H26</f>
        <v>9000</v>
      </c>
      <c r="I25" s="152">
        <v>9000</v>
      </c>
      <c r="J25" s="153">
        <f>H25-I25</f>
        <v>0</v>
      </c>
      <c r="K25" s="603"/>
      <c r="L25" s="604"/>
      <c r="M25" s="390"/>
    </row>
    <row r="26" spans="1:15">
      <c r="A26" s="63"/>
      <c r="B26" s="65"/>
      <c r="C26" s="65"/>
      <c r="D26" s="65"/>
      <c r="E26" s="65"/>
      <c r="F26" s="109"/>
      <c r="G26" s="199" t="s">
        <v>41</v>
      </c>
      <c r="H26" s="210">
        <f>M26</f>
        <v>9000</v>
      </c>
      <c r="I26" s="207">
        <v>9000</v>
      </c>
      <c r="J26" s="202">
        <f>H26-I26</f>
        <v>0</v>
      </c>
      <c r="K26" s="391" t="s">
        <v>49</v>
      </c>
      <c r="L26" s="605"/>
      <c r="M26" s="393">
        <f>SUM(M27:M28)</f>
        <v>9000</v>
      </c>
    </row>
    <row r="27" spans="1:15">
      <c r="A27" s="63"/>
      <c r="B27" s="65"/>
      <c r="C27" s="65"/>
      <c r="D27" s="65"/>
      <c r="E27" s="65"/>
      <c r="F27" s="194"/>
      <c r="G27" s="194"/>
      <c r="H27" s="100"/>
      <c r="I27" s="104"/>
      <c r="J27" s="102"/>
      <c r="K27" s="387" t="s">
        <v>707</v>
      </c>
      <c r="L27" s="424" t="s">
        <v>0</v>
      </c>
      <c r="M27" s="379">
        <v>2400</v>
      </c>
      <c r="O27" s="590"/>
    </row>
    <row r="28" spans="1:15">
      <c r="A28" s="63"/>
      <c r="B28" s="65"/>
      <c r="C28" s="65"/>
      <c r="D28" s="65"/>
      <c r="E28" s="65"/>
      <c r="F28" s="194"/>
      <c r="G28" s="194"/>
      <c r="H28" s="100"/>
      <c r="I28" s="104"/>
      <c r="J28" s="102"/>
      <c r="K28" s="385" t="s">
        <v>708</v>
      </c>
      <c r="L28" s="528" t="s">
        <v>0</v>
      </c>
      <c r="M28" s="379">
        <v>6600</v>
      </c>
      <c r="O28" s="590"/>
    </row>
    <row r="29" spans="1:15">
      <c r="A29" s="63"/>
      <c r="B29" s="65"/>
      <c r="C29" s="65"/>
      <c r="D29" s="65"/>
      <c r="E29" s="65"/>
      <c r="F29" s="713" t="s">
        <v>42</v>
      </c>
      <c r="G29" s="714"/>
      <c r="H29" s="152">
        <f>H30</f>
        <v>1500</v>
      </c>
      <c r="I29" s="152">
        <v>1500</v>
      </c>
      <c r="J29" s="153">
        <f>H29-I29</f>
        <v>0</v>
      </c>
      <c r="K29" s="603"/>
      <c r="L29" s="604"/>
      <c r="M29" s="390"/>
    </row>
    <row r="30" spans="1:15">
      <c r="A30" s="63"/>
      <c r="B30" s="65"/>
      <c r="C30" s="65"/>
      <c r="D30" s="65"/>
      <c r="E30" s="65"/>
      <c r="F30" s="194"/>
      <c r="G30" s="109" t="s">
        <v>43</v>
      </c>
      <c r="H30" s="210">
        <f>M30</f>
        <v>1500</v>
      </c>
      <c r="I30" s="210">
        <v>1500</v>
      </c>
      <c r="J30" s="202">
        <f>H30-I30</f>
        <v>0</v>
      </c>
      <c r="K30" s="391" t="s">
        <v>507</v>
      </c>
      <c r="L30" s="418"/>
      <c r="M30" s="393">
        <f>SUM(M31)</f>
        <v>1500</v>
      </c>
    </row>
    <row r="31" spans="1:15">
      <c r="A31" s="318"/>
      <c r="B31" s="319"/>
      <c r="C31" s="319"/>
      <c r="D31" s="319"/>
      <c r="E31" s="319"/>
      <c r="F31" s="195"/>
      <c r="G31" s="195"/>
      <c r="H31" s="103"/>
      <c r="I31" s="155"/>
      <c r="J31" s="155"/>
      <c r="K31" s="527" t="s">
        <v>709</v>
      </c>
      <c r="L31" s="528" t="s">
        <v>0</v>
      </c>
      <c r="M31" s="379">
        <v>1500</v>
      </c>
      <c r="O31" s="590"/>
    </row>
    <row r="32" spans="1:15">
      <c r="A32" s="63"/>
      <c r="B32" s="65"/>
      <c r="C32" s="65"/>
      <c r="D32" s="65"/>
      <c r="E32" s="65"/>
      <c r="F32" s="334" t="s">
        <v>89</v>
      </c>
      <c r="G32" s="70"/>
      <c r="H32" s="71">
        <f>SUM(H33,H36)</f>
        <v>1600</v>
      </c>
      <c r="I32" s="71">
        <v>1200</v>
      </c>
      <c r="J32" s="146">
        <f>H32-I32</f>
        <v>400</v>
      </c>
      <c r="K32" s="535"/>
      <c r="L32" s="536"/>
      <c r="M32" s="390"/>
    </row>
    <row r="33" spans="1:14">
      <c r="A33" s="63"/>
      <c r="B33" s="65"/>
      <c r="C33" s="65"/>
      <c r="D33" s="65"/>
      <c r="E33" s="65"/>
      <c r="F33" s="65"/>
      <c r="G33" s="65" t="s">
        <v>740</v>
      </c>
      <c r="H33" s="75">
        <f>M33</f>
        <v>400</v>
      </c>
      <c r="I33" s="75">
        <v>0</v>
      </c>
      <c r="J33" s="48">
        <f>H33-I33</f>
        <v>400</v>
      </c>
      <c r="K33" s="391" t="s">
        <v>742</v>
      </c>
      <c r="L33" s="417"/>
      <c r="M33" s="393">
        <f>M35</f>
        <v>400</v>
      </c>
      <c r="N33" s="621"/>
    </row>
    <row r="34" spans="1:14">
      <c r="A34" s="63"/>
      <c r="B34" s="65"/>
      <c r="C34" s="65"/>
      <c r="D34" s="65"/>
      <c r="E34" s="65"/>
      <c r="F34" s="65"/>
      <c r="G34" s="65"/>
      <c r="H34" s="75"/>
      <c r="I34" s="75"/>
      <c r="J34" s="48"/>
      <c r="K34" s="622" t="s">
        <v>727</v>
      </c>
      <c r="L34" s="416"/>
      <c r="M34" s="384"/>
      <c r="N34" s="621"/>
    </row>
    <row r="35" spans="1:14">
      <c r="A35" s="63"/>
      <c r="B35" s="65"/>
      <c r="C35" s="65"/>
      <c r="D35" s="65"/>
      <c r="E35" s="65"/>
      <c r="F35" s="105"/>
      <c r="G35" s="195"/>
      <c r="H35" s="108"/>
      <c r="I35" s="225"/>
      <c r="J35" s="156"/>
      <c r="K35" s="628" t="s">
        <v>741</v>
      </c>
      <c r="L35" s="629" t="s">
        <v>0</v>
      </c>
      <c r="M35" s="630">
        <v>400</v>
      </c>
      <c r="N35" s="621"/>
    </row>
    <row r="36" spans="1:14">
      <c r="A36" s="63"/>
      <c r="B36" s="65"/>
      <c r="C36" s="65"/>
      <c r="D36" s="65"/>
      <c r="E36" s="65"/>
      <c r="F36" s="65"/>
      <c r="G36" s="65" t="s">
        <v>93</v>
      </c>
      <c r="H36" s="75">
        <f>M36</f>
        <v>1200</v>
      </c>
      <c r="I36" s="75">
        <v>1200</v>
      </c>
      <c r="J36" s="48">
        <f>H36-I36</f>
        <v>0</v>
      </c>
      <c r="K36" s="361" t="s">
        <v>387</v>
      </c>
      <c r="L36" s="416"/>
      <c r="M36" s="384">
        <f>M37</f>
        <v>1200</v>
      </c>
    </row>
    <row r="37" spans="1:14" ht="17.25" thickBot="1">
      <c r="A37" s="290"/>
      <c r="B37" s="69"/>
      <c r="C37" s="69"/>
      <c r="D37" s="69"/>
      <c r="E37" s="69"/>
      <c r="F37" s="336"/>
      <c r="G37" s="200"/>
      <c r="H37" s="337"/>
      <c r="I37" s="338"/>
      <c r="J37" s="339"/>
      <c r="K37" s="231" t="s">
        <v>631</v>
      </c>
      <c r="L37" s="232" t="s">
        <v>0</v>
      </c>
      <c r="M37" s="242">
        <v>1200</v>
      </c>
    </row>
  </sheetData>
  <autoFilter ref="A3:M37">
    <filterColumn colId="10" showButton="0"/>
    <filterColumn colId="11" showButton="0"/>
  </autoFilter>
  <mergeCells count="10">
    <mergeCell ref="K2:M3"/>
    <mergeCell ref="A4:G4"/>
    <mergeCell ref="F25:G25"/>
    <mergeCell ref="F29:G29"/>
    <mergeCell ref="A2:A3"/>
    <mergeCell ref="B2:D2"/>
    <mergeCell ref="E2:G2"/>
    <mergeCell ref="H2:H3"/>
    <mergeCell ref="I2:I3"/>
    <mergeCell ref="J2:J3"/>
  </mergeCells>
  <phoneticPr fontId="12" type="noConversion"/>
  <conditionalFormatting sqref="J30:J31">
    <cfRule type="containsText" dxfId="2075" priority="133" operator="containsText" text="허하나로">
      <formula>NOT(ISERROR(SEARCH("허하나로",H1059)))</formula>
    </cfRule>
    <cfRule type="containsText" dxfId="2074" priority="134" operator="containsText" text="한별">
      <formula>NOT(ISERROR(SEARCH("한별",H1059)))</formula>
    </cfRule>
    <cfRule type="containsText" dxfId="2073" priority="135" operator="containsText" text="정홍조">
      <formula>NOT(ISERROR(SEARCH("정홍조",H1059)))</formula>
    </cfRule>
    <cfRule type="containsText" dxfId="2072" priority="136" operator="containsText" text="김지윤">
      <formula>NOT(ISERROR(SEARCH("김지윤",H1059)))</formula>
    </cfRule>
    <cfRule type="containsText" dxfId="2071" priority="137" operator="containsText" text="전준영">
      <formula>NOT(ISERROR(SEARCH("전준영",H1059)))</formula>
    </cfRule>
    <cfRule type="containsText" dxfId="2070" priority="138" operator="containsText" text="차재성">
      <formula>NOT(ISERROR(SEARCH("차재성",H1059)))</formula>
    </cfRule>
  </conditionalFormatting>
  <conditionalFormatting sqref="J6">
    <cfRule type="containsText" dxfId="2069" priority="145" operator="containsText" text="허하나로">
      <formula>NOT(ISERROR(SEARCH("허하나로",H696)))</formula>
    </cfRule>
    <cfRule type="containsText" dxfId="2068" priority="146" operator="containsText" text="한별">
      <formula>NOT(ISERROR(SEARCH("한별",H696)))</formula>
    </cfRule>
    <cfRule type="containsText" dxfId="2067" priority="147" operator="containsText" text="정홍조">
      <formula>NOT(ISERROR(SEARCH("정홍조",H696)))</formula>
    </cfRule>
    <cfRule type="containsText" dxfId="2066" priority="148" operator="containsText" text="김지윤">
      <formula>NOT(ISERROR(SEARCH("김지윤",H696)))</formula>
    </cfRule>
    <cfRule type="containsText" dxfId="2065" priority="149" operator="containsText" text="전준영">
      <formula>NOT(ISERROR(SEARCH("전준영",H696)))</formula>
    </cfRule>
    <cfRule type="containsText" dxfId="2064" priority="150" operator="containsText" text="차재성">
      <formula>NOT(ISERROR(SEARCH("차재성",H696)))</formula>
    </cfRule>
  </conditionalFormatting>
  <conditionalFormatting sqref="J5">
    <cfRule type="containsText" dxfId="2063" priority="139" operator="containsText" text="허하나로">
      <formula>NOT(ISERROR(SEARCH("허하나로",H695)))</formula>
    </cfRule>
    <cfRule type="containsText" dxfId="2062" priority="140" operator="containsText" text="한별">
      <formula>NOT(ISERROR(SEARCH("한별",H695)))</formula>
    </cfRule>
    <cfRule type="containsText" dxfId="2061" priority="141" operator="containsText" text="정홍조">
      <formula>NOT(ISERROR(SEARCH("정홍조",H695)))</formula>
    </cfRule>
    <cfRule type="containsText" dxfId="2060" priority="142" operator="containsText" text="김지윤">
      <formula>NOT(ISERROR(SEARCH("김지윤",H695)))</formula>
    </cfRule>
    <cfRule type="containsText" dxfId="2059" priority="143" operator="containsText" text="전준영">
      <formula>NOT(ISERROR(SEARCH("전준영",H695)))</formula>
    </cfRule>
    <cfRule type="containsText" dxfId="2058" priority="144" operator="containsText" text="차재성">
      <formula>NOT(ISERROR(SEARCH("차재성",H695)))</formula>
    </cfRule>
  </conditionalFormatting>
  <conditionalFormatting sqref="J15">
    <cfRule type="containsText" dxfId="2057" priority="127" operator="containsText" text="허하나로">
      <formula>NOT(ISERROR(SEARCH("허하나로",H829)))</formula>
    </cfRule>
    <cfRule type="containsText" dxfId="2056" priority="128" operator="containsText" text="한별">
      <formula>NOT(ISERROR(SEARCH("한별",H829)))</formula>
    </cfRule>
    <cfRule type="containsText" dxfId="2055" priority="129" operator="containsText" text="정홍조">
      <formula>NOT(ISERROR(SEARCH("정홍조",H829)))</formula>
    </cfRule>
    <cfRule type="containsText" dxfId="2054" priority="130" operator="containsText" text="김지윤">
      <formula>NOT(ISERROR(SEARCH("김지윤",H829)))</formula>
    </cfRule>
    <cfRule type="containsText" dxfId="2053" priority="131" operator="containsText" text="전준영">
      <formula>NOT(ISERROR(SEARCH("전준영",H829)))</formula>
    </cfRule>
    <cfRule type="containsText" dxfId="2052" priority="132" operator="containsText" text="차재성">
      <formula>NOT(ISERROR(SEARCH("차재성",H829)))</formula>
    </cfRule>
  </conditionalFormatting>
  <conditionalFormatting sqref="J18:J19">
    <cfRule type="containsText" dxfId="2051" priority="121" operator="containsText" text="허하나로">
      <formula>NOT(ISERROR(SEARCH("허하나로",H1037)))</formula>
    </cfRule>
    <cfRule type="containsText" dxfId="2050" priority="122" operator="containsText" text="한별">
      <formula>NOT(ISERROR(SEARCH("한별",H1037)))</formula>
    </cfRule>
    <cfRule type="containsText" dxfId="2049" priority="123" operator="containsText" text="정홍조">
      <formula>NOT(ISERROR(SEARCH("정홍조",H1037)))</formula>
    </cfRule>
    <cfRule type="containsText" dxfId="2048" priority="124" operator="containsText" text="김지윤">
      <formula>NOT(ISERROR(SEARCH("김지윤",H1037)))</formula>
    </cfRule>
    <cfRule type="containsText" dxfId="2047" priority="125" operator="containsText" text="전준영">
      <formula>NOT(ISERROR(SEARCH("전준영",H1037)))</formula>
    </cfRule>
    <cfRule type="containsText" dxfId="2046" priority="126" operator="containsText" text="차재성">
      <formula>NOT(ISERROR(SEARCH("차재성",H1037)))</formula>
    </cfRule>
  </conditionalFormatting>
  <conditionalFormatting sqref="J17">
    <cfRule type="containsText" dxfId="2045" priority="151" operator="containsText" text="허하나로">
      <formula>NOT(ISERROR(SEARCH("허하나로",H1026)))</formula>
    </cfRule>
    <cfRule type="containsText" dxfId="2044" priority="152" operator="containsText" text="한별">
      <formula>NOT(ISERROR(SEARCH("한별",H1026)))</formula>
    </cfRule>
    <cfRule type="containsText" dxfId="2043" priority="153" operator="containsText" text="정홍조">
      <formula>NOT(ISERROR(SEARCH("정홍조",H1026)))</formula>
    </cfRule>
    <cfRule type="containsText" dxfId="2042" priority="154" operator="containsText" text="김지윤">
      <formula>NOT(ISERROR(SEARCH("김지윤",H1026)))</formula>
    </cfRule>
    <cfRule type="containsText" dxfId="2041" priority="155" operator="containsText" text="전준영">
      <formula>NOT(ISERROR(SEARCH("전준영",H1026)))</formula>
    </cfRule>
    <cfRule type="containsText" dxfId="2040" priority="156" operator="containsText" text="차재성">
      <formula>NOT(ISERROR(SEARCH("차재성",H1026)))</formula>
    </cfRule>
  </conditionalFormatting>
  <conditionalFormatting sqref="J25:J28 J21:J22">
    <cfRule type="containsText" dxfId="2039" priority="157" operator="containsText" text="허하나로">
      <formula>NOT(ISERROR(SEARCH("허하나로",H1035)))</formula>
    </cfRule>
    <cfRule type="containsText" dxfId="2038" priority="158" operator="containsText" text="한별">
      <formula>NOT(ISERROR(SEARCH("한별",H1035)))</formula>
    </cfRule>
    <cfRule type="containsText" dxfId="2037" priority="159" operator="containsText" text="정홍조">
      <formula>NOT(ISERROR(SEARCH("정홍조",H1035)))</formula>
    </cfRule>
    <cfRule type="containsText" dxfId="2036" priority="160" operator="containsText" text="김지윤">
      <formula>NOT(ISERROR(SEARCH("김지윤",H1035)))</formula>
    </cfRule>
    <cfRule type="containsText" dxfId="2035" priority="161" operator="containsText" text="전준영">
      <formula>NOT(ISERROR(SEARCH("전준영",H1035)))</formula>
    </cfRule>
    <cfRule type="containsText" dxfId="2034" priority="162" operator="containsText" text="차재성">
      <formula>NOT(ISERROR(SEARCH("차재성",H1035)))</formula>
    </cfRule>
  </conditionalFormatting>
  <conditionalFormatting sqref="J29">
    <cfRule type="containsText" dxfId="2033" priority="115" operator="containsText" text="허하나로">
      <formula>NOT(ISERROR(SEARCH("허하나로",H1043)))</formula>
    </cfRule>
    <cfRule type="containsText" dxfId="2032" priority="116" operator="containsText" text="한별">
      <formula>NOT(ISERROR(SEARCH("한별",H1043)))</formula>
    </cfRule>
    <cfRule type="containsText" dxfId="2031" priority="117" operator="containsText" text="정홍조">
      <formula>NOT(ISERROR(SEARCH("정홍조",H1043)))</formula>
    </cfRule>
    <cfRule type="containsText" dxfId="2030" priority="118" operator="containsText" text="김지윤">
      <formula>NOT(ISERROR(SEARCH("김지윤",H1043)))</formula>
    </cfRule>
    <cfRule type="containsText" dxfId="2029" priority="119" operator="containsText" text="전준영">
      <formula>NOT(ISERROR(SEARCH("전준영",H1043)))</formula>
    </cfRule>
    <cfRule type="containsText" dxfId="2028" priority="120" operator="containsText" text="차재성">
      <formula>NOT(ISERROR(SEARCH("차재성",H1043)))</formula>
    </cfRule>
  </conditionalFormatting>
  <conditionalFormatting sqref="L26">
    <cfRule type="containsText" dxfId="2027" priority="109" operator="containsText" text="허하나로">
      <formula>NOT(ISERROR(SEARCH("허하나로",J1174)))</formula>
    </cfRule>
    <cfRule type="containsText" dxfId="2026" priority="110" operator="containsText" text="한별">
      <formula>NOT(ISERROR(SEARCH("한별",J1174)))</formula>
    </cfRule>
    <cfRule type="containsText" dxfId="2025" priority="111" operator="containsText" text="정홍조">
      <formula>NOT(ISERROR(SEARCH("정홍조",J1174)))</formula>
    </cfRule>
    <cfRule type="containsText" dxfId="2024" priority="112" operator="containsText" text="김지윤">
      <formula>NOT(ISERROR(SEARCH("김지윤",J1174)))</formula>
    </cfRule>
    <cfRule type="containsText" dxfId="2023" priority="113" operator="containsText" text="전준영">
      <formula>NOT(ISERROR(SEARCH("전준영",J1174)))</formula>
    </cfRule>
    <cfRule type="containsText" dxfId="2022" priority="114" operator="containsText" text="차재성">
      <formula>NOT(ISERROR(SEARCH("차재성",J1174)))</formula>
    </cfRule>
  </conditionalFormatting>
  <conditionalFormatting sqref="I31">
    <cfRule type="containsText" dxfId="2021" priority="103" operator="containsText" text="허하나로">
      <formula>NOT(ISERROR(SEARCH("허하나로",G1060)))</formula>
    </cfRule>
    <cfRule type="containsText" dxfId="2020" priority="104" operator="containsText" text="한별">
      <formula>NOT(ISERROR(SEARCH("한별",G1060)))</formula>
    </cfRule>
    <cfRule type="containsText" dxfId="2019" priority="105" operator="containsText" text="정홍조">
      <formula>NOT(ISERROR(SEARCH("정홍조",G1060)))</formula>
    </cfRule>
    <cfRule type="containsText" dxfId="2018" priority="106" operator="containsText" text="김지윤">
      <formula>NOT(ISERROR(SEARCH("김지윤",G1060)))</formula>
    </cfRule>
    <cfRule type="containsText" dxfId="2017" priority="107" operator="containsText" text="전준영">
      <formula>NOT(ISERROR(SEARCH("전준영",G1060)))</formula>
    </cfRule>
    <cfRule type="containsText" dxfId="2016" priority="108" operator="containsText" text="차재성">
      <formula>NOT(ISERROR(SEARCH("차재성",G1060)))</formula>
    </cfRule>
  </conditionalFormatting>
  <conditionalFormatting sqref="J24">
    <cfRule type="containsText" dxfId="2015" priority="97" operator="containsText" text="허하나로">
      <formula>NOT(ISERROR(SEARCH("허하나로",H1036)))</formula>
    </cfRule>
    <cfRule type="containsText" dxfId="2014" priority="98" operator="containsText" text="한별">
      <formula>NOT(ISERROR(SEARCH("한별",H1036)))</formula>
    </cfRule>
    <cfRule type="containsText" dxfId="2013" priority="99" operator="containsText" text="정홍조">
      <formula>NOT(ISERROR(SEARCH("정홍조",H1036)))</formula>
    </cfRule>
    <cfRule type="containsText" dxfId="2012" priority="100" operator="containsText" text="김지윤">
      <formula>NOT(ISERROR(SEARCH("김지윤",H1036)))</formula>
    </cfRule>
    <cfRule type="containsText" dxfId="2011" priority="101" operator="containsText" text="전준영">
      <formula>NOT(ISERROR(SEARCH("전준영",H1036)))</formula>
    </cfRule>
    <cfRule type="containsText" dxfId="2010" priority="102" operator="containsText" text="차재성">
      <formula>NOT(ISERROR(SEARCH("차재성",H1036)))</formula>
    </cfRule>
  </conditionalFormatting>
  <conditionalFormatting sqref="J20">
    <cfRule type="containsText" dxfId="2009" priority="163" operator="containsText" text="허하나로">
      <formula>NOT(ISERROR(SEARCH("허하나로",H1028)))</formula>
    </cfRule>
    <cfRule type="containsText" dxfId="2008" priority="164" operator="containsText" text="한별">
      <formula>NOT(ISERROR(SEARCH("한별",H1028)))</formula>
    </cfRule>
    <cfRule type="containsText" dxfId="2007" priority="165" operator="containsText" text="정홍조">
      <formula>NOT(ISERROR(SEARCH("정홍조",H1028)))</formula>
    </cfRule>
    <cfRule type="containsText" dxfId="2006" priority="166" operator="containsText" text="김지윤">
      <formula>NOT(ISERROR(SEARCH("김지윤",H1028)))</formula>
    </cfRule>
    <cfRule type="containsText" dxfId="2005" priority="167" operator="containsText" text="전준영">
      <formula>NOT(ISERROR(SEARCH("전준영",H1028)))</formula>
    </cfRule>
    <cfRule type="containsText" dxfId="2004" priority="168" operator="containsText" text="차재성">
      <formula>NOT(ISERROR(SEARCH("차재성",H1028)))</formula>
    </cfRule>
  </conditionalFormatting>
  <conditionalFormatting sqref="J2:J3">
    <cfRule type="containsText" dxfId="2003" priority="79" operator="containsText" text="허하나로">
      <formula>NOT(ISERROR(SEARCH("허하나로",H775)))</formula>
    </cfRule>
    <cfRule type="containsText" dxfId="2002" priority="80" operator="containsText" text="한별">
      <formula>NOT(ISERROR(SEARCH("한별",H775)))</formula>
    </cfRule>
    <cfRule type="containsText" dxfId="2001" priority="81" operator="containsText" text="정홍조">
      <formula>NOT(ISERROR(SEARCH("정홍조",H775)))</formula>
    </cfRule>
    <cfRule type="containsText" dxfId="2000" priority="82" operator="containsText" text="김지윤">
      <formula>NOT(ISERROR(SEARCH("김지윤",H775)))</formula>
    </cfRule>
    <cfRule type="containsText" dxfId="1999" priority="83" operator="containsText" text="전준영">
      <formula>NOT(ISERROR(SEARCH("전준영",H775)))</formula>
    </cfRule>
    <cfRule type="containsText" dxfId="1998" priority="84" operator="containsText" text="차재성">
      <formula>NOT(ISERROR(SEARCH("차재성",H775)))</formula>
    </cfRule>
  </conditionalFormatting>
  <conditionalFormatting sqref="J23">
    <cfRule type="containsText" dxfId="1997" priority="4963" operator="containsText" text="허하나로">
      <formula>NOT(ISERROR(SEARCH("허하나로",H1036)))</formula>
    </cfRule>
    <cfRule type="containsText" dxfId="1996" priority="4964" operator="containsText" text="한별">
      <formula>NOT(ISERROR(SEARCH("한별",H1036)))</formula>
    </cfRule>
    <cfRule type="containsText" dxfId="1995" priority="4965" operator="containsText" text="정홍조">
      <formula>NOT(ISERROR(SEARCH("정홍조",H1036)))</formula>
    </cfRule>
    <cfRule type="containsText" dxfId="1994" priority="4966" operator="containsText" text="김지윤">
      <formula>NOT(ISERROR(SEARCH("김지윤",H1036)))</formula>
    </cfRule>
    <cfRule type="containsText" dxfId="1993" priority="4967" operator="containsText" text="전준영">
      <formula>NOT(ISERROR(SEARCH("전준영",H1036)))</formula>
    </cfRule>
    <cfRule type="containsText" dxfId="1992" priority="4968" operator="containsText" text="차재성">
      <formula>NOT(ISERROR(SEARCH("차재성",H1036)))</formula>
    </cfRule>
  </conditionalFormatting>
  <conditionalFormatting sqref="J7">
    <cfRule type="containsText" dxfId="1991" priority="13" operator="containsText" text="허하나로">
      <formula>NOT(ISERROR(SEARCH("허하나로",H832)))</formula>
    </cfRule>
    <cfRule type="containsText" dxfId="1990" priority="14" operator="containsText" text="한별">
      <formula>NOT(ISERROR(SEARCH("한별",H832)))</formula>
    </cfRule>
    <cfRule type="containsText" dxfId="1989" priority="15" operator="containsText" text="정홍조">
      <formula>NOT(ISERROR(SEARCH("정홍조",H832)))</formula>
    </cfRule>
    <cfRule type="containsText" dxfId="1988" priority="16" operator="containsText" text="김지윤">
      <formula>NOT(ISERROR(SEARCH("김지윤",H832)))</formula>
    </cfRule>
    <cfRule type="containsText" dxfId="1987" priority="17" operator="containsText" text="전준영">
      <formula>NOT(ISERROR(SEARCH("전준영",H832)))</formula>
    </cfRule>
    <cfRule type="containsText" dxfId="1986" priority="18" operator="containsText" text="차재성">
      <formula>NOT(ISERROR(SEARCH("차재성",H832)))</formula>
    </cfRule>
  </conditionalFormatting>
  <conditionalFormatting sqref="J10:J12">
    <cfRule type="containsText" dxfId="1985" priority="7" operator="containsText" text="허하나로">
      <formula>NOT(ISERROR(SEARCH("허하나로",H1040)))</formula>
    </cfRule>
    <cfRule type="containsText" dxfId="1984" priority="8" operator="containsText" text="한별">
      <formula>NOT(ISERROR(SEARCH("한별",H1040)))</formula>
    </cfRule>
    <cfRule type="containsText" dxfId="1983" priority="9" operator="containsText" text="정홍조">
      <formula>NOT(ISERROR(SEARCH("정홍조",H1040)))</formula>
    </cfRule>
    <cfRule type="containsText" dxfId="1982" priority="10" operator="containsText" text="김지윤">
      <formula>NOT(ISERROR(SEARCH("김지윤",H1040)))</formula>
    </cfRule>
    <cfRule type="containsText" dxfId="1981" priority="11" operator="containsText" text="전준영">
      <formula>NOT(ISERROR(SEARCH("전준영",H1040)))</formula>
    </cfRule>
    <cfRule type="containsText" dxfId="1980" priority="12" operator="containsText" text="차재성">
      <formula>NOT(ISERROR(SEARCH("차재성",H1040)))</formula>
    </cfRule>
  </conditionalFormatting>
  <conditionalFormatting sqref="J9">
    <cfRule type="containsText" dxfId="1979" priority="19" operator="containsText" text="허하나로">
      <formula>NOT(ISERROR(SEARCH("허하나로",H1029)))</formula>
    </cfRule>
    <cfRule type="containsText" dxfId="1978" priority="20" operator="containsText" text="한별">
      <formula>NOT(ISERROR(SEARCH("한별",H1029)))</formula>
    </cfRule>
    <cfRule type="containsText" dxfId="1977" priority="21" operator="containsText" text="정홍조">
      <formula>NOT(ISERROR(SEARCH("정홍조",H1029)))</formula>
    </cfRule>
    <cfRule type="containsText" dxfId="1976" priority="22" operator="containsText" text="김지윤">
      <formula>NOT(ISERROR(SEARCH("김지윤",H1029)))</formula>
    </cfRule>
    <cfRule type="containsText" dxfId="1975" priority="23" operator="containsText" text="전준영">
      <formula>NOT(ISERROR(SEARCH("전준영",H1029)))</formula>
    </cfRule>
    <cfRule type="containsText" dxfId="1974" priority="24" operator="containsText" text="차재성">
      <formula>NOT(ISERROR(SEARCH("차재성",H1029)))</formula>
    </cfRule>
  </conditionalFormatting>
  <conditionalFormatting sqref="J14">
    <cfRule type="containsText" dxfId="1973" priority="25" operator="containsText" text="허하나로">
      <formula>NOT(ISERROR(SEARCH("허하나로",H1031)))</formula>
    </cfRule>
    <cfRule type="containsText" dxfId="1972" priority="26" operator="containsText" text="한별">
      <formula>NOT(ISERROR(SEARCH("한별",H1031)))</formula>
    </cfRule>
    <cfRule type="containsText" dxfId="1971" priority="27" operator="containsText" text="정홍조">
      <formula>NOT(ISERROR(SEARCH("정홍조",H1031)))</formula>
    </cfRule>
    <cfRule type="containsText" dxfId="1970" priority="28" operator="containsText" text="김지윤">
      <formula>NOT(ISERROR(SEARCH("김지윤",H1031)))</formula>
    </cfRule>
    <cfRule type="containsText" dxfId="1969" priority="29" operator="containsText" text="전준영">
      <formula>NOT(ISERROR(SEARCH("전준영",H1031)))</formula>
    </cfRule>
    <cfRule type="containsText" dxfId="1968" priority="30" operator="containsText" text="차재성">
      <formula>NOT(ISERROR(SEARCH("차재성",H1031)))</formula>
    </cfRule>
  </conditionalFormatting>
  <conditionalFormatting sqref="J13">
    <cfRule type="containsText" dxfId="1967" priority="1" operator="containsText" text="허하나로">
      <formula>NOT(ISERROR(SEARCH("허하나로",H1030)))</formula>
    </cfRule>
    <cfRule type="containsText" dxfId="1966" priority="2" operator="containsText" text="한별">
      <formula>NOT(ISERROR(SEARCH("한별",H1030)))</formula>
    </cfRule>
    <cfRule type="containsText" dxfId="1965" priority="3" operator="containsText" text="정홍조">
      <formula>NOT(ISERROR(SEARCH("정홍조",H1030)))</formula>
    </cfRule>
    <cfRule type="containsText" dxfId="1964" priority="4" operator="containsText" text="김지윤">
      <formula>NOT(ISERROR(SEARCH("김지윤",H1030)))</formula>
    </cfRule>
    <cfRule type="containsText" dxfId="1963" priority="5" operator="containsText" text="전준영">
      <formula>NOT(ISERROR(SEARCH("전준영",H1030)))</formula>
    </cfRule>
    <cfRule type="containsText" dxfId="1962" priority="6" operator="containsText" text="차재성">
      <formula>NOT(ISERROR(SEARCH("차재성",H1030)))</formula>
    </cfRule>
  </conditionalFormatting>
  <pageMargins left="0.25" right="0.25" top="0.75" bottom="0.75" header="0.3" footer="0.3"/>
  <pageSetup paperSize="9" scale="72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1" operator="containsText" text="허하나로" id="{95120B36-3164-47DE-878C-4F82023BF8D5}">
            <xm:f>NOT(ISERROR(SEARCH("허하나로",행정관리부!H1051)))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2" operator="containsText" text="한별" id="{D185590A-7187-44A2-943C-FD73FE554E4D}">
            <xm:f>NOT(ISERROR(SEARCH("한별",행정관리부!H1051)))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3" operator="containsText" text="정홍조" id="{6AC6A331-9FDC-489C-A304-5ECD53F79C31}">
            <xm:f>NOT(ISERROR(SEARCH("정홍조",행정관리부!H1051)))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94" operator="containsText" text="김지윤" id="{6B08EBCC-36A2-4166-AF2B-5F798FB5BE38}">
            <xm:f>NOT(ISERROR(SEARCH("김지윤",행정관리부!H1051)))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" operator="containsText" text="전준영" id="{1858AA5C-AF06-4BDC-A28D-73467D4B22C5}">
            <xm:f>NOT(ISERROR(SEARCH("전준영",행정관리부!H1051)))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text="차재성" id="{6AD262E2-8096-498A-B201-0CED1A8D1D2A}">
            <xm:f>NOT(ISERROR(SEARCH("차재성",행정관리부!H1051)))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J37 J35</xm:sqref>
        </x14:conditionalFormatting>
        <x14:conditionalFormatting xmlns:xm="http://schemas.microsoft.com/office/excel/2006/main">
          <x14:cfRule type="containsText" priority="85" operator="containsText" text="허하나로" id="{06743285-5893-415C-8B2B-416879D9216D}">
            <xm:f>NOT(ISERROR(SEARCH("허하나로",행정관리부!H1109)))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A5420FC7-7D10-40B5-BB00-FE1EE480D5B2}">
            <xm:f>NOT(ISERROR(SEARCH("한별",행정관리부!H1109)))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1C42F33B-AEB4-41E2-8362-9AA66780B06F}">
            <xm:f>NOT(ISERROR(SEARCH("정홍조",행정관리부!H1109)))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579A7546-8240-4E03-BF5A-F7CD2B0DECF0}">
            <xm:f>NOT(ISERROR(SEARCH("김지윤",행정관리부!H1109)))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8A90192D-DE88-4FDC-B4BC-FEF230653292}">
            <xm:f>NOT(ISERROR(SEARCH("전준영",행정관리부!H1109)))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240E1230-3F39-4218-855C-9C66DA702372}">
            <xm:f>NOT(ISERROR(SEARCH("차재성",행정관리부!H1109)))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J32</xm:sqref>
        </x14:conditionalFormatting>
        <x14:conditionalFormatting xmlns:xm="http://schemas.microsoft.com/office/excel/2006/main">
          <x14:cfRule type="containsText" priority="4981" operator="containsText" text="허하나로" id="{06743285-5893-415C-8B2B-416879D9216D}">
            <xm:f>NOT(ISERROR(SEARCH("허하나로",행정관리부!H1110)))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982" operator="containsText" text="한별" id="{A5420FC7-7D10-40B5-BB00-FE1EE480D5B2}">
            <xm:f>NOT(ISERROR(SEARCH("한별",행정관리부!H1110)))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983" operator="containsText" text="정홍조" id="{1C42F33B-AEB4-41E2-8362-9AA66780B06F}">
            <xm:f>NOT(ISERROR(SEARCH("정홍조",행정관리부!H1110)))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984" operator="containsText" text="김지윤" id="{579A7546-8240-4E03-BF5A-F7CD2B0DECF0}">
            <xm:f>NOT(ISERROR(SEARCH("김지윤",행정관리부!H1110)))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985" operator="containsText" text="전준영" id="{8A90192D-DE88-4FDC-B4BC-FEF230653292}">
            <xm:f>NOT(ISERROR(SEARCH("전준영",행정관리부!H1110)))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986" operator="containsText" text="차재성" id="{240E1230-3F39-4218-855C-9C66DA702372}">
            <xm:f>NOT(ISERROR(SEARCH("차재성",행정관리부!H1110)))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ontainsText" priority="37" operator="containsText" text="허하나로" id="{20DE3E9F-38D2-4000-959E-58BDC4B888FF}">
            <xm:f>NOT(ISERROR(SEARCH("허하나로",행정관리부!H1108)))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CE50E4E2-6E8A-4ED5-8E01-9F4AFD45B439}">
            <xm:f>NOT(ISERROR(SEARCH("한별",행정관리부!H1108)))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8B72A368-698B-4CF9-928E-8728E43B9950}">
            <xm:f>NOT(ISERROR(SEARCH("정홍조",행정관리부!H1108)))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196D5516-0532-43D2-9725-8A672A082245}">
            <xm:f>NOT(ISERROR(SEARCH("김지윤",행정관리부!H1108)))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4F45E810-CFE8-470C-B119-0BC4DC95FFC8}">
            <xm:f>NOT(ISERROR(SEARCH("전준영",행정관리부!H1108)))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2CCC663D-DDBF-4795-8F3E-204DC951FEA8}">
            <xm:f>NOT(ISERROR(SEARCH("차재성",행정관리부!H1108)))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J33:J34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O161"/>
  <sheetViews>
    <sheetView zoomScale="85" zoomScaleNormal="85" workbookViewId="0">
      <selection activeCell="G12" sqref="G12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25" customWidth="1"/>
    <col min="10" max="10" width="14.625" customWidth="1"/>
    <col min="11" max="11" width="63.125" customWidth="1"/>
    <col min="12" max="12" width="3.875" customWidth="1"/>
    <col min="13" max="13" width="11.625" style="237" customWidth="1"/>
    <col min="14" max="14" width="9.875" style="591" bestFit="1" customWidth="1"/>
    <col min="15" max="15" width="12" bestFit="1" customWidth="1"/>
  </cols>
  <sheetData>
    <row r="1" spans="1:13" ht="17.25" thickBot="1">
      <c r="A1" s="88" t="s">
        <v>172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3" ht="16.5" customHeight="1">
      <c r="A2" s="715" t="s">
        <v>21</v>
      </c>
      <c r="B2" s="717" t="s">
        <v>22</v>
      </c>
      <c r="C2" s="718"/>
      <c r="D2" s="719"/>
      <c r="E2" s="717" t="s">
        <v>23</v>
      </c>
      <c r="F2" s="718"/>
      <c r="G2" s="719"/>
      <c r="H2" s="693" t="s">
        <v>728</v>
      </c>
      <c r="I2" s="693" t="s">
        <v>729</v>
      </c>
      <c r="J2" s="720" t="s">
        <v>467</v>
      </c>
      <c r="K2" s="704" t="s">
        <v>1</v>
      </c>
      <c r="L2" s="705"/>
      <c r="M2" s="706"/>
    </row>
    <row r="3" spans="1:13" ht="17.25" thickBot="1">
      <c r="A3" s="716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94"/>
      <c r="I3" s="694"/>
      <c r="J3" s="721"/>
      <c r="K3" s="707"/>
      <c r="L3" s="708"/>
      <c r="M3" s="709"/>
    </row>
    <row r="4" spans="1:13" ht="17.25" thickBot="1">
      <c r="A4" s="710" t="s">
        <v>30</v>
      </c>
      <c r="B4" s="711"/>
      <c r="C4" s="711"/>
      <c r="D4" s="711"/>
      <c r="E4" s="711"/>
      <c r="F4" s="711"/>
      <c r="G4" s="712"/>
      <c r="H4" s="185">
        <f>H5</f>
        <v>1092031</v>
      </c>
      <c r="I4" s="185">
        <v>974983</v>
      </c>
      <c r="J4" s="120">
        <f>H4-I4</f>
        <v>117048</v>
      </c>
      <c r="K4" s="89"/>
      <c r="L4" s="90"/>
      <c r="M4" s="234"/>
    </row>
    <row r="5" spans="1:13">
      <c r="A5" s="455" t="s">
        <v>2</v>
      </c>
      <c r="B5" s="456"/>
      <c r="C5" s="457"/>
      <c r="D5" s="457"/>
      <c r="E5" s="457"/>
      <c r="F5" s="457"/>
      <c r="G5" s="458"/>
      <c r="H5" s="95">
        <f>H6</f>
        <v>1092031</v>
      </c>
      <c r="I5" s="95">
        <v>974983</v>
      </c>
      <c r="J5" s="95">
        <f>H5-I5</f>
        <v>117048</v>
      </c>
      <c r="K5" s="407"/>
      <c r="L5" s="408"/>
      <c r="M5" s="426"/>
    </row>
    <row r="6" spans="1:13">
      <c r="A6" s="459"/>
      <c r="B6" s="353" t="s">
        <v>262</v>
      </c>
      <c r="C6" s="353"/>
      <c r="D6" s="460"/>
      <c r="E6" s="460"/>
      <c r="F6" s="460"/>
      <c r="G6" s="461"/>
      <c r="H6" s="95">
        <f>SUM(H7,H21)</f>
        <v>1092031</v>
      </c>
      <c r="I6" s="95">
        <v>974983</v>
      </c>
      <c r="J6" s="95">
        <f>H6-I6</f>
        <v>117048</v>
      </c>
      <c r="K6" s="407"/>
      <c r="L6" s="408"/>
      <c r="M6" s="426"/>
    </row>
    <row r="7" spans="1:13">
      <c r="A7" s="459"/>
      <c r="B7" s="462"/>
      <c r="C7" s="353" t="s">
        <v>332</v>
      </c>
      <c r="D7" s="460"/>
      <c r="E7" s="460"/>
      <c r="F7" s="460"/>
      <c r="G7" s="461"/>
      <c r="H7" s="95">
        <f>H8</f>
        <v>26100</v>
      </c>
      <c r="I7" s="95">
        <v>26100</v>
      </c>
      <c r="J7" s="95">
        <f t="shared" ref="J7" si="0">H7-I7</f>
        <v>0</v>
      </c>
      <c r="K7" s="407"/>
      <c r="L7" s="408"/>
      <c r="M7" s="426"/>
    </row>
    <row r="8" spans="1:13">
      <c r="A8" s="459"/>
      <c r="B8" s="462"/>
      <c r="C8" s="462"/>
      <c r="D8" s="353" t="s">
        <v>333</v>
      </c>
      <c r="E8" s="460"/>
      <c r="F8" s="460"/>
      <c r="G8" s="461"/>
      <c r="H8" s="463">
        <f>H9</f>
        <v>26100</v>
      </c>
      <c r="I8" s="463">
        <v>26100</v>
      </c>
      <c r="J8" s="92">
        <f>H8-I8</f>
        <v>0</v>
      </c>
      <c r="K8" s="354"/>
      <c r="L8" s="410"/>
      <c r="M8" s="426"/>
    </row>
    <row r="9" spans="1:13">
      <c r="A9" s="459"/>
      <c r="B9" s="462"/>
      <c r="C9" s="464"/>
      <c r="D9" s="465"/>
      <c r="E9" s="353" t="s">
        <v>31</v>
      </c>
      <c r="F9" s="460"/>
      <c r="G9" s="461"/>
      <c r="H9" s="92">
        <f>H10</f>
        <v>26100</v>
      </c>
      <c r="I9" s="92">
        <v>26100</v>
      </c>
      <c r="J9" s="92">
        <f>H9-I9</f>
        <v>0</v>
      </c>
      <c r="K9" s="355"/>
      <c r="L9" s="396"/>
      <c r="M9" s="466"/>
    </row>
    <row r="10" spans="1:13">
      <c r="A10" s="362"/>
      <c r="B10" s="363"/>
      <c r="C10" s="363"/>
      <c r="D10" s="363"/>
      <c r="E10" s="363"/>
      <c r="F10" s="470" t="s">
        <v>61</v>
      </c>
      <c r="G10" s="473"/>
      <c r="H10" s="98">
        <f>SUM(H11,H19)</f>
        <v>26100</v>
      </c>
      <c r="I10" s="98">
        <v>26100</v>
      </c>
      <c r="J10" s="98">
        <f>H10-I10</f>
        <v>0</v>
      </c>
      <c r="K10" s="388"/>
      <c r="L10" s="389"/>
      <c r="M10" s="390"/>
    </row>
    <row r="11" spans="1:13">
      <c r="A11" s="362"/>
      <c r="B11" s="363"/>
      <c r="C11" s="363"/>
      <c r="D11" s="363"/>
      <c r="E11" s="363"/>
      <c r="F11" s="474"/>
      <c r="G11" s="363" t="s">
        <v>36</v>
      </c>
      <c r="H11" s="475">
        <f>SUM(M11,M13,M17)</f>
        <v>24900</v>
      </c>
      <c r="I11" s="475">
        <v>24900</v>
      </c>
      <c r="J11" s="50">
        <f>H11-I11</f>
        <v>0</v>
      </c>
      <c r="K11" s="391" t="s">
        <v>47</v>
      </c>
      <c r="L11" s="417"/>
      <c r="M11" s="393">
        <f>SUM(M12:M12)</f>
        <v>800</v>
      </c>
    </row>
    <row r="12" spans="1:13">
      <c r="A12" s="362"/>
      <c r="B12" s="363"/>
      <c r="C12" s="363"/>
      <c r="D12" s="363"/>
      <c r="E12" s="363"/>
      <c r="F12" s="474"/>
      <c r="G12" s="363"/>
      <c r="H12" s="475"/>
      <c r="I12" s="475"/>
      <c r="J12" s="50"/>
      <c r="K12" s="387" t="s">
        <v>510</v>
      </c>
      <c r="L12" s="383" t="s">
        <v>0</v>
      </c>
      <c r="M12" s="379">
        <v>800</v>
      </c>
    </row>
    <row r="13" spans="1:13">
      <c r="A13" s="362"/>
      <c r="B13" s="363"/>
      <c r="C13" s="363"/>
      <c r="D13" s="363"/>
      <c r="E13" s="363"/>
      <c r="F13" s="474"/>
      <c r="G13" s="363"/>
      <c r="H13" s="475"/>
      <c r="I13" s="475"/>
      <c r="J13" s="50"/>
      <c r="K13" s="361" t="s">
        <v>62</v>
      </c>
      <c r="L13" s="383"/>
      <c r="M13" s="384">
        <f>SUM(M14:M16)</f>
        <v>21300</v>
      </c>
    </row>
    <row r="14" spans="1:13">
      <c r="A14" s="362"/>
      <c r="B14" s="363"/>
      <c r="C14" s="363"/>
      <c r="D14" s="363"/>
      <c r="E14" s="363"/>
      <c r="F14" s="474"/>
      <c r="G14" s="363"/>
      <c r="H14" s="475"/>
      <c r="I14" s="475"/>
      <c r="J14" s="50"/>
      <c r="K14" s="387" t="s">
        <v>511</v>
      </c>
      <c r="L14" s="383" t="s">
        <v>0</v>
      </c>
      <c r="M14" s="379">
        <v>12600</v>
      </c>
    </row>
    <row r="15" spans="1:13">
      <c r="A15" s="362"/>
      <c r="B15" s="363"/>
      <c r="C15" s="363"/>
      <c r="D15" s="363"/>
      <c r="E15" s="363"/>
      <c r="F15" s="474"/>
      <c r="G15" s="363"/>
      <c r="H15" s="475"/>
      <c r="I15" s="475"/>
      <c r="J15" s="50"/>
      <c r="K15" s="387" t="s">
        <v>512</v>
      </c>
      <c r="L15" s="383" t="s">
        <v>0</v>
      </c>
      <c r="M15" s="379">
        <v>8400</v>
      </c>
    </row>
    <row r="16" spans="1:13">
      <c r="A16" s="362"/>
      <c r="B16" s="363"/>
      <c r="C16" s="363"/>
      <c r="D16" s="363"/>
      <c r="E16" s="363"/>
      <c r="F16" s="474"/>
      <c r="G16" s="363"/>
      <c r="H16" s="475"/>
      <c r="I16" s="475"/>
      <c r="J16" s="50"/>
      <c r="K16" s="387" t="s">
        <v>737</v>
      </c>
      <c r="L16" s="383" t="s">
        <v>0</v>
      </c>
      <c r="M16" s="379">
        <v>300</v>
      </c>
    </row>
    <row r="17" spans="1:15">
      <c r="A17" s="362"/>
      <c r="B17" s="363"/>
      <c r="C17" s="363"/>
      <c r="D17" s="363"/>
      <c r="E17" s="363"/>
      <c r="F17" s="474"/>
      <c r="G17" s="363"/>
      <c r="H17" s="50"/>
      <c r="I17" s="50"/>
      <c r="J17" s="50"/>
      <c r="K17" s="361" t="s">
        <v>436</v>
      </c>
      <c r="L17" s="383"/>
      <c r="M17" s="384">
        <f>M18</f>
        <v>2800</v>
      </c>
    </row>
    <row r="18" spans="1:15">
      <c r="A18" s="362"/>
      <c r="B18" s="363"/>
      <c r="C18" s="363"/>
      <c r="D18" s="363"/>
      <c r="E18" s="363"/>
      <c r="F18" s="474"/>
      <c r="G18" s="476"/>
      <c r="H18" s="477"/>
      <c r="I18" s="477"/>
      <c r="J18" s="146"/>
      <c r="K18" s="385" t="s">
        <v>713</v>
      </c>
      <c r="L18" s="378" t="s">
        <v>0</v>
      </c>
      <c r="M18" s="379">
        <v>2800</v>
      </c>
    </row>
    <row r="19" spans="1:15">
      <c r="A19" s="362"/>
      <c r="B19" s="363"/>
      <c r="C19" s="363"/>
      <c r="D19" s="363"/>
      <c r="E19" s="363"/>
      <c r="F19" s="474"/>
      <c r="G19" s="363" t="s">
        <v>65</v>
      </c>
      <c r="H19" s="475">
        <f>M19</f>
        <v>1200</v>
      </c>
      <c r="I19" s="475">
        <v>1200</v>
      </c>
      <c r="J19" s="50">
        <f>H19-I19</f>
        <v>0</v>
      </c>
      <c r="K19" s="391" t="s">
        <v>64</v>
      </c>
      <c r="L19" s="416"/>
      <c r="M19" s="393">
        <f>M20</f>
        <v>1200</v>
      </c>
    </row>
    <row r="20" spans="1:15">
      <c r="A20" s="362"/>
      <c r="B20" s="363"/>
      <c r="C20" s="363"/>
      <c r="D20" s="363"/>
      <c r="E20" s="363"/>
      <c r="F20" s="474"/>
      <c r="G20" s="476"/>
      <c r="H20" s="477"/>
      <c r="I20" s="477"/>
      <c r="J20" s="146"/>
      <c r="K20" s="385" t="s">
        <v>513</v>
      </c>
      <c r="L20" s="378" t="s">
        <v>0</v>
      </c>
      <c r="M20" s="379">
        <v>1200</v>
      </c>
    </row>
    <row r="21" spans="1:15">
      <c r="A21" s="459"/>
      <c r="B21" s="462"/>
      <c r="C21" s="179" t="s">
        <v>66</v>
      </c>
      <c r="D21" s="460"/>
      <c r="E21" s="460"/>
      <c r="F21" s="460"/>
      <c r="G21" s="461"/>
      <c r="H21" s="92">
        <f>H22</f>
        <v>1065931</v>
      </c>
      <c r="I21" s="92">
        <v>948883</v>
      </c>
      <c r="J21" s="92">
        <f>H21-I21</f>
        <v>117048</v>
      </c>
      <c r="K21" s="401"/>
      <c r="L21" s="395"/>
      <c r="M21" s="402"/>
    </row>
    <row r="22" spans="1:15">
      <c r="A22" s="459"/>
      <c r="B22" s="462"/>
      <c r="C22" s="480"/>
      <c r="D22" s="353" t="s">
        <v>34</v>
      </c>
      <c r="E22" s="460"/>
      <c r="F22" s="460"/>
      <c r="G22" s="461"/>
      <c r="H22" s="463">
        <f>SUM(H23,H48,H119)</f>
        <v>1065931</v>
      </c>
      <c r="I22" s="463">
        <v>948883</v>
      </c>
      <c r="J22" s="92">
        <f>H22-I22</f>
        <v>117048</v>
      </c>
      <c r="K22" s="394"/>
      <c r="L22" s="395"/>
      <c r="M22" s="402"/>
    </row>
    <row r="23" spans="1:15">
      <c r="A23" s="459"/>
      <c r="B23" s="462"/>
      <c r="C23" s="464"/>
      <c r="D23" s="465"/>
      <c r="E23" s="353" t="s">
        <v>67</v>
      </c>
      <c r="F23" s="460"/>
      <c r="G23" s="461"/>
      <c r="H23" s="92">
        <f>SUM(H24,H43)</f>
        <v>704837</v>
      </c>
      <c r="I23" s="92">
        <v>703910</v>
      </c>
      <c r="J23" s="92">
        <f>H23-I23</f>
        <v>927</v>
      </c>
      <c r="K23" s="355"/>
      <c r="L23" s="396"/>
      <c r="M23" s="466"/>
    </row>
    <row r="24" spans="1:15">
      <c r="A24" s="362"/>
      <c r="B24" s="363"/>
      <c r="C24" s="363"/>
      <c r="D24" s="363"/>
      <c r="E24" s="363"/>
      <c r="F24" s="470" t="s">
        <v>68</v>
      </c>
      <c r="G24" s="473"/>
      <c r="H24" s="98">
        <f>SUM(H25,H30,H39)</f>
        <v>652637</v>
      </c>
      <c r="I24" s="98">
        <v>651710</v>
      </c>
      <c r="J24" s="98">
        <f>H24-I24</f>
        <v>927</v>
      </c>
      <c r="K24" s="388"/>
      <c r="L24" s="389"/>
      <c r="M24" s="390"/>
    </row>
    <row r="25" spans="1:15">
      <c r="A25" s="481"/>
      <c r="B25" s="482"/>
      <c r="C25" s="363"/>
      <c r="D25" s="363"/>
      <c r="E25" s="363"/>
      <c r="F25" s="483"/>
      <c r="G25" s="484" t="s">
        <v>69</v>
      </c>
      <c r="H25" s="485">
        <f>SUM(M25,M28)</f>
        <v>402600</v>
      </c>
      <c r="I25" s="485">
        <v>402600</v>
      </c>
      <c r="J25" s="41">
        <f>H25-I25</f>
        <v>0</v>
      </c>
      <c r="K25" s="391" t="s">
        <v>70</v>
      </c>
      <c r="L25" s="418"/>
      <c r="M25" s="393">
        <f>SUM(M26:M27)</f>
        <v>303600</v>
      </c>
    </row>
    <row r="26" spans="1:15">
      <c r="A26" s="481"/>
      <c r="B26" s="482"/>
      <c r="C26" s="363"/>
      <c r="D26" s="363"/>
      <c r="E26" s="363"/>
      <c r="F26" s="486"/>
      <c r="G26" s="487"/>
      <c r="H26" s="488"/>
      <c r="I26" s="488"/>
      <c r="J26" s="50"/>
      <c r="K26" s="387" t="s">
        <v>674</v>
      </c>
      <c r="L26" s="383" t="s">
        <v>0</v>
      </c>
      <c r="M26" s="379">
        <v>13200</v>
      </c>
      <c r="O26" s="590"/>
    </row>
    <row r="27" spans="1:15">
      <c r="A27" s="481"/>
      <c r="B27" s="482"/>
      <c r="C27" s="363"/>
      <c r="D27" s="363"/>
      <c r="E27" s="363"/>
      <c r="F27" s="486"/>
      <c r="G27" s="487"/>
      <c r="H27" s="488"/>
      <c r="I27" s="488"/>
      <c r="J27" s="50"/>
      <c r="K27" s="387" t="s">
        <v>675</v>
      </c>
      <c r="L27" s="383" t="s">
        <v>0</v>
      </c>
      <c r="M27" s="379">
        <v>290400</v>
      </c>
      <c r="O27" s="590"/>
    </row>
    <row r="28" spans="1:15">
      <c r="A28" s="481"/>
      <c r="B28" s="482"/>
      <c r="C28" s="363"/>
      <c r="D28" s="363"/>
      <c r="E28" s="363"/>
      <c r="F28" s="486"/>
      <c r="G28" s="487"/>
      <c r="H28" s="488"/>
      <c r="I28" s="488"/>
      <c r="J28" s="50"/>
      <c r="K28" s="361" t="s">
        <v>71</v>
      </c>
      <c r="L28" s="383"/>
      <c r="M28" s="384">
        <f>M29</f>
        <v>99000</v>
      </c>
    </row>
    <row r="29" spans="1:15">
      <c r="A29" s="481"/>
      <c r="B29" s="482"/>
      <c r="C29" s="363"/>
      <c r="D29" s="363"/>
      <c r="E29" s="363"/>
      <c r="F29" s="486"/>
      <c r="G29" s="487"/>
      <c r="H29" s="488"/>
      <c r="I29" s="488"/>
      <c r="J29" s="50"/>
      <c r="K29" s="387" t="s">
        <v>676</v>
      </c>
      <c r="L29" s="383" t="s">
        <v>0</v>
      </c>
      <c r="M29" s="379">
        <v>99000</v>
      </c>
      <c r="O29" s="590"/>
    </row>
    <row r="30" spans="1:15">
      <c r="A30" s="481"/>
      <c r="B30" s="482"/>
      <c r="C30" s="363"/>
      <c r="D30" s="363"/>
      <c r="E30" s="363"/>
      <c r="F30" s="486"/>
      <c r="G30" s="484" t="s">
        <v>313</v>
      </c>
      <c r="H30" s="485">
        <f>SUM(M30,M36)</f>
        <v>220208</v>
      </c>
      <c r="I30" s="485">
        <v>219281</v>
      </c>
      <c r="J30" s="41">
        <f>H30-I30</f>
        <v>927</v>
      </c>
      <c r="K30" s="391" t="s">
        <v>456</v>
      </c>
      <c r="L30" s="418"/>
      <c r="M30" s="393">
        <f>SUM(M34:M35)</f>
        <v>98208</v>
      </c>
    </row>
    <row r="31" spans="1:15">
      <c r="A31" s="481"/>
      <c r="B31" s="482"/>
      <c r="C31" s="363"/>
      <c r="D31" s="363"/>
      <c r="E31" s="363"/>
      <c r="F31" s="486"/>
      <c r="G31" s="487"/>
      <c r="H31" s="488"/>
      <c r="I31" s="488"/>
      <c r="J31" s="50"/>
      <c r="K31" s="387" t="s">
        <v>514</v>
      </c>
      <c r="L31" s="383" t="s">
        <v>0</v>
      </c>
      <c r="M31" s="379">
        <v>93154</v>
      </c>
      <c r="O31" s="323"/>
    </row>
    <row r="32" spans="1:15" ht="17.25" customHeight="1">
      <c r="A32" s="481"/>
      <c r="B32" s="482"/>
      <c r="C32" s="363"/>
      <c r="D32" s="363"/>
      <c r="E32" s="363"/>
      <c r="F32" s="486"/>
      <c r="G32" s="487"/>
      <c r="H32" s="488"/>
      <c r="I32" s="488"/>
      <c r="J32" s="50"/>
      <c r="K32" s="387" t="s">
        <v>515</v>
      </c>
      <c r="L32" s="383" t="s">
        <v>455</v>
      </c>
      <c r="M32" s="379">
        <v>4127</v>
      </c>
      <c r="O32" s="323"/>
    </row>
    <row r="33" spans="1:15" ht="17.25" customHeight="1">
      <c r="A33" s="481"/>
      <c r="B33" s="482"/>
      <c r="C33" s="363"/>
      <c r="D33" s="363"/>
      <c r="E33" s="363"/>
      <c r="F33" s="486"/>
      <c r="G33" s="487"/>
      <c r="H33" s="488"/>
      <c r="I33" s="488"/>
      <c r="J33" s="50"/>
      <c r="K33" s="622" t="s">
        <v>727</v>
      </c>
      <c r="L33" s="383"/>
      <c r="M33" s="379"/>
      <c r="N33" s="621"/>
      <c r="O33" s="323"/>
    </row>
    <row r="34" spans="1:15" ht="17.25" customHeight="1">
      <c r="A34" s="481"/>
      <c r="B34" s="482"/>
      <c r="C34" s="363"/>
      <c r="D34" s="363"/>
      <c r="E34" s="363"/>
      <c r="F34" s="486"/>
      <c r="G34" s="487"/>
      <c r="H34" s="488"/>
      <c r="I34" s="488"/>
      <c r="J34" s="50"/>
      <c r="K34" s="631" t="s">
        <v>745</v>
      </c>
      <c r="L34" s="625" t="s">
        <v>744</v>
      </c>
      <c r="M34" s="615">
        <v>94041</v>
      </c>
      <c r="N34" s="621"/>
      <c r="O34" s="323"/>
    </row>
    <row r="35" spans="1:15" ht="17.25" customHeight="1">
      <c r="A35" s="481"/>
      <c r="B35" s="482"/>
      <c r="C35" s="363"/>
      <c r="D35" s="363"/>
      <c r="E35" s="363"/>
      <c r="F35" s="486"/>
      <c r="G35" s="487"/>
      <c r="H35" s="488"/>
      <c r="I35" s="488"/>
      <c r="J35" s="50"/>
      <c r="K35" s="631" t="s">
        <v>746</v>
      </c>
      <c r="L35" s="625" t="s">
        <v>744</v>
      </c>
      <c r="M35" s="615">
        <v>4167</v>
      </c>
      <c r="N35" s="621"/>
      <c r="O35" s="323"/>
    </row>
    <row r="36" spans="1:15">
      <c r="A36" s="481"/>
      <c r="B36" s="482"/>
      <c r="C36" s="363"/>
      <c r="D36" s="363"/>
      <c r="E36" s="363"/>
      <c r="F36" s="486"/>
      <c r="G36" s="487"/>
      <c r="H36" s="488"/>
      <c r="I36" s="488"/>
      <c r="J36" s="50"/>
      <c r="K36" s="361" t="s">
        <v>314</v>
      </c>
      <c r="L36" s="383"/>
      <c r="M36" s="384">
        <f>SUM(M37:M38)</f>
        <v>122000</v>
      </c>
    </row>
    <row r="37" spans="1:15">
      <c r="A37" s="481"/>
      <c r="B37" s="482"/>
      <c r="C37" s="363"/>
      <c r="D37" s="363"/>
      <c r="E37" s="363"/>
      <c r="F37" s="486"/>
      <c r="G37" s="487"/>
      <c r="H37" s="488"/>
      <c r="I37" s="488"/>
      <c r="J37" s="50"/>
      <c r="K37" s="387" t="s">
        <v>663</v>
      </c>
      <c r="L37" s="383" t="s">
        <v>39</v>
      </c>
      <c r="M37" s="379">
        <v>14000</v>
      </c>
      <c r="N37" s="598"/>
    </row>
    <row r="38" spans="1:15">
      <c r="A38" s="481"/>
      <c r="B38" s="482"/>
      <c r="C38" s="363"/>
      <c r="D38" s="363"/>
      <c r="E38" s="363"/>
      <c r="F38" s="486"/>
      <c r="G38" s="487"/>
      <c r="H38" s="488"/>
      <c r="I38" s="488"/>
      <c r="J38" s="50"/>
      <c r="K38" s="387" t="s">
        <v>664</v>
      </c>
      <c r="L38" s="383" t="s">
        <v>0</v>
      </c>
      <c r="M38" s="379">
        <v>108000</v>
      </c>
    </row>
    <row r="39" spans="1:15">
      <c r="A39" s="481"/>
      <c r="B39" s="482"/>
      <c r="C39" s="363"/>
      <c r="D39" s="363"/>
      <c r="E39" s="363"/>
      <c r="F39" s="486"/>
      <c r="G39" s="484" t="s">
        <v>315</v>
      </c>
      <c r="H39" s="485">
        <f>M39</f>
        <v>29829</v>
      </c>
      <c r="I39" s="485">
        <v>29829</v>
      </c>
      <c r="J39" s="41">
        <f>H39-I39</f>
        <v>0</v>
      </c>
      <c r="K39" s="391" t="s">
        <v>316</v>
      </c>
      <c r="L39" s="418"/>
      <c r="M39" s="393">
        <f>SUM(M40:M42)</f>
        <v>29829</v>
      </c>
    </row>
    <row r="40" spans="1:15">
      <c r="A40" s="481"/>
      <c r="B40" s="482"/>
      <c r="C40" s="363"/>
      <c r="D40" s="363"/>
      <c r="E40" s="363"/>
      <c r="F40" s="486"/>
      <c r="G40" s="487"/>
      <c r="H40" s="488"/>
      <c r="I40" s="488"/>
      <c r="J40" s="50"/>
      <c r="K40" s="387" t="s">
        <v>516</v>
      </c>
      <c r="L40" s="424" t="s">
        <v>317</v>
      </c>
      <c r="M40" s="379">
        <v>23823</v>
      </c>
    </row>
    <row r="41" spans="1:15">
      <c r="A41" s="481"/>
      <c r="B41" s="482"/>
      <c r="C41" s="363"/>
      <c r="D41" s="363"/>
      <c r="E41" s="363"/>
      <c r="F41" s="486"/>
      <c r="G41" s="487"/>
      <c r="H41" s="488"/>
      <c r="I41" s="488"/>
      <c r="J41" s="50"/>
      <c r="K41" s="387" t="s">
        <v>517</v>
      </c>
      <c r="L41" s="383" t="s">
        <v>0</v>
      </c>
      <c r="M41" s="379">
        <v>4332</v>
      </c>
    </row>
    <row r="42" spans="1:15">
      <c r="A42" s="481"/>
      <c r="B42" s="482"/>
      <c r="C42" s="363"/>
      <c r="D42" s="363"/>
      <c r="E42" s="363"/>
      <c r="F42" s="486"/>
      <c r="G42" s="487"/>
      <c r="H42" s="488"/>
      <c r="I42" s="488"/>
      <c r="J42" s="50"/>
      <c r="K42" s="387" t="s">
        <v>518</v>
      </c>
      <c r="L42" s="383" t="s">
        <v>0</v>
      </c>
      <c r="M42" s="379">
        <v>1674</v>
      </c>
    </row>
    <row r="43" spans="1:15">
      <c r="A43" s="362"/>
      <c r="B43" s="363"/>
      <c r="C43" s="363"/>
      <c r="D43" s="363"/>
      <c r="E43" s="363"/>
      <c r="F43" s="470" t="s">
        <v>318</v>
      </c>
      <c r="G43" s="473"/>
      <c r="H43" s="98">
        <f>SUM(H44,H51)</f>
        <v>52200</v>
      </c>
      <c r="I43" s="98">
        <v>52200</v>
      </c>
      <c r="J43" s="98">
        <f>H43-I43</f>
        <v>0</v>
      </c>
      <c r="K43" s="388"/>
      <c r="L43" s="389"/>
      <c r="M43" s="390"/>
    </row>
    <row r="44" spans="1:15">
      <c r="A44" s="481"/>
      <c r="B44" s="482"/>
      <c r="C44" s="363"/>
      <c r="D44" s="363"/>
      <c r="E44" s="363"/>
      <c r="F44" s="483"/>
      <c r="G44" s="484" t="s">
        <v>319</v>
      </c>
      <c r="H44" s="485">
        <f>M44</f>
        <v>52200</v>
      </c>
      <c r="I44" s="485">
        <v>52200</v>
      </c>
      <c r="J44" s="41">
        <f>H44-I44</f>
        <v>0</v>
      </c>
      <c r="K44" s="391" t="s">
        <v>320</v>
      </c>
      <c r="L44" s="418"/>
      <c r="M44" s="393">
        <f>SUM(M45:M47)</f>
        <v>52200</v>
      </c>
    </row>
    <row r="45" spans="1:15">
      <c r="A45" s="481"/>
      <c r="B45" s="482"/>
      <c r="C45" s="363"/>
      <c r="D45" s="363"/>
      <c r="E45" s="363"/>
      <c r="F45" s="486"/>
      <c r="G45" s="487"/>
      <c r="H45" s="488"/>
      <c r="I45" s="488"/>
      <c r="J45" s="50"/>
      <c r="K45" s="387" t="s">
        <v>519</v>
      </c>
      <c r="L45" s="424" t="s">
        <v>520</v>
      </c>
      <c r="M45" s="379">
        <v>17000</v>
      </c>
    </row>
    <row r="46" spans="1:15">
      <c r="A46" s="481"/>
      <c r="B46" s="482"/>
      <c r="C46" s="363"/>
      <c r="D46" s="363"/>
      <c r="E46" s="363"/>
      <c r="F46" s="486"/>
      <c r="G46" s="487"/>
      <c r="H46" s="488"/>
      <c r="I46" s="488"/>
      <c r="J46" s="50"/>
      <c r="K46" s="387" t="s">
        <v>523</v>
      </c>
      <c r="L46" s="424" t="s">
        <v>521</v>
      </c>
      <c r="M46" s="379">
        <v>30000</v>
      </c>
    </row>
    <row r="47" spans="1:15">
      <c r="A47" s="481"/>
      <c r="B47" s="482"/>
      <c r="C47" s="363"/>
      <c r="D47" s="363"/>
      <c r="E47" s="363"/>
      <c r="F47" s="486"/>
      <c r="G47" s="487"/>
      <c r="H47" s="488"/>
      <c r="I47" s="488"/>
      <c r="J47" s="50"/>
      <c r="K47" s="387" t="s">
        <v>522</v>
      </c>
      <c r="L47" s="383" t="s">
        <v>0</v>
      </c>
      <c r="M47" s="379">
        <v>5200</v>
      </c>
    </row>
    <row r="48" spans="1:15">
      <c r="A48" s="459"/>
      <c r="B48" s="462"/>
      <c r="C48" s="464"/>
      <c r="D48" s="489"/>
      <c r="E48" s="353" t="s">
        <v>72</v>
      </c>
      <c r="F48" s="460"/>
      <c r="G48" s="461"/>
      <c r="H48" s="92">
        <f>SUM(H49,H89,H93,H101,H107,H112)</f>
        <v>342670</v>
      </c>
      <c r="I48" s="92">
        <v>226610</v>
      </c>
      <c r="J48" s="92">
        <f>H48-I48</f>
        <v>116060</v>
      </c>
      <c r="K48" s="355"/>
      <c r="L48" s="396"/>
      <c r="M48" s="466"/>
    </row>
    <row r="49" spans="1:15">
      <c r="A49" s="362"/>
      <c r="B49" s="363"/>
      <c r="C49" s="363"/>
      <c r="D49" s="363"/>
      <c r="E49" s="363"/>
      <c r="F49" s="470" t="s">
        <v>61</v>
      </c>
      <c r="G49" s="473"/>
      <c r="H49" s="98">
        <f>SUM(H50,H71,H78,H81)</f>
        <v>233980</v>
      </c>
      <c r="I49" s="98">
        <v>137760</v>
      </c>
      <c r="J49" s="98">
        <f>H49-I49</f>
        <v>96220</v>
      </c>
      <c r="K49" s="388"/>
      <c r="L49" s="389"/>
      <c r="M49" s="390"/>
    </row>
    <row r="50" spans="1:15">
      <c r="A50" s="362"/>
      <c r="B50" s="363"/>
      <c r="C50" s="363"/>
      <c r="D50" s="363"/>
      <c r="E50" s="363"/>
      <c r="F50" s="474"/>
      <c r="G50" s="363" t="s">
        <v>36</v>
      </c>
      <c r="H50" s="475">
        <f>SUM(M50,M67)</f>
        <v>153220</v>
      </c>
      <c r="I50" s="475">
        <v>82220</v>
      </c>
      <c r="J50" s="50">
        <f>H50-I50</f>
        <v>71000</v>
      </c>
      <c r="K50" s="391" t="s">
        <v>73</v>
      </c>
      <c r="L50" s="417"/>
      <c r="M50" s="393">
        <f>SUM(M51:M53,M55:M62,M64:M66)</f>
        <v>120420</v>
      </c>
    </row>
    <row r="51" spans="1:15">
      <c r="A51" s="481"/>
      <c r="B51" s="482"/>
      <c r="C51" s="363"/>
      <c r="D51" s="363"/>
      <c r="E51" s="363"/>
      <c r="F51" s="486"/>
      <c r="G51" s="487"/>
      <c r="H51" s="488"/>
      <c r="I51" s="488"/>
      <c r="J51" s="50"/>
      <c r="K51" s="387" t="s">
        <v>714</v>
      </c>
      <c r="L51" s="383" t="s">
        <v>0</v>
      </c>
      <c r="M51" s="379">
        <v>560</v>
      </c>
    </row>
    <row r="52" spans="1:15">
      <c r="A52" s="481"/>
      <c r="B52" s="482"/>
      <c r="C52" s="363"/>
      <c r="D52" s="363"/>
      <c r="E52" s="363"/>
      <c r="F52" s="486"/>
      <c r="G52" s="487"/>
      <c r="H52" s="488"/>
      <c r="I52" s="488"/>
      <c r="J52" s="50"/>
      <c r="K52" s="387" t="s">
        <v>665</v>
      </c>
      <c r="L52" s="383" t="s">
        <v>0</v>
      </c>
      <c r="M52" s="379">
        <v>6000</v>
      </c>
      <c r="O52" s="590"/>
    </row>
    <row r="53" spans="1:15">
      <c r="A53" s="481"/>
      <c r="B53" s="482"/>
      <c r="C53" s="363"/>
      <c r="D53" s="363"/>
      <c r="E53" s="363"/>
      <c r="F53" s="486"/>
      <c r="G53" s="487"/>
      <c r="H53" s="488"/>
      <c r="I53" s="488"/>
      <c r="J53" s="50"/>
      <c r="K53" s="387" t="s">
        <v>666</v>
      </c>
      <c r="L53" s="383" t="s">
        <v>0</v>
      </c>
      <c r="M53" s="379">
        <v>7000</v>
      </c>
    </row>
    <row r="54" spans="1:15">
      <c r="A54" s="481"/>
      <c r="B54" s="482"/>
      <c r="C54" s="363"/>
      <c r="D54" s="363"/>
      <c r="E54" s="363"/>
      <c r="F54" s="486"/>
      <c r="G54" s="487"/>
      <c r="H54" s="488"/>
      <c r="I54" s="488"/>
      <c r="J54" s="50"/>
      <c r="K54" s="387" t="s">
        <v>667</v>
      </c>
      <c r="L54" s="383" t="s">
        <v>0</v>
      </c>
      <c r="M54" s="379">
        <v>5000</v>
      </c>
      <c r="O54" s="590"/>
    </row>
    <row r="55" spans="1:15">
      <c r="A55" s="481"/>
      <c r="B55" s="482"/>
      <c r="C55" s="363"/>
      <c r="D55" s="363"/>
      <c r="E55" s="363"/>
      <c r="F55" s="486"/>
      <c r="G55" s="487"/>
      <c r="H55" s="488"/>
      <c r="I55" s="488"/>
      <c r="J55" s="50"/>
      <c r="K55" s="387" t="s">
        <v>668</v>
      </c>
      <c r="L55" s="383" t="s">
        <v>0</v>
      </c>
      <c r="M55" s="379">
        <v>1000</v>
      </c>
    </row>
    <row r="56" spans="1:15">
      <c r="A56" s="481"/>
      <c r="B56" s="482"/>
      <c r="C56" s="363"/>
      <c r="D56" s="363"/>
      <c r="E56" s="363"/>
      <c r="F56" s="486"/>
      <c r="G56" s="487"/>
      <c r="H56" s="488"/>
      <c r="I56" s="488"/>
      <c r="J56" s="50"/>
      <c r="K56" s="387" t="s">
        <v>669</v>
      </c>
      <c r="L56" s="383" t="s">
        <v>0</v>
      </c>
      <c r="M56" s="379">
        <v>2100</v>
      </c>
    </row>
    <row r="57" spans="1:15">
      <c r="A57" s="481"/>
      <c r="B57" s="482"/>
      <c r="C57" s="363"/>
      <c r="D57" s="363"/>
      <c r="E57" s="363"/>
      <c r="F57" s="486"/>
      <c r="G57" s="487"/>
      <c r="H57" s="488"/>
      <c r="I57" s="488"/>
      <c r="J57" s="50"/>
      <c r="K57" s="387" t="s">
        <v>670</v>
      </c>
      <c r="L57" s="383" t="s">
        <v>0</v>
      </c>
      <c r="M57" s="379">
        <v>4100</v>
      </c>
    </row>
    <row r="58" spans="1:15">
      <c r="A58" s="481"/>
      <c r="B58" s="482"/>
      <c r="C58" s="363"/>
      <c r="D58" s="363"/>
      <c r="E58" s="363"/>
      <c r="F58" s="486"/>
      <c r="G58" s="487"/>
      <c r="H58" s="488"/>
      <c r="I58" s="488"/>
      <c r="J58" s="50"/>
      <c r="K58" s="387" t="s">
        <v>671</v>
      </c>
      <c r="L58" s="383" t="s">
        <v>0</v>
      </c>
      <c r="M58" s="379">
        <v>3960</v>
      </c>
    </row>
    <row r="59" spans="1:15">
      <c r="A59" s="481"/>
      <c r="B59" s="482"/>
      <c r="C59" s="363"/>
      <c r="D59" s="363"/>
      <c r="E59" s="363"/>
      <c r="F59" s="486"/>
      <c r="G59" s="487"/>
      <c r="H59" s="488"/>
      <c r="I59" s="488"/>
      <c r="J59" s="50"/>
      <c r="K59" s="387" t="s">
        <v>672</v>
      </c>
      <c r="L59" s="383" t="s">
        <v>0</v>
      </c>
      <c r="M59" s="379">
        <v>1200</v>
      </c>
    </row>
    <row r="60" spans="1:15">
      <c r="A60" s="481"/>
      <c r="B60" s="482"/>
      <c r="C60" s="363"/>
      <c r="D60" s="363"/>
      <c r="E60" s="363"/>
      <c r="F60" s="486"/>
      <c r="G60" s="487"/>
      <c r="H60" s="488"/>
      <c r="I60" s="488"/>
      <c r="J60" s="50"/>
      <c r="K60" s="387" t="s">
        <v>711</v>
      </c>
      <c r="L60" s="383" t="s">
        <v>0</v>
      </c>
      <c r="M60" s="379">
        <v>18000</v>
      </c>
    </row>
    <row r="61" spans="1:15">
      <c r="A61" s="481"/>
      <c r="B61" s="482"/>
      <c r="C61" s="363"/>
      <c r="D61" s="363"/>
      <c r="E61" s="363"/>
      <c r="F61" s="486"/>
      <c r="G61" s="487"/>
      <c r="H61" s="488"/>
      <c r="I61" s="488"/>
      <c r="J61" s="50"/>
      <c r="K61" s="387" t="s">
        <v>673</v>
      </c>
      <c r="L61" s="383" t="s">
        <v>0</v>
      </c>
      <c r="M61" s="379">
        <v>500</v>
      </c>
    </row>
    <row r="62" spans="1:15">
      <c r="A62" s="481"/>
      <c r="B62" s="482"/>
      <c r="C62" s="363"/>
      <c r="D62" s="363"/>
      <c r="E62" s="363"/>
      <c r="F62" s="486"/>
      <c r="G62" s="487"/>
      <c r="H62" s="488"/>
      <c r="I62" s="488"/>
      <c r="J62" s="50"/>
      <c r="K62" s="387" t="s">
        <v>710</v>
      </c>
      <c r="L62" s="383" t="s">
        <v>0</v>
      </c>
      <c r="M62" s="379">
        <v>10000</v>
      </c>
    </row>
    <row r="63" spans="1:15">
      <c r="A63" s="481"/>
      <c r="B63" s="482"/>
      <c r="C63" s="363"/>
      <c r="D63" s="363"/>
      <c r="E63" s="363"/>
      <c r="F63" s="486"/>
      <c r="G63" s="487"/>
      <c r="H63" s="488"/>
      <c r="I63" s="488"/>
      <c r="J63" s="50"/>
      <c r="K63" s="622" t="s">
        <v>727</v>
      </c>
      <c r="L63" s="383"/>
      <c r="M63" s="379"/>
      <c r="N63" s="621"/>
    </row>
    <row r="64" spans="1:15">
      <c r="A64" s="481"/>
      <c r="B64" s="482"/>
      <c r="C64" s="363"/>
      <c r="D64" s="363"/>
      <c r="E64" s="363"/>
      <c r="F64" s="486"/>
      <c r="G64" s="487"/>
      <c r="H64" s="488"/>
      <c r="I64" s="488"/>
      <c r="J64" s="50"/>
      <c r="K64" s="632" t="s">
        <v>747</v>
      </c>
      <c r="L64" s="625" t="s">
        <v>0</v>
      </c>
      <c r="M64" s="615">
        <v>9000</v>
      </c>
      <c r="N64" s="621"/>
    </row>
    <row r="65" spans="1:15">
      <c r="A65" s="481"/>
      <c r="B65" s="482"/>
      <c r="C65" s="363"/>
      <c r="D65" s="363"/>
      <c r="E65" s="363"/>
      <c r="F65" s="486"/>
      <c r="G65" s="487"/>
      <c r="H65" s="488"/>
      <c r="I65" s="488"/>
      <c r="J65" s="50"/>
      <c r="K65" s="632" t="s">
        <v>748</v>
      </c>
      <c r="L65" s="625" t="s">
        <v>0</v>
      </c>
      <c r="M65" s="615">
        <v>42000</v>
      </c>
      <c r="N65" s="621"/>
    </row>
    <row r="66" spans="1:15">
      <c r="A66" s="481"/>
      <c r="B66" s="482"/>
      <c r="C66" s="363"/>
      <c r="D66" s="363"/>
      <c r="E66" s="363"/>
      <c r="F66" s="486"/>
      <c r="G66" s="487"/>
      <c r="H66" s="488"/>
      <c r="I66" s="488"/>
      <c r="J66" s="50"/>
      <c r="K66" s="632" t="s">
        <v>749</v>
      </c>
      <c r="L66" s="625" t="s">
        <v>0</v>
      </c>
      <c r="M66" s="615">
        <v>15000</v>
      </c>
      <c r="N66" s="621"/>
    </row>
    <row r="67" spans="1:15">
      <c r="A67" s="481"/>
      <c r="B67" s="482"/>
      <c r="C67" s="363"/>
      <c r="D67" s="363"/>
      <c r="E67" s="363"/>
      <c r="F67" s="486"/>
      <c r="G67" s="487"/>
      <c r="H67" s="488"/>
      <c r="I67" s="488"/>
      <c r="J67" s="50"/>
      <c r="K67" s="419" t="s">
        <v>74</v>
      </c>
      <c r="L67" s="424"/>
      <c r="M67" s="384">
        <f>SUM(M68,M70)</f>
        <v>32800</v>
      </c>
    </row>
    <row r="68" spans="1:15">
      <c r="A68" s="481"/>
      <c r="B68" s="482"/>
      <c r="C68" s="363"/>
      <c r="D68" s="363"/>
      <c r="E68" s="363"/>
      <c r="F68" s="486"/>
      <c r="G68" s="487"/>
      <c r="H68" s="488"/>
      <c r="I68" s="488"/>
      <c r="J68" s="50"/>
      <c r="K68" s="490" t="s">
        <v>524</v>
      </c>
      <c r="L68" s="383" t="s">
        <v>37</v>
      </c>
      <c r="M68" s="379">
        <v>22800</v>
      </c>
    </row>
    <row r="69" spans="1:15">
      <c r="A69" s="481"/>
      <c r="B69" s="482"/>
      <c r="C69" s="363"/>
      <c r="D69" s="363"/>
      <c r="E69" s="363"/>
      <c r="F69" s="486"/>
      <c r="G69" s="487"/>
      <c r="H69" s="488"/>
      <c r="I69" s="488"/>
      <c r="J69" s="50"/>
      <c r="K69" s="622" t="s">
        <v>727</v>
      </c>
      <c r="L69" s="383"/>
      <c r="M69" s="379"/>
      <c r="N69" s="681"/>
    </row>
    <row r="70" spans="1:15">
      <c r="A70" s="481"/>
      <c r="B70" s="482"/>
      <c r="C70" s="363"/>
      <c r="D70" s="363"/>
      <c r="E70" s="363"/>
      <c r="F70" s="486"/>
      <c r="G70" s="487"/>
      <c r="H70" s="488"/>
      <c r="I70" s="488"/>
      <c r="J70" s="50"/>
      <c r="K70" s="632" t="s">
        <v>864</v>
      </c>
      <c r="L70" s="625" t="s">
        <v>0</v>
      </c>
      <c r="M70" s="615">
        <v>10000</v>
      </c>
      <c r="N70" s="681"/>
    </row>
    <row r="71" spans="1:15">
      <c r="A71" s="362"/>
      <c r="B71" s="363"/>
      <c r="C71" s="363"/>
      <c r="D71" s="363"/>
      <c r="E71" s="363"/>
      <c r="F71" s="493"/>
      <c r="G71" s="478" t="s">
        <v>75</v>
      </c>
      <c r="H71" s="494">
        <f>SUM(M71,M75)</f>
        <v>35460</v>
      </c>
      <c r="I71" s="41">
        <v>35460</v>
      </c>
      <c r="J71" s="495">
        <f>H71-I71</f>
        <v>0</v>
      </c>
      <c r="K71" s="391" t="s">
        <v>76</v>
      </c>
      <c r="L71" s="423"/>
      <c r="M71" s="393">
        <f>SUM(M72:M74)</f>
        <v>29460</v>
      </c>
    </row>
    <row r="72" spans="1:15">
      <c r="A72" s="362"/>
      <c r="B72" s="363"/>
      <c r="C72" s="363"/>
      <c r="D72" s="363"/>
      <c r="E72" s="363"/>
      <c r="F72" s="493"/>
      <c r="G72" s="479"/>
      <c r="H72" s="496"/>
      <c r="I72" s="497"/>
      <c r="J72" s="498"/>
      <c r="K72" s="387" t="s">
        <v>463</v>
      </c>
      <c r="L72" s="383" t="s">
        <v>0</v>
      </c>
      <c r="M72" s="379">
        <v>3960</v>
      </c>
    </row>
    <row r="73" spans="1:15">
      <c r="A73" s="362"/>
      <c r="B73" s="363"/>
      <c r="C73" s="363"/>
      <c r="D73" s="363"/>
      <c r="E73" s="363"/>
      <c r="F73" s="493"/>
      <c r="G73" s="479"/>
      <c r="H73" s="496"/>
      <c r="I73" s="497"/>
      <c r="J73" s="498"/>
      <c r="K73" s="387" t="s">
        <v>525</v>
      </c>
      <c r="L73" s="383" t="s">
        <v>0</v>
      </c>
      <c r="M73" s="379">
        <v>24000</v>
      </c>
    </row>
    <row r="74" spans="1:15">
      <c r="A74" s="481"/>
      <c r="B74" s="482"/>
      <c r="C74" s="363"/>
      <c r="D74" s="363"/>
      <c r="E74" s="363"/>
      <c r="F74" s="486"/>
      <c r="G74" s="487"/>
      <c r="H74" s="488"/>
      <c r="I74" s="488"/>
      <c r="J74" s="50"/>
      <c r="K74" s="387" t="s">
        <v>526</v>
      </c>
      <c r="L74" s="383" t="s">
        <v>0</v>
      </c>
      <c r="M74" s="379">
        <v>1500</v>
      </c>
    </row>
    <row r="75" spans="1:15">
      <c r="A75" s="362"/>
      <c r="B75" s="363"/>
      <c r="C75" s="363"/>
      <c r="D75" s="363"/>
      <c r="E75" s="363"/>
      <c r="F75" s="493"/>
      <c r="G75" s="479"/>
      <c r="H75" s="496"/>
      <c r="I75" s="497"/>
      <c r="J75" s="498"/>
      <c r="K75" s="361" t="s">
        <v>45</v>
      </c>
      <c r="L75" s="499"/>
      <c r="M75" s="384">
        <f>SUM(M76:M77)</f>
        <v>6000</v>
      </c>
    </row>
    <row r="76" spans="1:15">
      <c r="A76" s="362"/>
      <c r="B76" s="363"/>
      <c r="C76" s="363"/>
      <c r="D76" s="363"/>
      <c r="E76" s="363"/>
      <c r="F76" s="493"/>
      <c r="G76" s="479"/>
      <c r="H76" s="496"/>
      <c r="I76" s="497"/>
      <c r="J76" s="498"/>
      <c r="K76" s="387" t="s">
        <v>527</v>
      </c>
      <c r="L76" s="383" t="s">
        <v>0</v>
      </c>
      <c r="M76" s="379">
        <v>4800</v>
      </c>
    </row>
    <row r="77" spans="1:15">
      <c r="A77" s="362"/>
      <c r="B77" s="363"/>
      <c r="C77" s="363"/>
      <c r="D77" s="363"/>
      <c r="E77" s="363"/>
      <c r="F77" s="493"/>
      <c r="G77" s="500"/>
      <c r="H77" s="501"/>
      <c r="I77" s="502"/>
      <c r="J77" s="503"/>
      <c r="K77" s="385" t="s">
        <v>528</v>
      </c>
      <c r="L77" s="378" t="s">
        <v>0</v>
      </c>
      <c r="M77" s="386">
        <v>1200</v>
      </c>
    </row>
    <row r="78" spans="1:15">
      <c r="A78" s="55"/>
      <c r="B78" s="57"/>
      <c r="C78" s="65"/>
      <c r="D78" s="65"/>
      <c r="E78" s="65"/>
      <c r="F78" s="222"/>
      <c r="G78" s="206" t="s">
        <v>865</v>
      </c>
      <c r="H78" s="207">
        <f>M78</f>
        <v>25000</v>
      </c>
      <c r="I78" s="207">
        <v>0</v>
      </c>
      <c r="J78" s="41">
        <f t="shared" ref="J78" si="1">H78-I78</f>
        <v>25000</v>
      </c>
      <c r="K78" s="391" t="s">
        <v>225</v>
      </c>
      <c r="L78" s="418"/>
      <c r="M78" s="393">
        <f>SUM(M80:M80)</f>
        <v>25000</v>
      </c>
      <c r="N78" s="681"/>
    </row>
    <row r="79" spans="1:15">
      <c r="A79" s="55"/>
      <c r="B79" s="57"/>
      <c r="C79" s="65"/>
      <c r="D79" s="65"/>
      <c r="E79" s="65"/>
      <c r="F79" s="222"/>
      <c r="G79" s="56"/>
      <c r="H79" s="100"/>
      <c r="I79" s="100"/>
      <c r="J79" s="50"/>
      <c r="K79" s="622" t="s">
        <v>727</v>
      </c>
      <c r="L79" s="424"/>
      <c r="M79" s="384"/>
      <c r="N79" s="681"/>
    </row>
    <row r="80" spans="1:15">
      <c r="A80" s="55"/>
      <c r="B80" s="57"/>
      <c r="C80" s="65"/>
      <c r="D80" s="65"/>
      <c r="E80" s="65"/>
      <c r="F80" s="56"/>
      <c r="G80" s="682"/>
      <c r="H80" s="103"/>
      <c r="I80" s="103"/>
      <c r="J80" s="155"/>
      <c r="K80" s="683" t="s">
        <v>866</v>
      </c>
      <c r="L80" s="627" t="s">
        <v>37</v>
      </c>
      <c r="M80" s="634">
        <v>25000</v>
      </c>
      <c r="N80" s="681"/>
      <c r="O80" s="590"/>
    </row>
    <row r="81" spans="1:15">
      <c r="A81" s="362"/>
      <c r="B81" s="363"/>
      <c r="C81" s="363"/>
      <c r="D81" s="363"/>
      <c r="E81" s="363"/>
      <c r="F81" s="493"/>
      <c r="G81" s="479" t="s">
        <v>8</v>
      </c>
      <c r="H81" s="496">
        <f>M81+M87</f>
        <v>20300</v>
      </c>
      <c r="I81" s="475">
        <v>20080</v>
      </c>
      <c r="J81" s="498">
        <f>H81-I81</f>
        <v>220</v>
      </c>
      <c r="K81" s="419" t="s">
        <v>457</v>
      </c>
      <c r="L81" s="383"/>
      <c r="M81" s="384">
        <f>SUM(M83:M84,M86)</f>
        <v>11660</v>
      </c>
    </row>
    <row r="82" spans="1:15">
      <c r="A82" s="362"/>
      <c r="B82" s="363"/>
      <c r="C82" s="363"/>
      <c r="D82" s="363"/>
      <c r="E82" s="363"/>
      <c r="F82" s="493"/>
      <c r="G82" s="504"/>
      <c r="H82" s="496"/>
      <c r="I82" s="497"/>
      <c r="J82" s="498"/>
      <c r="K82" s="387" t="s">
        <v>677</v>
      </c>
      <c r="L82" s="383" t="s">
        <v>0</v>
      </c>
      <c r="M82" s="379">
        <v>1540</v>
      </c>
      <c r="O82" s="590"/>
    </row>
    <row r="83" spans="1:15">
      <c r="A83" s="362"/>
      <c r="B83" s="363"/>
      <c r="C83" s="363"/>
      <c r="D83" s="363"/>
      <c r="E83" s="363"/>
      <c r="F83" s="493"/>
      <c r="G83" s="504"/>
      <c r="H83" s="496"/>
      <c r="I83" s="497"/>
      <c r="J83" s="498"/>
      <c r="K83" s="387" t="s">
        <v>678</v>
      </c>
      <c r="L83" s="383" t="s">
        <v>455</v>
      </c>
      <c r="M83" s="379">
        <v>3300</v>
      </c>
      <c r="O83" s="590"/>
    </row>
    <row r="84" spans="1:15">
      <c r="A84" s="362"/>
      <c r="B84" s="363"/>
      <c r="C84" s="363"/>
      <c r="D84" s="363"/>
      <c r="E84" s="363"/>
      <c r="F84" s="493"/>
      <c r="G84" s="504"/>
      <c r="H84" s="496"/>
      <c r="I84" s="497"/>
      <c r="J84" s="498"/>
      <c r="K84" s="387" t="s">
        <v>679</v>
      </c>
      <c r="L84" s="383" t="s">
        <v>454</v>
      </c>
      <c r="M84" s="379">
        <v>6600</v>
      </c>
      <c r="O84" s="590"/>
    </row>
    <row r="85" spans="1:15">
      <c r="A85" s="362"/>
      <c r="B85" s="363"/>
      <c r="C85" s="363"/>
      <c r="D85" s="363"/>
      <c r="E85" s="363"/>
      <c r="F85" s="493"/>
      <c r="G85" s="504"/>
      <c r="H85" s="496"/>
      <c r="I85" s="497"/>
      <c r="J85" s="498"/>
      <c r="K85" s="622" t="s">
        <v>727</v>
      </c>
      <c r="L85" s="383"/>
      <c r="M85" s="379"/>
      <c r="N85" s="621"/>
      <c r="O85" s="590"/>
    </row>
    <row r="86" spans="1:15">
      <c r="A86" s="362"/>
      <c r="B86" s="363"/>
      <c r="C86" s="363"/>
      <c r="D86" s="363"/>
      <c r="E86" s="363"/>
      <c r="F86" s="493"/>
      <c r="G86" s="504"/>
      <c r="H86" s="496"/>
      <c r="I86" s="497"/>
      <c r="J86" s="498"/>
      <c r="K86" s="631" t="s">
        <v>750</v>
      </c>
      <c r="L86" s="625" t="s">
        <v>0</v>
      </c>
      <c r="M86" s="615">
        <v>1760</v>
      </c>
      <c r="N86" s="621"/>
      <c r="O86" s="590"/>
    </row>
    <row r="87" spans="1:15">
      <c r="A87" s="362"/>
      <c r="B87" s="363"/>
      <c r="C87" s="363"/>
      <c r="D87" s="363"/>
      <c r="E87" s="363"/>
      <c r="F87" s="493"/>
      <c r="G87" s="504"/>
      <c r="H87" s="496"/>
      <c r="I87" s="497"/>
      <c r="J87" s="498"/>
      <c r="K87" s="419" t="s">
        <v>137</v>
      </c>
      <c r="L87" s="383"/>
      <c r="M87" s="384">
        <f>SUM(M88)</f>
        <v>8640</v>
      </c>
    </row>
    <row r="88" spans="1:15">
      <c r="A88" s="362"/>
      <c r="B88" s="363"/>
      <c r="C88" s="363"/>
      <c r="D88" s="363"/>
      <c r="E88" s="363"/>
      <c r="F88" s="505"/>
      <c r="G88" s="504"/>
      <c r="H88" s="496"/>
      <c r="I88" s="497"/>
      <c r="J88" s="498"/>
      <c r="K88" s="387" t="s">
        <v>638</v>
      </c>
      <c r="L88" s="383" t="s">
        <v>37</v>
      </c>
      <c r="M88" s="379">
        <v>8640</v>
      </c>
    </row>
    <row r="89" spans="1:15">
      <c r="A89" s="362"/>
      <c r="B89" s="363"/>
      <c r="C89" s="363"/>
      <c r="D89" s="363"/>
      <c r="E89" s="363"/>
      <c r="F89" s="470" t="s">
        <v>53</v>
      </c>
      <c r="G89" s="473"/>
      <c r="H89" s="98">
        <f>SUM(H90)</f>
        <v>11990</v>
      </c>
      <c r="I89" s="98">
        <v>11990</v>
      </c>
      <c r="J89" s="98">
        <f>H89-I89</f>
        <v>0</v>
      </c>
      <c r="K89" s="388"/>
      <c r="L89" s="389"/>
      <c r="M89" s="390"/>
    </row>
    <row r="90" spans="1:15">
      <c r="A90" s="362"/>
      <c r="B90" s="363"/>
      <c r="C90" s="363"/>
      <c r="D90" s="363"/>
      <c r="E90" s="363"/>
      <c r="F90" s="474"/>
      <c r="G90" s="478" t="s">
        <v>419</v>
      </c>
      <c r="H90" s="475">
        <f>M90</f>
        <v>11990</v>
      </c>
      <c r="I90" s="475">
        <v>11990</v>
      </c>
      <c r="J90" s="50">
        <f>H90-I90</f>
        <v>0</v>
      </c>
      <c r="K90" s="391" t="s">
        <v>77</v>
      </c>
      <c r="L90" s="417"/>
      <c r="M90" s="384">
        <f>SUM(M91:M92)</f>
        <v>11990</v>
      </c>
    </row>
    <row r="91" spans="1:15">
      <c r="A91" s="362"/>
      <c r="B91" s="363"/>
      <c r="C91" s="363"/>
      <c r="D91" s="363"/>
      <c r="E91" s="363"/>
      <c r="F91" s="474"/>
      <c r="G91" s="363"/>
      <c r="H91" s="475"/>
      <c r="I91" s="475"/>
      <c r="J91" s="50"/>
      <c r="K91" s="387" t="s">
        <v>529</v>
      </c>
      <c r="L91" s="416" t="s">
        <v>322</v>
      </c>
      <c r="M91" s="379">
        <v>3520</v>
      </c>
      <c r="O91" s="590"/>
    </row>
    <row r="92" spans="1:15">
      <c r="A92" s="362"/>
      <c r="B92" s="363"/>
      <c r="C92" s="363"/>
      <c r="D92" s="363"/>
      <c r="E92" s="363"/>
      <c r="F92" s="474"/>
      <c r="G92" s="363"/>
      <c r="H92" s="475"/>
      <c r="I92" s="475"/>
      <c r="J92" s="50"/>
      <c r="K92" s="385" t="s">
        <v>530</v>
      </c>
      <c r="L92" s="416" t="s">
        <v>323</v>
      </c>
      <c r="M92" s="379">
        <v>8470</v>
      </c>
      <c r="O92" s="590"/>
    </row>
    <row r="93" spans="1:15">
      <c r="A93" s="362"/>
      <c r="B93" s="363"/>
      <c r="C93" s="363"/>
      <c r="D93" s="363"/>
      <c r="E93" s="363"/>
      <c r="F93" s="470" t="s">
        <v>80</v>
      </c>
      <c r="G93" s="473"/>
      <c r="H93" s="98">
        <f>H94</f>
        <v>36600</v>
      </c>
      <c r="I93" s="98">
        <v>36600</v>
      </c>
      <c r="J93" s="98">
        <f>H93-I93</f>
        <v>0</v>
      </c>
      <c r="K93" s="388"/>
      <c r="L93" s="389"/>
      <c r="M93" s="390"/>
    </row>
    <row r="94" spans="1:15">
      <c r="A94" s="362"/>
      <c r="B94" s="363"/>
      <c r="C94" s="363"/>
      <c r="D94" s="363"/>
      <c r="E94" s="363"/>
      <c r="F94" s="474"/>
      <c r="G94" s="363" t="s">
        <v>81</v>
      </c>
      <c r="H94" s="475">
        <f>SUM(M94,M97)</f>
        <v>36600</v>
      </c>
      <c r="I94" s="475">
        <v>36600</v>
      </c>
      <c r="J94" s="50">
        <f>H94-I94</f>
        <v>0</v>
      </c>
      <c r="K94" s="391" t="s">
        <v>82</v>
      </c>
      <c r="L94" s="417"/>
      <c r="M94" s="393">
        <f>SUM(M95:M96)</f>
        <v>16600</v>
      </c>
    </row>
    <row r="95" spans="1:15">
      <c r="A95" s="362"/>
      <c r="B95" s="363"/>
      <c r="C95" s="363"/>
      <c r="D95" s="363"/>
      <c r="E95" s="363"/>
      <c r="F95" s="493"/>
      <c r="G95" s="504"/>
      <c r="H95" s="496"/>
      <c r="I95" s="497"/>
      <c r="J95" s="498"/>
      <c r="K95" s="387" t="s">
        <v>458</v>
      </c>
      <c r="L95" s="383" t="s">
        <v>0</v>
      </c>
      <c r="M95" s="379">
        <v>10000</v>
      </c>
    </row>
    <row r="96" spans="1:15">
      <c r="A96" s="362"/>
      <c r="B96" s="363"/>
      <c r="C96" s="363"/>
      <c r="D96" s="363"/>
      <c r="E96" s="363"/>
      <c r="F96" s="493"/>
      <c r="G96" s="504"/>
      <c r="H96" s="496"/>
      <c r="I96" s="497"/>
      <c r="J96" s="498"/>
      <c r="K96" s="387" t="s">
        <v>321</v>
      </c>
      <c r="L96" s="383" t="s">
        <v>0</v>
      </c>
      <c r="M96" s="379">
        <v>6600</v>
      </c>
    </row>
    <row r="97" spans="1:15">
      <c r="A97" s="362"/>
      <c r="B97" s="363"/>
      <c r="C97" s="363"/>
      <c r="D97" s="363"/>
      <c r="E97" s="363"/>
      <c r="F97" s="493"/>
      <c r="G97" s="504"/>
      <c r="H97" s="496"/>
      <c r="I97" s="497"/>
      <c r="J97" s="498"/>
      <c r="K97" s="361" t="s">
        <v>83</v>
      </c>
      <c r="L97" s="406"/>
      <c r="M97" s="384">
        <f>SUM(M98:M100)</f>
        <v>20000</v>
      </c>
    </row>
    <row r="98" spans="1:15">
      <c r="A98" s="362"/>
      <c r="B98" s="363"/>
      <c r="C98" s="363"/>
      <c r="D98" s="363"/>
      <c r="E98" s="363"/>
      <c r="F98" s="493"/>
      <c r="G98" s="504"/>
      <c r="H98" s="496"/>
      <c r="I98" s="497"/>
      <c r="J98" s="498"/>
      <c r="K98" s="387" t="s">
        <v>684</v>
      </c>
      <c r="L98" s="383" t="s">
        <v>0</v>
      </c>
      <c r="M98" s="379">
        <v>14500</v>
      </c>
      <c r="O98" s="590"/>
    </row>
    <row r="99" spans="1:15">
      <c r="A99" s="362"/>
      <c r="B99" s="363"/>
      <c r="C99" s="363"/>
      <c r="D99" s="363"/>
      <c r="E99" s="363"/>
      <c r="F99" s="493"/>
      <c r="G99" s="504"/>
      <c r="H99" s="496"/>
      <c r="I99" s="497"/>
      <c r="J99" s="498"/>
      <c r="K99" s="387" t="s">
        <v>685</v>
      </c>
      <c r="L99" s="383" t="s">
        <v>0</v>
      </c>
      <c r="M99" s="379">
        <v>4000</v>
      </c>
      <c r="O99" s="590"/>
    </row>
    <row r="100" spans="1:15">
      <c r="A100" s="362"/>
      <c r="B100" s="363"/>
      <c r="C100" s="467"/>
      <c r="D100" s="468"/>
      <c r="E100" s="506"/>
      <c r="F100" s="507"/>
      <c r="G100" s="508"/>
      <c r="H100" s="50"/>
      <c r="I100" s="50"/>
      <c r="J100" s="50"/>
      <c r="K100" s="387" t="s">
        <v>686</v>
      </c>
      <c r="L100" s="380" t="s">
        <v>0</v>
      </c>
      <c r="M100" s="379">
        <v>1500</v>
      </c>
      <c r="O100" s="590"/>
    </row>
    <row r="101" spans="1:15">
      <c r="A101" s="362"/>
      <c r="B101" s="363"/>
      <c r="C101" s="363"/>
      <c r="D101" s="363"/>
      <c r="E101" s="363"/>
      <c r="F101" s="470" t="s">
        <v>84</v>
      </c>
      <c r="G101" s="473"/>
      <c r="H101" s="98">
        <f>SUM(H102,H105)</f>
        <v>27120</v>
      </c>
      <c r="I101" s="98">
        <v>27120</v>
      </c>
      <c r="J101" s="98">
        <f>H101-I101</f>
        <v>0</v>
      </c>
      <c r="K101" s="388"/>
      <c r="L101" s="389"/>
      <c r="M101" s="390"/>
    </row>
    <row r="102" spans="1:15">
      <c r="A102" s="362"/>
      <c r="B102" s="363"/>
      <c r="C102" s="363"/>
      <c r="D102" s="363"/>
      <c r="E102" s="363"/>
      <c r="F102" s="474"/>
      <c r="G102" s="363" t="s">
        <v>85</v>
      </c>
      <c r="H102" s="475">
        <f>M102</f>
        <v>20400</v>
      </c>
      <c r="I102" s="475">
        <v>20400</v>
      </c>
      <c r="J102" s="50">
        <f>H102-I102</f>
        <v>0</v>
      </c>
      <c r="K102" s="391" t="s">
        <v>86</v>
      </c>
      <c r="L102" s="417"/>
      <c r="M102" s="393">
        <f>SUM(M103:M104)</f>
        <v>20400</v>
      </c>
    </row>
    <row r="103" spans="1:15">
      <c r="A103" s="362"/>
      <c r="B103" s="363"/>
      <c r="C103" s="363"/>
      <c r="D103" s="363"/>
      <c r="E103" s="363"/>
      <c r="F103" s="493"/>
      <c r="G103" s="504"/>
      <c r="H103" s="496"/>
      <c r="I103" s="497"/>
      <c r="J103" s="498"/>
      <c r="K103" s="387" t="s">
        <v>324</v>
      </c>
      <c r="L103" s="383" t="s">
        <v>0</v>
      </c>
      <c r="M103" s="379">
        <v>8400</v>
      </c>
    </row>
    <row r="104" spans="1:15">
      <c r="A104" s="362"/>
      <c r="B104" s="363"/>
      <c r="C104" s="363"/>
      <c r="D104" s="363"/>
      <c r="E104" s="363"/>
      <c r="F104" s="493"/>
      <c r="G104" s="479"/>
      <c r="H104" s="496"/>
      <c r="I104" s="497"/>
      <c r="J104" s="498"/>
      <c r="K104" s="387" t="s">
        <v>531</v>
      </c>
      <c r="L104" s="383" t="s">
        <v>0</v>
      </c>
      <c r="M104" s="379">
        <v>12000</v>
      </c>
    </row>
    <row r="105" spans="1:15">
      <c r="A105" s="362"/>
      <c r="B105" s="363"/>
      <c r="C105" s="363"/>
      <c r="D105" s="363"/>
      <c r="E105" s="363"/>
      <c r="F105" s="493"/>
      <c r="G105" s="504" t="s">
        <v>136</v>
      </c>
      <c r="H105" s="496">
        <f>M105</f>
        <v>6720</v>
      </c>
      <c r="I105" s="475">
        <v>6720</v>
      </c>
      <c r="J105" s="498">
        <f>H105-I105</f>
        <v>0</v>
      </c>
      <c r="K105" s="361" t="s">
        <v>87</v>
      </c>
      <c r="L105" s="406"/>
      <c r="M105" s="384">
        <f>M106</f>
        <v>6720</v>
      </c>
    </row>
    <row r="106" spans="1:15">
      <c r="A106" s="362"/>
      <c r="B106" s="363"/>
      <c r="C106" s="363"/>
      <c r="D106" s="363"/>
      <c r="E106" s="363"/>
      <c r="F106" s="493"/>
      <c r="G106" s="504"/>
      <c r="H106" s="496"/>
      <c r="I106" s="497"/>
      <c r="J106" s="498"/>
      <c r="K106" s="387" t="s">
        <v>325</v>
      </c>
      <c r="L106" s="383" t="s">
        <v>0</v>
      </c>
      <c r="M106" s="379">
        <v>6720</v>
      </c>
    </row>
    <row r="107" spans="1:15">
      <c r="A107" s="362"/>
      <c r="B107" s="363"/>
      <c r="C107" s="363"/>
      <c r="D107" s="363"/>
      <c r="E107" s="363"/>
      <c r="F107" s="470" t="s">
        <v>88</v>
      </c>
      <c r="G107" s="473"/>
      <c r="H107" s="98">
        <f>H108</f>
        <v>28000</v>
      </c>
      <c r="I107" s="98">
        <v>8000</v>
      </c>
      <c r="J107" s="98">
        <f>H107-I107</f>
        <v>20000</v>
      </c>
      <c r="K107" s="388"/>
      <c r="L107" s="389"/>
      <c r="M107" s="390"/>
    </row>
    <row r="108" spans="1:15">
      <c r="A108" s="362"/>
      <c r="B108" s="363"/>
      <c r="C108" s="363"/>
      <c r="D108" s="363"/>
      <c r="E108" s="363"/>
      <c r="F108" s="474"/>
      <c r="G108" s="363" t="s">
        <v>56</v>
      </c>
      <c r="H108" s="475">
        <f>M108</f>
        <v>28000</v>
      </c>
      <c r="I108" s="475">
        <v>8000</v>
      </c>
      <c r="J108" s="50">
        <f>H108-I108</f>
        <v>20000</v>
      </c>
      <c r="K108" s="391" t="s">
        <v>91</v>
      </c>
      <c r="L108" s="417"/>
      <c r="M108" s="393">
        <f>M111</f>
        <v>28000</v>
      </c>
    </row>
    <row r="109" spans="1:15">
      <c r="A109" s="362"/>
      <c r="B109" s="363"/>
      <c r="C109" s="363"/>
      <c r="D109" s="363"/>
      <c r="E109" s="363"/>
      <c r="F109" s="493"/>
      <c r="G109" s="504"/>
      <c r="H109" s="496"/>
      <c r="I109" s="497"/>
      <c r="J109" s="498"/>
      <c r="K109" s="387" t="s">
        <v>532</v>
      </c>
      <c r="L109" s="383" t="s">
        <v>0</v>
      </c>
      <c r="M109" s="379">
        <v>8000</v>
      </c>
    </row>
    <row r="110" spans="1:15">
      <c r="A110" s="362"/>
      <c r="B110" s="363"/>
      <c r="C110" s="363"/>
      <c r="D110" s="363"/>
      <c r="E110" s="363"/>
      <c r="F110" s="493"/>
      <c r="G110" s="504"/>
      <c r="H110" s="496"/>
      <c r="I110" s="497"/>
      <c r="J110" s="498"/>
      <c r="K110" s="622" t="s">
        <v>727</v>
      </c>
      <c r="L110" s="383"/>
      <c r="M110" s="379"/>
      <c r="N110" s="621"/>
    </row>
    <row r="111" spans="1:15">
      <c r="A111" s="362"/>
      <c r="B111" s="363"/>
      <c r="C111" s="363"/>
      <c r="D111" s="363"/>
      <c r="E111" s="363"/>
      <c r="F111" s="505"/>
      <c r="G111" s="504"/>
      <c r="H111" s="496"/>
      <c r="I111" s="497"/>
      <c r="J111" s="498"/>
      <c r="K111" s="632" t="s">
        <v>868</v>
      </c>
      <c r="L111" s="625" t="s">
        <v>0</v>
      </c>
      <c r="M111" s="615">
        <v>28000</v>
      </c>
      <c r="N111" s="621"/>
    </row>
    <row r="112" spans="1:15">
      <c r="A112" s="362"/>
      <c r="B112" s="363"/>
      <c r="C112" s="363"/>
      <c r="D112" s="363"/>
      <c r="E112" s="363"/>
      <c r="F112" s="470" t="s">
        <v>89</v>
      </c>
      <c r="G112" s="473"/>
      <c r="H112" s="98">
        <f>SUM(H113,H117)</f>
        <v>4980</v>
      </c>
      <c r="I112" s="98">
        <v>5140</v>
      </c>
      <c r="J112" s="98">
        <f>H112-I112</f>
        <v>-160</v>
      </c>
      <c r="K112" s="388"/>
      <c r="L112" s="389"/>
      <c r="M112" s="390"/>
    </row>
    <row r="113" spans="1:15">
      <c r="A113" s="362"/>
      <c r="B113" s="363"/>
      <c r="C113" s="363"/>
      <c r="D113" s="363"/>
      <c r="E113" s="363"/>
      <c r="F113" s="474"/>
      <c r="G113" s="551" t="s">
        <v>90</v>
      </c>
      <c r="H113" s="475">
        <f>M113</f>
        <v>2880</v>
      </c>
      <c r="I113" s="475">
        <v>3040</v>
      </c>
      <c r="J113" s="50">
        <f>H113-I113</f>
        <v>-160</v>
      </c>
      <c r="K113" s="391" t="s">
        <v>92</v>
      </c>
      <c r="L113" s="417"/>
      <c r="M113" s="393">
        <f>M116</f>
        <v>2880</v>
      </c>
    </row>
    <row r="114" spans="1:15">
      <c r="A114" s="362"/>
      <c r="B114" s="363"/>
      <c r="C114" s="363"/>
      <c r="D114" s="363"/>
      <c r="E114" s="363"/>
      <c r="F114" s="493"/>
      <c r="G114" s="479"/>
      <c r="H114" s="496"/>
      <c r="I114" s="497"/>
      <c r="J114" s="498"/>
      <c r="K114" s="387" t="s">
        <v>533</v>
      </c>
      <c r="L114" s="383" t="s">
        <v>0</v>
      </c>
      <c r="M114" s="379">
        <v>3040</v>
      </c>
    </row>
    <row r="115" spans="1:15">
      <c r="A115" s="362"/>
      <c r="B115" s="363"/>
      <c r="C115" s="363"/>
      <c r="D115" s="363"/>
      <c r="E115" s="363"/>
      <c r="F115" s="493"/>
      <c r="G115" s="479"/>
      <c r="H115" s="496"/>
      <c r="I115" s="497"/>
      <c r="J115" s="498"/>
      <c r="K115" s="622" t="s">
        <v>727</v>
      </c>
      <c r="L115" s="383"/>
      <c r="M115" s="379"/>
      <c r="N115" s="621"/>
    </row>
    <row r="116" spans="1:15">
      <c r="A116" s="362"/>
      <c r="B116" s="363"/>
      <c r="C116" s="363"/>
      <c r="D116" s="363"/>
      <c r="E116" s="363"/>
      <c r="F116" s="493"/>
      <c r="G116" s="500"/>
      <c r="H116" s="501"/>
      <c r="I116" s="502"/>
      <c r="J116" s="503"/>
      <c r="K116" s="633" t="s">
        <v>751</v>
      </c>
      <c r="L116" s="627" t="s">
        <v>0</v>
      </c>
      <c r="M116" s="634">
        <v>2880</v>
      </c>
      <c r="N116" s="621"/>
    </row>
    <row r="117" spans="1:15">
      <c r="A117" s="362"/>
      <c r="B117" s="363"/>
      <c r="C117" s="363"/>
      <c r="D117" s="363"/>
      <c r="E117" s="363"/>
      <c r="F117" s="493"/>
      <c r="G117" s="509" t="s">
        <v>93</v>
      </c>
      <c r="H117" s="496">
        <f>M117</f>
        <v>2100</v>
      </c>
      <c r="I117" s="475">
        <v>2100</v>
      </c>
      <c r="J117" s="498">
        <f>H117-I117</f>
        <v>0</v>
      </c>
      <c r="K117" s="361" t="s">
        <v>387</v>
      </c>
      <c r="L117" s="406"/>
      <c r="M117" s="384">
        <f>M118</f>
        <v>2100</v>
      </c>
    </row>
    <row r="118" spans="1:15">
      <c r="A118" s="362"/>
      <c r="B118" s="363"/>
      <c r="C118" s="363"/>
      <c r="D118" s="363"/>
      <c r="E118" s="476"/>
      <c r="F118" s="505"/>
      <c r="G118" s="510"/>
      <c r="H118" s="501"/>
      <c r="I118" s="502"/>
      <c r="J118" s="503"/>
      <c r="K118" s="385" t="s">
        <v>683</v>
      </c>
      <c r="L118" s="378" t="s">
        <v>0</v>
      </c>
      <c r="M118" s="386">
        <v>2100</v>
      </c>
      <c r="O118" s="590"/>
    </row>
    <row r="119" spans="1:15">
      <c r="A119" s="459"/>
      <c r="B119" s="462"/>
      <c r="C119" s="489"/>
      <c r="D119" s="489"/>
      <c r="E119" s="353" t="s">
        <v>326</v>
      </c>
      <c r="F119" s="460"/>
      <c r="G119" s="461"/>
      <c r="H119" s="92">
        <f>H120</f>
        <v>18424</v>
      </c>
      <c r="I119" s="92">
        <v>18363</v>
      </c>
      <c r="J119" s="92">
        <f>H119-I119</f>
        <v>61</v>
      </c>
      <c r="K119" s="355"/>
      <c r="L119" s="396"/>
      <c r="M119" s="466"/>
    </row>
    <row r="120" spans="1:15">
      <c r="A120" s="362"/>
      <c r="B120" s="363"/>
      <c r="C120" s="363"/>
      <c r="D120" s="363"/>
      <c r="E120" s="363"/>
      <c r="F120" s="470" t="s">
        <v>327</v>
      </c>
      <c r="G120" s="473"/>
      <c r="H120" s="98">
        <f>H121</f>
        <v>18424</v>
      </c>
      <c r="I120" s="98">
        <v>18363</v>
      </c>
      <c r="J120" s="98">
        <f>H120-I120</f>
        <v>61</v>
      </c>
      <c r="K120" s="388"/>
      <c r="L120" s="389"/>
      <c r="M120" s="390"/>
    </row>
    <row r="121" spans="1:15">
      <c r="A121" s="362"/>
      <c r="B121" s="363"/>
      <c r="C121" s="363"/>
      <c r="D121" s="363"/>
      <c r="E121" s="363"/>
      <c r="F121" s="474"/>
      <c r="G121" s="363" t="s">
        <v>328</v>
      </c>
      <c r="H121" s="475">
        <f>SUM(M121,M131,M136)</f>
        <v>18424</v>
      </c>
      <c r="I121" s="475">
        <v>18363</v>
      </c>
      <c r="J121" s="50">
        <f>H121-I121</f>
        <v>61</v>
      </c>
      <c r="K121" s="391" t="s">
        <v>329</v>
      </c>
      <c r="L121" s="417"/>
      <c r="M121" s="393">
        <f>SUM(M127:M130)</f>
        <v>6588</v>
      </c>
    </row>
    <row r="122" spans="1:15">
      <c r="A122" s="481"/>
      <c r="B122" s="482"/>
      <c r="C122" s="363"/>
      <c r="D122" s="363"/>
      <c r="E122" s="363"/>
      <c r="F122" s="486"/>
      <c r="G122" s="487"/>
      <c r="H122" s="488"/>
      <c r="I122" s="488"/>
      <c r="J122" s="50"/>
      <c r="K122" s="387" t="s">
        <v>534</v>
      </c>
      <c r="L122" s="383" t="s">
        <v>0</v>
      </c>
      <c r="M122" s="379">
        <v>3354</v>
      </c>
    </row>
    <row r="123" spans="1:15">
      <c r="A123" s="481"/>
      <c r="B123" s="482"/>
      <c r="C123" s="363"/>
      <c r="D123" s="363"/>
      <c r="E123" s="363"/>
      <c r="F123" s="486"/>
      <c r="G123" s="487"/>
      <c r="H123" s="488"/>
      <c r="I123" s="488"/>
      <c r="J123" s="50"/>
      <c r="K123" s="387" t="s">
        <v>535</v>
      </c>
      <c r="L123" s="383" t="s">
        <v>0</v>
      </c>
      <c r="M123" s="379">
        <v>1398</v>
      </c>
      <c r="O123" s="590"/>
    </row>
    <row r="124" spans="1:15">
      <c r="A124" s="481"/>
      <c r="B124" s="482"/>
      <c r="C124" s="363"/>
      <c r="D124" s="363"/>
      <c r="E124" s="363"/>
      <c r="F124" s="486"/>
      <c r="G124" s="487"/>
      <c r="H124" s="488"/>
      <c r="I124" s="488"/>
      <c r="J124" s="50"/>
      <c r="K124" s="387" t="s">
        <v>536</v>
      </c>
      <c r="L124" s="383" t="s">
        <v>0</v>
      </c>
      <c r="M124" s="379">
        <v>1305</v>
      </c>
    </row>
    <row r="125" spans="1:15">
      <c r="A125" s="481"/>
      <c r="B125" s="482"/>
      <c r="C125" s="363"/>
      <c r="D125" s="363"/>
      <c r="E125" s="363"/>
      <c r="F125" s="486"/>
      <c r="G125" s="487"/>
      <c r="H125" s="488"/>
      <c r="I125" s="488"/>
      <c r="J125" s="50"/>
      <c r="K125" s="387" t="s">
        <v>680</v>
      </c>
      <c r="L125" s="383" t="s">
        <v>0</v>
      </c>
      <c r="M125" s="379">
        <v>470</v>
      </c>
    </row>
    <row r="126" spans="1:15">
      <c r="A126" s="362"/>
      <c r="B126" s="363"/>
      <c r="C126" s="363"/>
      <c r="D126" s="363"/>
      <c r="E126" s="363"/>
      <c r="F126" s="493"/>
      <c r="G126" s="479"/>
      <c r="H126" s="496"/>
      <c r="I126" s="497"/>
      <c r="J126" s="498"/>
      <c r="K126" s="622" t="s">
        <v>727</v>
      </c>
      <c r="L126" s="383"/>
      <c r="M126" s="379"/>
      <c r="N126" s="621"/>
    </row>
    <row r="127" spans="1:15">
      <c r="A127" s="481"/>
      <c r="B127" s="482"/>
      <c r="C127" s="363"/>
      <c r="D127" s="363"/>
      <c r="E127" s="363"/>
      <c r="F127" s="486"/>
      <c r="G127" s="487"/>
      <c r="H127" s="488"/>
      <c r="I127" s="488"/>
      <c r="J127" s="50"/>
      <c r="K127" s="631" t="s">
        <v>752</v>
      </c>
      <c r="L127" s="625" t="s">
        <v>0</v>
      </c>
      <c r="M127" s="615">
        <v>3386</v>
      </c>
      <c r="N127" s="621"/>
    </row>
    <row r="128" spans="1:15">
      <c r="A128" s="481"/>
      <c r="B128" s="482"/>
      <c r="C128" s="363"/>
      <c r="D128" s="363"/>
      <c r="E128" s="363"/>
      <c r="F128" s="486"/>
      <c r="G128" s="487"/>
      <c r="H128" s="488"/>
      <c r="I128" s="488"/>
      <c r="J128" s="50"/>
      <c r="K128" s="631" t="s">
        <v>753</v>
      </c>
      <c r="L128" s="625" t="s">
        <v>0</v>
      </c>
      <c r="M128" s="615">
        <v>1411</v>
      </c>
      <c r="N128" s="621"/>
      <c r="O128" s="590"/>
    </row>
    <row r="129" spans="1:15">
      <c r="A129" s="481"/>
      <c r="B129" s="482"/>
      <c r="C129" s="363"/>
      <c r="D129" s="363"/>
      <c r="E129" s="363"/>
      <c r="F129" s="486"/>
      <c r="G129" s="487"/>
      <c r="H129" s="488"/>
      <c r="I129" s="488"/>
      <c r="J129" s="50"/>
      <c r="K129" s="631" t="s">
        <v>754</v>
      </c>
      <c r="L129" s="625" t="s">
        <v>0</v>
      </c>
      <c r="M129" s="615">
        <v>1317</v>
      </c>
      <c r="N129" s="621"/>
    </row>
    <row r="130" spans="1:15">
      <c r="A130" s="481"/>
      <c r="B130" s="482"/>
      <c r="C130" s="363"/>
      <c r="D130" s="363"/>
      <c r="E130" s="363"/>
      <c r="F130" s="486"/>
      <c r="G130" s="487"/>
      <c r="H130" s="488"/>
      <c r="I130" s="488"/>
      <c r="J130" s="50"/>
      <c r="K130" s="631" t="s">
        <v>755</v>
      </c>
      <c r="L130" s="625" t="s">
        <v>0</v>
      </c>
      <c r="M130" s="615">
        <v>474</v>
      </c>
      <c r="N130" s="621"/>
    </row>
    <row r="131" spans="1:15">
      <c r="A131" s="481"/>
      <c r="B131" s="482"/>
      <c r="C131" s="363"/>
      <c r="D131" s="363"/>
      <c r="E131" s="363"/>
      <c r="F131" s="486"/>
      <c r="G131" s="487"/>
      <c r="H131" s="488"/>
      <c r="I131" s="488"/>
      <c r="J131" s="50"/>
      <c r="K131" s="361" t="s">
        <v>330</v>
      </c>
      <c r="L131" s="416"/>
      <c r="M131" s="384">
        <f>SUM(M132:M135)</f>
        <v>8554</v>
      </c>
    </row>
    <row r="132" spans="1:15">
      <c r="A132" s="481"/>
      <c r="B132" s="482"/>
      <c r="C132" s="363"/>
      <c r="D132" s="363"/>
      <c r="E132" s="363"/>
      <c r="F132" s="486"/>
      <c r="G132" s="487"/>
      <c r="H132" s="488"/>
      <c r="I132" s="488"/>
      <c r="J132" s="50"/>
      <c r="K132" s="387" t="s">
        <v>537</v>
      </c>
      <c r="L132" s="383" t="s">
        <v>0</v>
      </c>
      <c r="M132" s="379">
        <v>4396</v>
      </c>
    </row>
    <row r="133" spans="1:15">
      <c r="A133" s="481"/>
      <c r="B133" s="482"/>
      <c r="C133" s="363"/>
      <c r="D133" s="363"/>
      <c r="E133" s="363"/>
      <c r="F133" s="486"/>
      <c r="G133" s="487"/>
      <c r="H133" s="488"/>
      <c r="I133" s="488"/>
      <c r="J133" s="50"/>
      <c r="K133" s="387" t="s">
        <v>538</v>
      </c>
      <c r="L133" s="383" t="s">
        <v>0</v>
      </c>
      <c r="M133" s="379">
        <v>1832</v>
      </c>
    </row>
    <row r="134" spans="1:15">
      <c r="A134" s="481"/>
      <c r="B134" s="482"/>
      <c r="C134" s="363"/>
      <c r="D134" s="363"/>
      <c r="E134" s="363"/>
      <c r="F134" s="486"/>
      <c r="G134" s="487"/>
      <c r="H134" s="488"/>
      <c r="I134" s="488"/>
      <c r="J134" s="50"/>
      <c r="K134" s="387" t="s">
        <v>632</v>
      </c>
      <c r="L134" s="383" t="s">
        <v>0</v>
      </c>
      <c r="M134" s="379">
        <v>1710</v>
      </c>
    </row>
    <row r="135" spans="1:15">
      <c r="A135" s="481"/>
      <c r="B135" s="482"/>
      <c r="C135" s="363"/>
      <c r="D135" s="363"/>
      <c r="E135" s="363"/>
      <c r="F135" s="486"/>
      <c r="G135" s="487"/>
      <c r="H135" s="488"/>
      <c r="I135" s="488"/>
      <c r="J135" s="50"/>
      <c r="K135" s="387" t="s">
        <v>681</v>
      </c>
      <c r="L135" s="383" t="s">
        <v>682</v>
      </c>
      <c r="M135" s="379">
        <v>616</v>
      </c>
      <c r="O135" s="590"/>
    </row>
    <row r="136" spans="1:15">
      <c r="A136" s="481"/>
      <c r="B136" s="482"/>
      <c r="C136" s="363"/>
      <c r="D136" s="363"/>
      <c r="E136" s="363"/>
      <c r="F136" s="486"/>
      <c r="G136" s="487"/>
      <c r="H136" s="488"/>
      <c r="I136" s="488"/>
      <c r="J136" s="50"/>
      <c r="K136" s="361" t="s">
        <v>331</v>
      </c>
      <c r="L136" s="416"/>
      <c r="M136" s="384">
        <f>M137</f>
        <v>3282</v>
      </c>
    </row>
    <row r="137" spans="1:15" ht="17.25" thickBot="1">
      <c r="A137" s="511"/>
      <c r="B137" s="512"/>
      <c r="C137" s="513"/>
      <c r="D137" s="513"/>
      <c r="E137" s="513"/>
      <c r="F137" s="514"/>
      <c r="G137" s="515"/>
      <c r="H137" s="516"/>
      <c r="I137" s="516"/>
      <c r="J137" s="230"/>
      <c r="K137" s="517" t="s">
        <v>539</v>
      </c>
      <c r="L137" s="518" t="s">
        <v>0</v>
      </c>
      <c r="M137" s="405">
        <v>3282</v>
      </c>
    </row>
    <row r="145" spans="12:13">
      <c r="L145" s="237"/>
      <c r="M145"/>
    </row>
    <row r="146" spans="12:13">
      <c r="L146" s="237"/>
      <c r="M146"/>
    </row>
    <row r="147" spans="12:13">
      <c r="L147" s="237"/>
      <c r="M147"/>
    </row>
    <row r="148" spans="12:13">
      <c r="L148" s="237"/>
      <c r="M148"/>
    </row>
    <row r="149" spans="12:13">
      <c r="L149" s="237"/>
      <c r="M149"/>
    </row>
    <row r="150" spans="12:13">
      <c r="L150" s="237"/>
      <c r="M150"/>
    </row>
    <row r="151" spans="12:13">
      <c r="L151" s="237"/>
      <c r="M151"/>
    </row>
    <row r="152" spans="12:13">
      <c r="L152" s="237"/>
      <c r="M152"/>
    </row>
    <row r="153" spans="12:13">
      <c r="L153" s="237"/>
      <c r="M153"/>
    </row>
    <row r="154" spans="12:13">
      <c r="L154" s="237"/>
      <c r="M154"/>
    </row>
    <row r="155" spans="12:13">
      <c r="L155" s="237"/>
      <c r="M155"/>
    </row>
    <row r="156" spans="12:13">
      <c r="L156" s="237"/>
      <c r="M156"/>
    </row>
    <row r="157" spans="12:13">
      <c r="L157" s="237"/>
      <c r="M157"/>
    </row>
    <row r="158" spans="12:13">
      <c r="L158" s="237"/>
      <c r="M158"/>
    </row>
    <row r="159" spans="12:13">
      <c r="L159" s="237"/>
      <c r="M159"/>
    </row>
    <row r="160" spans="12:13">
      <c r="L160" s="237"/>
      <c r="M160"/>
    </row>
    <row r="161" spans="12:13">
      <c r="L161" s="237"/>
      <c r="M161"/>
    </row>
  </sheetData>
  <autoFilter ref="A3:M137">
    <filterColumn colId="10" showButton="0"/>
    <filterColumn colId="11" showButton="0"/>
  </autoFilter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937" priority="769" operator="containsText" text="허하나로">
      <formula>NOT(ISERROR(SEARCH("허하나로",H778)))</formula>
    </cfRule>
    <cfRule type="containsText" dxfId="1936" priority="770" operator="containsText" text="한별">
      <formula>NOT(ISERROR(SEARCH("한별",H778)))</formula>
    </cfRule>
    <cfRule type="containsText" dxfId="1935" priority="771" operator="containsText" text="정홍조">
      <formula>NOT(ISERROR(SEARCH("정홍조",H778)))</formula>
    </cfRule>
    <cfRule type="containsText" dxfId="1934" priority="772" operator="containsText" text="김지윤">
      <formula>NOT(ISERROR(SEARCH("김지윤",H778)))</formula>
    </cfRule>
    <cfRule type="containsText" dxfId="1933" priority="773" operator="containsText" text="전준영">
      <formula>NOT(ISERROR(SEARCH("전준영",H778)))</formula>
    </cfRule>
    <cfRule type="containsText" dxfId="1932" priority="774" operator="containsText" text="차재성">
      <formula>NOT(ISERROR(SEARCH("차재성",H778)))</formula>
    </cfRule>
  </conditionalFormatting>
  <conditionalFormatting sqref="J6:J7">
    <cfRule type="containsText" dxfId="1931" priority="763" operator="containsText" text="허하나로">
      <formula>NOT(ISERROR(SEARCH("허하나로",H776)))</formula>
    </cfRule>
    <cfRule type="containsText" dxfId="1930" priority="764" operator="containsText" text="한별">
      <formula>NOT(ISERROR(SEARCH("한별",H776)))</formula>
    </cfRule>
    <cfRule type="containsText" dxfId="1929" priority="765" operator="containsText" text="정홍조">
      <formula>NOT(ISERROR(SEARCH("정홍조",H776)))</formula>
    </cfRule>
    <cfRule type="containsText" dxfId="1928" priority="766" operator="containsText" text="김지윤">
      <formula>NOT(ISERROR(SEARCH("김지윤",H776)))</formula>
    </cfRule>
    <cfRule type="containsText" dxfId="1927" priority="767" operator="containsText" text="전준영">
      <formula>NOT(ISERROR(SEARCH("전준영",H776)))</formula>
    </cfRule>
    <cfRule type="containsText" dxfId="1926" priority="768" operator="containsText" text="차재성">
      <formula>NOT(ISERROR(SEARCH("차재성",H776)))</formula>
    </cfRule>
  </conditionalFormatting>
  <conditionalFormatting sqref="J5">
    <cfRule type="containsText" dxfId="1925" priority="757" operator="containsText" text="허하나로">
      <formula>NOT(ISERROR(SEARCH("허하나로",H775)))</formula>
    </cfRule>
    <cfRule type="containsText" dxfId="1924" priority="758" operator="containsText" text="한별">
      <formula>NOT(ISERROR(SEARCH("한별",H775)))</formula>
    </cfRule>
    <cfRule type="containsText" dxfId="1923" priority="759" operator="containsText" text="정홍조">
      <formula>NOT(ISERROR(SEARCH("정홍조",H775)))</formula>
    </cfRule>
    <cfRule type="containsText" dxfId="1922" priority="760" operator="containsText" text="김지윤">
      <formula>NOT(ISERROR(SEARCH("김지윤",H775)))</formula>
    </cfRule>
    <cfRule type="containsText" dxfId="1921" priority="761" operator="containsText" text="전준영">
      <formula>NOT(ISERROR(SEARCH("전준영",H775)))</formula>
    </cfRule>
    <cfRule type="containsText" dxfId="1920" priority="762" operator="containsText" text="차재성">
      <formula>NOT(ISERROR(SEARCH("차재성",H775)))</formula>
    </cfRule>
  </conditionalFormatting>
  <conditionalFormatting sqref="J21">
    <cfRule type="containsText" dxfId="1919" priority="745" operator="containsText" text="허하나로">
      <formula>NOT(ISERROR(SEARCH("허하나로",H909)))</formula>
    </cfRule>
    <cfRule type="containsText" dxfId="1918" priority="746" operator="containsText" text="한별">
      <formula>NOT(ISERROR(SEARCH("한별",H909)))</formula>
    </cfRule>
    <cfRule type="containsText" dxfId="1917" priority="747" operator="containsText" text="정홍조">
      <formula>NOT(ISERROR(SEARCH("정홍조",H909)))</formula>
    </cfRule>
    <cfRule type="containsText" dxfId="1916" priority="748" operator="containsText" text="김지윤">
      <formula>NOT(ISERROR(SEARCH("김지윤",H909)))</formula>
    </cfRule>
    <cfRule type="containsText" dxfId="1915" priority="749" operator="containsText" text="전준영">
      <formula>NOT(ISERROR(SEARCH("전준영",H909)))</formula>
    </cfRule>
    <cfRule type="containsText" dxfId="1914" priority="750" operator="containsText" text="차재성">
      <formula>NOT(ISERROR(SEARCH("차재성",H909)))</formula>
    </cfRule>
  </conditionalFormatting>
  <conditionalFormatting sqref="J67:J68">
    <cfRule type="containsText" dxfId="1913" priority="739" operator="containsText" text="허하나로">
      <formula>NOT(ISERROR(SEARCH("허하나로",H1119)))</formula>
    </cfRule>
    <cfRule type="containsText" dxfId="1912" priority="740" operator="containsText" text="한별">
      <formula>NOT(ISERROR(SEARCH("한별",H1119)))</formula>
    </cfRule>
    <cfRule type="containsText" dxfId="1911" priority="741" operator="containsText" text="정홍조">
      <formula>NOT(ISERROR(SEARCH("정홍조",H1119)))</formula>
    </cfRule>
    <cfRule type="containsText" dxfId="1910" priority="742" operator="containsText" text="김지윤">
      <formula>NOT(ISERROR(SEARCH("김지윤",H1119)))</formula>
    </cfRule>
    <cfRule type="containsText" dxfId="1909" priority="743" operator="containsText" text="전준영">
      <formula>NOT(ISERROR(SEARCH("전준영",H1119)))</formula>
    </cfRule>
    <cfRule type="containsText" dxfId="1908" priority="744" operator="containsText" text="차재성">
      <formula>NOT(ISERROR(SEARCH("차재성",H1119)))</formula>
    </cfRule>
  </conditionalFormatting>
  <conditionalFormatting sqref="J23">
    <cfRule type="containsText" dxfId="1907" priority="775" operator="containsText" text="허하나로">
      <formula>NOT(ISERROR(SEARCH("허하나로",H1106)))</formula>
    </cfRule>
    <cfRule type="containsText" dxfId="1906" priority="776" operator="containsText" text="한별">
      <formula>NOT(ISERROR(SEARCH("한별",H1106)))</formula>
    </cfRule>
    <cfRule type="containsText" dxfId="1905" priority="777" operator="containsText" text="정홍조">
      <formula>NOT(ISERROR(SEARCH("정홍조",H1106)))</formula>
    </cfRule>
    <cfRule type="containsText" dxfId="1904" priority="778" operator="containsText" text="김지윤">
      <formula>NOT(ISERROR(SEARCH("김지윤",H1106)))</formula>
    </cfRule>
    <cfRule type="containsText" dxfId="1903" priority="779" operator="containsText" text="전준영">
      <formula>NOT(ISERROR(SEARCH("전준영",H1106)))</formula>
    </cfRule>
    <cfRule type="containsText" dxfId="1902" priority="780" operator="containsText" text="차재성">
      <formula>NOT(ISERROR(SEARCH("차재성",H1106)))</formula>
    </cfRule>
  </conditionalFormatting>
  <conditionalFormatting sqref="J8:J12">
    <cfRule type="containsText" dxfId="1901" priority="2017" operator="containsText" text="허하나로">
      <formula>NOT(ISERROR(SEARCH("허하나로",H1114)))</formula>
    </cfRule>
    <cfRule type="containsText" dxfId="1900" priority="2018" operator="containsText" text="한별">
      <formula>NOT(ISERROR(SEARCH("한별",H1114)))</formula>
    </cfRule>
    <cfRule type="containsText" dxfId="1899" priority="2019" operator="containsText" text="정홍조">
      <formula>NOT(ISERROR(SEARCH("정홍조",H1114)))</formula>
    </cfRule>
    <cfRule type="containsText" dxfId="1898" priority="2020" operator="containsText" text="김지윤">
      <formula>NOT(ISERROR(SEARCH("김지윤",H1114)))</formula>
    </cfRule>
    <cfRule type="containsText" dxfId="1897" priority="2021" operator="containsText" text="전준영">
      <formula>NOT(ISERROR(SEARCH("전준영",H1114)))</formula>
    </cfRule>
    <cfRule type="containsText" dxfId="1896" priority="2022" operator="containsText" text="차재성">
      <formula>NOT(ISERROR(SEARCH("차재성",H1114)))</formula>
    </cfRule>
  </conditionalFormatting>
  <conditionalFormatting sqref="J29">
    <cfRule type="containsText" dxfId="1895" priority="2035" operator="containsText" text="허하나로">
      <formula>NOT(ISERROR(SEARCH("허하나로",H1119)))</formula>
    </cfRule>
    <cfRule type="containsText" dxfId="1894" priority="2036" operator="containsText" text="한별">
      <formula>NOT(ISERROR(SEARCH("한별",H1119)))</formula>
    </cfRule>
    <cfRule type="containsText" dxfId="1893" priority="2037" operator="containsText" text="정홍조">
      <formula>NOT(ISERROR(SEARCH("정홍조",H1119)))</formula>
    </cfRule>
    <cfRule type="containsText" dxfId="1892" priority="2038" operator="containsText" text="김지윤">
      <formula>NOT(ISERROR(SEARCH("김지윤",H1119)))</formula>
    </cfRule>
    <cfRule type="containsText" dxfId="1891" priority="2039" operator="containsText" text="전준영">
      <formula>NOT(ISERROR(SEARCH("전준영",H1119)))</formula>
    </cfRule>
    <cfRule type="containsText" dxfId="1890" priority="2040" operator="containsText" text="차재성">
      <formula>NOT(ISERROR(SEARCH("차재성",H1119)))</formula>
    </cfRule>
  </conditionalFormatting>
  <conditionalFormatting sqref="J19">
    <cfRule type="containsText" dxfId="1889" priority="661" operator="containsText" text="허하나로">
      <formula>NOT(ISERROR(SEARCH("허하나로",H1118)))</formula>
    </cfRule>
    <cfRule type="containsText" dxfId="1888" priority="662" operator="containsText" text="한별">
      <formula>NOT(ISERROR(SEARCH("한별",H1118)))</formula>
    </cfRule>
    <cfRule type="containsText" dxfId="1887" priority="663" operator="containsText" text="정홍조">
      <formula>NOT(ISERROR(SEARCH("정홍조",H1118)))</formula>
    </cfRule>
    <cfRule type="containsText" dxfId="1886" priority="664" operator="containsText" text="김지윤">
      <formula>NOT(ISERROR(SEARCH("김지윤",H1118)))</formula>
    </cfRule>
    <cfRule type="containsText" dxfId="1885" priority="665" operator="containsText" text="전준영">
      <formula>NOT(ISERROR(SEARCH("전준영",H1118)))</formula>
    </cfRule>
    <cfRule type="containsText" dxfId="1884" priority="666" operator="containsText" text="차재성">
      <formula>NOT(ISERROR(SEARCH("차재성",H1118)))</formula>
    </cfRule>
  </conditionalFormatting>
  <conditionalFormatting sqref="J20">
    <cfRule type="containsText" dxfId="1883" priority="697" operator="containsText" text="허하나로">
      <formula>NOT(ISERROR(SEARCH("허하나로",H1118)))</formula>
    </cfRule>
    <cfRule type="containsText" dxfId="1882" priority="698" operator="containsText" text="한별">
      <formula>NOT(ISERROR(SEARCH("한별",H1118)))</formula>
    </cfRule>
    <cfRule type="containsText" dxfId="1881" priority="699" operator="containsText" text="정홍조">
      <formula>NOT(ISERROR(SEARCH("정홍조",H1118)))</formula>
    </cfRule>
    <cfRule type="containsText" dxfId="1880" priority="700" operator="containsText" text="김지윤">
      <formula>NOT(ISERROR(SEARCH("김지윤",H1118)))</formula>
    </cfRule>
    <cfRule type="containsText" dxfId="1879" priority="701" operator="containsText" text="전준영">
      <formula>NOT(ISERROR(SEARCH("전준영",H1118)))</formula>
    </cfRule>
    <cfRule type="containsText" dxfId="1878" priority="702" operator="containsText" text="차재성">
      <formula>NOT(ISERROR(SEARCH("차재성",H1118)))</formula>
    </cfRule>
  </conditionalFormatting>
  <conditionalFormatting sqref="J15">
    <cfRule type="containsText" dxfId="1877" priority="2119" operator="containsText" text="허하나로">
      <formula>NOT(ISERROR(SEARCH("허하나로",H1119)))</formula>
    </cfRule>
    <cfRule type="containsText" dxfId="1876" priority="2120" operator="containsText" text="한별">
      <formula>NOT(ISERROR(SEARCH("한별",H1119)))</formula>
    </cfRule>
    <cfRule type="containsText" dxfId="1875" priority="2121" operator="containsText" text="정홍조">
      <formula>NOT(ISERROR(SEARCH("정홍조",H1119)))</formula>
    </cfRule>
    <cfRule type="containsText" dxfId="1874" priority="2122" operator="containsText" text="김지윤">
      <formula>NOT(ISERROR(SEARCH("김지윤",H1119)))</formula>
    </cfRule>
    <cfRule type="containsText" dxfId="1873" priority="2123" operator="containsText" text="전준영">
      <formula>NOT(ISERROR(SEARCH("전준영",H1119)))</formula>
    </cfRule>
    <cfRule type="containsText" dxfId="1872" priority="2124" operator="containsText" text="차재성">
      <formula>NOT(ISERROR(SEARCH("차재성",H1119)))</formula>
    </cfRule>
  </conditionalFormatting>
  <conditionalFormatting sqref="J14">
    <cfRule type="containsText" dxfId="1871" priority="2131" operator="containsText" text="허하나로">
      <formula>NOT(ISERROR(SEARCH("허하나로",H1119)))</formula>
    </cfRule>
    <cfRule type="containsText" dxfId="1870" priority="2132" operator="containsText" text="한별">
      <formula>NOT(ISERROR(SEARCH("한별",H1119)))</formula>
    </cfRule>
    <cfRule type="containsText" dxfId="1869" priority="2133" operator="containsText" text="정홍조">
      <formula>NOT(ISERROR(SEARCH("정홍조",H1119)))</formula>
    </cfRule>
    <cfRule type="containsText" dxfId="1868" priority="2134" operator="containsText" text="김지윤">
      <formula>NOT(ISERROR(SEARCH("김지윤",H1119)))</formula>
    </cfRule>
    <cfRule type="containsText" dxfId="1867" priority="2135" operator="containsText" text="전준영">
      <formula>NOT(ISERROR(SEARCH("전준영",H1119)))</formula>
    </cfRule>
    <cfRule type="containsText" dxfId="1866" priority="2136" operator="containsText" text="차재성">
      <formula>NOT(ISERROR(SEARCH("차재성",H1119)))</formula>
    </cfRule>
  </conditionalFormatting>
  <conditionalFormatting sqref="J13">
    <cfRule type="containsText" dxfId="1865" priority="2143" operator="containsText" text="허하나로">
      <formula>NOT(ISERROR(SEARCH("허하나로",H1119)))</formula>
    </cfRule>
    <cfRule type="containsText" dxfId="1864" priority="2144" operator="containsText" text="한별">
      <formula>NOT(ISERROR(SEARCH("한별",H1119)))</formula>
    </cfRule>
    <cfRule type="containsText" dxfId="1863" priority="2145" operator="containsText" text="정홍조">
      <formula>NOT(ISERROR(SEARCH("정홍조",H1119)))</formula>
    </cfRule>
    <cfRule type="containsText" dxfId="1862" priority="2146" operator="containsText" text="김지윤">
      <formula>NOT(ISERROR(SEARCH("김지윤",H1119)))</formula>
    </cfRule>
    <cfRule type="containsText" dxfId="1861" priority="2147" operator="containsText" text="전준영">
      <formula>NOT(ISERROR(SEARCH("전준영",H1119)))</formula>
    </cfRule>
    <cfRule type="containsText" dxfId="1860" priority="2148" operator="containsText" text="차재성">
      <formula>NOT(ISERROR(SEARCH("차재성",H1119)))</formula>
    </cfRule>
  </conditionalFormatting>
  <conditionalFormatting sqref="J66">
    <cfRule type="containsText" dxfId="1859" priority="2167" operator="containsText" text="허하나로">
      <formula>NOT(ISERROR(SEARCH("허하나로",H1121)))</formula>
    </cfRule>
    <cfRule type="containsText" dxfId="1858" priority="2168" operator="containsText" text="한별">
      <formula>NOT(ISERROR(SEARCH("한별",H1121)))</formula>
    </cfRule>
    <cfRule type="containsText" dxfId="1857" priority="2169" operator="containsText" text="정홍조">
      <formula>NOT(ISERROR(SEARCH("정홍조",H1121)))</formula>
    </cfRule>
    <cfRule type="containsText" dxfId="1856" priority="2170" operator="containsText" text="김지윤">
      <formula>NOT(ISERROR(SEARCH("김지윤",H1121)))</formula>
    </cfRule>
    <cfRule type="containsText" dxfId="1855" priority="2171" operator="containsText" text="전준영">
      <formula>NOT(ISERROR(SEARCH("전준영",H1121)))</formula>
    </cfRule>
    <cfRule type="containsText" dxfId="1854" priority="2172" operator="containsText" text="차재성">
      <formula>NOT(ISERROR(SEARCH("차재성",H1121)))</formula>
    </cfRule>
  </conditionalFormatting>
  <conditionalFormatting sqref="J60">
    <cfRule type="containsText" dxfId="1853" priority="2185" operator="containsText" text="허하나로">
      <formula>NOT(ISERROR(SEARCH("허하나로",H1121)))</formula>
    </cfRule>
    <cfRule type="containsText" dxfId="1852" priority="2186" operator="containsText" text="한별">
      <formula>NOT(ISERROR(SEARCH("한별",H1121)))</formula>
    </cfRule>
    <cfRule type="containsText" dxfId="1851" priority="2187" operator="containsText" text="정홍조">
      <formula>NOT(ISERROR(SEARCH("정홍조",H1121)))</formula>
    </cfRule>
    <cfRule type="containsText" dxfId="1850" priority="2188" operator="containsText" text="김지윤">
      <formula>NOT(ISERROR(SEARCH("김지윤",H1121)))</formula>
    </cfRule>
    <cfRule type="containsText" dxfId="1849" priority="2189" operator="containsText" text="전준영">
      <formula>NOT(ISERROR(SEARCH("전준영",H1121)))</formula>
    </cfRule>
    <cfRule type="containsText" dxfId="1848" priority="2190" operator="containsText" text="차재성">
      <formula>NOT(ISERROR(SEARCH("차재성",H1121)))</formula>
    </cfRule>
  </conditionalFormatting>
  <conditionalFormatting sqref="J51:J52">
    <cfRule type="containsText" dxfId="1847" priority="2203" operator="containsText" text="허하나로">
      <formula>NOT(ISERROR(SEARCH("허하나로",H1119)))</formula>
    </cfRule>
    <cfRule type="containsText" dxfId="1846" priority="2204" operator="containsText" text="한별">
      <formula>NOT(ISERROR(SEARCH("한별",H1119)))</formula>
    </cfRule>
    <cfRule type="containsText" dxfId="1845" priority="2205" operator="containsText" text="정홍조">
      <formula>NOT(ISERROR(SEARCH("정홍조",H1119)))</formula>
    </cfRule>
    <cfRule type="containsText" dxfId="1844" priority="2206" operator="containsText" text="김지윤">
      <formula>NOT(ISERROR(SEARCH("김지윤",H1119)))</formula>
    </cfRule>
    <cfRule type="containsText" dxfId="1843" priority="2207" operator="containsText" text="전준영">
      <formula>NOT(ISERROR(SEARCH("전준영",H1119)))</formula>
    </cfRule>
    <cfRule type="containsText" dxfId="1842" priority="2208" operator="containsText" text="차재성">
      <formula>NOT(ISERROR(SEARCH("차재성",H1119)))</formula>
    </cfRule>
  </conditionalFormatting>
  <conditionalFormatting sqref="J42">
    <cfRule type="containsText" dxfId="1841" priority="2329" operator="containsText" text="허하나로">
      <formula>NOT(ISERROR(SEARCH("허하나로",H1128)))</formula>
    </cfRule>
    <cfRule type="containsText" dxfId="1840" priority="2330" operator="containsText" text="한별">
      <formula>NOT(ISERROR(SEARCH("한별",H1128)))</formula>
    </cfRule>
    <cfRule type="containsText" dxfId="1839" priority="2331" operator="containsText" text="정홍조">
      <formula>NOT(ISERROR(SEARCH("정홍조",H1128)))</formula>
    </cfRule>
    <cfRule type="containsText" dxfId="1838" priority="2332" operator="containsText" text="김지윤">
      <formula>NOT(ISERROR(SEARCH("김지윤",H1128)))</formula>
    </cfRule>
    <cfRule type="containsText" dxfId="1837" priority="2333" operator="containsText" text="전준영">
      <formula>NOT(ISERROR(SEARCH("전준영",H1128)))</formula>
    </cfRule>
    <cfRule type="containsText" dxfId="1836" priority="2334" operator="containsText" text="차재성">
      <formula>NOT(ISERROR(SEARCH("차재성",H1128)))</formula>
    </cfRule>
  </conditionalFormatting>
  <conditionalFormatting sqref="J48">
    <cfRule type="containsText" dxfId="1835" priority="655" operator="containsText" text="허하나로">
      <formula>NOT(ISERROR(SEARCH("허하나로",H1113)))</formula>
    </cfRule>
    <cfRule type="containsText" dxfId="1834" priority="656" operator="containsText" text="한별">
      <formula>NOT(ISERROR(SEARCH("한별",H1113)))</formula>
    </cfRule>
    <cfRule type="containsText" dxfId="1833" priority="657" operator="containsText" text="정홍조">
      <formula>NOT(ISERROR(SEARCH("정홍조",H1113)))</formula>
    </cfRule>
    <cfRule type="containsText" dxfId="1832" priority="658" operator="containsText" text="김지윤">
      <formula>NOT(ISERROR(SEARCH("김지윤",H1113)))</formula>
    </cfRule>
    <cfRule type="containsText" dxfId="1831" priority="659" operator="containsText" text="전준영">
      <formula>NOT(ISERROR(SEARCH("전준영",H1113)))</formula>
    </cfRule>
    <cfRule type="containsText" dxfId="1830" priority="660" operator="containsText" text="차재성">
      <formula>NOT(ISERROR(SEARCH("차재성",H1113)))</formula>
    </cfRule>
  </conditionalFormatting>
  <conditionalFormatting sqref="J49:J50 J30:J34">
    <cfRule type="containsText" dxfId="1829" priority="649" operator="containsText" text="허하나로">
      <formula>NOT(ISERROR(SEARCH("허하나로",H1123)))</formula>
    </cfRule>
    <cfRule type="containsText" dxfId="1828" priority="650" operator="containsText" text="한별">
      <formula>NOT(ISERROR(SEARCH("한별",H1123)))</formula>
    </cfRule>
    <cfRule type="containsText" dxfId="1827" priority="651" operator="containsText" text="정홍조">
      <formula>NOT(ISERROR(SEARCH("정홍조",H1123)))</formula>
    </cfRule>
    <cfRule type="containsText" dxfId="1826" priority="652" operator="containsText" text="김지윤">
      <formula>NOT(ISERROR(SEARCH("김지윤",H1123)))</formula>
    </cfRule>
    <cfRule type="containsText" dxfId="1825" priority="653" operator="containsText" text="전준영">
      <formula>NOT(ISERROR(SEARCH("전준영",H1123)))</formula>
    </cfRule>
    <cfRule type="containsText" dxfId="1824" priority="654" operator="containsText" text="차재성">
      <formula>NOT(ISERROR(SEARCH("차재성",H1123)))</formula>
    </cfRule>
  </conditionalFormatting>
  <conditionalFormatting sqref="J136">
    <cfRule type="containsText" dxfId="1823" priority="2347" operator="containsText" text="허하나로">
      <formula>NOT(ISERROR(SEARCH("허하나로",H1171)))</formula>
    </cfRule>
    <cfRule type="containsText" dxfId="1822" priority="2348" operator="containsText" text="한별">
      <formula>NOT(ISERROR(SEARCH("한별",H1171)))</formula>
    </cfRule>
    <cfRule type="containsText" dxfId="1821" priority="2349" operator="containsText" text="정홍조">
      <formula>NOT(ISERROR(SEARCH("정홍조",H1171)))</formula>
    </cfRule>
    <cfRule type="containsText" dxfId="1820" priority="2350" operator="containsText" text="김지윤">
      <formula>NOT(ISERROR(SEARCH("김지윤",H1171)))</formula>
    </cfRule>
    <cfRule type="containsText" dxfId="1819" priority="2351" operator="containsText" text="전준영">
      <formula>NOT(ISERROR(SEARCH("전준영",H1171)))</formula>
    </cfRule>
    <cfRule type="containsText" dxfId="1818" priority="2352" operator="containsText" text="차재성">
      <formula>NOT(ISERROR(SEARCH("차재성",H1171)))</formula>
    </cfRule>
  </conditionalFormatting>
  <conditionalFormatting sqref="J132:J133">
    <cfRule type="containsText" dxfId="1817" priority="2365" operator="containsText" text="허하나로">
      <formula>NOT(ISERROR(SEARCH("허하나로",H1170)))</formula>
    </cfRule>
    <cfRule type="containsText" dxfId="1816" priority="2366" operator="containsText" text="한별">
      <formula>NOT(ISERROR(SEARCH("한별",H1170)))</formula>
    </cfRule>
    <cfRule type="containsText" dxfId="1815" priority="2367" operator="containsText" text="정홍조">
      <formula>NOT(ISERROR(SEARCH("정홍조",H1170)))</formula>
    </cfRule>
    <cfRule type="containsText" dxfId="1814" priority="2368" operator="containsText" text="김지윤">
      <formula>NOT(ISERROR(SEARCH("김지윤",H1170)))</formula>
    </cfRule>
    <cfRule type="containsText" dxfId="1813" priority="2369" operator="containsText" text="전준영">
      <formula>NOT(ISERROR(SEARCH("전준영",H1170)))</formula>
    </cfRule>
    <cfRule type="containsText" dxfId="1812" priority="2370" operator="containsText" text="차재성">
      <formula>NOT(ISERROR(SEARCH("차재성",H1170)))</formula>
    </cfRule>
  </conditionalFormatting>
  <conditionalFormatting sqref="J57">
    <cfRule type="containsText" dxfId="1811" priority="2383" operator="containsText" text="허하나로">
      <formula>NOT(ISERROR(SEARCH("허하나로",H1120)))</formula>
    </cfRule>
    <cfRule type="containsText" dxfId="1810" priority="2384" operator="containsText" text="한별">
      <formula>NOT(ISERROR(SEARCH("한별",H1120)))</formula>
    </cfRule>
    <cfRule type="containsText" dxfId="1809" priority="2385" operator="containsText" text="정홍조">
      <formula>NOT(ISERROR(SEARCH("정홍조",H1120)))</formula>
    </cfRule>
    <cfRule type="containsText" dxfId="1808" priority="2386" operator="containsText" text="김지윤">
      <formula>NOT(ISERROR(SEARCH("김지윤",H1120)))</formula>
    </cfRule>
    <cfRule type="containsText" dxfId="1807" priority="2387" operator="containsText" text="전준영">
      <formula>NOT(ISERROR(SEARCH("전준영",H1120)))</formula>
    </cfRule>
    <cfRule type="containsText" dxfId="1806" priority="2388" operator="containsText" text="차재성">
      <formula>NOT(ISERROR(SEARCH("차재성",H1120)))</formula>
    </cfRule>
  </conditionalFormatting>
  <conditionalFormatting sqref="J56">
    <cfRule type="containsText" dxfId="1805" priority="2401" operator="containsText" text="허하나로">
      <formula>NOT(ISERROR(SEARCH("허하나로",H1120)))</formula>
    </cfRule>
    <cfRule type="containsText" dxfId="1804" priority="2402" operator="containsText" text="한별">
      <formula>NOT(ISERROR(SEARCH("한별",H1120)))</formula>
    </cfRule>
    <cfRule type="containsText" dxfId="1803" priority="2403" operator="containsText" text="정홍조">
      <formula>NOT(ISERROR(SEARCH("정홍조",H1120)))</formula>
    </cfRule>
    <cfRule type="containsText" dxfId="1802" priority="2404" operator="containsText" text="김지윤">
      <formula>NOT(ISERROR(SEARCH("김지윤",H1120)))</formula>
    </cfRule>
    <cfRule type="containsText" dxfId="1801" priority="2405" operator="containsText" text="전준영">
      <formula>NOT(ISERROR(SEARCH("전준영",H1120)))</formula>
    </cfRule>
    <cfRule type="containsText" dxfId="1800" priority="2406" operator="containsText" text="차재성">
      <formula>NOT(ISERROR(SEARCH("차재성",H1120)))</formula>
    </cfRule>
  </conditionalFormatting>
  <conditionalFormatting sqref="J55">
    <cfRule type="containsText" dxfId="1799" priority="2419" operator="containsText" text="허하나로">
      <formula>NOT(ISERROR(SEARCH("허하나로",H1120)))</formula>
    </cfRule>
    <cfRule type="containsText" dxfId="1798" priority="2420" operator="containsText" text="한별">
      <formula>NOT(ISERROR(SEARCH("한별",H1120)))</formula>
    </cfRule>
    <cfRule type="containsText" dxfId="1797" priority="2421" operator="containsText" text="정홍조">
      <formula>NOT(ISERROR(SEARCH("정홍조",H1120)))</formula>
    </cfRule>
    <cfRule type="containsText" dxfId="1796" priority="2422" operator="containsText" text="김지윤">
      <formula>NOT(ISERROR(SEARCH("김지윤",H1120)))</formula>
    </cfRule>
    <cfRule type="containsText" dxfId="1795" priority="2423" operator="containsText" text="전준영">
      <formula>NOT(ISERROR(SEARCH("전준영",H1120)))</formula>
    </cfRule>
    <cfRule type="containsText" dxfId="1794" priority="2424" operator="containsText" text="차재성">
      <formula>NOT(ISERROR(SEARCH("차재성",H1120)))</formula>
    </cfRule>
  </conditionalFormatting>
  <conditionalFormatting sqref="J53:J54">
    <cfRule type="containsText" dxfId="1793" priority="2437" operator="containsText" text="허하나로">
      <formula>NOT(ISERROR(SEARCH("허하나로",H1119)))</formula>
    </cfRule>
    <cfRule type="containsText" dxfId="1792" priority="2438" operator="containsText" text="한별">
      <formula>NOT(ISERROR(SEARCH("한별",H1119)))</formula>
    </cfRule>
    <cfRule type="containsText" dxfId="1791" priority="2439" operator="containsText" text="정홍조">
      <formula>NOT(ISERROR(SEARCH("정홍조",H1119)))</formula>
    </cfRule>
    <cfRule type="containsText" dxfId="1790" priority="2440" operator="containsText" text="김지윤">
      <formula>NOT(ISERROR(SEARCH("김지윤",H1119)))</formula>
    </cfRule>
    <cfRule type="containsText" dxfId="1789" priority="2441" operator="containsText" text="전준영">
      <formula>NOT(ISERROR(SEARCH("전준영",H1119)))</formula>
    </cfRule>
    <cfRule type="containsText" dxfId="1788" priority="2442" operator="containsText" text="차재성">
      <formula>NOT(ISERROR(SEARCH("차재성",H1119)))</formula>
    </cfRule>
  </conditionalFormatting>
  <conditionalFormatting sqref="J76 J74">
    <cfRule type="containsText" dxfId="1787" priority="2443" operator="containsText" text="허하나로">
      <formula>NOT(ISERROR(SEARCH("허하나로",H1119)))</formula>
    </cfRule>
    <cfRule type="containsText" dxfId="1786" priority="2444" operator="containsText" text="한별">
      <formula>NOT(ISERROR(SEARCH("한별",H1119)))</formula>
    </cfRule>
    <cfRule type="containsText" dxfId="1785" priority="2445" operator="containsText" text="정홍조">
      <formula>NOT(ISERROR(SEARCH("정홍조",H1119)))</formula>
    </cfRule>
    <cfRule type="containsText" dxfId="1784" priority="2446" operator="containsText" text="김지윤">
      <formula>NOT(ISERROR(SEARCH("김지윤",H1119)))</formula>
    </cfRule>
    <cfRule type="containsText" dxfId="1783" priority="2447" operator="containsText" text="전준영">
      <formula>NOT(ISERROR(SEARCH("전준영",H1119)))</formula>
    </cfRule>
    <cfRule type="containsText" dxfId="1782" priority="2448" operator="containsText" text="차재성">
      <formula>NOT(ISERROR(SEARCH("차재성",H1119)))</formula>
    </cfRule>
  </conditionalFormatting>
  <conditionalFormatting sqref="J75">
    <cfRule type="containsText" dxfId="1781" priority="2473" operator="containsText" text="허하나로">
      <formula>NOT(ISERROR(SEARCH("허하나로",H1121)))</formula>
    </cfRule>
    <cfRule type="containsText" dxfId="1780" priority="2474" operator="containsText" text="한별">
      <formula>NOT(ISERROR(SEARCH("한별",H1121)))</formula>
    </cfRule>
    <cfRule type="containsText" dxfId="1779" priority="2475" operator="containsText" text="정홍조">
      <formula>NOT(ISERROR(SEARCH("정홍조",H1121)))</formula>
    </cfRule>
    <cfRule type="containsText" dxfId="1778" priority="2476" operator="containsText" text="김지윤">
      <formula>NOT(ISERROR(SEARCH("김지윤",H1121)))</formula>
    </cfRule>
    <cfRule type="containsText" dxfId="1777" priority="2477" operator="containsText" text="전준영">
      <formula>NOT(ISERROR(SEARCH("전준영",H1121)))</formula>
    </cfRule>
    <cfRule type="containsText" dxfId="1776" priority="2478" operator="containsText" text="차재성">
      <formula>NOT(ISERROR(SEARCH("차재성",H1121)))</formula>
    </cfRule>
  </conditionalFormatting>
  <conditionalFormatting sqref="L75">
    <cfRule type="containsText" dxfId="1775" priority="2485" operator="containsText" text="허하나로">
      <formula>NOT(ISERROR(SEARCH("허하나로",J1255)))</formula>
    </cfRule>
    <cfRule type="containsText" dxfId="1774" priority="2486" operator="containsText" text="한별">
      <formula>NOT(ISERROR(SEARCH("한별",J1255)))</formula>
    </cfRule>
    <cfRule type="containsText" dxfId="1773" priority="2487" operator="containsText" text="정홍조">
      <formula>NOT(ISERROR(SEARCH("정홍조",J1255)))</formula>
    </cfRule>
    <cfRule type="containsText" dxfId="1772" priority="2488" operator="containsText" text="김지윤">
      <formula>NOT(ISERROR(SEARCH("김지윤",J1255)))</formula>
    </cfRule>
    <cfRule type="containsText" dxfId="1771" priority="2489" operator="containsText" text="전준영">
      <formula>NOT(ISERROR(SEARCH("전준영",J1255)))</formula>
    </cfRule>
    <cfRule type="containsText" dxfId="1770" priority="2490" operator="containsText" text="차재성">
      <formula>NOT(ISERROR(SEARCH("차재성",J1255)))</formula>
    </cfRule>
  </conditionalFormatting>
  <conditionalFormatting sqref="J73">
    <cfRule type="containsText" dxfId="1769" priority="2503" operator="containsText" text="허하나로">
      <formula>NOT(ISERROR(SEARCH("허하나로",H1121)))</formula>
    </cfRule>
    <cfRule type="containsText" dxfId="1768" priority="2504" operator="containsText" text="한별">
      <formula>NOT(ISERROR(SEARCH("한별",H1121)))</formula>
    </cfRule>
    <cfRule type="containsText" dxfId="1767" priority="2505" operator="containsText" text="정홍조">
      <formula>NOT(ISERROR(SEARCH("정홍조",H1121)))</formula>
    </cfRule>
    <cfRule type="containsText" dxfId="1766" priority="2506" operator="containsText" text="김지윤">
      <formula>NOT(ISERROR(SEARCH("김지윤",H1121)))</formula>
    </cfRule>
    <cfRule type="containsText" dxfId="1765" priority="2507" operator="containsText" text="전준영">
      <formula>NOT(ISERROR(SEARCH("전준영",H1121)))</formula>
    </cfRule>
    <cfRule type="containsText" dxfId="1764" priority="2508" operator="containsText" text="차재성">
      <formula>NOT(ISERROR(SEARCH("차재성",H1121)))</formula>
    </cfRule>
  </conditionalFormatting>
  <conditionalFormatting sqref="J71:J72">
    <cfRule type="containsText" dxfId="1763" priority="2533" operator="containsText" text="허하나로">
      <formula>NOT(ISERROR(SEARCH("허하나로",H1120)))</formula>
    </cfRule>
    <cfRule type="containsText" dxfId="1762" priority="2534" operator="containsText" text="한별">
      <formula>NOT(ISERROR(SEARCH("한별",H1120)))</formula>
    </cfRule>
    <cfRule type="containsText" dxfId="1761" priority="2535" operator="containsText" text="정홍조">
      <formula>NOT(ISERROR(SEARCH("정홍조",H1120)))</formula>
    </cfRule>
    <cfRule type="containsText" dxfId="1760" priority="2536" operator="containsText" text="김지윤">
      <formula>NOT(ISERROR(SEARCH("김지윤",H1120)))</formula>
    </cfRule>
    <cfRule type="containsText" dxfId="1759" priority="2537" operator="containsText" text="전준영">
      <formula>NOT(ISERROR(SEARCH("전준영",H1120)))</formula>
    </cfRule>
    <cfRule type="containsText" dxfId="1758" priority="2538" operator="containsText" text="차재성">
      <formula>NOT(ISERROR(SEARCH("차재성",H1120)))</formula>
    </cfRule>
  </conditionalFormatting>
  <conditionalFormatting sqref="L71">
    <cfRule type="containsText" dxfId="1757" priority="2545" operator="containsText" text="허하나로">
      <formula>NOT(ISERROR(SEARCH("허하나로",J1254)))</formula>
    </cfRule>
    <cfRule type="containsText" dxfId="1756" priority="2546" operator="containsText" text="한별">
      <formula>NOT(ISERROR(SEARCH("한별",J1254)))</formula>
    </cfRule>
    <cfRule type="containsText" dxfId="1755" priority="2547" operator="containsText" text="정홍조">
      <formula>NOT(ISERROR(SEARCH("정홍조",J1254)))</formula>
    </cfRule>
    <cfRule type="containsText" dxfId="1754" priority="2548" operator="containsText" text="김지윤">
      <formula>NOT(ISERROR(SEARCH("김지윤",J1254)))</formula>
    </cfRule>
    <cfRule type="containsText" dxfId="1753" priority="2549" operator="containsText" text="전준영">
      <formula>NOT(ISERROR(SEARCH("전준영",J1254)))</formula>
    </cfRule>
    <cfRule type="containsText" dxfId="1752" priority="2550" operator="containsText" text="차재성">
      <formula>NOT(ISERROR(SEARCH("차재성",J1254)))</formula>
    </cfRule>
  </conditionalFormatting>
  <conditionalFormatting sqref="J118">
    <cfRule type="containsText" dxfId="1751" priority="2551" operator="containsText" text="허하나로">
      <formula>NOT(ISERROR(SEARCH("허하나로",H1123)))</formula>
    </cfRule>
    <cfRule type="containsText" dxfId="1750" priority="2552" operator="containsText" text="한별">
      <formula>NOT(ISERROR(SEARCH("한별",H1123)))</formula>
    </cfRule>
    <cfRule type="containsText" dxfId="1749" priority="2553" operator="containsText" text="정홍조">
      <formula>NOT(ISERROR(SEARCH("정홍조",H1123)))</formula>
    </cfRule>
    <cfRule type="containsText" dxfId="1748" priority="2554" operator="containsText" text="김지윤">
      <formula>NOT(ISERROR(SEARCH("김지윤",H1123)))</formula>
    </cfRule>
    <cfRule type="containsText" dxfId="1747" priority="2555" operator="containsText" text="전준영">
      <formula>NOT(ISERROR(SEARCH("전준영",H1123)))</formula>
    </cfRule>
    <cfRule type="containsText" dxfId="1746" priority="2556" operator="containsText" text="차재성">
      <formula>NOT(ISERROR(SEARCH("차재성",H1123)))</formula>
    </cfRule>
  </conditionalFormatting>
  <conditionalFormatting sqref="J103">
    <cfRule type="containsText" dxfId="1745" priority="2581" operator="containsText" text="허하나로">
      <formula>NOT(ISERROR(SEARCH("허하나로",H1122)))</formula>
    </cfRule>
    <cfRule type="containsText" dxfId="1744" priority="2582" operator="containsText" text="한별">
      <formula>NOT(ISERROR(SEARCH("한별",H1122)))</formula>
    </cfRule>
    <cfRule type="containsText" dxfId="1743" priority="2583" operator="containsText" text="정홍조">
      <formula>NOT(ISERROR(SEARCH("정홍조",H1122)))</formula>
    </cfRule>
    <cfRule type="containsText" dxfId="1742" priority="2584" operator="containsText" text="김지윤">
      <formula>NOT(ISERROR(SEARCH("김지윤",H1122)))</formula>
    </cfRule>
    <cfRule type="containsText" dxfId="1741" priority="2585" operator="containsText" text="전준영">
      <formula>NOT(ISERROR(SEARCH("전준영",H1122)))</formula>
    </cfRule>
    <cfRule type="containsText" dxfId="1740" priority="2586" operator="containsText" text="차재성">
      <formula>NOT(ISERROR(SEARCH("차재성",H1122)))</formula>
    </cfRule>
  </conditionalFormatting>
  <conditionalFormatting sqref="J99">
    <cfRule type="containsText" dxfId="1739" priority="2671" operator="containsText" text="허하나로">
      <formula>NOT(ISERROR(SEARCH("허하나로",H1122)))</formula>
    </cfRule>
    <cfRule type="containsText" dxfId="1738" priority="2672" operator="containsText" text="한별">
      <formula>NOT(ISERROR(SEARCH("한별",H1122)))</formula>
    </cfRule>
    <cfRule type="containsText" dxfId="1737" priority="2673" operator="containsText" text="정홍조">
      <formula>NOT(ISERROR(SEARCH("정홍조",H1122)))</formula>
    </cfRule>
    <cfRule type="containsText" dxfId="1736" priority="2674" operator="containsText" text="김지윤">
      <formula>NOT(ISERROR(SEARCH("김지윤",H1122)))</formula>
    </cfRule>
    <cfRule type="containsText" dxfId="1735" priority="2675" operator="containsText" text="전준영">
      <formula>NOT(ISERROR(SEARCH("전준영",H1122)))</formula>
    </cfRule>
    <cfRule type="containsText" dxfId="1734" priority="2676" operator="containsText" text="차재성">
      <formula>NOT(ISERROR(SEARCH("차재성",H1122)))</formula>
    </cfRule>
  </conditionalFormatting>
  <conditionalFormatting sqref="J97">
    <cfRule type="containsText" dxfId="1733" priority="2701" operator="containsText" text="허하나로">
      <formula>NOT(ISERROR(SEARCH("허하나로",H1122)))</formula>
    </cfRule>
    <cfRule type="containsText" dxfId="1732" priority="2702" operator="containsText" text="한별">
      <formula>NOT(ISERROR(SEARCH("한별",H1122)))</formula>
    </cfRule>
    <cfRule type="containsText" dxfId="1731" priority="2703" operator="containsText" text="정홍조">
      <formula>NOT(ISERROR(SEARCH("정홍조",H1122)))</formula>
    </cfRule>
    <cfRule type="containsText" dxfId="1730" priority="2704" operator="containsText" text="김지윤">
      <formula>NOT(ISERROR(SEARCH("김지윤",H1122)))</formula>
    </cfRule>
    <cfRule type="containsText" dxfId="1729" priority="2705" operator="containsText" text="전준영">
      <formula>NOT(ISERROR(SEARCH("전준영",H1122)))</formula>
    </cfRule>
    <cfRule type="containsText" dxfId="1728" priority="2706" operator="containsText" text="차재성">
      <formula>NOT(ISERROR(SEARCH("차재성",H1122)))</formula>
    </cfRule>
  </conditionalFormatting>
  <conditionalFormatting sqref="J96">
    <cfRule type="containsText" dxfId="1727" priority="2731" operator="containsText" text="허하나로">
      <formula>NOT(ISERROR(SEARCH("허하나로",H1122)))</formula>
    </cfRule>
    <cfRule type="containsText" dxfId="1726" priority="2732" operator="containsText" text="한별">
      <formula>NOT(ISERROR(SEARCH("한별",H1122)))</formula>
    </cfRule>
    <cfRule type="containsText" dxfId="1725" priority="2733" operator="containsText" text="정홍조">
      <formula>NOT(ISERROR(SEARCH("정홍조",H1122)))</formula>
    </cfRule>
    <cfRule type="containsText" dxfId="1724" priority="2734" operator="containsText" text="김지윤">
      <formula>NOT(ISERROR(SEARCH("김지윤",H1122)))</formula>
    </cfRule>
    <cfRule type="containsText" dxfId="1723" priority="2735" operator="containsText" text="전준영">
      <formula>NOT(ISERROR(SEARCH("전준영",H1122)))</formula>
    </cfRule>
    <cfRule type="containsText" dxfId="1722" priority="2736" operator="containsText" text="차재성">
      <formula>NOT(ISERROR(SEARCH("차재성",H1122)))</formula>
    </cfRule>
  </conditionalFormatting>
  <conditionalFormatting sqref="J87:J88">
    <cfRule type="containsText" dxfId="1721" priority="2941" operator="containsText" text="허하나로">
      <formula>NOT(ISERROR(SEARCH("허하나로",H1124)))</formula>
    </cfRule>
    <cfRule type="containsText" dxfId="1720" priority="2942" operator="containsText" text="한별">
      <formula>NOT(ISERROR(SEARCH("한별",H1124)))</formula>
    </cfRule>
    <cfRule type="containsText" dxfId="1719" priority="2943" operator="containsText" text="정홍조">
      <formula>NOT(ISERROR(SEARCH("정홍조",H1124)))</formula>
    </cfRule>
    <cfRule type="containsText" dxfId="1718" priority="2944" operator="containsText" text="김지윤">
      <formula>NOT(ISERROR(SEARCH("김지윤",H1124)))</formula>
    </cfRule>
    <cfRule type="containsText" dxfId="1717" priority="2945" operator="containsText" text="전준영">
      <formula>NOT(ISERROR(SEARCH("전준영",H1124)))</formula>
    </cfRule>
    <cfRule type="containsText" dxfId="1716" priority="2946" operator="containsText" text="차재성">
      <formula>NOT(ISERROR(SEARCH("차재성",H1124)))</formula>
    </cfRule>
  </conditionalFormatting>
  <conditionalFormatting sqref="J89:J91">
    <cfRule type="containsText" dxfId="1715" priority="643" operator="containsText" text="허하나로">
      <formula>NOT(ISERROR(SEARCH("허하나로",H1163)))</formula>
    </cfRule>
    <cfRule type="containsText" dxfId="1714" priority="644" operator="containsText" text="한별">
      <formula>NOT(ISERROR(SEARCH("한별",H1163)))</formula>
    </cfRule>
    <cfRule type="containsText" dxfId="1713" priority="645" operator="containsText" text="정홍조">
      <formula>NOT(ISERROR(SEARCH("정홍조",H1163)))</formula>
    </cfRule>
    <cfRule type="containsText" dxfId="1712" priority="646" operator="containsText" text="김지윤">
      <formula>NOT(ISERROR(SEARCH("김지윤",H1163)))</formula>
    </cfRule>
    <cfRule type="containsText" dxfId="1711" priority="647" operator="containsText" text="전준영">
      <formula>NOT(ISERROR(SEARCH("전준영",H1163)))</formula>
    </cfRule>
    <cfRule type="containsText" dxfId="1710" priority="648" operator="containsText" text="차재성">
      <formula>NOT(ISERROR(SEARCH("차재성",H1163)))</formula>
    </cfRule>
  </conditionalFormatting>
  <conditionalFormatting sqref="J92">
    <cfRule type="containsText" dxfId="1709" priority="631" operator="containsText" text="허하나로">
      <formula>NOT(ISERROR(SEARCH("허하나로",H1165)))</formula>
    </cfRule>
    <cfRule type="containsText" dxfId="1708" priority="632" operator="containsText" text="한별">
      <formula>NOT(ISERROR(SEARCH("한별",H1165)))</formula>
    </cfRule>
    <cfRule type="containsText" dxfId="1707" priority="633" operator="containsText" text="정홍조">
      <formula>NOT(ISERROR(SEARCH("정홍조",H1165)))</formula>
    </cfRule>
    <cfRule type="containsText" dxfId="1706" priority="634" operator="containsText" text="김지윤">
      <formula>NOT(ISERROR(SEARCH("김지윤",H1165)))</formula>
    </cfRule>
    <cfRule type="containsText" dxfId="1705" priority="635" operator="containsText" text="전준영">
      <formula>NOT(ISERROR(SEARCH("전준영",H1165)))</formula>
    </cfRule>
    <cfRule type="containsText" dxfId="1704" priority="636" operator="containsText" text="차재성">
      <formula>NOT(ISERROR(SEARCH("차재성",H1165)))</formula>
    </cfRule>
  </conditionalFormatting>
  <conditionalFormatting sqref="J93">
    <cfRule type="containsText" dxfId="1703" priority="625" operator="containsText" text="허하나로">
      <formula>NOT(ISERROR(SEARCH("허하나로",H1168)))</formula>
    </cfRule>
    <cfRule type="containsText" dxfId="1702" priority="626" operator="containsText" text="한별">
      <formula>NOT(ISERROR(SEARCH("한별",H1168)))</formula>
    </cfRule>
    <cfRule type="containsText" dxfId="1701" priority="627" operator="containsText" text="정홍조">
      <formula>NOT(ISERROR(SEARCH("정홍조",H1168)))</formula>
    </cfRule>
    <cfRule type="containsText" dxfId="1700" priority="628" operator="containsText" text="김지윤">
      <formula>NOT(ISERROR(SEARCH("김지윤",H1168)))</formula>
    </cfRule>
    <cfRule type="containsText" dxfId="1699" priority="629" operator="containsText" text="전준영">
      <formula>NOT(ISERROR(SEARCH("전준영",H1168)))</formula>
    </cfRule>
    <cfRule type="containsText" dxfId="1698" priority="630" operator="containsText" text="차재성">
      <formula>NOT(ISERROR(SEARCH("차재성",H1168)))</formula>
    </cfRule>
  </conditionalFormatting>
  <conditionalFormatting sqref="J94">
    <cfRule type="containsText" dxfId="1697" priority="619" operator="containsText" text="허하나로">
      <formula>NOT(ISERROR(SEARCH("허하나로",H1169)))</formula>
    </cfRule>
    <cfRule type="containsText" dxfId="1696" priority="620" operator="containsText" text="한별">
      <formula>NOT(ISERROR(SEARCH("한별",H1169)))</formula>
    </cfRule>
    <cfRule type="containsText" dxfId="1695" priority="621" operator="containsText" text="정홍조">
      <formula>NOT(ISERROR(SEARCH("정홍조",H1169)))</formula>
    </cfRule>
    <cfRule type="containsText" dxfId="1694" priority="622" operator="containsText" text="김지윤">
      <formula>NOT(ISERROR(SEARCH("김지윤",H1169)))</formula>
    </cfRule>
    <cfRule type="containsText" dxfId="1693" priority="623" operator="containsText" text="전준영">
      <formula>NOT(ISERROR(SEARCH("전준영",H1169)))</formula>
    </cfRule>
    <cfRule type="containsText" dxfId="1692" priority="624" operator="containsText" text="차재성">
      <formula>NOT(ISERROR(SEARCH("차재성",H1169)))</formula>
    </cfRule>
  </conditionalFormatting>
  <conditionalFormatting sqref="J101">
    <cfRule type="containsText" dxfId="1691" priority="613" operator="containsText" text="허하나로">
      <formula>NOT(ISERROR(SEARCH("허하나로",H1173)))</formula>
    </cfRule>
    <cfRule type="containsText" dxfId="1690" priority="614" operator="containsText" text="한별">
      <formula>NOT(ISERROR(SEARCH("한별",H1173)))</formula>
    </cfRule>
    <cfRule type="containsText" dxfId="1689" priority="615" operator="containsText" text="정홍조">
      <formula>NOT(ISERROR(SEARCH("정홍조",H1173)))</formula>
    </cfRule>
    <cfRule type="containsText" dxfId="1688" priority="616" operator="containsText" text="김지윤">
      <formula>NOT(ISERROR(SEARCH("김지윤",H1173)))</formula>
    </cfRule>
    <cfRule type="containsText" dxfId="1687" priority="617" operator="containsText" text="전준영">
      <formula>NOT(ISERROR(SEARCH("전준영",H1173)))</formula>
    </cfRule>
    <cfRule type="containsText" dxfId="1686" priority="618" operator="containsText" text="차재성">
      <formula>NOT(ISERROR(SEARCH("차재성",H1173)))</formula>
    </cfRule>
  </conditionalFormatting>
  <conditionalFormatting sqref="J102">
    <cfRule type="containsText" dxfId="1685" priority="607" operator="containsText" text="허하나로">
      <formula>NOT(ISERROR(SEARCH("허하나로",H1174)))</formula>
    </cfRule>
    <cfRule type="containsText" dxfId="1684" priority="608" operator="containsText" text="한별">
      <formula>NOT(ISERROR(SEARCH("한별",H1174)))</formula>
    </cfRule>
    <cfRule type="containsText" dxfId="1683" priority="609" operator="containsText" text="정홍조">
      <formula>NOT(ISERROR(SEARCH("정홍조",H1174)))</formula>
    </cfRule>
    <cfRule type="containsText" dxfId="1682" priority="610" operator="containsText" text="김지윤">
      <formula>NOT(ISERROR(SEARCH("김지윤",H1174)))</formula>
    </cfRule>
    <cfRule type="containsText" dxfId="1681" priority="611" operator="containsText" text="전준영">
      <formula>NOT(ISERROR(SEARCH("전준영",H1174)))</formula>
    </cfRule>
    <cfRule type="containsText" dxfId="1680" priority="612" operator="containsText" text="차재성">
      <formula>NOT(ISERROR(SEARCH("차재성",H1174)))</formula>
    </cfRule>
  </conditionalFormatting>
  <conditionalFormatting sqref="J117">
    <cfRule type="containsText" dxfId="1679" priority="2959" operator="containsText" text="허하나로">
      <formula>NOT(ISERROR(SEARCH("허하나로",H1123)))</formula>
    </cfRule>
    <cfRule type="containsText" dxfId="1678" priority="2960" operator="containsText" text="한별">
      <formula>NOT(ISERROR(SEARCH("한별",H1123)))</formula>
    </cfRule>
    <cfRule type="containsText" dxfId="1677" priority="2961" operator="containsText" text="정홍조">
      <formula>NOT(ISERROR(SEARCH("정홍조",H1123)))</formula>
    </cfRule>
    <cfRule type="containsText" dxfId="1676" priority="2962" operator="containsText" text="김지윤">
      <formula>NOT(ISERROR(SEARCH("김지윤",H1123)))</formula>
    </cfRule>
    <cfRule type="containsText" dxfId="1675" priority="2963" operator="containsText" text="전준영">
      <formula>NOT(ISERROR(SEARCH("전준영",H1123)))</formula>
    </cfRule>
    <cfRule type="containsText" dxfId="1674" priority="2964" operator="containsText" text="차재성">
      <formula>NOT(ISERROR(SEARCH("차재성",H1123)))</formula>
    </cfRule>
  </conditionalFormatting>
  <conditionalFormatting sqref="J106 J109:J110">
    <cfRule type="containsText" dxfId="1673" priority="3139" operator="containsText" text="허하나로">
      <formula>NOT(ISERROR(SEARCH("허하나로",H1123)))</formula>
    </cfRule>
    <cfRule type="containsText" dxfId="1672" priority="3140" operator="containsText" text="한별">
      <formula>NOT(ISERROR(SEARCH("한별",H1123)))</formula>
    </cfRule>
    <cfRule type="containsText" dxfId="1671" priority="3141" operator="containsText" text="정홍조">
      <formula>NOT(ISERROR(SEARCH("정홍조",H1123)))</formula>
    </cfRule>
    <cfRule type="containsText" dxfId="1670" priority="3142" operator="containsText" text="김지윤">
      <formula>NOT(ISERROR(SEARCH("김지윤",H1123)))</formula>
    </cfRule>
    <cfRule type="containsText" dxfId="1669" priority="3143" operator="containsText" text="전준영">
      <formula>NOT(ISERROR(SEARCH("전준영",H1123)))</formula>
    </cfRule>
    <cfRule type="containsText" dxfId="1668" priority="3144" operator="containsText" text="차재성">
      <formula>NOT(ISERROR(SEARCH("차재성",H1123)))</formula>
    </cfRule>
  </conditionalFormatting>
  <conditionalFormatting sqref="J105">
    <cfRule type="containsText" dxfId="1667" priority="3157" operator="containsText" text="허하나로">
      <formula>NOT(ISERROR(SEARCH("허하나로",H1123)))</formula>
    </cfRule>
    <cfRule type="containsText" dxfId="1666" priority="3158" operator="containsText" text="한별">
      <formula>NOT(ISERROR(SEARCH("한별",H1123)))</formula>
    </cfRule>
    <cfRule type="containsText" dxfId="1665" priority="3159" operator="containsText" text="정홍조">
      <formula>NOT(ISERROR(SEARCH("정홍조",H1123)))</formula>
    </cfRule>
    <cfRule type="containsText" dxfId="1664" priority="3160" operator="containsText" text="김지윤">
      <formula>NOT(ISERROR(SEARCH("김지윤",H1123)))</formula>
    </cfRule>
    <cfRule type="containsText" dxfId="1663" priority="3161" operator="containsText" text="전준영">
      <formula>NOT(ISERROR(SEARCH("전준영",H1123)))</formula>
    </cfRule>
    <cfRule type="containsText" dxfId="1662" priority="3162" operator="containsText" text="차재성">
      <formula>NOT(ISERROR(SEARCH("차재성",H1123)))</formula>
    </cfRule>
  </conditionalFormatting>
  <conditionalFormatting sqref="J111">
    <cfRule type="containsText" dxfId="1661" priority="589" operator="containsText" text="허하나로">
      <formula>NOT(ISERROR(SEARCH("허하나로",H1127)))</formula>
    </cfRule>
    <cfRule type="containsText" dxfId="1660" priority="590" operator="containsText" text="한별">
      <formula>NOT(ISERROR(SEARCH("한별",H1127)))</formula>
    </cfRule>
    <cfRule type="containsText" dxfId="1659" priority="591" operator="containsText" text="정홍조">
      <formula>NOT(ISERROR(SEARCH("정홍조",H1127)))</formula>
    </cfRule>
    <cfRule type="containsText" dxfId="1658" priority="592" operator="containsText" text="김지윤">
      <formula>NOT(ISERROR(SEARCH("김지윤",H1127)))</formula>
    </cfRule>
    <cfRule type="containsText" dxfId="1657" priority="593" operator="containsText" text="전준영">
      <formula>NOT(ISERROR(SEARCH("전준영",H1127)))</formula>
    </cfRule>
    <cfRule type="containsText" dxfId="1656" priority="594" operator="containsText" text="차재성">
      <formula>NOT(ISERROR(SEARCH("차재성",H1127)))</formula>
    </cfRule>
  </conditionalFormatting>
  <conditionalFormatting sqref="J107">
    <cfRule type="containsText" dxfId="1655" priority="583" operator="containsText" text="허하나로">
      <formula>NOT(ISERROR(SEARCH("허하나로",H1182)))</formula>
    </cfRule>
    <cfRule type="containsText" dxfId="1654" priority="584" operator="containsText" text="한별">
      <formula>NOT(ISERROR(SEARCH("한별",H1182)))</formula>
    </cfRule>
    <cfRule type="containsText" dxfId="1653" priority="585" operator="containsText" text="정홍조">
      <formula>NOT(ISERROR(SEARCH("정홍조",H1182)))</formula>
    </cfRule>
    <cfRule type="containsText" dxfId="1652" priority="586" operator="containsText" text="김지윤">
      <formula>NOT(ISERROR(SEARCH("김지윤",H1182)))</formula>
    </cfRule>
    <cfRule type="containsText" dxfId="1651" priority="587" operator="containsText" text="전준영">
      <formula>NOT(ISERROR(SEARCH("전준영",H1182)))</formula>
    </cfRule>
    <cfRule type="containsText" dxfId="1650" priority="588" operator="containsText" text="차재성">
      <formula>NOT(ISERROR(SEARCH("차재성",H1182)))</formula>
    </cfRule>
  </conditionalFormatting>
  <conditionalFormatting sqref="J108">
    <cfRule type="containsText" dxfId="1649" priority="577" operator="containsText" text="허하나로">
      <formula>NOT(ISERROR(SEARCH("허하나로",H1183)))</formula>
    </cfRule>
    <cfRule type="containsText" dxfId="1648" priority="578" operator="containsText" text="한별">
      <formula>NOT(ISERROR(SEARCH("한별",H1183)))</formula>
    </cfRule>
    <cfRule type="containsText" dxfId="1647" priority="579" operator="containsText" text="정홍조">
      <formula>NOT(ISERROR(SEARCH("정홍조",H1183)))</formula>
    </cfRule>
    <cfRule type="containsText" dxfId="1646" priority="580" operator="containsText" text="김지윤">
      <formula>NOT(ISERROR(SEARCH("김지윤",H1183)))</formula>
    </cfRule>
    <cfRule type="containsText" dxfId="1645" priority="581" operator="containsText" text="전준영">
      <formula>NOT(ISERROR(SEARCH("전준영",H1183)))</formula>
    </cfRule>
    <cfRule type="containsText" dxfId="1644" priority="582" operator="containsText" text="차재성">
      <formula>NOT(ISERROR(SEARCH("차재성",H1183)))</formula>
    </cfRule>
  </conditionalFormatting>
  <conditionalFormatting sqref="J114">
    <cfRule type="containsText" dxfId="1643" priority="571" operator="containsText" text="허하나로">
      <formula>NOT(ISERROR(SEARCH("허하나로",H1129)))</formula>
    </cfRule>
    <cfRule type="containsText" dxfId="1642" priority="572" operator="containsText" text="한별">
      <formula>NOT(ISERROR(SEARCH("한별",H1129)))</formula>
    </cfRule>
    <cfRule type="containsText" dxfId="1641" priority="573" operator="containsText" text="정홍조">
      <formula>NOT(ISERROR(SEARCH("정홍조",H1129)))</formula>
    </cfRule>
    <cfRule type="containsText" dxfId="1640" priority="574" operator="containsText" text="김지윤">
      <formula>NOT(ISERROR(SEARCH("김지윤",H1129)))</formula>
    </cfRule>
    <cfRule type="containsText" dxfId="1639" priority="575" operator="containsText" text="전준영">
      <formula>NOT(ISERROR(SEARCH("전준영",H1129)))</formula>
    </cfRule>
    <cfRule type="containsText" dxfId="1638" priority="576" operator="containsText" text="차재성">
      <formula>NOT(ISERROR(SEARCH("차재성",H1129)))</formula>
    </cfRule>
  </conditionalFormatting>
  <conditionalFormatting sqref="J112">
    <cfRule type="containsText" dxfId="1637" priority="565" operator="containsText" text="허하나로">
      <formula>NOT(ISERROR(SEARCH("허하나로",H1185)))</formula>
    </cfRule>
    <cfRule type="containsText" dxfId="1636" priority="566" operator="containsText" text="한별">
      <formula>NOT(ISERROR(SEARCH("한별",H1185)))</formula>
    </cfRule>
    <cfRule type="containsText" dxfId="1635" priority="567" operator="containsText" text="정홍조">
      <formula>NOT(ISERROR(SEARCH("정홍조",H1185)))</formula>
    </cfRule>
    <cfRule type="containsText" dxfId="1634" priority="568" operator="containsText" text="김지윤">
      <formula>NOT(ISERROR(SEARCH("김지윤",H1185)))</formula>
    </cfRule>
    <cfRule type="containsText" dxfId="1633" priority="569" operator="containsText" text="전준영">
      <formula>NOT(ISERROR(SEARCH("전준영",H1185)))</formula>
    </cfRule>
    <cfRule type="containsText" dxfId="1632" priority="570" operator="containsText" text="차재성">
      <formula>NOT(ISERROR(SEARCH("차재성",H1185)))</formula>
    </cfRule>
  </conditionalFormatting>
  <conditionalFormatting sqref="J113">
    <cfRule type="containsText" dxfId="1631" priority="559" operator="containsText" text="허하나로">
      <formula>NOT(ISERROR(SEARCH("허하나로",H1186)))</formula>
    </cfRule>
    <cfRule type="containsText" dxfId="1630" priority="560" operator="containsText" text="한별">
      <formula>NOT(ISERROR(SEARCH("한별",H1186)))</formula>
    </cfRule>
    <cfRule type="containsText" dxfId="1629" priority="561" operator="containsText" text="정홍조">
      <formula>NOT(ISERROR(SEARCH("정홍조",H1186)))</formula>
    </cfRule>
    <cfRule type="containsText" dxfId="1628" priority="562" operator="containsText" text="김지윤">
      <formula>NOT(ISERROR(SEARCH("김지윤",H1186)))</formula>
    </cfRule>
    <cfRule type="containsText" dxfId="1627" priority="563" operator="containsText" text="전준영">
      <formula>NOT(ISERROR(SEARCH("전준영",H1186)))</formula>
    </cfRule>
    <cfRule type="containsText" dxfId="1626" priority="564" operator="containsText" text="차재성">
      <formula>NOT(ISERROR(SEARCH("차재성",H1186)))</formula>
    </cfRule>
  </conditionalFormatting>
  <conditionalFormatting sqref="J81">
    <cfRule type="containsText" dxfId="1625" priority="3505" operator="containsText" text="허하나로">
      <formula>NOT(ISERROR(SEARCH("허하나로",H1122)))</formula>
    </cfRule>
    <cfRule type="containsText" dxfId="1624" priority="3506" operator="containsText" text="한별">
      <formula>NOT(ISERROR(SEARCH("한별",H1122)))</formula>
    </cfRule>
    <cfRule type="containsText" dxfId="1623" priority="3507" operator="containsText" text="정홍조">
      <formula>NOT(ISERROR(SEARCH("정홍조",H1122)))</formula>
    </cfRule>
    <cfRule type="containsText" dxfId="1622" priority="3508" operator="containsText" text="김지윤">
      <formula>NOT(ISERROR(SEARCH("김지윤",H1122)))</formula>
    </cfRule>
    <cfRule type="containsText" dxfId="1621" priority="3509" operator="containsText" text="전준영">
      <formula>NOT(ISERROR(SEARCH("전준영",H1122)))</formula>
    </cfRule>
    <cfRule type="containsText" dxfId="1620" priority="3510" operator="containsText" text="차재성">
      <formula>NOT(ISERROR(SEARCH("차재성",H1122)))</formula>
    </cfRule>
  </conditionalFormatting>
  <conditionalFormatting sqref="J39:J40 J43:J45 J36:J37">
    <cfRule type="containsText" dxfId="1619" priority="3523" operator="containsText" text="허하나로">
      <formula>NOT(ISERROR(SEARCH("허하나로",H1124)))</formula>
    </cfRule>
    <cfRule type="containsText" dxfId="1618" priority="3524" operator="containsText" text="한별">
      <formula>NOT(ISERROR(SEARCH("한별",H1124)))</formula>
    </cfRule>
    <cfRule type="containsText" dxfId="1617" priority="3525" operator="containsText" text="정홍조">
      <formula>NOT(ISERROR(SEARCH("정홍조",H1124)))</formula>
    </cfRule>
    <cfRule type="containsText" dxfId="1616" priority="3526" operator="containsText" text="김지윤">
      <formula>NOT(ISERROR(SEARCH("김지윤",H1124)))</formula>
    </cfRule>
    <cfRule type="containsText" dxfId="1615" priority="3527" operator="containsText" text="전준영">
      <formula>NOT(ISERROR(SEARCH("전준영",H1124)))</formula>
    </cfRule>
    <cfRule type="containsText" dxfId="1614" priority="3528" operator="containsText" text="차재성">
      <formula>NOT(ISERROR(SEARCH("차재성",H1124)))</formula>
    </cfRule>
  </conditionalFormatting>
  <conditionalFormatting sqref="J47">
    <cfRule type="containsText" dxfId="1613" priority="3529" operator="containsText" text="허하나로">
      <formula>NOT(ISERROR(SEARCH("허하나로",H1133)))</formula>
    </cfRule>
    <cfRule type="containsText" dxfId="1612" priority="3530" operator="containsText" text="한별">
      <formula>NOT(ISERROR(SEARCH("한별",H1133)))</formula>
    </cfRule>
    <cfRule type="containsText" dxfId="1611" priority="3531" operator="containsText" text="정홍조">
      <formula>NOT(ISERROR(SEARCH("정홍조",H1133)))</formula>
    </cfRule>
    <cfRule type="containsText" dxfId="1610" priority="3532" operator="containsText" text="김지윤">
      <formula>NOT(ISERROR(SEARCH("김지윤",H1133)))</formula>
    </cfRule>
    <cfRule type="containsText" dxfId="1609" priority="3533" operator="containsText" text="전준영">
      <formula>NOT(ISERROR(SEARCH("전준영",H1133)))</formula>
    </cfRule>
    <cfRule type="containsText" dxfId="1608" priority="3534" operator="containsText" text="차재성">
      <formula>NOT(ISERROR(SEARCH("차재성",H1133)))</formula>
    </cfRule>
  </conditionalFormatting>
  <conditionalFormatting sqref="J38">
    <cfRule type="containsText" dxfId="1607" priority="319" operator="containsText" text="허하나로">
      <formula>NOT(ISERROR(SEARCH("허하나로",H1124)))</formula>
    </cfRule>
    <cfRule type="containsText" dxfId="1606" priority="320" operator="containsText" text="한별">
      <formula>NOT(ISERROR(SEARCH("한별",H1124)))</formula>
    </cfRule>
    <cfRule type="containsText" dxfId="1605" priority="321" operator="containsText" text="정홍조">
      <formula>NOT(ISERROR(SEARCH("정홍조",H1124)))</formula>
    </cfRule>
    <cfRule type="containsText" dxfId="1604" priority="322" operator="containsText" text="김지윤">
      <formula>NOT(ISERROR(SEARCH("김지윤",H1124)))</formula>
    </cfRule>
    <cfRule type="containsText" dxfId="1603" priority="323" operator="containsText" text="전준영">
      <formula>NOT(ISERROR(SEARCH("전준영",H1124)))</formula>
    </cfRule>
    <cfRule type="containsText" dxfId="1602" priority="324" operator="containsText" text="차재성">
      <formula>NOT(ISERROR(SEARCH("차재성",H1124)))</formula>
    </cfRule>
  </conditionalFormatting>
  <conditionalFormatting sqref="J35">
    <cfRule type="containsText" dxfId="1601" priority="331" operator="containsText" text="허하나로">
      <formula>NOT(ISERROR(SEARCH("허하나로",H1126)))</formula>
    </cfRule>
    <cfRule type="containsText" dxfId="1600" priority="332" operator="containsText" text="한별">
      <formula>NOT(ISERROR(SEARCH("한별",H1126)))</formula>
    </cfRule>
    <cfRule type="containsText" dxfId="1599" priority="333" operator="containsText" text="정홍조">
      <formula>NOT(ISERROR(SEARCH("정홍조",H1126)))</formula>
    </cfRule>
    <cfRule type="containsText" dxfId="1598" priority="334" operator="containsText" text="김지윤">
      <formula>NOT(ISERROR(SEARCH("김지윤",H1126)))</formula>
    </cfRule>
    <cfRule type="containsText" dxfId="1597" priority="335" operator="containsText" text="전준영">
      <formula>NOT(ISERROR(SEARCH("전준영",H1126)))</formula>
    </cfRule>
    <cfRule type="containsText" dxfId="1596" priority="336" operator="containsText" text="차재성">
      <formula>NOT(ISERROR(SEARCH("차재성",H1126)))</formula>
    </cfRule>
  </conditionalFormatting>
  <conditionalFormatting sqref="J46">
    <cfRule type="containsText" dxfId="1595" priority="337" operator="containsText" text="허하나로">
      <formula>NOT(ISERROR(SEARCH("허하나로",H1133)))</formula>
    </cfRule>
    <cfRule type="containsText" dxfId="1594" priority="338" operator="containsText" text="한별">
      <formula>NOT(ISERROR(SEARCH("한별",H1133)))</formula>
    </cfRule>
    <cfRule type="containsText" dxfId="1593" priority="339" operator="containsText" text="정홍조">
      <formula>NOT(ISERROR(SEARCH("정홍조",H1133)))</formula>
    </cfRule>
    <cfRule type="containsText" dxfId="1592" priority="340" operator="containsText" text="김지윤">
      <formula>NOT(ISERROR(SEARCH("김지윤",H1133)))</formula>
    </cfRule>
    <cfRule type="containsText" dxfId="1591" priority="341" operator="containsText" text="전준영">
      <formula>NOT(ISERROR(SEARCH("전준영",H1133)))</formula>
    </cfRule>
    <cfRule type="containsText" dxfId="1590" priority="342" operator="containsText" text="차재성">
      <formula>NOT(ISERROR(SEARCH("차재성",H1133)))</formula>
    </cfRule>
  </conditionalFormatting>
  <conditionalFormatting sqref="J41">
    <cfRule type="containsText" dxfId="1589" priority="295" operator="containsText" text="허하나로">
      <formula>NOT(ISERROR(SEARCH("허하나로",H1127)))</formula>
    </cfRule>
    <cfRule type="containsText" dxfId="1588" priority="296" operator="containsText" text="한별">
      <formula>NOT(ISERROR(SEARCH("한별",H1127)))</formula>
    </cfRule>
    <cfRule type="containsText" dxfId="1587" priority="297" operator="containsText" text="정홍조">
      <formula>NOT(ISERROR(SEARCH("정홍조",H1127)))</formula>
    </cfRule>
    <cfRule type="containsText" dxfId="1586" priority="298" operator="containsText" text="김지윤">
      <formula>NOT(ISERROR(SEARCH("김지윤",H1127)))</formula>
    </cfRule>
    <cfRule type="containsText" dxfId="1585" priority="299" operator="containsText" text="전준영">
      <formula>NOT(ISERROR(SEARCH("전준영",H1127)))</formula>
    </cfRule>
    <cfRule type="containsText" dxfId="1584" priority="300" operator="containsText" text="차재성">
      <formula>NOT(ISERROR(SEARCH("차재성",H1127)))</formula>
    </cfRule>
  </conditionalFormatting>
  <conditionalFormatting sqref="J95">
    <cfRule type="containsText" dxfId="1583" priority="283" operator="containsText" text="허하나로">
      <formula>NOT(ISERROR(SEARCH("허하나로",H1121)))</formula>
    </cfRule>
    <cfRule type="containsText" dxfId="1582" priority="284" operator="containsText" text="한별">
      <formula>NOT(ISERROR(SEARCH("한별",H1121)))</formula>
    </cfRule>
    <cfRule type="containsText" dxfId="1581" priority="285" operator="containsText" text="정홍조">
      <formula>NOT(ISERROR(SEARCH("정홍조",H1121)))</formula>
    </cfRule>
    <cfRule type="containsText" dxfId="1580" priority="286" operator="containsText" text="김지윤">
      <formula>NOT(ISERROR(SEARCH("김지윤",H1121)))</formula>
    </cfRule>
    <cfRule type="containsText" dxfId="1579" priority="287" operator="containsText" text="전준영">
      <formula>NOT(ISERROR(SEARCH("전준영",H1121)))</formula>
    </cfRule>
    <cfRule type="containsText" dxfId="1578" priority="288" operator="containsText" text="차재성">
      <formula>NOT(ISERROR(SEARCH("차재성",H1121)))</formula>
    </cfRule>
  </conditionalFormatting>
  <conditionalFormatting sqref="J98">
    <cfRule type="containsText" dxfId="1577" priority="277" operator="containsText" text="허하나로">
      <formula>NOT(ISERROR(SEARCH("허하나로",H1121)))</formula>
    </cfRule>
    <cfRule type="containsText" dxfId="1576" priority="278" operator="containsText" text="한별">
      <formula>NOT(ISERROR(SEARCH("한별",H1121)))</formula>
    </cfRule>
    <cfRule type="containsText" dxfId="1575" priority="279" operator="containsText" text="정홍조">
      <formula>NOT(ISERROR(SEARCH("정홍조",H1121)))</formula>
    </cfRule>
    <cfRule type="containsText" dxfId="1574" priority="280" operator="containsText" text="김지윤">
      <formula>NOT(ISERROR(SEARCH("김지윤",H1121)))</formula>
    </cfRule>
    <cfRule type="containsText" dxfId="1573" priority="281" operator="containsText" text="전준영">
      <formula>NOT(ISERROR(SEARCH("전준영",H1121)))</formula>
    </cfRule>
    <cfRule type="containsText" dxfId="1572" priority="282" operator="containsText" text="차재성">
      <formula>NOT(ISERROR(SEARCH("차재성",H1121)))</formula>
    </cfRule>
  </conditionalFormatting>
  <conditionalFormatting sqref="J119">
    <cfRule type="containsText" dxfId="1571" priority="223" operator="containsText" text="허하나로">
      <formula>NOT(ISERROR(SEARCH("허하나로",H1163)))</formula>
    </cfRule>
    <cfRule type="containsText" dxfId="1570" priority="224" operator="containsText" text="한별">
      <formula>NOT(ISERROR(SEARCH("한별",H1163)))</formula>
    </cfRule>
    <cfRule type="containsText" dxfId="1569" priority="225" operator="containsText" text="정홍조">
      <formula>NOT(ISERROR(SEARCH("정홍조",H1163)))</formula>
    </cfRule>
    <cfRule type="containsText" dxfId="1568" priority="226" operator="containsText" text="김지윤">
      <formula>NOT(ISERROR(SEARCH("김지윤",H1163)))</formula>
    </cfRule>
    <cfRule type="containsText" dxfId="1567" priority="227" operator="containsText" text="전준영">
      <formula>NOT(ISERROR(SEARCH("전준영",H1163)))</formula>
    </cfRule>
    <cfRule type="containsText" dxfId="1566" priority="228" operator="containsText" text="차재성">
      <formula>NOT(ISERROR(SEARCH("차재성",H1163)))</formula>
    </cfRule>
  </conditionalFormatting>
  <conditionalFormatting sqref="J120:J121">
    <cfRule type="containsText" dxfId="1565" priority="217" operator="containsText" text="허하나로">
      <formula>NOT(ISERROR(SEARCH("허하나로",H1192)))</formula>
    </cfRule>
    <cfRule type="containsText" dxfId="1564" priority="218" operator="containsText" text="한별">
      <formula>NOT(ISERROR(SEARCH("한별",H1192)))</formula>
    </cfRule>
    <cfRule type="containsText" dxfId="1563" priority="219" operator="containsText" text="정홍조">
      <formula>NOT(ISERROR(SEARCH("정홍조",H1192)))</formula>
    </cfRule>
    <cfRule type="containsText" dxfId="1562" priority="220" operator="containsText" text="김지윤">
      <formula>NOT(ISERROR(SEARCH("김지윤",H1192)))</formula>
    </cfRule>
    <cfRule type="containsText" dxfId="1561" priority="221" operator="containsText" text="전준영">
      <formula>NOT(ISERROR(SEARCH("전준영",H1192)))</formula>
    </cfRule>
    <cfRule type="containsText" dxfId="1560" priority="222" operator="containsText" text="차재성">
      <formula>NOT(ISERROR(SEARCH("차재성",H1192)))</formula>
    </cfRule>
  </conditionalFormatting>
  <conditionalFormatting sqref="J137">
    <cfRule type="containsText" dxfId="1559" priority="241" operator="containsText" text="허하나로">
      <formula>NOT(ISERROR(SEARCH("허하나로",H1170)))</formula>
    </cfRule>
    <cfRule type="containsText" dxfId="1558" priority="242" operator="containsText" text="한별">
      <formula>NOT(ISERROR(SEARCH("한별",H1170)))</formula>
    </cfRule>
    <cfRule type="containsText" dxfId="1557" priority="243" operator="containsText" text="정홍조">
      <formula>NOT(ISERROR(SEARCH("정홍조",H1170)))</formula>
    </cfRule>
    <cfRule type="containsText" dxfId="1556" priority="244" operator="containsText" text="김지윤">
      <formula>NOT(ISERROR(SEARCH("김지윤",H1170)))</formula>
    </cfRule>
    <cfRule type="containsText" dxfId="1555" priority="245" operator="containsText" text="전준영">
      <formula>NOT(ISERROR(SEARCH("전준영",H1170)))</formula>
    </cfRule>
    <cfRule type="containsText" dxfId="1554" priority="246" operator="containsText" text="차재성">
      <formula>NOT(ISERROR(SEARCH("차재성",H1170)))</formula>
    </cfRule>
  </conditionalFormatting>
  <conditionalFormatting sqref="J131">
    <cfRule type="containsText" dxfId="1553" priority="253" operator="containsText" text="허하나로">
      <formula>NOT(ISERROR(SEARCH("허하나로",H1170)))</formula>
    </cfRule>
    <cfRule type="containsText" dxfId="1552" priority="254" operator="containsText" text="한별">
      <formula>NOT(ISERROR(SEARCH("한별",H1170)))</formula>
    </cfRule>
    <cfRule type="containsText" dxfId="1551" priority="255" operator="containsText" text="정홍조">
      <formula>NOT(ISERROR(SEARCH("정홍조",H1170)))</formula>
    </cfRule>
    <cfRule type="containsText" dxfId="1550" priority="256" operator="containsText" text="김지윤">
      <formula>NOT(ISERROR(SEARCH("김지윤",H1170)))</formula>
    </cfRule>
    <cfRule type="containsText" dxfId="1549" priority="257" operator="containsText" text="전준영">
      <formula>NOT(ISERROR(SEARCH("전준영",H1170)))</formula>
    </cfRule>
    <cfRule type="containsText" dxfId="1548" priority="258" operator="containsText" text="차재성">
      <formula>NOT(ISERROR(SEARCH("차재성",H1170)))</formula>
    </cfRule>
  </conditionalFormatting>
  <conditionalFormatting sqref="J125">
    <cfRule type="containsText" dxfId="1547" priority="259" operator="containsText" text="허하나로">
      <formula>NOT(ISERROR(SEARCH("허하나로",H1170)))</formula>
    </cfRule>
    <cfRule type="containsText" dxfId="1546" priority="260" operator="containsText" text="한별">
      <formula>NOT(ISERROR(SEARCH("한별",H1170)))</formula>
    </cfRule>
    <cfRule type="containsText" dxfId="1545" priority="261" operator="containsText" text="정홍조">
      <formula>NOT(ISERROR(SEARCH("정홍조",H1170)))</formula>
    </cfRule>
    <cfRule type="containsText" dxfId="1544" priority="262" operator="containsText" text="김지윤">
      <formula>NOT(ISERROR(SEARCH("김지윤",H1170)))</formula>
    </cfRule>
    <cfRule type="containsText" dxfId="1543" priority="263" operator="containsText" text="전준영">
      <formula>NOT(ISERROR(SEARCH("전준영",H1170)))</formula>
    </cfRule>
    <cfRule type="containsText" dxfId="1542" priority="264" operator="containsText" text="차재성">
      <formula>NOT(ISERROR(SEARCH("차재성",H1170)))</formula>
    </cfRule>
  </conditionalFormatting>
  <conditionalFormatting sqref="J124">
    <cfRule type="containsText" dxfId="1541" priority="265" operator="containsText" text="허하나로">
      <formula>NOT(ISERROR(SEARCH("허하나로",H1170)))</formula>
    </cfRule>
    <cfRule type="containsText" dxfId="1540" priority="266" operator="containsText" text="한별">
      <formula>NOT(ISERROR(SEARCH("한별",H1170)))</formula>
    </cfRule>
    <cfRule type="containsText" dxfId="1539" priority="267" operator="containsText" text="정홍조">
      <formula>NOT(ISERROR(SEARCH("정홍조",H1170)))</formula>
    </cfRule>
    <cfRule type="containsText" dxfId="1538" priority="268" operator="containsText" text="김지윤">
      <formula>NOT(ISERROR(SEARCH("김지윤",H1170)))</formula>
    </cfRule>
    <cfRule type="containsText" dxfId="1537" priority="269" operator="containsText" text="전준영">
      <formula>NOT(ISERROR(SEARCH("전준영",H1170)))</formula>
    </cfRule>
    <cfRule type="containsText" dxfId="1536" priority="270" operator="containsText" text="차재성">
      <formula>NOT(ISERROR(SEARCH("차재성",H1170)))</formula>
    </cfRule>
  </conditionalFormatting>
  <conditionalFormatting sqref="J122:J123">
    <cfRule type="containsText" dxfId="1535" priority="271" operator="containsText" text="허하나로">
      <formula>NOT(ISERROR(SEARCH("허하나로",H1169)))</formula>
    </cfRule>
    <cfRule type="containsText" dxfId="1534" priority="272" operator="containsText" text="한별">
      <formula>NOT(ISERROR(SEARCH("한별",H1169)))</formula>
    </cfRule>
    <cfRule type="containsText" dxfId="1533" priority="273" operator="containsText" text="정홍조">
      <formula>NOT(ISERROR(SEARCH("정홍조",H1169)))</formula>
    </cfRule>
    <cfRule type="containsText" dxfId="1532" priority="274" operator="containsText" text="김지윤">
      <formula>NOT(ISERROR(SEARCH("김지윤",H1169)))</formula>
    </cfRule>
    <cfRule type="containsText" dxfId="1531" priority="275" operator="containsText" text="전준영">
      <formula>NOT(ISERROR(SEARCH("전준영",H1169)))</formula>
    </cfRule>
    <cfRule type="containsText" dxfId="1530" priority="276" operator="containsText" text="차재성">
      <formula>NOT(ISERROR(SEARCH("차재성",H1169)))</formula>
    </cfRule>
  </conditionalFormatting>
  <conditionalFormatting sqref="J135">
    <cfRule type="containsText" dxfId="1529" priority="3547" operator="containsText" text="허하나로">
      <formula>NOT(ISERROR(SEARCH("허하나로",H1171)))</formula>
    </cfRule>
    <cfRule type="containsText" dxfId="1528" priority="3548" operator="containsText" text="한별">
      <formula>NOT(ISERROR(SEARCH("한별",H1171)))</formula>
    </cfRule>
    <cfRule type="containsText" dxfId="1527" priority="3549" operator="containsText" text="정홍조">
      <formula>NOT(ISERROR(SEARCH("정홍조",H1171)))</formula>
    </cfRule>
    <cfRule type="containsText" dxfId="1526" priority="3550" operator="containsText" text="김지윤">
      <formula>NOT(ISERROR(SEARCH("김지윤",H1171)))</formula>
    </cfRule>
    <cfRule type="containsText" dxfId="1525" priority="3551" operator="containsText" text="전준영">
      <formula>NOT(ISERROR(SEARCH("전준영",H1171)))</formula>
    </cfRule>
    <cfRule type="containsText" dxfId="1524" priority="3552" operator="containsText" text="차재성">
      <formula>NOT(ISERROR(SEARCH("차재성",H1171)))</formula>
    </cfRule>
  </conditionalFormatting>
  <conditionalFormatting sqref="J134">
    <cfRule type="containsText" dxfId="1523" priority="3559" operator="containsText" text="허하나로">
      <formula>NOT(ISERROR(SEARCH("허하나로",H1171)))</formula>
    </cfRule>
    <cfRule type="containsText" dxfId="1522" priority="3560" operator="containsText" text="한별">
      <formula>NOT(ISERROR(SEARCH("한별",H1171)))</formula>
    </cfRule>
    <cfRule type="containsText" dxfId="1521" priority="3561" operator="containsText" text="정홍조">
      <formula>NOT(ISERROR(SEARCH("정홍조",H1171)))</formula>
    </cfRule>
    <cfRule type="containsText" dxfId="1520" priority="3562" operator="containsText" text="김지윤">
      <formula>NOT(ISERROR(SEARCH("김지윤",H1171)))</formula>
    </cfRule>
    <cfRule type="containsText" dxfId="1519" priority="3563" operator="containsText" text="전준영">
      <formula>NOT(ISERROR(SEARCH("전준영",H1171)))</formula>
    </cfRule>
    <cfRule type="containsText" dxfId="1518" priority="3564" operator="containsText" text="차재성">
      <formula>NOT(ISERROR(SEARCH("차재성",H1171)))</formula>
    </cfRule>
  </conditionalFormatting>
  <conditionalFormatting sqref="J16">
    <cfRule type="containsText" dxfId="1517" priority="211" operator="containsText" text="허하나로">
      <formula>NOT(ISERROR(SEARCH("허하나로",H1121)))</formula>
    </cfRule>
    <cfRule type="containsText" dxfId="1516" priority="212" operator="containsText" text="한별">
      <formula>NOT(ISERROR(SEARCH("한별",H1121)))</formula>
    </cfRule>
    <cfRule type="containsText" dxfId="1515" priority="213" operator="containsText" text="정홍조">
      <formula>NOT(ISERROR(SEARCH("정홍조",H1121)))</formula>
    </cfRule>
    <cfRule type="containsText" dxfId="1514" priority="214" operator="containsText" text="김지윤">
      <formula>NOT(ISERROR(SEARCH("김지윤",H1121)))</formula>
    </cfRule>
    <cfRule type="containsText" dxfId="1513" priority="215" operator="containsText" text="전준영">
      <formula>NOT(ISERROR(SEARCH("전준영",H1121)))</formula>
    </cfRule>
    <cfRule type="containsText" dxfId="1512" priority="216" operator="containsText" text="차재성">
      <formula>NOT(ISERROR(SEARCH("차재성",H1121)))</formula>
    </cfRule>
  </conditionalFormatting>
  <conditionalFormatting sqref="J18">
    <cfRule type="containsText" dxfId="1511" priority="193" operator="containsText" text="허하나로">
      <formula>NOT(ISERROR(SEARCH("허하나로",H1125)))</formula>
    </cfRule>
    <cfRule type="containsText" dxfId="1510" priority="194" operator="containsText" text="한별">
      <formula>NOT(ISERROR(SEARCH("한별",H1125)))</formula>
    </cfRule>
    <cfRule type="containsText" dxfId="1509" priority="195" operator="containsText" text="정홍조">
      <formula>NOT(ISERROR(SEARCH("정홍조",H1125)))</formula>
    </cfRule>
    <cfRule type="containsText" dxfId="1508" priority="196" operator="containsText" text="김지윤">
      <formula>NOT(ISERROR(SEARCH("김지윤",H1125)))</formula>
    </cfRule>
    <cfRule type="containsText" dxfId="1507" priority="197" operator="containsText" text="전준영">
      <formula>NOT(ISERROR(SEARCH("전준영",H1125)))</formula>
    </cfRule>
    <cfRule type="containsText" dxfId="1506" priority="198" operator="containsText" text="차재성">
      <formula>NOT(ISERROR(SEARCH("차재성",H1125)))</formula>
    </cfRule>
  </conditionalFormatting>
  <conditionalFormatting sqref="J17">
    <cfRule type="containsText" dxfId="1505" priority="199" operator="containsText" text="허하나로">
      <formula>NOT(ISERROR(SEARCH("허하나로",H1125)))</formula>
    </cfRule>
    <cfRule type="containsText" dxfId="1504" priority="200" operator="containsText" text="한별">
      <formula>NOT(ISERROR(SEARCH("한별",H1125)))</formula>
    </cfRule>
    <cfRule type="containsText" dxfId="1503" priority="201" operator="containsText" text="정홍조">
      <formula>NOT(ISERROR(SEARCH("정홍조",H1125)))</formula>
    </cfRule>
    <cfRule type="containsText" dxfId="1502" priority="202" operator="containsText" text="김지윤">
      <formula>NOT(ISERROR(SEARCH("김지윤",H1125)))</formula>
    </cfRule>
    <cfRule type="containsText" dxfId="1501" priority="203" operator="containsText" text="전준영">
      <formula>NOT(ISERROR(SEARCH("전준영",H1125)))</formula>
    </cfRule>
    <cfRule type="containsText" dxfId="1500" priority="204" operator="containsText" text="차재성">
      <formula>NOT(ISERROR(SEARCH("차재성",H1125)))</formula>
    </cfRule>
  </conditionalFormatting>
  <conditionalFormatting sqref="J27">
    <cfRule type="containsText" dxfId="1499" priority="4153" operator="containsText" text="허하나로">
      <formula>NOT(ISERROR(SEARCH("허하나로",H1119)))</formula>
    </cfRule>
    <cfRule type="containsText" dxfId="1498" priority="4154" operator="containsText" text="한별">
      <formula>NOT(ISERROR(SEARCH("한별",H1119)))</formula>
    </cfRule>
    <cfRule type="containsText" dxfId="1497" priority="4155" operator="containsText" text="정홍조">
      <formula>NOT(ISERROR(SEARCH("정홍조",H1119)))</formula>
    </cfRule>
    <cfRule type="containsText" dxfId="1496" priority="4156" operator="containsText" text="김지윤">
      <formula>NOT(ISERROR(SEARCH("김지윤",H1119)))</formula>
    </cfRule>
    <cfRule type="containsText" dxfId="1495" priority="4157" operator="containsText" text="전준영">
      <formula>NOT(ISERROR(SEARCH("전준영",H1119)))</formula>
    </cfRule>
    <cfRule type="containsText" dxfId="1494" priority="4158" operator="containsText" text="차재성">
      <formula>NOT(ISERROR(SEARCH("차재성",H1119)))</formula>
    </cfRule>
  </conditionalFormatting>
  <conditionalFormatting sqref="J59">
    <cfRule type="containsText" dxfId="1493" priority="4165" operator="containsText" text="허하나로">
      <formula>NOT(ISERROR(SEARCH("허하나로",H1120)))</formula>
    </cfRule>
    <cfRule type="containsText" dxfId="1492" priority="4166" operator="containsText" text="한별">
      <formula>NOT(ISERROR(SEARCH("한별",H1120)))</formula>
    </cfRule>
    <cfRule type="containsText" dxfId="1491" priority="4167" operator="containsText" text="정홍조">
      <formula>NOT(ISERROR(SEARCH("정홍조",H1120)))</formula>
    </cfRule>
    <cfRule type="containsText" dxfId="1490" priority="4168" operator="containsText" text="김지윤">
      <formula>NOT(ISERROR(SEARCH("김지윤",H1120)))</formula>
    </cfRule>
    <cfRule type="containsText" dxfId="1489" priority="4169" operator="containsText" text="전준영">
      <formula>NOT(ISERROR(SEARCH("전준영",H1120)))</formula>
    </cfRule>
    <cfRule type="containsText" dxfId="1488" priority="4170" operator="containsText" text="차재성">
      <formula>NOT(ISERROR(SEARCH("차재성",H1120)))</formula>
    </cfRule>
  </conditionalFormatting>
  <conditionalFormatting sqref="J58">
    <cfRule type="containsText" dxfId="1487" priority="4171" operator="containsText" text="허하나로">
      <formula>NOT(ISERROR(SEARCH("허하나로",H1120)))</formula>
    </cfRule>
    <cfRule type="containsText" dxfId="1486" priority="4172" operator="containsText" text="한별">
      <formula>NOT(ISERROR(SEARCH("한별",H1120)))</formula>
    </cfRule>
    <cfRule type="containsText" dxfId="1485" priority="4173" operator="containsText" text="정홍조">
      <formula>NOT(ISERROR(SEARCH("정홍조",H1120)))</formula>
    </cfRule>
    <cfRule type="containsText" dxfId="1484" priority="4174" operator="containsText" text="김지윤">
      <formula>NOT(ISERROR(SEARCH("김지윤",H1120)))</formula>
    </cfRule>
    <cfRule type="containsText" dxfId="1483" priority="4175" operator="containsText" text="전준영">
      <formula>NOT(ISERROR(SEARCH("전준영",H1120)))</formula>
    </cfRule>
    <cfRule type="containsText" dxfId="1482" priority="4176" operator="containsText" text="차재성">
      <formula>NOT(ISERROR(SEARCH("차재성",H1120)))</formula>
    </cfRule>
  </conditionalFormatting>
  <conditionalFormatting sqref="J86">
    <cfRule type="containsText" dxfId="1481" priority="4201" operator="containsText" text="허하나로">
      <formula>NOT(ISERROR(SEARCH("허하나로",H1125)))</formula>
    </cfRule>
    <cfRule type="containsText" dxfId="1480" priority="4202" operator="containsText" text="한별">
      <formula>NOT(ISERROR(SEARCH("한별",H1125)))</formula>
    </cfRule>
    <cfRule type="containsText" dxfId="1479" priority="4203" operator="containsText" text="정홍조">
      <formula>NOT(ISERROR(SEARCH("정홍조",H1125)))</formula>
    </cfRule>
    <cfRule type="containsText" dxfId="1478" priority="4204" operator="containsText" text="김지윤">
      <formula>NOT(ISERROR(SEARCH("김지윤",H1125)))</formula>
    </cfRule>
    <cfRule type="containsText" dxfId="1477" priority="4205" operator="containsText" text="전준영">
      <formula>NOT(ISERROR(SEARCH("전준영",H1125)))</formula>
    </cfRule>
    <cfRule type="containsText" dxfId="1476" priority="4206" operator="containsText" text="차재성">
      <formula>NOT(ISERROR(SEARCH("차재성",H1125)))</formula>
    </cfRule>
  </conditionalFormatting>
  <conditionalFormatting sqref="J61">
    <cfRule type="containsText" dxfId="1475" priority="4381" operator="containsText" text="허하나로">
      <formula>NOT(ISERROR(SEARCH("허하나로",H1120)))</formula>
    </cfRule>
    <cfRule type="containsText" dxfId="1474" priority="4382" operator="containsText" text="한별">
      <formula>NOT(ISERROR(SEARCH("한별",H1120)))</formula>
    </cfRule>
    <cfRule type="containsText" dxfId="1473" priority="4383" operator="containsText" text="정홍조">
      <formula>NOT(ISERROR(SEARCH("정홍조",H1120)))</formula>
    </cfRule>
    <cfRule type="containsText" dxfId="1472" priority="4384" operator="containsText" text="김지윤">
      <formula>NOT(ISERROR(SEARCH("김지윤",H1120)))</formula>
    </cfRule>
    <cfRule type="containsText" dxfId="1471" priority="4385" operator="containsText" text="전준영">
      <formula>NOT(ISERROR(SEARCH("전준영",H1120)))</formula>
    </cfRule>
    <cfRule type="containsText" dxfId="1470" priority="4386" operator="containsText" text="차재성">
      <formula>NOT(ISERROR(SEARCH("차재성",H1120)))</formula>
    </cfRule>
  </conditionalFormatting>
  <conditionalFormatting sqref="J77">
    <cfRule type="containsText" dxfId="1469" priority="4399" operator="containsText" text="허하나로">
      <formula>NOT(ISERROR(SEARCH("허하나로",H1121)))</formula>
    </cfRule>
    <cfRule type="containsText" dxfId="1468" priority="4400" operator="containsText" text="한별">
      <formula>NOT(ISERROR(SEARCH("한별",H1121)))</formula>
    </cfRule>
    <cfRule type="containsText" dxfId="1467" priority="4401" operator="containsText" text="정홍조">
      <formula>NOT(ISERROR(SEARCH("정홍조",H1121)))</formula>
    </cfRule>
    <cfRule type="containsText" dxfId="1466" priority="4402" operator="containsText" text="김지윤">
      <formula>NOT(ISERROR(SEARCH("김지윤",H1121)))</formula>
    </cfRule>
    <cfRule type="containsText" dxfId="1465" priority="4403" operator="containsText" text="전준영">
      <formula>NOT(ISERROR(SEARCH("전준영",H1121)))</formula>
    </cfRule>
    <cfRule type="containsText" dxfId="1464" priority="4404" operator="containsText" text="차재성">
      <formula>NOT(ISERROR(SEARCH("차재성",H1121)))</formula>
    </cfRule>
  </conditionalFormatting>
  <conditionalFormatting sqref="J24:J26">
    <cfRule type="containsText" dxfId="1463" priority="4411" operator="containsText" text="허하나로">
      <formula>NOT(ISERROR(SEARCH("허하나로",H1117)))</formula>
    </cfRule>
    <cfRule type="containsText" dxfId="1462" priority="4412" operator="containsText" text="한별">
      <formula>NOT(ISERROR(SEARCH("한별",H1117)))</formula>
    </cfRule>
    <cfRule type="containsText" dxfId="1461" priority="4413" operator="containsText" text="정홍조">
      <formula>NOT(ISERROR(SEARCH("정홍조",H1117)))</formula>
    </cfRule>
    <cfRule type="containsText" dxfId="1460" priority="4414" operator="containsText" text="김지윤">
      <formula>NOT(ISERROR(SEARCH("김지윤",H1117)))</formula>
    </cfRule>
    <cfRule type="containsText" dxfId="1459" priority="4415" operator="containsText" text="전준영">
      <formula>NOT(ISERROR(SEARCH("전준영",H1117)))</formula>
    </cfRule>
    <cfRule type="containsText" dxfId="1458" priority="4416" operator="containsText" text="차재성">
      <formula>NOT(ISERROR(SEARCH("차재성",H1117)))</formula>
    </cfRule>
  </conditionalFormatting>
  <conditionalFormatting sqref="J104">
    <cfRule type="containsText" dxfId="1457" priority="4435" operator="containsText" text="허하나로">
      <formula>NOT(ISERROR(SEARCH("허하나로",H1122)))</formula>
    </cfRule>
    <cfRule type="containsText" dxfId="1456" priority="4436" operator="containsText" text="한별">
      <formula>NOT(ISERROR(SEARCH("한별",H1122)))</formula>
    </cfRule>
    <cfRule type="containsText" dxfId="1455" priority="4437" operator="containsText" text="정홍조">
      <formula>NOT(ISERROR(SEARCH("정홍조",H1122)))</formula>
    </cfRule>
    <cfRule type="containsText" dxfId="1454" priority="4438" operator="containsText" text="김지윤">
      <formula>NOT(ISERROR(SEARCH("김지윤",H1122)))</formula>
    </cfRule>
    <cfRule type="containsText" dxfId="1453" priority="4439" operator="containsText" text="전준영">
      <formula>NOT(ISERROR(SEARCH("전준영",H1122)))</formula>
    </cfRule>
    <cfRule type="containsText" dxfId="1452" priority="4440" operator="containsText" text="차재성">
      <formula>NOT(ISERROR(SEARCH("차재성",H1122)))</formula>
    </cfRule>
  </conditionalFormatting>
  <conditionalFormatting sqref="J28">
    <cfRule type="containsText" dxfId="1451" priority="5017" operator="containsText" text="허하나로">
      <formula>NOT(ISERROR(SEARCH("허하나로",H1119)))</formula>
    </cfRule>
    <cfRule type="containsText" dxfId="1450" priority="5018" operator="containsText" text="한별">
      <formula>NOT(ISERROR(SEARCH("한별",H1119)))</formula>
    </cfRule>
    <cfRule type="containsText" dxfId="1449" priority="5019" operator="containsText" text="정홍조">
      <formula>NOT(ISERROR(SEARCH("정홍조",H1119)))</formula>
    </cfRule>
    <cfRule type="containsText" dxfId="1448" priority="5020" operator="containsText" text="김지윤">
      <formula>NOT(ISERROR(SEARCH("김지윤",H1119)))</formula>
    </cfRule>
    <cfRule type="containsText" dxfId="1447" priority="5021" operator="containsText" text="전준영">
      <formula>NOT(ISERROR(SEARCH("전준영",H1119)))</formula>
    </cfRule>
    <cfRule type="containsText" dxfId="1446" priority="5022" operator="containsText" text="차재성">
      <formula>NOT(ISERROR(SEARCH("차재성",H1119)))</formula>
    </cfRule>
  </conditionalFormatting>
  <conditionalFormatting sqref="J62:J63">
    <cfRule type="containsText" dxfId="1445" priority="5053" operator="containsText" text="허하나로">
      <formula>NOT(ISERROR(SEARCH("허하나로",H1120)))</formula>
    </cfRule>
    <cfRule type="containsText" dxfId="1444" priority="5054" operator="containsText" text="한별">
      <formula>NOT(ISERROR(SEARCH("한별",H1120)))</formula>
    </cfRule>
    <cfRule type="containsText" dxfId="1443" priority="5055" operator="containsText" text="정홍조">
      <formula>NOT(ISERROR(SEARCH("정홍조",H1120)))</formula>
    </cfRule>
    <cfRule type="containsText" dxfId="1442" priority="5056" operator="containsText" text="김지윤">
      <formula>NOT(ISERROR(SEARCH("김지윤",H1120)))</formula>
    </cfRule>
    <cfRule type="containsText" dxfId="1441" priority="5057" operator="containsText" text="전준영">
      <formula>NOT(ISERROR(SEARCH("전준영",H1120)))</formula>
    </cfRule>
    <cfRule type="containsText" dxfId="1440" priority="5058" operator="containsText" text="차재성">
      <formula>NOT(ISERROR(SEARCH("차재성",H1120)))</formula>
    </cfRule>
  </conditionalFormatting>
  <conditionalFormatting sqref="J64:J65">
    <cfRule type="containsText" dxfId="1439" priority="5083" operator="containsText" text="허하나로">
      <formula>NOT(ISERROR(SEARCH("허하나로",H1121)))</formula>
    </cfRule>
    <cfRule type="containsText" dxfId="1438" priority="5084" operator="containsText" text="한별">
      <formula>NOT(ISERROR(SEARCH("한별",H1121)))</formula>
    </cfRule>
    <cfRule type="containsText" dxfId="1437" priority="5085" operator="containsText" text="정홍조">
      <formula>NOT(ISERROR(SEARCH("정홍조",H1121)))</formula>
    </cfRule>
    <cfRule type="containsText" dxfId="1436" priority="5086" operator="containsText" text="김지윤">
      <formula>NOT(ISERROR(SEARCH("김지윤",H1121)))</formula>
    </cfRule>
    <cfRule type="containsText" dxfId="1435" priority="5087" operator="containsText" text="전준영">
      <formula>NOT(ISERROR(SEARCH("전준영",H1121)))</formula>
    </cfRule>
    <cfRule type="containsText" dxfId="1434" priority="5088" operator="containsText" text="차재성">
      <formula>NOT(ISERROR(SEARCH("차재성",H1121)))</formula>
    </cfRule>
  </conditionalFormatting>
  <conditionalFormatting sqref="J82:J85">
    <cfRule type="containsText" dxfId="1433" priority="5089" operator="containsText" text="허하나로">
      <formula>NOT(ISERROR(SEARCH("허하나로",H1122)))</formula>
    </cfRule>
    <cfRule type="containsText" dxfId="1432" priority="5090" operator="containsText" text="한별">
      <formula>NOT(ISERROR(SEARCH("한별",H1122)))</formula>
    </cfRule>
    <cfRule type="containsText" dxfId="1431" priority="5091" operator="containsText" text="정홍조">
      <formula>NOT(ISERROR(SEARCH("정홍조",H1122)))</formula>
    </cfRule>
    <cfRule type="containsText" dxfId="1430" priority="5092" operator="containsText" text="김지윤">
      <formula>NOT(ISERROR(SEARCH("김지윤",H1122)))</formula>
    </cfRule>
    <cfRule type="containsText" dxfId="1429" priority="5093" operator="containsText" text="전준영">
      <formula>NOT(ISERROR(SEARCH("전준영",H1122)))</formula>
    </cfRule>
    <cfRule type="containsText" dxfId="1428" priority="5094" operator="containsText" text="차재성">
      <formula>NOT(ISERROR(SEARCH("차재성",H1122)))</formula>
    </cfRule>
  </conditionalFormatting>
  <conditionalFormatting sqref="J115">
    <cfRule type="containsText" dxfId="1427" priority="55" operator="containsText" text="허하나로">
      <formula>NOT(ISERROR(SEARCH("허하나로",H1132)))</formula>
    </cfRule>
    <cfRule type="containsText" dxfId="1426" priority="56" operator="containsText" text="한별">
      <formula>NOT(ISERROR(SEARCH("한별",H1132)))</formula>
    </cfRule>
    <cfRule type="containsText" dxfId="1425" priority="57" operator="containsText" text="정홍조">
      <formula>NOT(ISERROR(SEARCH("정홍조",H1132)))</formula>
    </cfRule>
    <cfRule type="containsText" dxfId="1424" priority="58" operator="containsText" text="김지윤">
      <formula>NOT(ISERROR(SEARCH("김지윤",H1132)))</formula>
    </cfRule>
    <cfRule type="containsText" dxfId="1423" priority="59" operator="containsText" text="전준영">
      <formula>NOT(ISERROR(SEARCH("전준영",H1132)))</formula>
    </cfRule>
    <cfRule type="containsText" dxfId="1422" priority="60" operator="containsText" text="차재성">
      <formula>NOT(ISERROR(SEARCH("차재성",H1132)))</formula>
    </cfRule>
  </conditionalFormatting>
  <conditionalFormatting sqref="J116">
    <cfRule type="containsText" dxfId="1421" priority="49" operator="containsText" text="허하나로">
      <formula>NOT(ISERROR(SEARCH("허하나로",H1132)))</formula>
    </cfRule>
    <cfRule type="containsText" dxfId="1420" priority="50" operator="containsText" text="한별">
      <formula>NOT(ISERROR(SEARCH("한별",H1132)))</formula>
    </cfRule>
    <cfRule type="containsText" dxfId="1419" priority="51" operator="containsText" text="정홍조">
      <formula>NOT(ISERROR(SEARCH("정홍조",H1132)))</formula>
    </cfRule>
    <cfRule type="containsText" dxfId="1418" priority="52" operator="containsText" text="김지윤">
      <formula>NOT(ISERROR(SEARCH("김지윤",H1132)))</formula>
    </cfRule>
    <cfRule type="containsText" dxfId="1417" priority="53" operator="containsText" text="전준영">
      <formula>NOT(ISERROR(SEARCH("전준영",H1132)))</formula>
    </cfRule>
    <cfRule type="containsText" dxfId="1416" priority="54" operator="containsText" text="차재성">
      <formula>NOT(ISERROR(SEARCH("차재성",H1132)))</formula>
    </cfRule>
  </conditionalFormatting>
  <conditionalFormatting sqref="J130">
    <cfRule type="containsText" dxfId="1415" priority="31" operator="containsText" text="허하나로">
      <formula>NOT(ISERROR(SEARCH("허하나로",H1174)))</formula>
    </cfRule>
    <cfRule type="containsText" dxfId="1414" priority="32" operator="containsText" text="한별">
      <formula>NOT(ISERROR(SEARCH("한별",H1174)))</formula>
    </cfRule>
    <cfRule type="containsText" dxfId="1413" priority="33" operator="containsText" text="정홍조">
      <formula>NOT(ISERROR(SEARCH("정홍조",H1174)))</formula>
    </cfRule>
    <cfRule type="containsText" dxfId="1412" priority="34" operator="containsText" text="김지윤">
      <formula>NOT(ISERROR(SEARCH("김지윤",H1174)))</formula>
    </cfRule>
    <cfRule type="containsText" dxfId="1411" priority="35" operator="containsText" text="전준영">
      <formula>NOT(ISERROR(SEARCH("전준영",H1174)))</formula>
    </cfRule>
    <cfRule type="containsText" dxfId="1410" priority="36" operator="containsText" text="차재성">
      <formula>NOT(ISERROR(SEARCH("차재성",H1174)))</formula>
    </cfRule>
  </conditionalFormatting>
  <conditionalFormatting sqref="J129">
    <cfRule type="containsText" dxfId="1409" priority="37" operator="containsText" text="허하나로">
      <formula>NOT(ISERROR(SEARCH("허하나로",H1174)))</formula>
    </cfRule>
    <cfRule type="containsText" dxfId="1408" priority="38" operator="containsText" text="한별">
      <formula>NOT(ISERROR(SEARCH("한별",H1174)))</formula>
    </cfRule>
    <cfRule type="containsText" dxfId="1407" priority="39" operator="containsText" text="정홍조">
      <formula>NOT(ISERROR(SEARCH("정홍조",H1174)))</formula>
    </cfRule>
    <cfRule type="containsText" dxfId="1406" priority="40" operator="containsText" text="김지윤">
      <formula>NOT(ISERROR(SEARCH("김지윤",H1174)))</formula>
    </cfRule>
    <cfRule type="containsText" dxfId="1405" priority="41" operator="containsText" text="전준영">
      <formula>NOT(ISERROR(SEARCH("전준영",H1174)))</formula>
    </cfRule>
    <cfRule type="containsText" dxfId="1404" priority="42" operator="containsText" text="차재성">
      <formula>NOT(ISERROR(SEARCH("차재성",H1174)))</formula>
    </cfRule>
  </conditionalFormatting>
  <conditionalFormatting sqref="J127:J128">
    <cfRule type="containsText" dxfId="1403" priority="43" operator="containsText" text="허하나로">
      <formula>NOT(ISERROR(SEARCH("허하나로",H1173)))</formula>
    </cfRule>
    <cfRule type="containsText" dxfId="1402" priority="44" operator="containsText" text="한별">
      <formula>NOT(ISERROR(SEARCH("한별",H1173)))</formula>
    </cfRule>
    <cfRule type="containsText" dxfId="1401" priority="45" operator="containsText" text="정홍조">
      <formula>NOT(ISERROR(SEARCH("정홍조",H1173)))</formula>
    </cfRule>
    <cfRule type="containsText" dxfId="1400" priority="46" operator="containsText" text="김지윤">
      <formula>NOT(ISERROR(SEARCH("김지윤",H1173)))</formula>
    </cfRule>
    <cfRule type="containsText" dxfId="1399" priority="47" operator="containsText" text="전준영">
      <formula>NOT(ISERROR(SEARCH("전준영",H1173)))</formula>
    </cfRule>
    <cfRule type="containsText" dxfId="1398" priority="48" operator="containsText" text="차재성">
      <formula>NOT(ISERROR(SEARCH("차재성",H1173)))</formula>
    </cfRule>
  </conditionalFormatting>
  <conditionalFormatting sqref="J126">
    <cfRule type="containsText" dxfId="1397" priority="25" operator="containsText" text="허하나로">
      <formula>NOT(ISERROR(SEARCH("허하나로",H1143)))</formula>
    </cfRule>
    <cfRule type="containsText" dxfId="1396" priority="26" operator="containsText" text="한별">
      <formula>NOT(ISERROR(SEARCH("한별",H1143)))</formula>
    </cfRule>
    <cfRule type="containsText" dxfId="1395" priority="27" operator="containsText" text="정홍조">
      <formula>NOT(ISERROR(SEARCH("정홍조",H1143)))</formula>
    </cfRule>
    <cfRule type="containsText" dxfId="1394" priority="28" operator="containsText" text="김지윤">
      <formula>NOT(ISERROR(SEARCH("김지윤",H1143)))</formula>
    </cfRule>
    <cfRule type="containsText" dxfId="1393" priority="29" operator="containsText" text="전준영">
      <formula>NOT(ISERROR(SEARCH("전준영",H1143)))</formula>
    </cfRule>
    <cfRule type="containsText" dxfId="1392" priority="30" operator="containsText" text="차재성">
      <formula>NOT(ISERROR(SEARCH("차재성",H1143)))</formula>
    </cfRule>
  </conditionalFormatting>
  <conditionalFormatting sqref="J69">
    <cfRule type="containsText" dxfId="1391" priority="13" operator="containsText" text="허하나로">
      <formula>NOT(ISERROR(SEARCH("허하나로",H1127)))</formula>
    </cfRule>
    <cfRule type="containsText" dxfId="1390" priority="14" operator="containsText" text="한별">
      <formula>NOT(ISERROR(SEARCH("한별",H1127)))</formula>
    </cfRule>
    <cfRule type="containsText" dxfId="1389" priority="15" operator="containsText" text="정홍조">
      <formula>NOT(ISERROR(SEARCH("정홍조",H1127)))</formula>
    </cfRule>
    <cfRule type="containsText" dxfId="1388" priority="16" operator="containsText" text="김지윤">
      <formula>NOT(ISERROR(SEARCH("김지윤",H1127)))</formula>
    </cfRule>
    <cfRule type="containsText" dxfId="1387" priority="17" operator="containsText" text="전준영">
      <formula>NOT(ISERROR(SEARCH("전준영",H1127)))</formula>
    </cfRule>
    <cfRule type="containsText" dxfId="1386" priority="18" operator="containsText" text="차재성">
      <formula>NOT(ISERROR(SEARCH("차재성",H1127)))</formula>
    </cfRule>
  </conditionalFormatting>
  <conditionalFormatting sqref="J70">
    <cfRule type="containsText" dxfId="1385" priority="19" operator="containsText" text="허하나로">
      <formula>NOT(ISERROR(SEARCH("허하나로",H1127)))</formula>
    </cfRule>
    <cfRule type="containsText" dxfId="1384" priority="20" operator="containsText" text="한별">
      <formula>NOT(ISERROR(SEARCH("한별",H1127)))</formula>
    </cfRule>
    <cfRule type="containsText" dxfId="1383" priority="21" operator="containsText" text="정홍조">
      <formula>NOT(ISERROR(SEARCH("정홍조",H1127)))</formula>
    </cfRule>
    <cfRule type="containsText" dxfId="1382" priority="22" operator="containsText" text="김지윤">
      <formula>NOT(ISERROR(SEARCH("김지윤",H1127)))</formula>
    </cfRule>
    <cfRule type="containsText" dxfId="1381" priority="23" operator="containsText" text="전준영">
      <formula>NOT(ISERROR(SEARCH("전준영",H1127)))</formula>
    </cfRule>
    <cfRule type="containsText" dxfId="1380" priority="24" operator="containsText" text="차재성">
      <formula>NOT(ISERROR(SEARCH("차재성",H1127)))</formula>
    </cfRule>
  </conditionalFormatting>
  <pageMargins left="0.25" right="0.25" top="0.75" bottom="0.75" header="0.3" footer="0.3"/>
  <pageSetup paperSize="9" scale="72" fitToHeight="0" orientation="landscape" r:id="rId1"/>
  <rowBreaks count="3" manualBreakCount="3">
    <brk id="38" max="16383" man="1"/>
    <brk id="74" max="12" man="1"/>
    <brk id="109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허하나로" id="{A794F0B3-7F88-4557-B013-8B62C812C397}">
            <xm:f>NOT(ISERROR(SEARCH("허하나로",종합상황실!H1098)))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88B48916-9CE5-4318-8761-65CEFB148B45}">
            <xm:f>NOT(ISERROR(SEARCH("한별",종합상황실!H1098)))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57C9F3D4-14C9-4D1B-8E04-AE8F6A8C0133}">
            <xm:f>NOT(ISERROR(SEARCH("정홍조",종합상황실!H1098)))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35F5F52F-4CF0-499C-8F4D-5CB015ACF450}">
            <xm:f>NOT(ISERROR(SEARCH("김지윤",종합상황실!H1098)))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9EF5BD0E-34A9-4D6C-82C2-E6CEF10CF697}">
            <xm:f>NOT(ISERROR(SEARCH("전준영",종합상황실!H1098)))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20F9787C-E2E3-4703-953A-DFD68636DBAD}">
            <xm:f>NOT(ISERROR(SEARCH("차재성",종합상황실!H1098)))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J78:J79</xm:sqref>
        </x14:conditionalFormatting>
        <x14:conditionalFormatting xmlns:xm="http://schemas.microsoft.com/office/excel/2006/main">
          <x14:cfRule type="containsText" priority="7" operator="containsText" text="허하나로" id="{18715C03-0B66-4AC0-BD87-128FEAFA4E2C}">
            <xm:f>NOT(ISERROR(SEARCH("허하나로",종합상황실!H1088)))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E813D966-4CC6-4E05-8786-1A2A2EB4DFBF}">
            <xm:f>NOT(ISERROR(SEARCH("한별",종합상황실!H1088)))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B06F188D-213B-4A41-AB01-D288329B9695}">
            <xm:f>NOT(ISERROR(SEARCH("정홍조",종합상황실!H1088)))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806A78A5-BAD7-4FF2-99FC-873EF7302D41}">
            <xm:f>NOT(ISERROR(SEARCH("김지윤",종합상황실!H1088)))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1A6D60C6-6BCA-4C75-B463-9AD102559089}">
            <xm:f>NOT(ISERROR(SEARCH("전준영",종합상황실!H1088)))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CB541786-AE7C-440C-BA40-00DA48A389FE}">
            <xm:f>NOT(ISERROR(SEARCH("차재성",종합상황실!H1088)))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J80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O71"/>
  <sheetViews>
    <sheetView zoomScale="85" zoomScaleNormal="85" workbookViewId="0">
      <selection activeCell="G7" sqref="G7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5.625" customWidth="1"/>
    <col min="10" max="10" width="14.625" customWidth="1"/>
    <col min="11" max="11" width="57.5" customWidth="1"/>
    <col min="12" max="12" width="3.875" customWidth="1"/>
    <col min="13" max="13" width="14.625" customWidth="1"/>
    <col min="14" max="14" width="9.875" style="591" bestFit="1" customWidth="1"/>
  </cols>
  <sheetData>
    <row r="1" spans="1:15" ht="17.25" thickBot="1">
      <c r="A1" s="88" t="s">
        <v>171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5" ht="16.5" customHeight="1">
      <c r="A2" s="715" t="s">
        <v>21</v>
      </c>
      <c r="B2" s="717" t="s">
        <v>22</v>
      </c>
      <c r="C2" s="718"/>
      <c r="D2" s="719"/>
      <c r="E2" s="717" t="s">
        <v>23</v>
      </c>
      <c r="F2" s="718"/>
      <c r="G2" s="719"/>
      <c r="H2" s="693" t="s">
        <v>728</v>
      </c>
      <c r="I2" s="693" t="s">
        <v>729</v>
      </c>
      <c r="J2" s="720" t="s">
        <v>467</v>
      </c>
      <c r="K2" s="704" t="s">
        <v>1</v>
      </c>
      <c r="L2" s="705"/>
      <c r="M2" s="706"/>
    </row>
    <row r="3" spans="1:15" ht="17.25" thickBot="1">
      <c r="A3" s="716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94"/>
      <c r="I3" s="694"/>
      <c r="J3" s="721"/>
      <c r="K3" s="707"/>
      <c r="L3" s="708"/>
      <c r="M3" s="709"/>
    </row>
    <row r="4" spans="1:15" ht="17.25" thickBot="1">
      <c r="A4" s="710" t="s">
        <v>144</v>
      </c>
      <c r="B4" s="711"/>
      <c r="C4" s="711"/>
      <c r="D4" s="711"/>
      <c r="E4" s="711"/>
      <c r="F4" s="711"/>
      <c r="G4" s="712"/>
      <c r="H4" s="185">
        <f>H5</f>
        <v>225012</v>
      </c>
      <c r="I4" s="185">
        <v>170012</v>
      </c>
      <c r="J4" s="120">
        <f>H4-I4</f>
        <v>55000</v>
      </c>
      <c r="K4" s="89"/>
      <c r="L4" s="90"/>
      <c r="M4" s="121"/>
    </row>
    <row r="5" spans="1:15">
      <c r="A5" s="205" t="s">
        <v>2</v>
      </c>
      <c r="B5" s="122"/>
      <c r="C5" s="123"/>
      <c r="D5" s="123"/>
      <c r="E5" s="123"/>
      <c r="F5" s="123"/>
      <c r="G5" s="124"/>
      <c r="H5" s="94">
        <f>H6</f>
        <v>225012</v>
      </c>
      <c r="I5" s="94">
        <v>170012</v>
      </c>
      <c r="J5" s="95">
        <f t="shared" ref="J5:J11" si="0">H5-I5</f>
        <v>55000</v>
      </c>
      <c r="K5" s="78"/>
      <c r="L5" s="79"/>
      <c r="M5" s="80"/>
    </row>
    <row r="6" spans="1:15">
      <c r="A6" s="10"/>
      <c r="B6" s="129" t="s">
        <v>263</v>
      </c>
      <c r="C6" s="129"/>
      <c r="D6" s="130"/>
      <c r="E6" s="130"/>
      <c r="F6" s="130"/>
      <c r="G6" s="131"/>
      <c r="H6" s="95">
        <f>SUM(H7,H25,H36,H54)</f>
        <v>225012</v>
      </c>
      <c r="I6" s="94">
        <v>170012</v>
      </c>
      <c r="J6" s="95">
        <f t="shared" si="0"/>
        <v>55000</v>
      </c>
      <c r="K6" s="78"/>
      <c r="L6" s="79"/>
      <c r="M6" s="80"/>
    </row>
    <row r="7" spans="1:15">
      <c r="A7" s="10"/>
      <c r="B7" s="6"/>
      <c r="C7" s="129" t="s">
        <v>104</v>
      </c>
      <c r="D7" s="130"/>
      <c r="E7" s="130"/>
      <c r="F7" s="130"/>
      <c r="G7" s="131"/>
      <c r="H7" s="94">
        <f>H8+H16</f>
        <v>75200</v>
      </c>
      <c r="I7" s="94">
        <v>20200</v>
      </c>
      <c r="J7" s="95">
        <f t="shared" si="0"/>
        <v>55000</v>
      </c>
      <c r="K7" s="78"/>
      <c r="L7" s="79"/>
      <c r="M7" s="80"/>
    </row>
    <row r="8" spans="1:15">
      <c r="A8" s="10"/>
      <c r="B8" s="6"/>
      <c r="C8" s="7"/>
      <c r="D8" s="353" t="s">
        <v>468</v>
      </c>
      <c r="E8" s="130"/>
      <c r="F8" s="130"/>
      <c r="G8" s="131"/>
      <c r="H8" s="132">
        <f>SUM(H9)</f>
        <v>60000</v>
      </c>
      <c r="I8" s="132">
        <v>5000</v>
      </c>
      <c r="J8" s="95">
        <f t="shared" si="0"/>
        <v>55000</v>
      </c>
      <c r="K8" s="354"/>
      <c r="L8" s="133"/>
      <c r="M8" s="268"/>
    </row>
    <row r="9" spans="1:15">
      <c r="A9" s="10"/>
      <c r="B9" s="6"/>
      <c r="C9" s="134"/>
      <c r="D9" s="135"/>
      <c r="E9" s="129" t="s">
        <v>31</v>
      </c>
      <c r="F9" s="130"/>
      <c r="G9" s="131"/>
      <c r="H9" s="91">
        <f>SUM(H10)</f>
        <v>60000</v>
      </c>
      <c r="I9" s="91">
        <v>5000</v>
      </c>
      <c r="J9" s="95">
        <f t="shared" si="0"/>
        <v>55000</v>
      </c>
      <c r="K9" s="355"/>
      <c r="L9" s="93"/>
      <c r="M9" s="269"/>
    </row>
    <row r="10" spans="1:15">
      <c r="A10" s="63"/>
      <c r="B10" s="65"/>
      <c r="C10" s="186"/>
      <c r="D10" s="187"/>
      <c r="E10" s="187"/>
      <c r="F10" s="136" t="s">
        <v>61</v>
      </c>
      <c r="G10" s="189"/>
      <c r="H10" s="72">
        <f>H11</f>
        <v>60000</v>
      </c>
      <c r="I10" s="72">
        <v>5000</v>
      </c>
      <c r="J10" s="270">
        <f t="shared" si="0"/>
        <v>55000</v>
      </c>
      <c r="K10" s="356"/>
      <c r="L10" s="357"/>
      <c r="M10" s="358"/>
    </row>
    <row r="11" spans="1:15">
      <c r="A11" s="63"/>
      <c r="B11" s="65"/>
      <c r="C11" s="65"/>
      <c r="D11" s="145"/>
      <c r="E11" s="190"/>
      <c r="F11" s="190"/>
      <c r="G11" s="65" t="s">
        <v>36</v>
      </c>
      <c r="H11" s="73">
        <f>M11</f>
        <v>60000</v>
      </c>
      <c r="I11" s="73">
        <v>5000</v>
      </c>
      <c r="J11" s="271">
        <f t="shared" si="0"/>
        <v>55000</v>
      </c>
      <c r="K11" s="359" t="s">
        <v>47</v>
      </c>
      <c r="L11" s="44"/>
      <c r="M11" s="360">
        <f>SUM(M14:M15)</f>
        <v>60000</v>
      </c>
    </row>
    <row r="12" spans="1:15" s="367" customFormat="1">
      <c r="A12" s="362"/>
      <c r="B12" s="363"/>
      <c r="C12" s="363"/>
      <c r="D12" s="364"/>
      <c r="E12" s="365"/>
      <c r="F12" s="365"/>
      <c r="G12" s="366"/>
      <c r="H12" s="50"/>
      <c r="I12" s="50"/>
      <c r="J12" s="50"/>
      <c r="K12" s="430" t="s">
        <v>757</v>
      </c>
      <c r="L12" s="380" t="s">
        <v>0</v>
      </c>
      <c r="M12" s="599">
        <v>5000</v>
      </c>
      <c r="N12" s="591"/>
      <c r="O12" s="368"/>
    </row>
    <row r="13" spans="1:15" s="367" customFormat="1">
      <c r="A13" s="362"/>
      <c r="B13" s="363"/>
      <c r="C13" s="363"/>
      <c r="D13" s="364"/>
      <c r="E13" s="365"/>
      <c r="F13" s="365"/>
      <c r="G13" s="366"/>
      <c r="H13" s="50"/>
      <c r="I13" s="50"/>
      <c r="J13" s="50"/>
      <c r="K13" s="635" t="s">
        <v>756</v>
      </c>
      <c r="L13" s="380"/>
      <c r="M13" s="599"/>
      <c r="N13" s="621"/>
      <c r="O13" s="368"/>
    </row>
    <row r="14" spans="1:15" s="367" customFormat="1">
      <c r="A14" s="362"/>
      <c r="B14" s="363"/>
      <c r="C14" s="363"/>
      <c r="D14" s="364"/>
      <c r="E14" s="365"/>
      <c r="F14" s="365"/>
      <c r="G14" s="366"/>
      <c r="H14" s="50"/>
      <c r="I14" s="50"/>
      <c r="J14" s="50"/>
      <c r="K14" s="636" t="s">
        <v>758</v>
      </c>
      <c r="L14" s="614" t="s">
        <v>0</v>
      </c>
      <c r="M14" s="637">
        <v>10000</v>
      </c>
      <c r="N14" s="621"/>
      <c r="O14" s="368"/>
    </row>
    <row r="15" spans="1:15" s="367" customFormat="1">
      <c r="A15" s="362"/>
      <c r="B15" s="363"/>
      <c r="C15" s="363"/>
      <c r="D15" s="507"/>
      <c r="E15" s="547"/>
      <c r="F15" s="547"/>
      <c r="G15" s="534"/>
      <c r="H15" s="50"/>
      <c r="I15" s="50"/>
      <c r="J15" s="50"/>
      <c r="K15" s="636" t="s">
        <v>858</v>
      </c>
      <c r="L15" s="614" t="s">
        <v>0</v>
      </c>
      <c r="M15" s="637">
        <v>50000</v>
      </c>
      <c r="N15" s="621"/>
      <c r="O15" s="368"/>
    </row>
    <row r="16" spans="1:15">
      <c r="A16" s="10"/>
      <c r="B16" s="6"/>
      <c r="C16" s="6"/>
      <c r="D16" s="129" t="s">
        <v>312</v>
      </c>
      <c r="E16" s="130"/>
      <c r="F16" s="130"/>
      <c r="G16" s="131"/>
      <c r="H16" s="132">
        <f>H17</f>
        <v>15200</v>
      </c>
      <c r="I16" s="132">
        <v>15200</v>
      </c>
      <c r="J16" s="92">
        <f>H16-I16</f>
        <v>0</v>
      </c>
      <c r="K16" s="160"/>
      <c r="L16" s="557"/>
      <c r="M16" s="150"/>
    </row>
    <row r="17" spans="1:13">
      <c r="A17" s="10"/>
      <c r="B17" s="6"/>
      <c r="C17" s="134"/>
      <c r="D17" s="135"/>
      <c r="E17" s="129" t="s">
        <v>31</v>
      </c>
      <c r="F17" s="130"/>
      <c r="G17" s="131"/>
      <c r="H17" s="91">
        <f>SUM(H18)</f>
        <v>15200</v>
      </c>
      <c r="I17" s="91">
        <v>15200</v>
      </c>
      <c r="J17" s="92">
        <f>H17-I17</f>
        <v>0</v>
      </c>
      <c r="K17" s="84"/>
      <c r="L17" s="93"/>
      <c r="M17" s="235"/>
    </row>
    <row r="18" spans="1:13">
      <c r="A18" s="63"/>
      <c r="B18" s="65"/>
      <c r="C18" s="65"/>
      <c r="D18" s="65"/>
      <c r="E18" s="65"/>
      <c r="F18" s="136" t="s">
        <v>61</v>
      </c>
      <c r="G18" s="140"/>
      <c r="H18" s="72">
        <f>SUM(H19,H23)</f>
        <v>15200</v>
      </c>
      <c r="I18" s="72">
        <v>15200</v>
      </c>
      <c r="J18" s="98">
        <f>H18-I18</f>
        <v>0</v>
      </c>
      <c r="K18" s="144"/>
      <c r="L18" s="38"/>
      <c r="M18" s="236"/>
    </row>
    <row r="19" spans="1:13">
      <c r="A19" s="63"/>
      <c r="B19" s="65"/>
      <c r="C19" s="65"/>
      <c r="D19" s="65"/>
      <c r="E19" s="65"/>
      <c r="F19" s="143"/>
      <c r="G19" s="64" t="s">
        <v>36</v>
      </c>
      <c r="H19" s="567">
        <f>M19</f>
        <v>15000</v>
      </c>
      <c r="I19" s="567">
        <v>15000</v>
      </c>
      <c r="J19" s="568">
        <f>H19-I19</f>
        <v>0</v>
      </c>
      <c r="K19" s="36" t="s">
        <v>62</v>
      </c>
      <c r="L19" s="39"/>
      <c r="M19" s="218">
        <f>SUM(M20:M22)</f>
        <v>15000</v>
      </c>
    </row>
    <row r="20" spans="1:13">
      <c r="A20" s="63"/>
      <c r="B20" s="65"/>
      <c r="C20" s="65"/>
      <c r="D20" s="65"/>
      <c r="E20" s="65"/>
      <c r="F20" s="143"/>
      <c r="G20" s="65"/>
      <c r="H20" s="75"/>
      <c r="I20" s="75"/>
      <c r="J20" s="48"/>
      <c r="K20" s="216" t="s">
        <v>540</v>
      </c>
      <c r="L20" s="51" t="s">
        <v>403</v>
      </c>
      <c r="M20" s="191">
        <v>7500</v>
      </c>
    </row>
    <row r="21" spans="1:13">
      <c r="A21" s="63"/>
      <c r="B21" s="65"/>
      <c r="C21" s="65"/>
      <c r="D21" s="65"/>
      <c r="E21" s="65"/>
      <c r="F21" s="143"/>
      <c r="G21" s="65"/>
      <c r="H21" s="75"/>
      <c r="I21" s="75"/>
      <c r="J21" s="48"/>
      <c r="K21" s="216" t="s">
        <v>541</v>
      </c>
      <c r="L21" s="203" t="s">
        <v>0</v>
      </c>
      <c r="M21" s="191">
        <v>5000</v>
      </c>
    </row>
    <row r="22" spans="1:13">
      <c r="A22" s="63"/>
      <c r="B22" s="65"/>
      <c r="C22" s="65"/>
      <c r="D22" s="65"/>
      <c r="E22" s="65"/>
      <c r="F22" s="143"/>
      <c r="G22" s="67"/>
      <c r="H22" s="76"/>
      <c r="I22" s="76"/>
      <c r="J22" s="49"/>
      <c r="K22" s="217" t="s">
        <v>542</v>
      </c>
      <c r="L22" s="204" t="s">
        <v>0</v>
      </c>
      <c r="M22" s="196">
        <v>2500</v>
      </c>
    </row>
    <row r="23" spans="1:13">
      <c r="A23" s="63"/>
      <c r="B23" s="65"/>
      <c r="C23" s="65"/>
      <c r="D23" s="65"/>
      <c r="E23" s="65"/>
      <c r="F23" s="143"/>
      <c r="G23" s="65" t="s">
        <v>65</v>
      </c>
      <c r="H23" s="75">
        <f>M23</f>
        <v>200</v>
      </c>
      <c r="I23" s="75">
        <v>200</v>
      </c>
      <c r="J23" s="48">
        <f>H23-I23</f>
        <v>0</v>
      </c>
      <c r="K23" s="215" t="s">
        <v>64</v>
      </c>
      <c r="L23" s="51"/>
      <c r="M23" s="193">
        <f>M24</f>
        <v>200</v>
      </c>
    </row>
    <row r="24" spans="1:13">
      <c r="A24" s="63"/>
      <c r="B24" s="65"/>
      <c r="C24" s="65"/>
      <c r="D24" s="65"/>
      <c r="E24" s="67"/>
      <c r="F24" s="334"/>
      <c r="G24" s="67"/>
      <c r="H24" s="76"/>
      <c r="I24" s="71"/>
      <c r="J24" s="49"/>
      <c r="K24" s="385" t="s">
        <v>687</v>
      </c>
      <c r="L24" s="204" t="s">
        <v>0</v>
      </c>
      <c r="M24" s="196">
        <v>200</v>
      </c>
    </row>
    <row r="25" spans="1:13">
      <c r="A25" s="459"/>
      <c r="B25" s="462"/>
      <c r="C25" s="353" t="s">
        <v>129</v>
      </c>
      <c r="D25" s="460"/>
      <c r="E25" s="460"/>
      <c r="F25" s="460"/>
      <c r="G25" s="461"/>
      <c r="H25" s="92">
        <f>SUM(H26,H31)</f>
        <v>53300</v>
      </c>
      <c r="I25" s="95">
        <v>53300</v>
      </c>
      <c r="J25" s="92">
        <f t="shared" ref="J25" si="1">H25-I25</f>
        <v>0</v>
      </c>
      <c r="K25" s="407"/>
      <c r="L25" s="408"/>
      <c r="M25" s="426"/>
    </row>
    <row r="26" spans="1:13">
      <c r="A26" s="459"/>
      <c r="B26" s="462"/>
      <c r="C26" s="462"/>
      <c r="D26" s="353" t="s">
        <v>54</v>
      </c>
      <c r="E26" s="460"/>
      <c r="F26" s="460"/>
      <c r="G26" s="461"/>
      <c r="H26" s="463">
        <f>H27</f>
        <v>50000</v>
      </c>
      <c r="I26" s="463">
        <v>50000</v>
      </c>
      <c r="J26" s="92">
        <f>H26-I26</f>
        <v>0</v>
      </c>
      <c r="K26" s="354"/>
      <c r="L26" s="395"/>
      <c r="M26" s="426"/>
    </row>
    <row r="27" spans="1:13">
      <c r="A27" s="459"/>
      <c r="B27" s="462"/>
      <c r="C27" s="464"/>
      <c r="D27" s="465"/>
      <c r="E27" s="353" t="s">
        <v>31</v>
      </c>
      <c r="F27" s="460"/>
      <c r="G27" s="461"/>
      <c r="H27" s="92">
        <f>H28</f>
        <v>50000</v>
      </c>
      <c r="I27" s="92">
        <v>50000</v>
      </c>
      <c r="J27" s="92">
        <f>H27-I27</f>
        <v>0</v>
      </c>
      <c r="K27" s="355"/>
      <c r="L27" s="396"/>
      <c r="M27" s="397"/>
    </row>
    <row r="28" spans="1:13">
      <c r="A28" s="362"/>
      <c r="B28" s="363"/>
      <c r="C28" s="363"/>
      <c r="D28" s="363"/>
      <c r="E28" s="363"/>
      <c r="F28" s="470" t="s">
        <v>55</v>
      </c>
      <c r="G28" s="473"/>
      <c r="H28" s="98">
        <f>H29</f>
        <v>50000</v>
      </c>
      <c r="I28" s="98">
        <v>50000</v>
      </c>
      <c r="J28" s="98">
        <f>H28-I28</f>
        <v>0</v>
      </c>
      <c r="K28" s="388"/>
      <c r="L28" s="389"/>
      <c r="M28" s="403"/>
    </row>
    <row r="29" spans="1:13">
      <c r="A29" s="362"/>
      <c r="B29" s="363"/>
      <c r="C29" s="363"/>
      <c r="D29" s="363"/>
      <c r="E29" s="363"/>
      <c r="F29" s="474"/>
      <c r="G29" s="363" t="s">
        <v>56</v>
      </c>
      <c r="H29" s="475">
        <f>M29</f>
        <v>50000</v>
      </c>
      <c r="I29" s="475">
        <v>50000</v>
      </c>
      <c r="J29" s="50">
        <f>H29-I29</f>
        <v>0</v>
      </c>
      <c r="K29" s="391" t="s">
        <v>57</v>
      </c>
      <c r="L29" s="417"/>
      <c r="M29" s="393">
        <f>SUM(M30:M30)</f>
        <v>50000</v>
      </c>
    </row>
    <row r="30" spans="1:13">
      <c r="A30" s="362"/>
      <c r="B30" s="363"/>
      <c r="C30" s="363"/>
      <c r="D30" s="363"/>
      <c r="E30" s="363"/>
      <c r="F30" s="474"/>
      <c r="G30" s="363"/>
      <c r="H30" s="475"/>
      <c r="I30" s="475"/>
      <c r="J30" s="50"/>
      <c r="K30" s="385" t="s">
        <v>385</v>
      </c>
      <c r="L30" s="378" t="s">
        <v>0</v>
      </c>
      <c r="M30" s="386">
        <v>50000</v>
      </c>
    </row>
    <row r="31" spans="1:13">
      <c r="A31" s="459"/>
      <c r="B31" s="462"/>
      <c r="C31" s="462"/>
      <c r="D31" s="353" t="s">
        <v>218</v>
      </c>
      <c r="E31" s="460"/>
      <c r="F31" s="460"/>
      <c r="G31" s="461"/>
      <c r="H31" s="463">
        <f>SUM(H32)</f>
        <v>3300</v>
      </c>
      <c r="I31" s="463">
        <v>3300</v>
      </c>
      <c r="J31" s="92">
        <f>H31-I31</f>
        <v>0</v>
      </c>
      <c r="K31" s="354"/>
      <c r="L31" s="408"/>
      <c r="M31" s="426"/>
    </row>
    <row r="32" spans="1:13">
      <c r="A32" s="459"/>
      <c r="B32" s="462"/>
      <c r="C32" s="464"/>
      <c r="D32" s="465"/>
      <c r="E32" s="353" t="s">
        <v>545</v>
      </c>
      <c r="F32" s="460"/>
      <c r="G32" s="461"/>
      <c r="H32" s="92">
        <f>H33</f>
        <v>3300</v>
      </c>
      <c r="I32" s="92">
        <v>3300</v>
      </c>
      <c r="J32" s="92">
        <f>H32-I32</f>
        <v>0</v>
      </c>
      <c r="K32" s="355"/>
      <c r="L32" s="396"/>
      <c r="M32" s="397"/>
    </row>
    <row r="33" spans="1:15">
      <c r="A33" s="362"/>
      <c r="B33" s="363"/>
      <c r="C33" s="363"/>
      <c r="D33" s="363"/>
      <c r="E33" s="363"/>
      <c r="F33" s="470" t="s">
        <v>546</v>
      </c>
      <c r="G33" s="473"/>
      <c r="H33" s="98">
        <f>H34</f>
        <v>3300</v>
      </c>
      <c r="I33" s="98">
        <v>3300</v>
      </c>
      <c r="J33" s="98">
        <f>H33-I33</f>
        <v>0</v>
      </c>
      <c r="K33" s="388"/>
      <c r="L33" s="389"/>
      <c r="M33" s="403"/>
    </row>
    <row r="34" spans="1:15">
      <c r="A34" s="362"/>
      <c r="B34" s="363"/>
      <c r="C34" s="363"/>
      <c r="D34" s="363"/>
      <c r="E34" s="363"/>
      <c r="F34" s="474"/>
      <c r="G34" s="363" t="s">
        <v>547</v>
      </c>
      <c r="H34" s="475">
        <f>M34</f>
        <v>3300</v>
      </c>
      <c r="I34" s="475">
        <v>3300</v>
      </c>
      <c r="J34" s="50">
        <f>H34-I34</f>
        <v>0</v>
      </c>
      <c r="K34" s="391" t="s">
        <v>50</v>
      </c>
      <c r="L34" s="417"/>
      <c r="M34" s="393">
        <f>SUM(M35:M35)</f>
        <v>3300</v>
      </c>
    </row>
    <row r="35" spans="1:15">
      <c r="A35" s="362"/>
      <c r="B35" s="363"/>
      <c r="C35" s="363"/>
      <c r="D35" s="363"/>
      <c r="E35" s="363"/>
      <c r="F35" s="474"/>
      <c r="G35" s="363"/>
      <c r="H35" s="475"/>
      <c r="I35" s="475"/>
      <c r="J35" s="50"/>
      <c r="K35" s="600" t="s">
        <v>643</v>
      </c>
      <c r="L35" s="383" t="s">
        <v>0</v>
      </c>
      <c r="M35" s="379">
        <v>3300</v>
      </c>
      <c r="O35" s="368"/>
    </row>
    <row r="36" spans="1:15">
      <c r="A36" s="459"/>
      <c r="B36" s="462"/>
      <c r="C36" s="179" t="s">
        <v>295</v>
      </c>
      <c r="D36" s="460"/>
      <c r="E36" s="460"/>
      <c r="F36" s="460"/>
      <c r="G36" s="461"/>
      <c r="H36" s="92">
        <f>H37</f>
        <v>21512</v>
      </c>
      <c r="I36" s="92">
        <v>21512</v>
      </c>
      <c r="J36" s="92">
        <f>H36-I36</f>
        <v>0</v>
      </c>
      <c r="K36" s="401"/>
      <c r="L36" s="395"/>
      <c r="M36" s="402"/>
    </row>
    <row r="37" spans="1:15">
      <c r="A37" s="459"/>
      <c r="B37" s="462"/>
      <c r="C37" s="480"/>
      <c r="D37" s="353" t="s">
        <v>34</v>
      </c>
      <c r="E37" s="460"/>
      <c r="F37" s="460"/>
      <c r="G37" s="461"/>
      <c r="H37" s="463">
        <f>H38</f>
        <v>21512</v>
      </c>
      <c r="I37" s="463">
        <v>21512</v>
      </c>
      <c r="J37" s="92">
        <f>H37-I37</f>
        <v>0</v>
      </c>
      <c r="K37" s="394"/>
      <c r="L37" s="395"/>
      <c r="M37" s="402"/>
    </row>
    <row r="38" spans="1:15">
      <c r="A38" s="459"/>
      <c r="B38" s="462"/>
      <c r="C38" s="464"/>
      <c r="D38" s="465"/>
      <c r="E38" s="353" t="s">
        <v>33</v>
      </c>
      <c r="F38" s="460"/>
      <c r="G38" s="461"/>
      <c r="H38" s="92">
        <f>SUM(H39,H44,H48,H51)</f>
        <v>21512</v>
      </c>
      <c r="I38" s="92">
        <v>21512</v>
      </c>
      <c r="J38" s="92">
        <f>H38-I38</f>
        <v>0</v>
      </c>
      <c r="K38" s="355"/>
      <c r="L38" s="396"/>
      <c r="M38" s="397"/>
    </row>
    <row r="39" spans="1:15">
      <c r="A39" s="362"/>
      <c r="B39" s="363"/>
      <c r="C39" s="363"/>
      <c r="D39" s="363"/>
      <c r="E39" s="363"/>
      <c r="F39" s="470" t="s">
        <v>35</v>
      </c>
      <c r="G39" s="473"/>
      <c r="H39" s="98">
        <f>H40+H42</f>
        <v>8912</v>
      </c>
      <c r="I39" s="98">
        <v>8912</v>
      </c>
      <c r="J39" s="98">
        <f>H39-I39</f>
        <v>0</v>
      </c>
      <c r="K39" s="388"/>
      <c r="L39" s="389"/>
      <c r="M39" s="403"/>
    </row>
    <row r="40" spans="1:15">
      <c r="A40" s="481"/>
      <c r="B40" s="482"/>
      <c r="C40" s="363"/>
      <c r="D40" s="363"/>
      <c r="E40" s="363"/>
      <c r="F40" s="483"/>
      <c r="G40" s="484" t="s">
        <v>36</v>
      </c>
      <c r="H40" s="485">
        <f>M40</f>
        <v>2000</v>
      </c>
      <c r="I40" s="485">
        <v>2000</v>
      </c>
      <c r="J40" s="41">
        <f>H40-I40</f>
        <v>0</v>
      </c>
      <c r="K40" s="391" t="s">
        <v>52</v>
      </c>
      <c r="L40" s="418"/>
      <c r="M40" s="393">
        <f>SUM(M41:M41)</f>
        <v>2000</v>
      </c>
    </row>
    <row r="41" spans="1:15">
      <c r="A41" s="481"/>
      <c r="B41" s="482"/>
      <c r="C41" s="363"/>
      <c r="D41" s="363"/>
      <c r="E41" s="363"/>
      <c r="F41" s="487"/>
      <c r="G41" s="491"/>
      <c r="H41" s="488"/>
      <c r="I41" s="488"/>
      <c r="J41" s="492"/>
      <c r="K41" s="377" t="s">
        <v>688</v>
      </c>
      <c r="L41" s="378" t="s">
        <v>37</v>
      </c>
      <c r="M41" s="379">
        <v>2000</v>
      </c>
      <c r="O41" s="368"/>
    </row>
    <row r="42" spans="1:15">
      <c r="A42" s="481"/>
      <c r="B42" s="482"/>
      <c r="C42" s="363"/>
      <c r="D42" s="363"/>
      <c r="E42" s="363"/>
      <c r="F42" s="486"/>
      <c r="G42" s="487" t="s">
        <v>142</v>
      </c>
      <c r="H42" s="485">
        <f>M42</f>
        <v>6912</v>
      </c>
      <c r="I42" s="485">
        <v>6912</v>
      </c>
      <c r="J42" s="41">
        <f>H42-I42</f>
        <v>0</v>
      </c>
      <c r="K42" s="361" t="s">
        <v>137</v>
      </c>
      <c r="L42" s="418"/>
      <c r="M42" s="393">
        <f>SUM(M43:M43)</f>
        <v>6912</v>
      </c>
    </row>
    <row r="43" spans="1:15">
      <c r="A43" s="481"/>
      <c r="B43" s="482"/>
      <c r="C43" s="363"/>
      <c r="D43" s="363"/>
      <c r="E43" s="363"/>
      <c r="F43" s="487"/>
      <c r="G43" s="487"/>
      <c r="H43" s="488"/>
      <c r="I43" s="488"/>
      <c r="J43" s="492"/>
      <c r="K43" s="385" t="s">
        <v>637</v>
      </c>
      <c r="L43" s="378" t="s">
        <v>37</v>
      </c>
      <c r="M43" s="379">
        <v>6912</v>
      </c>
    </row>
    <row r="44" spans="1:15">
      <c r="A44" s="362"/>
      <c r="B44" s="363"/>
      <c r="C44" s="363"/>
      <c r="D44" s="363"/>
      <c r="E44" s="363"/>
      <c r="F44" s="722" t="s">
        <v>40</v>
      </c>
      <c r="G44" s="723"/>
      <c r="H44" s="520">
        <f>H45</f>
        <v>9000</v>
      </c>
      <c r="I44" s="98">
        <v>9000</v>
      </c>
      <c r="J44" s="521">
        <f>H44-I44</f>
        <v>0</v>
      </c>
      <c r="K44" s="420"/>
      <c r="L44" s="421"/>
      <c r="M44" s="422"/>
    </row>
    <row r="45" spans="1:15">
      <c r="A45" s="362"/>
      <c r="B45" s="363"/>
      <c r="C45" s="363"/>
      <c r="D45" s="363"/>
      <c r="E45" s="363"/>
      <c r="F45" s="522"/>
      <c r="G45" s="478" t="s">
        <v>41</v>
      </c>
      <c r="H45" s="494">
        <f>M45</f>
        <v>9000</v>
      </c>
      <c r="I45" s="475">
        <v>9000</v>
      </c>
      <c r="J45" s="495">
        <f>H45-I45</f>
        <v>0</v>
      </c>
      <c r="K45" s="391" t="s">
        <v>50</v>
      </c>
      <c r="L45" s="423"/>
      <c r="M45" s="393">
        <f>SUM(M46:M47)</f>
        <v>9000</v>
      </c>
    </row>
    <row r="46" spans="1:15">
      <c r="A46" s="362"/>
      <c r="B46" s="363"/>
      <c r="C46" s="363"/>
      <c r="D46" s="363"/>
      <c r="E46" s="363"/>
      <c r="F46" s="479"/>
      <c r="G46" s="479"/>
      <c r="H46" s="488"/>
      <c r="I46" s="488"/>
      <c r="J46" s="492"/>
      <c r="K46" s="387" t="s">
        <v>689</v>
      </c>
      <c r="L46" s="424" t="s">
        <v>0</v>
      </c>
      <c r="M46" s="379">
        <v>2400</v>
      </c>
      <c r="O46" s="368"/>
    </row>
    <row r="47" spans="1:15">
      <c r="A47" s="362"/>
      <c r="B47" s="363"/>
      <c r="C47" s="363"/>
      <c r="D47" s="364"/>
      <c r="E47" s="365"/>
      <c r="F47" s="365"/>
      <c r="G47" s="366"/>
      <c r="H47" s="50"/>
      <c r="I47" s="50"/>
      <c r="J47" s="50"/>
      <c r="K47" s="385" t="s">
        <v>690</v>
      </c>
      <c r="L47" s="382" t="s">
        <v>0</v>
      </c>
      <c r="M47" s="379">
        <v>6600</v>
      </c>
      <c r="O47" s="368"/>
    </row>
    <row r="48" spans="1:15">
      <c r="A48" s="362"/>
      <c r="B48" s="363"/>
      <c r="C48" s="363"/>
      <c r="D48" s="363"/>
      <c r="E48" s="363"/>
      <c r="F48" s="722" t="s">
        <v>42</v>
      </c>
      <c r="G48" s="723"/>
      <c r="H48" s="520">
        <f>H49</f>
        <v>1500</v>
      </c>
      <c r="I48" s="98">
        <v>1500</v>
      </c>
      <c r="J48" s="521">
        <f>H48-I48</f>
        <v>0</v>
      </c>
      <c r="K48" s="420"/>
      <c r="L48" s="421"/>
      <c r="M48" s="422"/>
    </row>
    <row r="49" spans="1:15">
      <c r="A49" s="481"/>
      <c r="B49" s="482"/>
      <c r="C49" s="363"/>
      <c r="D49" s="363"/>
      <c r="E49" s="363"/>
      <c r="F49" s="479"/>
      <c r="G49" s="522" t="s">
        <v>43</v>
      </c>
      <c r="H49" s="494">
        <f>M49</f>
        <v>1500</v>
      </c>
      <c r="I49" s="475">
        <v>1500</v>
      </c>
      <c r="J49" s="495">
        <f>H49-I49</f>
        <v>0</v>
      </c>
      <c r="K49" s="391" t="s">
        <v>507</v>
      </c>
      <c r="L49" s="418"/>
      <c r="M49" s="393">
        <f>M50</f>
        <v>1500</v>
      </c>
    </row>
    <row r="50" spans="1:15">
      <c r="A50" s="523"/>
      <c r="B50" s="524"/>
      <c r="C50" s="524"/>
      <c r="D50" s="524"/>
      <c r="E50" s="524"/>
      <c r="F50" s="500"/>
      <c r="G50" s="500"/>
      <c r="H50" s="525"/>
      <c r="I50" s="525"/>
      <c r="J50" s="526"/>
      <c r="K50" s="527" t="s">
        <v>691</v>
      </c>
      <c r="L50" s="528" t="s">
        <v>0</v>
      </c>
      <c r="M50" s="379">
        <v>1500</v>
      </c>
      <c r="O50" s="368"/>
    </row>
    <row r="51" spans="1:15">
      <c r="A51" s="362"/>
      <c r="B51" s="363"/>
      <c r="C51" s="363"/>
      <c r="D51" s="363"/>
      <c r="E51" s="363"/>
      <c r="F51" s="470" t="s">
        <v>89</v>
      </c>
      <c r="G51" s="473"/>
      <c r="H51" s="98">
        <f>H52</f>
        <v>2100</v>
      </c>
      <c r="I51" s="98">
        <v>2100</v>
      </c>
      <c r="J51" s="98">
        <f>H51-I51</f>
        <v>0</v>
      </c>
      <c r="K51" s="388"/>
      <c r="L51" s="389"/>
      <c r="M51" s="390"/>
    </row>
    <row r="52" spans="1:15">
      <c r="A52" s="362"/>
      <c r="B52" s="363"/>
      <c r="C52" s="363"/>
      <c r="D52" s="363"/>
      <c r="E52" s="363"/>
      <c r="F52" s="474"/>
      <c r="G52" s="363" t="s">
        <v>93</v>
      </c>
      <c r="H52" s="475">
        <f>M52</f>
        <v>2100</v>
      </c>
      <c r="I52" s="475">
        <v>2100</v>
      </c>
      <c r="J52" s="50">
        <f>H52-I52</f>
        <v>0</v>
      </c>
      <c r="K52" s="391" t="s">
        <v>387</v>
      </c>
      <c r="L52" s="417"/>
      <c r="M52" s="393">
        <f>M53</f>
        <v>2100</v>
      </c>
    </row>
    <row r="53" spans="1:15">
      <c r="A53" s="362"/>
      <c r="B53" s="363"/>
      <c r="C53" s="363"/>
      <c r="D53" s="363"/>
      <c r="E53" s="363"/>
      <c r="F53" s="493"/>
      <c r="G53" s="500"/>
      <c r="H53" s="501"/>
      <c r="I53" s="502"/>
      <c r="J53" s="503"/>
      <c r="K53" s="385" t="s">
        <v>388</v>
      </c>
      <c r="L53" s="378" t="s">
        <v>0</v>
      </c>
      <c r="M53" s="386">
        <v>2100</v>
      </c>
    </row>
    <row r="54" spans="1:15">
      <c r="A54" s="459"/>
      <c r="B54" s="462"/>
      <c r="C54" s="179" t="s">
        <v>95</v>
      </c>
      <c r="D54" s="460"/>
      <c r="E54" s="460"/>
      <c r="F54" s="460"/>
      <c r="G54" s="461"/>
      <c r="H54" s="92">
        <f>H55</f>
        <v>75000</v>
      </c>
      <c r="I54" s="92">
        <v>75000</v>
      </c>
      <c r="J54" s="92">
        <f>H54-I54</f>
        <v>0</v>
      </c>
      <c r="K54" s="401"/>
      <c r="L54" s="395"/>
      <c r="M54" s="402"/>
    </row>
    <row r="55" spans="1:15">
      <c r="A55" s="459"/>
      <c r="B55" s="462"/>
      <c r="C55" s="480"/>
      <c r="D55" s="353" t="s">
        <v>96</v>
      </c>
      <c r="E55" s="460"/>
      <c r="F55" s="460"/>
      <c r="G55" s="461"/>
      <c r="H55" s="463">
        <f>H56</f>
        <v>75000</v>
      </c>
      <c r="I55" s="463">
        <v>75000</v>
      </c>
      <c r="J55" s="92">
        <f>H55-I55</f>
        <v>0</v>
      </c>
      <c r="K55" s="394"/>
      <c r="L55" s="395"/>
      <c r="M55" s="402"/>
    </row>
    <row r="56" spans="1:15">
      <c r="A56" s="459"/>
      <c r="B56" s="462"/>
      <c r="C56" s="464"/>
      <c r="D56" s="465"/>
      <c r="E56" s="353" t="s">
        <v>33</v>
      </c>
      <c r="F56" s="460"/>
      <c r="G56" s="461"/>
      <c r="H56" s="92">
        <f>SUM(H57,H64,H69)</f>
        <v>75000</v>
      </c>
      <c r="I56" s="92">
        <v>75000</v>
      </c>
      <c r="J56" s="92">
        <f>H56-I56</f>
        <v>0</v>
      </c>
      <c r="K56" s="355"/>
      <c r="L56" s="396"/>
      <c r="M56" s="466"/>
    </row>
    <row r="57" spans="1:15">
      <c r="A57" s="362"/>
      <c r="B57" s="363"/>
      <c r="C57" s="363"/>
      <c r="D57" s="363"/>
      <c r="E57" s="363"/>
      <c r="F57" s="470" t="s">
        <v>60</v>
      </c>
      <c r="G57" s="473"/>
      <c r="H57" s="98">
        <f>SUM(H58,H60,H62)</f>
        <v>15000</v>
      </c>
      <c r="I57" s="98">
        <v>15000</v>
      </c>
      <c r="J57" s="98">
        <f>H57-I57</f>
        <v>0</v>
      </c>
      <c r="K57" s="388"/>
      <c r="L57" s="389"/>
      <c r="M57" s="390"/>
    </row>
    <row r="58" spans="1:15">
      <c r="A58" s="481"/>
      <c r="B58" s="482"/>
      <c r="C58" s="363"/>
      <c r="D58" s="363"/>
      <c r="E58" s="363"/>
      <c r="F58" s="483"/>
      <c r="G58" s="484" t="s">
        <v>36</v>
      </c>
      <c r="H58" s="485">
        <f>M58</f>
        <v>5000</v>
      </c>
      <c r="I58" s="485">
        <v>5000</v>
      </c>
      <c r="J58" s="41">
        <f>H58-I58</f>
        <v>0</v>
      </c>
      <c r="K58" s="361" t="s">
        <v>101</v>
      </c>
      <c r="L58" s="418"/>
      <c r="M58" s="393">
        <f>M59</f>
        <v>5000</v>
      </c>
    </row>
    <row r="59" spans="1:15">
      <c r="A59" s="481"/>
      <c r="B59" s="482"/>
      <c r="C59" s="363"/>
      <c r="D59" s="363"/>
      <c r="E59" s="363"/>
      <c r="F59" s="486"/>
      <c r="G59" s="491"/>
      <c r="H59" s="525"/>
      <c r="I59" s="525"/>
      <c r="J59" s="146"/>
      <c r="K59" s="385" t="s">
        <v>100</v>
      </c>
      <c r="L59" s="378" t="s">
        <v>0</v>
      </c>
      <c r="M59" s="386">
        <v>5000</v>
      </c>
    </row>
    <row r="60" spans="1:15">
      <c r="A60" s="481"/>
      <c r="B60" s="482"/>
      <c r="C60" s="363"/>
      <c r="D60" s="363"/>
      <c r="E60" s="363"/>
      <c r="F60" s="486"/>
      <c r="G60" s="487" t="s">
        <v>7</v>
      </c>
      <c r="H60" s="488">
        <f>M60</f>
        <v>5000</v>
      </c>
      <c r="I60" s="488">
        <v>5000</v>
      </c>
      <c r="J60" s="41">
        <f t="shared" ref="J60" si="2">H60-I60</f>
        <v>0</v>
      </c>
      <c r="K60" s="529" t="s">
        <v>98</v>
      </c>
      <c r="L60" s="530"/>
      <c r="M60" s="393">
        <f>M61</f>
        <v>5000</v>
      </c>
    </row>
    <row r="61" spans="1:15">
      <c r="A61" s="481"/>
      <c r="B61" s="482"/>
      <c r="C61" s="363"/>
      <c r="D61" s="363"/>
      <c r="E61" s="363"/>
      <c r="F61" s="486"/>
      <c r="G61" s="491"/>
      <c r="H61" s="525"/>
      <c r="I61" s="525"/>
      <c r="J61" s="146"/>
      <c r="K61" s="385" t="s">
        <v>99</v>
      </c>
      <c r="L61" s="378" t="s">
        <v>0</v>
      </c>
      <c r="M61" s="386">
        <v>5000</v>
      </c>
    </row>
    <row r="62" spans="1:15">
      <c r="A62" s="481"/>
      <c r="B62" s="482"/>
      <c r="C62" s="363"/>
      <c r="D62" s="363"/>
      <c r="E62" s="363"/>
      <c r="F62" s="486"/>
      <c r="G62" s="487" t="s">
        <v>142</v>
      </c>
      <c r="H62" s="488">
        <f>M62</f>
        <v>5000</v>
      </c>
      <c r="I62" s="488">
        <v>5000</v>
      </c>
      <c r="J62" s="50">
        <f>H62-I62</f>
        <v>0</v>
      </c>
      <c r="K62" s="361" t="s">
        <v>137</v>
      </c>
      <c r="L62" s="383"/>
      <c r="M62" s="384">
        <f>M63</f>
        <v>5000</v>
      </c>
    </row>
    <row r="63" spans="1:15">
      <c r="A63" s="481"/>
      <c r="B63" s="482"/>
      <c r="C63" s="363"/>
      <c r="D63" s="363"/>
      <c r="E63" s="363"/>
      <c r="F63" s="486"/>
      <c r="G63" s="491"/>
      <c r="H63" s="525"/>
      <c r="I63" s="525"/>
      <c r="J63" s="146"/>
      <c r="K63" s="387" t="s">
        <v>103</v>
      </c>
      <c r="L63" s="383" t="s">
        <v>0</v>
      </c>
      <c r="M63" s="379">
        <v>5000</v>
      </c>
    </row>
    <row r="64" spans="1:15">
      <c r="A64" s="362"/>
      <c r="B64" s="363"/>
      <c r="C64" s="363"/>
      <c r="D64" s="363"/>
      <c r="E64" s="363"/>
      <c r="F64" s="470" t="s">
        <v>46</v>
      </c>
      <c r="G64" s="473"/>
      <c r="H64" s="98">
        <f>SUM(H65,H67)</f>
        <v>55000</v>
      </c>
      <c r="I64" s="98">
        <v>55000</v>
      </c>
      <c r="J64" s="98">
        <f>H64-I64</f>
        <v>0</v>
      </c>
      <c r="K64" s="388"/>
      <c r="L64" s="389"/>
      <c r="M64" s="390"/>
    </row>
    <row r="65" spans="1:15">
      <c r="A65" s="481"/>
      <c r="B65" s="482"/>
      <c r="C65" s="363"/>
      <c r="D65" s="363"/>
      <c r="E65" s="363"/>
      <c r="F65" s="486"/>
      <c r="G65" s="484" t="s">
        <v>41</v>
      </c>
      <c r="H65" s="485">
        <f>M65</f>
        <v>5000</v>
      </c>
      <c r="I65" s="485">
        <v>5000</v>
      </c>
      <c r="J65" s="41">
        <f>H65-I65</f>
        <v>0</v>
      </c>
      <c r="K65" s="391" t="s">
        <v>77</v>
      </c>
      <c r="L65" s="530"/>
      <c r="M65" s="393">
        <f>SUM(M66)</f>
        <v>5000</v>
      </c>
    </row>
    <row r="66" spans="1:15">
      <c r="A66" s="481"/>
      <c r="B66" s="482"/>
      <c r="C66" s="363"/>
      <c r="D66" s="363"/>
      <c r="E66" s="363"/>
      <c r="F66" s="486"/>
      <c r="G66" s="487"/>
      <c r="H66" s="488"/>
      <c r="I66" s="488"/>
      <c r="J66" s="50"/>
      <c r="K66" s="387" t="s">
        <v>143</v>
      </c>
      <c r="L66" s="383" t="s">
        <v>0</v>
      </c>
      <c r="M66" s="379">
        <v>5000</v>
      </c>
    </row>
    <row r="67" spans="1:15">
      <c r="A67" s="481"/>
      <c r="B67" s="482"/>
      <c r="C67" s="363"/>
      <c r="D67" s="363"/>
      <c r="E67" s="363"/>
      <c r="F67" s="486"/>
      <c r="G67" s="487" t="s">
        <v>79</v>
      </c>
      <c r="H67" s="488">
        <f>M67</f>
        <v>50000</v>
      </c>
      <c r="I67" s="488">
        <v>50000</v>
      </c>
      <c r="J67" s="50">
        <f>H67-I67</f>
        <v>0</v>
      </c>
      <c r="K67" s="361" t="s">
        <v>78</v>
      </c>
      <c r="L67" s="383"/>
      <c r="M67" s="384">
        <f>SUM(M68)</f>
        <v>50000</v>
      </c>
    </row>
    <row r="68" spans="1:15">
      <c r="A68" s="481"/>
      <c r="B68" s="482"/>
      <c r="C68" s="363"/>
      <c r="D68" s="363"/>
      <c r="E68" s="363"/>
      <c r="F68" s="486"/>
      <c r="G68" s="487"/>
      <c r="H68" s="488"/>
      <c r="I68" s="488"/>
      <c r="J68" s="50"/>
      <c r="K68" s="387" t="s">
        <v>639</v>
      </c>
      <c r="L68" s="383" t="s">
        <v>0</v>
      </c>
      <c r="M68" s="379">
        <v>50000</v>
      </c>
      <c r="O68" s="590"/>
    </row>
    <row r="69" spans="1:15">
      <c r="A69" s="362"/>
      <c r="B69" s="363"/>
      <c r="C69" s="363"/>
      <c r="D69" s="363"/>
      <c r="E69" s="363"/>
      <c r="F69" s="470" t="s">
        <v>80</v>
      </c>
      <c r="G69" s="473"/>
      <c r="H69" s="98">
        <f>H70</f>
        <v>5000</v>
      </c>
      <c r="I69" s="98">
        <v>5000</v>
      </c>
      <c r="J69" s="98">
        <f>H69-I69</f>
        <v>0</v>
      </c>
      <c r="K69" s="388"/>
      <c r="L69" s="389"/>
      <c r="M69" s="390"/>
    </row>
    <row r="70" spans="1:15">
      <c r="A70" s="481"/>
      <c r="B70" s="482"/>
      <c r="C70" s="363"/>
      <c r="D70" s="363"/>
      <c r="E70" s="363"/>
      <c r="F70" s="486"/>
      <c r="G70" s="487" t="s">
        <v>43</v>
      </c>
      <c r="H70" s="488">
        <f>M70</f>
        <v>5000</v>
      </c>
      <c r="I70" s="488">
        <v>5000</v>
      </c>
      <c r="J70" s="50">
        <f>H70-I70</f>
        <v>0</v>
      </c>
      <c r="K70" s="36" t="s">
        <v>507</v>
      </c>
      <c r="L70" s="383"/>
      <c r="M70" s="384">
        <f>M71</f>
        <v>5000</v>
      </c>
    </row>
    <row r="71" spans="1:15" ht="17.25" thickBot="1">
      <c r="A71" s="226"/>
      <c r="B71" s="227"/>
      <c r="C71" s="69"/>
      <c r="D71" s="69"/>
      <c r="E71" s="69"/>
      <c r="F71" s="228"/>
      <c r="G71" s="229"/>
      <c r="H71" s="213"/>
      <c r="I71" s="213"/>
      <c r="J71" s="230"/>
      <c r="K71" s="231" t="s">
        <v>102</v>
      </c>
      <c r="L71" s="232" t="s">
        <v>0</v>
      </c>
      <c r="M71" s="242">
        <v>5000</v>
      </c>
    </row>
  </sheetData>
  <protectedRanges>
    <protectedRange password="ECE8" sqref="N2:AB4" name="작성자만수정"/>
    <protectedRange password="ECE8" sqref="N158:AB158 N105:AB148 N5:AB7 N16:AB34 N54:AB102 N36:AB40 N35 P35:AB35 N42:AB45 N41 P41:AB41 N48:AB49 N46:N47 P46:AB47 N50 P50:AB50" name="작성자만수정_2_1"/>
    <protectedRange password="ECE8" sqref="N205:AB206 N103:AB104" name="작성자만수정_2_1_1"/>
    <protectedRange password="ECE8" sqref="N222:AB224 N211:AB215" name="작성자만수정_2_1_2"/>
  </protectedRanges>
  <autoFilter ref="A3:M71">
    <filterColumn colId="10" showButton="0"/>
    <filterColumn colId="11" showButton="0"/>
  </autoFilter>
  <mergeCells count="10">
    <mergeCell ref="F44:G44"/>
    <mergeCell ref="F48:G48"/>
    <mergeCell ref="H2:H3"/>
    <mergeCell ref="K2:M3"/>
    <mergeCell ref="A4:G4"/>
    <mergeCell ref="I2:I3"/>
    <mergeCell ref="J2:J3"/>
    <mergeCell ref="A2:A3"/>
    <mergeCell ref="B2:D2"/>
    <mergeCell ref="E2:G2"/>
  </mergeCells>
  <phoneticPr fontId="12" type="noConversion"/>
  <conditionalFormatting sqref="J49:J50">
    <cfRule type="containsText" dxfId="1367" priority="289" operator="containsText" text="허하나로">
      <formula>NOT(ISERROR(SEARCH("허하나로",H1078)))</formula>
    </cfRule>
    <cfRule type="containsText" dxfId="1366" priority="290" operator="containsText" text="한별">
      <formula>NOT(ISERROR(SEARCH("한별",H1078)))</formula>
    </cfRule>
    <cfRule type="containsText" dxfId="1365" priority="291" operator="containsText" text="정홍조">
      <formula>NOT(ISERROR(SEARCH("정홍조",H1078)))</formula>
    </cfRule>
    <cfRule type="containsText" dxfId="1364" priority="292" operator="containsText" text="김지윤">
      <formula>NOT(ISERROR(SEARCH("김지윤",H1078)))</formula>
    </cfRule>
    <cfRule type="containsText" dxfId="1363" priority="293" operator="containsText" text="전준영">
      <formula>NOT(ISERROR(SEARCH("전준영",H1078)))</formula>
    </cfRule>
    <cfRule type="containsText" dxfId="1362" priority="294" operator="containsText" text="차재성">
      <formula>NOT(ISERROR(SEARCH("차재성",H1078)))</formula>
    </cfRule>
  </conditionalFormatting>
  <conditionalFormatting sqref="J25">
    <cfRule type="containsText" dxfId="1361" priority="301" operator="containsText" text="허하나로">
      <formula>NOT(ISERROR(SEARCH("허하나로",H716)))</formula>
    </cfRule>
    <cfRule type="containsText" dxfId="1360" priority="302" operator="containsText" text="한별">
      <formula>NOT(ISERROR(SEARCH("한별",H716)))</formula>
    </cfRule>
    <cfRule type="containsText" dxfId="1359" priority="303" operator="containsText" text="정홍조">
      <formula>NOT(ISERROR(SEARCH("정홍조",H716)))</formula>
    </cfRule>
    <cfRule type="containsText" dxfId="1358" priority="304" operator="containsText" text="김지윤">
      <formula>NOT(ISERROR(SEARCH("김지윤",H716)))</formula>
    </cfRule>
    <cfRule type="containsText" dxfId="1357" priority="305" operator="containsText" text="전준영">
      <formula>NOT(ISERROR(SEARCH("전준영",H716)))</formula>
    </cfRule>
    <cfRule type="containsText" dxfId="1356" priority="306" operator="containsText" text="차재성">
      <formula>NOT(ISERROR(SEARCH("차재성",H716)))</formula>
    </cfRule>
  </conditionalFormatting>
  <conditionalFormatting sqref="J5">
    <cfRule type="containsText" dxfId="1355" priority="295" operator="containsText" text="허하나로">
      <formula>NOT(ISERROR(SEARCH("허하나로",H714)))</formula>
    </cfRule>
    <cfRule type="containsText" dxfId="1354" priority="296" operator="containsText" text="한별">
      <formula>NOT(ISERROR(SEARCH("한별",H714)))</formula>
    </cfRule>
    <cfRule type="containsText" dxfId="1353" priority="297" operator="containsText" text="정홍조">
      <formula>NOT(ISERROR(SEARCH("정홍조",H714)))</formula>
    </cfRule>
    <cfRule type="containsText" dxfId="1352" priority="298" operator="containsText" text="김지윤">
      <formula>NOT(ISERROR(SEARCH("김지윤",H714)))</formula>
    </cfRule>
    <cfRule type="containsText" dxfId="1351" priority="299" operator="containsText" text="전준영">
      <formula>NOT(ISERROR(SEARCH("전준영",H714)))</formula>
    </cfRule>
    <cfRule type="containsText" dxfId="1350" priority="300" operator="containsText" text="차재성">
      <formula>NOT(ISERROR(SEARCH("차재성",H714)))</formula>
    </cfRule>
  </conditionalFormatting>
  <conditionalFormatting sqref="J36">
    <cfRule type="containsText" dxfId="1349" priority="283" operator="containsText" text="허하나로">
      <formula>NOT(ISERROR(SEARCH("허하나로",H848)))</formula>
    </cfRule>
    <cfRule type="containsText" dxfId="1348" priority="284" operator="containsText" text="한별">
      <formula>NOT(ISERROR(SEARCH("한별",H848)))</formula>
    </cfRule>
    <cfRule type="containsText" dxfId="1347" priority="285" operator="containsText" text="정홍조">
      <formula>NOT(ISERROR(SEARCH("정홍조",H848)))</formula>
    </cfRule>
    <cfRule type="containsText" dxfId="1346" priority="286" operator="containsText" text="김지윤">
      <formula>NOT(ISERROR(SEARCH("김지윤",H848)))</formula>
    </cfRule>
    <cfRule type="containsText" dxfId="1345" priority="287" operator="containsText" text="전준영">
      <formula>NOT(ISERROR(SEARCH("전준영",H848)))</formula>
    </cfRule>
    <cfRule type="containsText" dxfId="1344" priority="288" operator="containsText" text="차재성">
      <formula>NOT(ISERROR(SEARCH("차재성",H848)))</formula>
    </cfRule>
  </conditionalFormatting>
  <conditionalFormatting sqref="J39:J40">
    <cfRule type="containsText" dxfId="1343" priority="277" operator="containsText" text="허하나로">
      <formula>NOT(ISERROR(SEARCH("허하나로",H1056)))</formula>
    </cfRule>
    <cfRule type="containsText" dxfId="1342" priority="278" operator="containsText" text="한별">
      <formula>NOT(ISERROR(SEARCH("한별",H1056)))</formula>
    </cfRule>
    <cfRule type="containsText" dxfId="1341" priority="279" operator="containsText" text="정홍조">
      <formula>NOT(ISERROR(SEARCH("정홍조",H1056)))</formula>
    </cfRule>
    <cfRule type="containsText" dxfId="1340" priority="280" operator="containsText" text="김지윤">
      <formula>NOT(ISERROR(SEARCH("김지윤",H1056)))</formula>
    </cfRule>
    <cfRule type="containsText" dxfId="1339" priority="281" operator="containsText" text="전준영">
      <formula>NOT(ISERROR(SEARCH("전준영",H1056)))</formula>
    </cfRule>
    <cfRule type="containsText" dxfId="1338" priority="282" operator="containsText" text="차재성">
      <formula>NOT(ISERROR(SEARCH("차재성",H1056)))</formula>
    </cfRule>
  </conditionalFormatting>
  <conditionalFormatting sqref="J41">
    <cfRule type="containsText" dxfId="1337" priority="271" operator="containsText" text="허하나로">
      <formula>NOT(ISERROR(SEARCH("허하나로",H1047)))</formula>
    </cfRule>
    <cfRule type="containsText" dxfId="1336" priority="272" operator="containsText" text="한별">
      <formula>NOT(ISERROR(SEARCH("한별",H1047)))</formula>
    </cfRule>
    <cfRule type="containsText" dxfId="1335" priority="273" operator="containsText" text="정홍조">
      <formula>NOT(ISERROR(SEARCH("정홍조",H1047)))</formula>
    </cfRule>
    <cfRule type="containsText" dxfId="1334" priority="274" operator="containsText" text="김지윤">
      <formula>NOT(ISERROR(SEARCH("김지윤",H1047)))</formula>
    </cfRule>
    <cfRule type="containsText" dxfId="1333" priority="275" operator="containsText" text="전준영">
      <formula>NOT(ISERROR(SEARCH("전준영",H1047)))</formula>
    </cfRule>
    <cfRule type="containsText" dxfId="1332" priority="276" operator="containsText" text="차재성">
      <formula>NOT(ISERROR(SEARCH("차재성",H1047)))</formula>
    </cfRule>
  </conditionalFormatting>
  <conditionalFormatting sqref="J38">
    <cfRule type="containsText" dxfId="1331" priority="319" operator="containsText" text="허하나로">
      <formula>NOT(ISERROR(SEARCH("허하나로",H1045)))</formula>
    </cfRule>
    <cfRule type="containsText" dxfId="1330" priority="320" operator="containsText" text="한별">
      <formula>NOT(ISERROR(SEARCH("한별",H1045)))</formula>
    </cfRule>
    <cfRule type="containsText" dxfId="1329" priority="321" operator="containsText" text="정홍조">
      <formula>NOT(ISERROR(SEARCH("정홍조",H1045)))</formula>
    </cfRule>
    <cfRule type="containsText" dxfId="1328" priority="322" operator="containsText" text="김지윤">
      <formula>NOT(ISERROR(SEARCH("김지윤",H1045)))</formula>
    </cfRule>
    <cfRule type="containsText" dxfId="1327" priority="323" operator="containsText" text="전준영">
      <formula>NOT(ISERROR(SEARCH("전준영",H1045)))</formula>
    </cfRule>
    <cfRule type="containsText" dxfId="1326" priority="324" operator="containsText" text="차재성">
      <formula>NOT(ISERROR(SEARCH("차재성",H1045)))</formula>
    </cfRule>
  </conditionalFormatting>
  <conditionalFormatting sqref="J48">
    <cfRule type="containsText" dxfId="1325" priority="265" operator="containsText" text="허하나로">
      <formula>NOT(ISERROR(SEARCH("허하나로",H1062)))</formula>
    </cfRule>
    <cfRule type="containsText" dxfId="1324" priority="266" operator="containsText" text="한별">
      <formula>NOT(ISERROR(SEARCH("한별",H1062)))</formula>
    </cfRule>
    <cfRule type="containsText" dxfId="1323" priority="267" operator="containsText" text="정홍조">
      <formula>NOT(ISERROR(SEARCH("정홍조",H1062)))</formula>
    </cfRule>
    <cfRule type="containsText" dxfId="1322" priority="268" operator="containsText" text="김지윤">
      <formula>NOT(ISERROR(SEARCH("김지윤",H1062)))</formula>
    </cfRule>
    <cfRule type="containsText" dxfId="1321" priority="269" operator="containsText" text="전준영">
      <formula>NOT(ISERROR(SEARCH("전준영",H1062)))</formula>
    </cfRule>
    <cfRule type="containsText" dxfId="1320" priority="270" operator="containsText" text="차재성">
      <formula>NOT(ISERROR(SEARCH("차재성",H1062)))</formula>
    </cfRule>
  </conditionalFormatting>
  <conditionalFormatting sqref="L45">
    <cfRule type="containsText" dxfId="1319" priority="259" operator="containsText" text="허하나로">
      <formula>NOT(ISERROR(SEARCH("허하나로",J1193)))</formula>
    </cfRule>
    <cfRule type="containsText" dxfId="1318" priority="260" operator="containsText" text="한별">
      <formula>NOT(ISERROR(SEARCH("한별",J1193)))</formula>
    </cfRule>
    <cfRule type="containsText" dxfId="1317" priority="261" operator="containsText" text="정홍조">
      <formula>NOT(ISERROR(SEARCH("정홍조",J1193)))</formula>
    </cfRule>
    <cfRule type="containsText" dxfId="1316" priority="262" operator="containsText" text="김지윤">
      <formula>NOT(ISERROR(SEARCH("김지윤",J1193)))</formula>
    </cfRule>
    <cfRule type="containsText" dxfId="1315" priority="263" operator="containsText" text="전준영">
      <formula>NOT(ISERROR(SEARCH("전준영",J1193)))</formula>
    </cfRule>
    <cfRule type="containsText" dxfId="1314" priority="264" operator="containsText" text="차재성">
      <formula>NOT(ISERROR(SEARCH("차재성",J1193)))</formula>
    </cfRule>
  </conditionalFormatting>
  <conditionalFormatting sqref="J26:J34">
    <cfRule type="containsText" dxfId="1313" priority="343" operator="containsText" text="허하나로">
      <formula>NOT(ISERROR(SEARCH("허하나로",H1042)))</formula>
    </cfRule>
    <cfRule type="containsText" dxfId="1312" priority="344" operator="containsText" text="한별">
      <formula>NOT(ISERROR(SEARCH("한별",H1042)))</formula>
    </cfRule>
    <cfRule type="containsText" dxfId="1311" priority="345" operator="containsText" text="정홍조">
      <formula>NOT(ISERROR(SEARCH("정홍조",H1042)))</formula>
    </cfRule>
    <cfRule type="containsText" dxfId="1310" priority="346" operator="containsText" text="김지윤">
      <formula>NOT(ISERROR(SEARCH("김지윤",H1042)))</formula>
    </cfRule>
    <cfRule type="containsText" dxfId="1309" priority="347" operator="containsText" text="전준영">
      <formula>NOT(ISERROR(SEARCH("전준영",H1042)))</formula>
    </cfRule>
    <cfRule type="containsText" dxfId="1308" priority="348" operator="containsText" text="차재성">
      <formula>NOT(ISERROR(SEARCH("차재성",H1042)))</formula>
    </cfRule>
  </conditionalFormatting>
  <conditionalFormatting sqref="J71">
    <cfRule type="containsText" dxfId="1307" priority="157" operator="containsText" text="허하나로">
      <formula>NOT(ISERROR(SEARCH("허하나로",H1124)))</formula>
    </cfRule>
    <cfRule type="containsText" dxfId="1306" priority="158" operator="containsText" text="한별">
      <formula>NOT(ISERROR(SEARCH("한별",H1124)))</formula>
    </cfRule>
    <cfRule type="containsText" dxfId="1305" priority="159" operator="containsText" text="정홍조">
      <formula>NOT(ISERROR(SEARCH("정홍조",H1124)))</formula>
    </cfRule>
    <cfRule type="containsText" dxfId="1304" priority="160" operator="containsText" text="김지윤">
      <formula>NOT(ISERROR(SEARCH("김지윤",H1124)))</formula>
    </cfRule>
    <cfRule type="containsText" dxfId="1303" priority="161" operator="containsText" text="전준영">
      <formula>NOT(ISERROR(SEARCH("전준영",H1124)))</formula>
    </cfRule>
    <cfRule type="containsText" dxfId="1302" priority="162" operator="containsText" text="차재성">
      <formula>NOT(ISERROR(SEARCH("차재성",H1124)))</formula>
    </cfRule>
  </conditionalFormatting>
  <conditionalFormatting sqref="J62">
    <cfRule type="containsText" dxfId="1301" priority="163" operator="containsText" text="허하나로">
      <formula>NOT(ISERROR(SEARCH("허하나로",H1119)))</formula>
    </cfRule>
    <cfRule type="containsText" dxfId="1300" priority="164" operator="containsText" text="한별">
      <formula>NOT(ISERROR(SEARCH("한별",H1119)))</formula>
    </cfRule>
    <cfRule type="containsText" dxfId="1299" priority="165" operator="containsText" text="정홍조">
      <formula>NOT(ISERROR(SEARCH("정홍조",H1119)))</formula>
    </cfRule>
    <cfRule type="containsText" dxfId="1298" priority="166" operator="containsText" text="김지윤">
      <formula>NOT(ISERROR(SEARCH("김지윤",H1119)))</formula>
    </cfRule>
    <cfRule type="containsText" dxfId="1297" priority="167" operator="containsText" text="전준영">
      <formula>NOT(ISERROR(SEARCH("전준영",H1119)))</formula>
    </cfRule>
    <cfRule type="containsText" dxfId="1296" priority="168" operator="containsText" text="차재성">
      <formula>NOT(ISERROR(SEARCH("차재성",H1119)))</formula>
    </cfRule>
  </conditionalFormatting>
  <conditionalFormatting sqref="J63">
    <cfRule type="containsText" dxfId="1295" priority="169" operator="containsText" text="허하나로">
      <formula>NOT(ISERROR(SEARCH("허하나로",H1118)))</formula>
    </cfRule>
    <cfRule type="containsText" dxfId="1294" priority="170" operator="containsText" text="한별">
      <formula>NOT(ISERROR(SEARCH("한별",H1118)))</formula>
    </cfRule>
    <cfRule type="containsText" dxfId="1293" priority="171" operator="containsText" text="정홍조">
      <formula>NOT(ISERROR(SEARCH("정홍조",H1118)))</formula>
    </cfRule>
    <cfRule type="containsText" dxfId="1292" priority="172" operator="containsText" text="김지윤">
      <formula>NOT(ISERROR(SEARCH("김지윤",H1118)))</formula>
    </cfRule>
    <cfRule type="containsText" dxfId="1291" priority="173" operator="containsText" text="전준영">
      <formula>NOT(ISERROR(SEARCH("전준영",H1118)))</formula>
    </cfRule>
    <cfRule type="containsText" dxfId="1290" priority="174" operator="containsText" text="차재성">
      <formula>NOT(ISERROR(SEARCH("차재성",H1118)))</formula>
    </cfRule>
  </conditionalFormatting>
  <conditionalFormatting sqref="J54">
    <cfRule type="containsText" dxfId="1289" priority="145" operator="containsText" text="허하나로">
      <formula>NOT(ISERROR(SEARCH("허하나로",H908)))</formula>
    </cfRule>
    <cfRule type="containsText" dxfId="1288" priority="146" operator="containsText" text="한별">
      <formula>NOT(ISERROR(SEARCH("한별",H908)))</formula>
    </cfRule>
    <cfRule type="containsText" dxfId="1287" priority="147" operator="containsText" text="정홍조">
      <formula>NOT(ISERROR(SEARCH("정홍조",H908)))</formula>
    </cfRule>
    <cfRule type="containsText" dxfId="1286" priority="148" operator="containsText" text="김지윤">
      <formula>NOT(ISERROR(SEARCH("김지윤",H908)))</formula>
    </cfRule>
    <cfRule type="containsText" dxfId="1285" priority="149" operator="containsText" text="전준영">
      <formula>NOT(ISERROR(SEARCH("전준영",H908)))</formula>
    </cfRule>
    <cfRule type="containsText" dxfId="1284" priority="150" operator="containsText" text="차재성">
      <formula>NOT(ISERROR(SEARCH("차재성",H908)))</formula>
    </cfRule>
  </conditionalFormatting>
  <conditionalFormatting sqref="J56">
    <cfRule type="containsText" dxfId="1283" priority="151" operator="containsText" text="허하나로">
      <formula>NOT(ISERROR(SEARCH("허하나로",H1105)))</formula>
    </cfRule>
    <cfRule type="containsText" dxfId="1282" priority="152" operator="containsText" text="한별">
      <formula>NOT(ISERROR(SEARCH("한별",H1105)))</formula>
    </cfRule>
    <cfRule type="containsText" dxfId="1281" priority="153" operator="containsText" text="정홍조">
      <formula>NOT(ISERROR(SEARCH("정홍조",H1105)))</formula>
    </cfRule>
    <cfRule type="containsText" dxfId="1280" priority="154" operator="containsText" text="김지윤">
      <formula>NOT(ISERROR(SEARCH("김지윤",H1105)))</formula>
    </cfRule>
    <cfRule type="containsText" dxfId="1279" priority="155" operator="containsText" text="전준영">
      <formula>NOT(ISERROR(SEARCH("전준영",H1105)))</formula>
    </cfRule>
    <cfRule type="containsText" dxfId="1278" priority="156" operator="containsText" text="차재성">
      <formula>NOT(ISERROR(SEARCH("차재성",H1105)))</formula>
    </cfRule>
  </conditionalFormatting>
  <conditionalFormatting sqref="J66">
    <cfRule type="containsText" dxfId="1277" priority="181" operator="containsText" text="허하나로">
      <formula>NOT(ISERROR(SEARCH("허하나로",H1119)))</formula>
    </cfRule>
    <cfRule type="containsText" dxfId="1276" priority="182" operator="containsText" text="한별">
      <formula>NOT(ISERROR(SEARCH("한별",H1119)))</formula>
    </cfRule>
    <cfRule type="containsText" dxfId="1275" priority="183" operator="containsText" text="정홍조">
      <formula>NOT(ISERROR(SEARCH("정홍조",H1119)))</formula>
    </cfRule>
    <cfRule type="containsText" dxfId="1274" priority="184" operator="containsText" text="김지윤">
      <formula>NOT(ISERROR(SEARCH("김지윤",H1119)))</formula>
    </cfRule>
    <cfRule type="containsText" dxfId="1273" priority="185" operator="containsText" text="전준영">
      <formula>NOT(ISERROR(SEARCH("전준영",H1119)))</formula>
    </cfRule>
    <cfRule type="containsText" dxfId="1272" priority="186" operator="containsText" text="차재성">
      <formula>NOT(ISERROR(SEARCH("차재성",H1119)))</formula>
    </cfRule>
  </conditionalFormatting>
  <conditionalFormatting sqref="J65">
    <cfRule type="containsText" dxfId="1271" priority="187" operator="containsText" text="허하나로">
      <formula>NOT(ISERROR(SEARCH("허하나로",H1119)))</formula>
    </cfRule>
    <cfRule type="containsText" dxfId="1270" priority="188" operator="containsText" text="한별">
      <formula>NOT(ISERROR(SEARCH("한별",H1119)))</formula>
    </cfRule>
    <cfRule type="containsText" dxfId="1269" priority="189" operator="containsText" text="정홍조">
      <formula>NOT(ISERROR(SEARCH("정홍조",H1119)))</formula>
    </cfRule>
    <cfRule type="containsText" dxfId="1268" priority="190" operator="containsText" text="김지윤">
      <formula>NOT(ISERROR(SEARCH("김지윤",H1119)))</formula>
    </cfRule>
    <cfRule type="containsText" dxfId="1267" priority="191" operator="containsText" text="전준영">
      <formula>NOT(ISERROR(SEARCH("전준영",H1119)))</formula>
    </cfRule>
    <cfRule type="containsText" dxfId="1266" priority="192" operator="containsText" text="차재성">
      <formula>NOT(ISERROR(SEARCH("차재성",H1119)))</formula>
    </cfRule>
  </conditionalFormatting>
  <conditionalFormatting sqref="J64">
    <cfRule type="containsText" dxfId="1265" priority="139" operator="containsText" text="허하나로">
      <formula>NOT(ISERROR(SEARCH("허하나로",H1121)))</formula>
    </cfRule>
    <cfRule type="containsText" dxfId="1264" priority="140" operator="containsText" text="한별">
      <formula>NOT(ISERROR(SEARCH("한별",H1121)))</formula>
    </cfRule>
    <cfRule type="containsText" dxfId="1263" priority="141" operator="containsText" text="정홍조">
      <formula>NOT(ISERROR(SEARCH("정홍조",H1121)))</formula>
    </cfRule>
    <cfRule type="containsText" dxfId="1262" priority="142" operator="containsText" text="김지윤">
      <formula>NOT(ISERROR(SEARCH("김지윤",H1121)))</formula>
    </cfRule>
    <cfRule type="containsText" dxfId="1261" priority="143" operator="containsText" text="전준영">
      <formula>NOT(ISERROR(SEARCH("전준영",H1121)))</formula>
    </cfRule>
    <cfRule type="containsText" dxfId="1260" priority="144" operator="containsText" text="차재성">
      <formula>NOT(ISERROR(SEARCH("차재성",H1121)))</formula>
    </cfRule>
  </conditionalFormatting>
  <conditionalFormatting sqref="J70">
    <cfRule type="containsText" dxfId="1259" priority="133" operator="containsText" text="허하나로">
      <formula>NOT(ISERROR(SEARCH("허하나로",H1124)))</formula>
    </cfRule>
    <cfRule type="containsText" dxfId="1258" priority="134" operator="containsText" text="한별">
      <formula>NOT(ISERROR(SEARCH("한별",H1124)))</formula>
    </cfRule>
    <cfRule type="containsText" dxfId="1257" priority="135" operator="containsText" text="정홍조">
      <formula>NOT(ISERROR(SEARCH("정홍조",H1124)))</formula>
    </cfRule>
    <cfRule type="containsText" dxfId="1256" priority="136" operator="containsText" text="김지윤">
      <formula>NOT(ISERROR(SEARCH("김지윤",H1124)))</formula>
    </cfRule>
    <cfRule type="containsText" dxfId="1255" priority="137" operator="containsText" text="전준영">
      <formula>NOT(ISERROR(SEARCH("전준영",H1124)))</formula>
    </cfRule>
    <cfRule type="containsText" dxfId="1254" priority="138" operator="containsText" text="차재성">
      <formula>NOT(ISERROR(SEARCH("차재성",H1124)))</formula>
    </cfRule>
  </conditionalFormatting>
  <conditionalFormatting sqref="J69">
    <cfRule type="containsText" dxfId="1253" priority="127" operator="containsText" text="허하나로">
      <formula>NOT(ISERROR(SEARCH("허하나로",H1126)))</formula>
    </cfRule>
    <cfRule type="containsText" dxfId="1252" priority="128" operator="containsText" text="한별">
      <formula>NOT(ISERROR(SEARCH("한별",H1126)))</formula>
    </cfRule>
    <cfRule type="containsText" dxfId="1251" priority="129" operator="containsText" text="정홍조">
      <formula>NOT(ISERROR(SEARCH("정홍조",H1126)))</formula>
    </cfRule>
    <cfRule type="containsText" dxfId="1250" priority="130" operator="containsText" text="김지윤">
      <formula>NOT(ISERROR(SEARCH("김지윤",H1126)))</formula>
    </cfRule>
    <cfRule type="containsText" dxfId="1249" priority="131" operator="containsText" text="전준영">
      <formula>NOT(ISERROR(SEARCH("전준영",H1126)))</formula>
    </cfRule>
    <cfRule type="containsText" dxfId="1248" priority="132" operator="containsText" text="차재성">
      <formula>NOT(ISERROR(SEARCH("차재성",H1126)))</formula>
    </cfRule>
  </conditionalFormatting>
  <conditionalFormatting sqref="J67:J68">
    <cfRule type="containsText" dxfId="1247" priority="193" operator="containsText" text="허하나로">
      <formula>NOT(ISERROR(SEARCH("허하나로",H1119)))</formula>
    </cfRule>
    <cfRule type="containsText" dxfId="1246" priority="194" operator="containsText" text="한별">
      <formula>NOT(ISERROR(SEARCH("한별",H1119)))</formula>
    </cfRule>
    <cfRule type="containsText" dxfId="1245" priority="195" operator="containsText" text="정홍조">
      <formula>NOT(ISERROR(SEARCH("정홍조",H1119)))</formula>
    </cfRule>
    <cfRule type="containsText" dxfId="1244" priority="196" operator="containsText" text="김지윤">
      <formula>NOT(ISERROR(SEARCH("김지윤",H1119)))</formula>
    </cfRule>
    <cfRule type="containsText" dxfId="1243" priority="197" operator="containsText" text="전준영">
      <formula>NOT(ISERROR(SEARCH("전준영",H1119)))</formula>
    </cfRule>
    <cfRule type="containsText" dxfId="1242" priority="198" operator="containsText" text="차재성">
      <formula>NOT(ISERROR(SEARCH("차재성",H1119)))</formula>
    </cfRule>
  </conditionalFormatting>
  <conditionalFormatting sqref="J57:J60">
    <cfRule type="containsText" dxfId="1241" priority="199" operator="containsText" text="허하나로">
      <formula>NOT(ISERROR(SEARCH("허하나로",H1116)))</formula>
    </cfRule>
    <cfRule type="containsText" dxfId="1240" priority="200" operator="containsText" text="한별">
      <formula>NOT(ISERROR(SEARCH("한별",H1116)))</formula>
    </cfRule>
    <cfRule type="containsText" dxfId="1239" priority="201" operator="containsText" text="정홍조">
      <formula>NOT(ISERROR(SEARCH("정홍조",H1116)))</formula>
    </cfRule>
    <cfRule type="containsText" dxfId="1238" priority="202" operator="containsText" text="김지윤">
      <formula>NOT(ISERROR(SEARCH("김지윤",H1116)))</formula>
    </cfRule>
    <cfRule type="containsText" dxfId="1237" priority="203" operator="containsText" text="전준영">
      <formula>NOT(ISERROR(SEARCH("전준영",H1116)))</formula>
    </cfRule>
    <cfRule type="containsText" dxfId="1236" priority="204" operator="containsText" text="차재성">
      <formula>NOT(ISERROR(SEARCH("차재성",H1116)))</formula>
    </cfRule>
  </conditionalFormatting>
  <conditionalFormatting sqref="J61">
    <cfRule type="containsText" dxfId="1235" priority="121" operator="containsText" text="허하나로">
      <formula>NOT(ISERROR(SEARCH("허하나로",H1114)))</formula>
    </cfRule>
    <cfRule type="containsText" dxfId="1234" priority="122" operator="containsText" text="한별">
      <formula>NOT(ISERROR(SEARCH("한별",H1114)))</formula>
    </cfRule>
    <cfRule type="containsText" dxfId="1233" priority="123" operator="containsText" text="정홍조">
      <formula>NOT(ISERROR(SEARCH("정홍조",H1114)))</formula>
    </cfRule>
    <cfRule type="containsText" dxfId="1232" priority="124" operator="containsText" text="김지윤">
      <formula>NOT(ISERROR(SEARCH("김지윤",H1114)))</formula>
    </cfRule>
    <cfRule type="containsText" dxfId="1231" priority="125" operator="containsText" text="전준영">
      <formula>NOT(ISERROR(SEARCH("전준영",H1114)))</formula>
    </cfRule>
    <cfRule type="containsText" dxfId="1230" priority="126" operator="containsText" text="차재성">
      <formula>NOT(ISERROR(SEARCH("차재성",H1114)))</formula>
    </cfRule>
  </conditionalFormatting>
  <conditionalFormatting sqref="J42">
    <cfRule type="containsText" dxfId="1229" priority="103" operator="containsText" text="허하나로">
      <formula>NOT(ISERROR(SEARCH("허하나로",H1059)))</formula>
    </cfRule>
    <cfRule type="containsText" dxfId="1228" priority="104" operator="containsText" text="한별">
      <formula>NOT(ISERROR(SEARCH("한별",H1059)))</formula>
    </cfRule>
    <cfRule type="containsText" dxfId="1227" priority="105" operator="containsText" text="정홍조">
      <formula>NOT(ISERROR(SEARCH("정홍조",H1059)))</formula>
    </cfRule>
    <cfRule type="containsText" dxfId="1226" priority="106" operator="containsText" text="김지윤">
      <formula>NOT(ISERROR(SEARCH("김지윤",H1059)))</formula>
    </cfRule>
    <cfRule type="containsText" dxfId="1225" priority="107" operator="containsText" text="전준영">
      <formula>NOT(ISERROR(SEARCH("전준영",H1059)))</formula>
    </cfRule>
    <cfRule type="containsText" dxfId="1224" priority="108" operator="containsText" text="차재성">
      <formula>NOT(ISERROR(SEARCH("차재성",H1059)))</formula>
    </cfRule>
  </conditionalFormatting>
  <conditionalFormatting sqref="J43">
    <cfRule type="containsText" dxfId="1223" priority="97" operator="containsText" text="허하나로">
      <formula>NOT(ISERROR(SEARCH("허하나로",H1049)))</formula>
    </cfRule>
    <cfRule type="containsText" dxfId="1222" priority="98" operator="containsText" text="한별">
      <formula>NOT(ISERROR(SEARCH("한별",H1049)))</formula>
    </cfRule>
    <cfRule type="containsText" dxfId="1221" priority="99" operator="containsText" text="정홍조">
      <formula>NOT(ISERROR(SEARCH("정홍조",H1049)))</formula>
    </cfRule>
    <cfRule type="containsText" dxfId="1220" priority="100" operator="containsText" text="김지윤">
      <formula>NOT(ISERROR(SEARCH("김지윤",H1049)))</formula>
    </cfRule>
    <cfRule type="containsText" dxfId="1219" priority="101" operator="containsText" text="전준영">
      <formula>NOT(ISERROR(SEARCH("전준영",H1049)))</formula>
    </cfRule>
    <cfRule type="containsText" dxfId="1218" priority="102" operator="containsText" text="차재성">
      <formula>NOT(ISERROR(SEARCH("차재성",H1049)))</formula>
    </cfRule>
  </conditionalFormatting>
  <conditionalFormatting sqref="J44:J45">
    <cfRule type="containsText" dxfId="1217" priority="3535" operator="containsText" text="허하나로">
      <formula>NOT(ISERROR(SEARCH("허하나로",H1058)))</formula>
    </cfRule>
    <cfRule type="containsText" dxfId="1216" priority="3536" operator="containsText" text="한별">
      <formula>NOT(ISERROR(SEARCH("한별",H1058)))</formula>
    </cfRule>
    <cfRule type="containsText" dxfId="1215" priority="3537" operator="containsText" text="정홍조">
      <formula>NOT(ISERROR(SEARCH("정홍조",H1058)))</formula>
    </cfRule>
    <cfRule type="containsText" dxfId="1214" priority="3538" operator="containsText" text="김지윤">
      <formula>NOT(ISERROR(SEARCH("김지윤",H1058)))</formula>
    </cfRule>
    <cfRule type="containsText" dxfId="1213" priority="3539" operator="containsText" text="전준영">
      <formula>NOT(ISERROR(SEARCH("전준영",H1058)))</formula>
    </cfRule>
    <cfRule type="containsText" dxfId="1212" priority="3540" operator="containsText" text="차재성">
      <formula>NOT(ISERROR(SEARCH("차재성",H1058)))</formula>
    </cfRule>
  </conditionalFormatting>
  <conditionalFormatting sqref="J46">
    <cfRule type="containsText" dxfId="1211" priority="91" operator="containsText" text="허하나로">
      <formula>NOT(ISERROR(SEARCH("허하나로",H1058)))</formula>
    </cfRule>
    <cfRule type="containsText" dxfId="1210" priority="92" operator="containsText" text="한별">
      <formula>NOT(ISERROR(SEARCH("한별",H1058)))</formula>
    </cfRule>
    <cfRule type="containsText" dxfId="1209" priority="93" operator="containsText" text="정홍조">
      <formula>NOT(ISERROR(SEARCH("정홍조",H1058)))</formula>
    </cfRule>
    <cfRule type="containsText" dxfId="1208" priority="94" operator="containsText" text="김지윤">
      <formula>NOT(ISERROR(SEARCH("김지윤",H1058)))</formula>
    </cfRule>
    <cfRule type="containsText" dxfId="1207" priority="95" operator="containsText" text="전준영">
      <formula>NOT(ISERROR(SEARCH("전준영",H1058)))</formula>
    </cfRule>
    <cfRule type="containsText" dxfId="1206" priority="96" operator="containsText" text="차재성">
      <formula>NOT(ISERROR(SEARCH("차재성",H1058)))</formula>
    </cfRule>
  </conditionalFormatting>
  <conditionalFormatting sqref="J2:J3">
    <cfRule type="containsText" dxfId="1205" priority="67" operator="containsText" text="허하나로">
      <formula>NOT(ISERROR(SEARCH("허하나로",H773)))</formula>
    </cfRule>
    <cfRule type="containsText" dxfId="1204" priority="68" operator="containsText" text="한별">
      <formula>NOT(ISERROR(SEARCH("한별",H773)))</formula>
    </cfRule>
    <cfRule type="containsText" dxfId="1203" priority="69" operator="containsText" text="정홍조">
      <formula>NOT(ISERROR(SEARCH("정홍조",H773)))</formula>
    </cfRule>
    <cfRule type="containsText" dxfId="1202" priority="70" operator="containsText" text="김지윤">
      <formula>NOT(ISERROR(SEARCH("김지윤",H773)))</formula>
    </cfRule>
    <cfRule type="containsText" dxfId="1201" priority="71" operator="containsText" text="전준영">
      <formula>NOT(ISERROR(SEARCH("전준영",H773)))</formula>
    </cfRule>
    <cfRule type="containsText" dxfId="1200" priority="72" operator="containsText" text="차재성">
      <formula>NOT(ISERROR(SEARCH("차재성",H773)))</formula>
    </cfRule>
  </conditionalFormatting>
  <conditionalFormatting sqref="J10:J11">
    <cfRule type="containsText" dxfId="1199" priority="55" operator="containsText" text="허하나로">
      <formula>NOT(ISERROR(SEARCH("허하나로",H925)))</formula>
    </cfRule>
    <cfRule type="containsText" dxfId="1198" priority="56" operator="containsText" text="한별">
      <formula>NOT(ISERROR(SEARCH("한별",H925)))</formula>
    </cfRule>
    <cfRule type="containsText" dxfId="1197" priority="57" operator="containsText" text="정홍조">
      <formula>NOT(ISERROR(SEARCH("정홍조",H925)))</formula>
    </cfRule>
    <cfRule type="containsText" dxfId="1196" priority="58" operator="containsText" text="김지윤">
      <formula>NOT(ISERROR(SEARCH("김지윤",H925)))</formula>
    </cfRule>
    <cfRule type="containsText" dxfId="1195" priority="59" operator="containsText" text="전준영">
      <formula>NOT(ISERROR(SEARCH("전준영",H925)))</formula>
    </cfRule>
    <cfRule type="containsText" dxfId="1194" priority="60" operator="containsText" text="차재성">
      <formula>NOT(ISERROR(SEARCH("차재성",H925)))</formula>
    </cfRule>
  </conditionalFormatting>
  <conditionalFormatting sqref="J8:J9">
    <cfRule type="containsText" dxfId="1193" priority="61" operator="containsText" text="허하나로">
      <formula>NOT(ISERROR(SEARCH("허하나로",H923)))</formula>
    </cfRule>
    <cfRule type="containsText" dxfId="1192" priority="62" operator="containsText" text="한별">
      <formula>NOT(ISERROR(SEARCH("한별",H923)))</formula>
    </cfRule>
    <cfRule type="containsText" dxfId="1191" priority="63" operator="containsText" text="정홍조">
      <formula>NOT(ISERROR(SEARCH("정홍조",H923)))</formula>
    </cfRule>
    <cfRule type="containsText" dxfId="1190" priority="64" operator="containsText" text="김지윤">
      <formula>NOT(ISERROR(SEARCH("김지윤",H923)))</formula>
    </cfRule>
    <cfRule type="containsText" dxfId="1189" priority="65" operator="containsText" text="전준영">
      <formula>NOT(ISERROR(SEARCH("전준영",H923)))</formula>
    </cfRule>
    <cfRule type="containsText" dxfId="1188" priority="66" operator="containsText" text="차재성">
      <formula>NOT(ISERROR(SEARCH("차재성",H923)))</formula>
    </cfRule>
  </conditionalFormatting>
  <conditionalFormatting sqref="J35">
    <cfRule type="containsText" dxfId="1187" priority="49" operator="containsText" text="허하나로">
      <formula>NOT(ISERROR(SEARCH("허하나로",H1051)))</formula>
    </cfRule>
    <cfRule type="containsText" dxfId="1186" priority="50" operator="containsText" text="한별">
      <formula>NOT(ISERROR(SEARCH("한별",H1051)))</formula>
    </cfRule>
    <cfRule type="containsText" dxfId="1185" priority="51" operator="containsText" text="정홍조">
      <formula>NOT(ISERROR(SEARCH("정홍조",H1051)))</formula>
    </cfRule>
    <cfRule type="containsText" dxfId="1184" priority="52" operator="containsText" text="김지윤">
      <formula>NOT(ISERROR(SEARCH("김지윤",H1051)))</formula>
    </cfRule>
    <cfRule type="containsText" dxfId="1183" priority="53" operator="containsText" text="전준영">
      <formula>NOT(ISERROR(SEARCH("전준영",H1051)))</formula>
    </cfRule>
    <cfRule type="containsText" dxfId="1182" priority="54" operator="containsText" text="차재성">
      <formula>NOT(ISERROR(SEARCH("차재성",H1051)))</formula>
    </cfRule>
  </conditionalFormatting>
  <pageMargins left="0.23622047244094491" right="0.23622047244094491" top="0.74803149606299213" bottom="0.74803149606299213" header="0.31496062992125984" footer="0.31496062992125984"/>
  <pageSetup paperSize="9" scale="74" fitToHeight="0" orientation="landscape" useFirstPageNumber="1" r:id="rId1"/>
  <headerFooter alignWithMargins="0">
    <oddHeader xml:space="preserve">&amp;L&amp;"돋움,굵게"
</oddHeader>
  </headerFooter>
  <rowBreaks count="2" manualBreakCount="2">
    <brk id="35" max="16383" man="1"/>
    <brk id="63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3" operator="containsText" text="허하나로" id="{24FD43E4-20DE-437E-AD59-68C9BC13BAF7}">
            <xm:f>NOT(ISERROR(SEARCH("허하나로",행정관리부!H776)))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24" operator="containsText" text="한별" id="{60F8BA74-FE42-4F1F-B322-10590855B08A}">
            <xm:f>NOT(ISERROR(SEARCH("한별",행정관리부!H776)))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25" operator="containsText" text="정홍조" id="{C6EEC022-9C16-4D2D-953D-977281EE8274}">
            <xm:f>NOT(ISERROR(SEARCH("정홍조",행정관리부!H776)))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6" operator="containsText" text="김지윤" id="{AB358A13-B26B-4E8E-AF46-CDDEDBE21BB2}">
            <xm:f>NOT(ISERROR(SEARCH("김지윤",행정관리부!H776)))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27" operator="containsText" text="전준영" id="{BC518656-669C-4B9D-BDF8-B8CED81A0E35}">
            <xm:f>NOT(ISERROR(SEARCH("전준영",행정관리부!H776)))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28" operator="containsText" text="차재성" id="{34134193-752B-443B-8DD6-E4B873E2D494}">
            <xm:f>NOT(ISERROR(SEARCH("차재성",행정관리부!H776)))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J6:J7</xm:sqref>
        </x14:conditionalFormatting>
        <x14:conditionalFormatting xmlns:xm="http://schemas.microsoft.com/office/excel/2006/main">
          <x14:cfRule type="containsText" priority="229" operator="containsText" text="허하나로" id="{1EB00C52-6782-449F-B675-F5701B702752}">
            <xm:f>NOT(ISERROR(SEARCH("허하나로",행정관리부!H1103)))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30" operator="containsText" text="한별" id="{CF2A2941-03C0-4637-B6CB-F816BB26EA32}">
            <xm:f>NOT(ISERROR(SEARCH("한별",행정관리부!H1103)))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31" operator="containsText" text="정홍조" id="{1DB369BD-79B5-49B0-95DA-7B2207AC2F37}">
            <xm:f>NOT(ISERROR(SEARCH("정홍조",행정관리부!H1103)))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32" operator="containsText" text="김지윤" id="{C2FE386E-0A07-48A5-85CC-48AD572F6029}">
            <xm:f>NOT(ISERROR(SEARCH("김지윤",행정관리부!H1103)))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3" operator="containsText" text="전준영" id="{36CDD458-810E-4539-B8EE-1637B8378362}">
            <xm:f>NOT(ISERROR(SEARCH("전준영",행정관리부!H1103)))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34" operator="containsText" text="차재성" id="{C5D09E41-1AAB-4D47-9969-73F6179D6D7E}">
            <xm:f>NOT(ISERROR(SEARCH("차재성",행정관리부!H1103)))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J16:J20 J22</xm:sqref>
        </x14:conditionalFormatting>
        <x14:conditionalFormatting xmlns:xm="http://schemas.microsoft.com/office/excel/2006/main">
          <x14:cfRule type="containsText" priority="85" operator="containsText" text="허하나로" id="{C8DFF365-DAED-48F2-89EF-BF9FBA637E0A}">
            <xm:f>NOT(ISERROR(SEARCH("허하나로",행정관리부!H1104)))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77A51C8F-45A6-4C9A-A89A-9F148E12E284}">
            <xm:f>NOT(ISERROR(SEARCH("한별",행정관리부!H1104)))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B3E9070C-92EC-4C38-97B0-A19E56B49D7A}">
            <xm:f>NOT(ISERROR(SEARCH("정홍조",행정관리부!H1104)))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925272BA-11B1-47AB-97CC-EEF990D3811B}">
            <xm:f>NOT(ISERROR(SEARCH("김지윤",행정관리부!H1104)))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672FB15A-F652-47AA-B252-7B9563F34B4B}">
            <xm:f>NOT(ISERROR(SEARCH("전준영",행정관리부!H1104)))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15D30090-086C-41E9-BB68-D54731507161}">
            <xm:f>NOT(ISERROR(SEARCH("차재성",행정관리부!H1104)))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79" operator="containsText" text="허하나로" id="{E34DF48F-6D6F-42AC-AC0D-B1642F7FC0DB}">
            <xm:f>NOT(ISERROR(SEARCH("허하나로",행정관리부!H1160)))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60EBE7BB-FB13-4A36-AAF5-259BFE896885}">
            <xm:f>NOT(ISERROR(SEARCH("한별",행정관리부!H1160)))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A45C6314-BBF4-4499-99F0-A2373DB51757}">
            <xm:f>NOT(ISERROR(SEARCH("정홍조",행정관리부!H1160)))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BC33EAB8-E47C-4841-A578-76E995917D97}">
            <xm:f>NOT(ISERROR(SEARCH("김지윤",행정관리부!H1160)))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85215C64-2EB0-452B-B013-1F3C1AF3E18F}">
            <xm:f>NOT(ISERROR(SEARCH("전준영",행정관리부!H1160)))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0ABA230F-C9FA-4850-BEA1-30945FD5DABF}">
            <xm:f>NOT(ISERROR(SEARCH("차재성",행정관리부!H1160)))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J51:J52</xm:sqref>
        </x14:conditionalFormatting>
        <x14:conditionalFormatting xmlns:xm="http://schemas.microsoft.com/office/excel/2006/main">
          <x14:cfRule type="containsText" priority="3973" operator="containsText" text="허하나로" id="{1EB00C52-6782-449F-B675-F5701B702752}">
            <xm:f>NOT(ISERROR(SEARCH("허하나로",행정관리부!H1107)))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974" operator="containsText" text="한별" id="{CF2A2941-03C0-4637-B6CB-F816BB26EA32}">
            <xm:f>NOT(ISERROR(SEARCH("한별",행정관리부!H1107)))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75" operator="containsText" text="정홍조" id="{1DB369BD-79B5-49B0-95DA-7B2207AC2F37}">
            <xm:f>NOT(ISERROR(SEARCH("정홍조",행정관리부!H1107)))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976" operator="containsText" text="김지윤" id="{C2FE386E-0A07-48A5-85CC-48AD572F6029}">
            <xm:f>NOT(ISERROR(SEARCH("김지윤",행정관리부!H1107)))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977" operator="containsText" text="전준영" id="{36CDD458-810E-4539-B8EE-1637B8378362}">
            <xm:f>NOT(ISERROR(SEARCH("전준영",행정관리부!H1107)))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978" operator="containsText" text="차재성" id="{C5D09E41-1AAB-4D47-9969-73F6179D6D7E}">
            <xm:f>NOT(ISERROR(SEARCH("차재성",행정관리부!H1107)))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4567" operator="containsText" text="허하나로" id="{1EB00C52-6782-449F-B675-F5701B702752}">
            <xm:f>NOT(ISERROR(SEARCH("허하나로",행정관리부!H1112)))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568" operator="containsText" text="한별" id="{CF2A2941-03C0-4637-B6CB-F816BB26EA32}">
            <xm:f>NOT(ISERROR(SEARCH("한별",행정관리부!H1112)))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69" operator="containsText" text="정홍조" id="{1DB369BD-79B5-49B0-95DA-7B2207AC2F37}">
            <xm:f>NOT(ISERROR(SEARCH("정홍조",행정관리부!H1112)))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570" operator="containsText" text="김지윤" id="{C2FE386E-0A07-48A5-85CC-48AD572F6029}">
            <xm:f>NOT(ISERROR(SEARCH("김지윤",행정관리부!H1112)))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571" operator="containsText" text="전준영" id="{36CDD458-810E-4539-B8EE-1637B8378362}">
            <xm:f>NOT(ISERROR(SEARCH("전준영",행정관리부!H1112)))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572" operator="containsText" text="차재성" id="{C5D09E41-1AAB-4D47-9969-73F6179D6D7E}">
            <xm:f>NOT(ISERROR(SEARCH("차재성",행정관리부!H1112)))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J23:J24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Y234"/>
  <sheetViews>
    <sheetView zoomScale="85" zoomScaleNormal="85" zoomScaleSheetLayoutView="85" workbookViewId="0">
      <selection activeCell="G11" sqref="G11"/>
    </sheetView>
  </sheetViews>
  <sheetFormatPr defaultRowHeight="16.5"/>
  <cols>
    <col min="1" max="6" width="3.875" style="24" customWidth="1"/>
    <col min="7" max="7" width="32.625" style="24" customWidth="1"/>
    <col min="8" max="8" width="14.625" style="77" customWidth="1"/>
    <col min="9" max="9" width="17.125" style="77" customWidth="1"/>
    <col min="10" max="10" width="14.625" style="26" customWidth="1"/>
    <col min="11" max="11" width="55.875" style="21" customWidth="1"/>
    <col min="12" max="12" width="3.875" style="22" customWidth="1"/>
    <col min="13" max="13" width="14.625" style="25" customWidth="1"/>
    <col min="14" max="14" width="57.125" style="23" hidden="1" customWidth="1"/>
    <col min="15" max="15" width="14" style="34" hidden="1" customWidth="1"/>
    <col min="16" max="16" width="16" style="35" hidden="1" customWidth="1"/>
    <col min="17" max="17" width="10" style="35" hidden="1" customWidth="1"/>
    <col min="18" max="18" width="12.75" style="35" hidden="1" customWidth="1"/>
    <col min="19" max="19" width="12.5" style="35" hidden="1" customWidth="1"/>
    <col min="20" max="20" width="11.75" style="35" hidden="1" customWidth="1"/>
    <col min="21" max="21" width="10" style="35" hidden="1" customWidth="1"/>
    <col min="22" max="24" width="9" style="35" hidden="1" customWidth="1"/>
    <col min="25" max="29" width="9" style="34" hidden="1" customWidth="1"/>
    <col min="30" max="30" width="9" style="591"/>
    <col min="31" max="16384" width="9" style="34"/>
  </cols>
  <sheetData>
    <row r="1" spans="1:30" ht="17.25" customHeight="1" thickBot="1">
      <c r="A1" s="88" t="s">
        <v>170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30" s="1" customFormat="1" ht="18" customHeight="1">
      <c r="A2" s="715" t="s">
        <v>21</v>
      </c>
      <c r="B2" s="717" t="s">
        <v>22</v>
      </c>
      <c r="C2" s="718"/>
      <c r="D2" s="719"/>
      <c r="E2" s="717" t="s">
        <v>23</v>
      </c>
      <c r="F2" s="718"/>
      <c r="G2" s="719"/>
      <c r="H2" s="693" t="s">
        <v>728</v>
      </c>
      <c r="I2" s="693" t="s">
        <v>729</v>
      </c>
      <c r="J2" s="720" t="s">
        <v>467</v>
      </c>
      <c r="K2" s="704" t="s">
        <v>1</v>
      </c>
      <c r="L2" s="705"/>
      <c r="M2" s="706"/>
      <c r="N2" s="13"/>
      <c r="O2" s="4"/>
      <c r="P2" s="8"/>
      <c r="Q2" s="4"/>
      <c r="R2" s="4"/>
      <c r="S2" s="4"/>
      <c r="T2" s="5"/>
      <c r="U2" s="3"/>
      <c r="AD2" s="591"/>
    </row>
    <row r="3" spans="1:30" s="1" customFormat="1" ht="18" customHeight="1" thickBot="1">
      <c r="A3" s="716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94"/>
      <c r="I3" s="694"/>
      <c r="J3" s="721"/>
      <c r="K3" s="707"/>
      <c r="L3" s="708"/>
      <c r="M3" s="709"/>
      <c r="N3" s="13"/>
      <c r="O3" s="4"/>
      <c r="P3" s="8"/>
      <c r="Q3" s="4"/>
      <c r="R3" s="4"/>
      <c r="S3" s="4"/>
      <c r="T3" s="5"/>
      <c r="U3" s="3"/>
      <c r="AD3" s="591"/>
    </row>
    <row r="4" spans="1:30" s="61" customFormat="1" ht="18" customHeight="1" thickBot="1">
      <c r="A4" s="710" t="s">
        <v>30</v>
      </c>
      <c r="B4" s="711"/>
      <c r="C4" s="711"/>
      <c r="D4" s="711"/>
      <c r="E4" s="711"/>
      <c r="F4" s="711"/>
      <c r="G4" s="712"/>
      <c r="H4" s="185">
        <f>H5</f>
        <v>232436</v>
      </c>
      <c r="I4" s="185">
        <v>197636</v>
      </c>
      <c r="J4" s="120">
        <f>H4-I4</f>
        <v>34800</v>
      </c>
      <c r="K4" s="89"/>
      <c r="L4" s="90"/>
      <c r="M4" s="121"/>
      <c r="N4" s="66"/>
      <c r="O4" s="17"/>
      <c r="P4" s="18"/>
      <c r="Q4" s="19"/>
      <c r="R4" s="20"/>
      <c r="S4" s="20"/>
      <c r="T4" s="62"/>
      <c r="X4" s="62"/>
      <c r="Y4" s="62"/>
      <c r="Z4" s="62"/>
      <c r="AA4" s="62"/>
      <c r="AB4" s="62"/>
      <c r="AD4" s="591"/>
    </row>
    <row r="5" spans="1:30" s="1" customFormat="1" ht="18" customHeight="1">
      <c r="A5" s="205" t="s">
        <v>2</v>
      </c>
      <c r="B5" s="122"/>
      <c r="C5" s="123"/>
      <c r="D5" s="123"/>
      <c r="E5" s="123"/>
      <c r="F5" s="123"/>
      <c r="G5" s="124"/>
      <c r="H5" s="94">
        <f>H6</f>
        <v>232436</v>
      </c>
      <c r="I5" s="94">
        <v>197636</v>
      </c>
      <c r="J5" s="95">
        <f>H5-I5</f>
        <v>34800</v>
      </c>
      <c r="K5" s="78"/>
      <c r="L5" s="79"/>
      <c r="M5" s="80"/>
      <c r="N5" s="125"/>
      <c r="O5" s="2"/>
      <c r="P5" s="11"/>
      <c r="Q5" s="126"/>
      <c r="R5" s="126"/>
      <c r="S5" s="126"/>
      <c r="T5" s="127"/>
      <c r="U5" s="128"/>
      <c r="AD5" s="591"/>
    </row>
    <row r="6" spans="1:30" s="1" customFormat="1" ht="18" customHeight="1">
      <c r="A6" s="10"/>
      <c r="B6" s="129" t="s">
        <v>252</v>
      </c>
      <c r="C6" s="129"/>
      <c r="D6" s="130"/>
      <c r="E6" s="130"/>
      <c r="F6" s="130"/>
      <c r="G6" s="131"/>
      <c r="H6" s="94">
        <f>SUM(H7,H52)</f>
        <v>232436</v>
      </c>
      <c r="I6" s="94">
        <v>197636</v>
      </c>
      <c r="J6" s="95">
        <f>H6-I6</f>
        <v>34800</v>
      </c>
      <c r="K6" s="78"/>
      <c r="L6" s="79"/>
      <c r="M6" s="80"/>
      <c r="N6" s="125"/>
      <c r="O6" s="2"/>
      <c r="P6" s="11"/>
      <c r="Q6" s="126"/>
      <c r="R6" s="126"/>
      <c r="S6" s="126"/>
      <c r="T6" s="127"/>
      <c r="U6" s="128"/>
      <c r="AD6" s="591"/>
    </row>
    <row r="7" spans="1:30" s="1" customFormat="1" ht="18" customHeight="1">
      <c r="A7" s="10"/>
      <c r="B7" s="6"/>
      <c r="C7" s="129" t="s">
        <v>252</v>
      </c>
      <c r="D7" s="130"/>
      <c r="E7" s="130"/>
      <c r="F7" s="130"/>
      <c r="G7" s="131"/>
      <c r="H7" s="94">
        <f>SUM(H8,,H21,H35,H40)</f>
        <v>207060</v>
      </c>
      <c r="I7" s="94">
        <v>174760</v>
      </c>
      <c r="J7" s="95">
        <f t="shared" ref="J7:J11" si="0">H7-I7</f>
        <v>32300</v>
      </c>
      <c r="K7" s="78"/>
      <c r="L7" s="79"/>
      <c r="M7" s="80"/>
      <c r="N7" s="724"/>
      <c r="O7" s="724"/>
      <c r="P7" s="724"/>
      <c r="Q7" s="724"/>
      <c r="R7" s="724"/>
      <c r="S7" s="724"/>
      <c r="T7" s="724"/>
      <c r="U7" s="724"/>
      <c r="AD7" s="591"/>
    </row>
    <row r="8" spans="1:30" s="1" customFormat="1" ht="18" customHeight="1">
      <c r="A8" s="10"/>
      <c r="B8" s="6"/>
      <c r="C8" s="7"/>
      <c r="D8" s="129" t="s">
        <v>440</v>
      </c>
      <c r="E8" s="130"/>
      <c r="F8" s="130"/>
      <c r="G8" s="131"/>
      <c r="H8" s="132">
        <f>H9</f>
        <v>8100</v>
      </c>
      <c r="I8" s="132">
        <v>11300</v>
      </c>
      <c r="J8" s="95">
        <f t="shared" si="0"/>
        <v>-3200</v>
      </c>
      <c r="K8" s="81"/>
      <c r="L8" s="133"/>
      <c r="M8" s="80"/>
      <c r="N8" s="125"/>
      <c r="O8" s="2"/>
      <c r="P8" s="11"/>
      <c r="Q8" s="126"/>
      <c r="R8" s="126"/>
      <c r="S8" s="126"/>
      <c r="T8" s="127"/>
      <c r="U8" s="128"/>
      <c r="AD8" s="591"/>
    </row>
    <row r="9" spans="1:30" s="1" customFormat="1" ht="18" customHeight="1">
      <c r="A9" s="10"/>
      <c r="B9" s="6"/>
      <c r="C9" s="134"/>
      <c r="D9" s="135"/>
      <c r="E9" s="129" t="s">
        <v>33</v>
      </c>
      <c r="F9" s="130"/>
      <c r="G9" s="131"/>
      <c r="H9" s="91">
        <f>H10</f>
        <v>8100</v>
      </c>
      <c r="I9" s="91">
        <v>11300</v>
      </c>
      <c r="J9" s="95">
        <f t="shared" si="0"/>
        <v>-3200</v>
      </c>
      <c r="K9" s="84"/>
      <c r="L9" s="93"/>
      <c r="M9" s="82"/>
      <c r="N9" s="125"/>
      <c r="O9" s="2"/>
      <c r="P9" s="11"/>
      <c r="Q9" s="126"/>
      <c r="R9" s="126"/>
      <c r="S9" s="126"/>
      <c r="T9" s="12"/>
      <c r="U9" s="128"/>
      <c r="AD9" s="591"/>
    </row>
    <row r="10" spans="1:30" s="61" customFormat="1" ht="18" customHeight="1">
      <c r="A10" s="63"/>
      <c r="B10" s="65"/>
      <c r="C10" s="186"/>
      <c r="D10" s="187"/>
      <c r="E10" s="188"/>
      <c r="F10" s="136" t="s">
        <v>437</v>
      </c>
      <c r="G10" s="189"/>
      <c r="H10" s="72">
        <f>H11</f>
        <v>8100</v>
      </c>
      <c r="I10" s="72">
        <v>11300</v>
      </c>
      <c r="J10" s="72">
        <f t="shared" si="0"/>
        <v>-3200</v>
      </c>
      <c r="K10" s="52"/>
      <c r="L10" s="53"/>
      <c r="M10" s="40"/>
      <c r="N10" s="434"/>
      <c r="AD10" s="591"/>
    </row>
    <row r="11" spans="1:30" s="61" customFormat="1" ht="18" customHeight="1">
      <c r="A11" s="63"/>
      <c r="B11" s="65"/>
      <c r="C11" s="65"/>
      <c r="D11" s="145"/>
      <c r="E11" s="190"/>
      <c r="F11" s="190"/>
      <c r="G11" s="138" t="s">
        <v>441</v>
      </c>
      <c r="H11" s="73">
        <f>SUM(M11,M15)</f>
        <v>8100</v>
      </c>
      <c r="I11" s="73">
        <v>11300</v>
      </c>
      <c r="J11" s="73">
        <f t="shared" si="0"/>
        <v>-3200</v>
      </c>
      <c r="K11" s="36" t="s">
        <v>47</v>
      </c>
      <c r="L11" s="44"/>
      <c r="M11" s="218">
        <f>SUM(M12:M14)</f>
        <v>8100</v>
      </c>
      <c r="N11" s="435"/>
      <c r="O11" s="47"/>
      <c r="AD11" s="591"/>
    </row>
    <row r="12" spans="1:30" s="61" customFormat="1" ht="18" customHeight="1">
      <c r="A12" s="63"/>
      <c r="B12" s="65"/>
      <c r="C12" s="65"/>
      <c r="D12" s="145"/>
      <c r="E12" s="190"/>
      <c r="F12" s="190"/>
      <c r="G12" s="68"/>
      <c r="H12" s="74"/>
      <c r="I12" s="74"/>
      <c r="J12" s="74"/>
      <c r="K12" s="600" t="s">
        <v>645</v>
      </c>
      <c r="L12" s="380" t="s">
        <v>442</v>
      </c>
      <c r="M12" s="379">
        <v>4000</v>
      </c>
      <c r="N12" s="434"/>
      <c r="O12" s="47"/>
      <c r="AD12" s="591"/>
    </row>
    <row r="13" spans="1:30" s="61" customFormat="1" ht="18" customHeight="1">
      <c r="A13" s="63"/>
      <c r="B13" s="65"/>
      <c r="C13" s="65"/>
      <c r="D13" s="145"/>
      <c r="E13" s="145"/>
      <c r="F13" s="190"/>
      <c r="G13" s="68"/>
      <c r="H13" s="74"/>
      <c r="I13" s="74"/>
      <c r="J13" s="48"/>
      <c r="K13" s="387" t="s">
        <v>563</v>
      </c>
      <c r="L13" s="380" t="s">
        <v>0</v>
      </c>
      <c r="M13" s="404">
        <v>1100</v>
      </c>
      <c r="N13" s="436" t="s">
        <v>16</v>
      </c>
      <c r="O13" s="47"/>
      <c r="P13" s="46"/>
      <c r="AD13" s="591"/>
    </row>
    <row r="14" spans="1:30" s="61" customFormat="1" ht="18" customHeight="1">
      <c r="A14" s="63"/>
      <c r="B14" s="65"/>
      <c r="C14" s="65"/>
      <c r="D14" s="145"/>
      <c r="E14" s="190"/>
      <c r="F14" s="190"/>
      <c r="G14" s="68"/>
      <c r="H14" s="74"/>
      <c r="I14" s="74"/>
      <c r="J14" s="48"/>
      <c r="K14" s="600" t="s">
        <v>759</v>
      </c>
      <c r="L14" s="380" t="s">
        <v>0</v>
      </c>
      <c r="M14" s="404">
        <v>3000</v>
      </c>
      <c r="N14" s="436"/>
      <c r="O14" s="47"/>
      <c r="P14" s="46"/>
      <c r="AD14" s="591"/>
    </row>
    <row r="15" spans="1:30" s="61" customFormat="1" ht="18" customHeight="1">
      <c r="A15" s="63"/>
      <c r="B15" s="65"/>
      <c r="C15" s="65"/>
      <c r="D15" s="145"/>
      <c r="E15" s="190"/>
      <c r="F15" s="190"/>
      <c r="G15" s="68"/>
      <c r="H15" s="74"/>
      <c r="I15" s="74"/>
      <c r="J15" s="74"/>
      <c r="K15" s="215" t="s">
        <v>562</v>
      </c>
      <c r="L15" s="45"/>
      <c r="M15" s="193">
        <f>SUM(M19:M20)</f>
        <v>0</v>
      </c>
      <c r="N15" s="434"/>
      <c r="O15" s="47"/>
      <c r="AD15" s="591"/>
    </row>
    <row r="16" spans="1:30" s="61" customFormat="1" ht="18" customHeight="1">
      <c r="A16" s="63"/>
      <c r="B16" s="65"/>
      <c r="C16" s="65"/>
      <c r="D16" s="145"/>
      <c r="E16" s="190"/>
      <c r="F16" s="190"/>
      <c r="G16" s="68"/>
      <c r="H16" s="74"/>
      <c r="I16" s="74"/>
      <c r="J16" s="74"/>
      <c r="K16" s="387" t="s">
        <v>693</v>
      </c>
      <c r="L16" s="380" t="s">
        <v>442</v>
      </c>
      <c r="M16" s="404">
        <v>2500</v>
      </c>
      <c r="N16" s="434"/>
      <c r="O16" s="47"/>
      <c r="AD16" s="591"/>
    </row>
    <row r="17" spans="1:51" s="61" customFormat="1" ht="18" customHeight="1">
      <c r="A17" s="63"/>
      <c r="B17" s="65"/>
      <c r="C17" s="65"/>
      <c r="D17" s="145"/>
      <c r="E17" s="190"/>
      <c r="F17" s="190"/>
      <c r="G17" s="68"/>
      <c r="H17" s="74"/>
      <c r="I17" s="74"/>
      <c r="J17" s="74"/>
      <c r="K17" s="387" t="s">
        <v>564</v>
      </c>
      <c r="L17" s="380" t="s">
        <v>199</v>
      </c>
      <c r="M17" s="404">
        <v>700</v>
      </c>
      <c r="N17" s="434"/>
      <c r="O17" s="47"/>
      <c r="AD17" s="591"/>
    </row>
    <row r="18" spans="1:51" s="61" customFormat="1" ht="18" customHeight="1">
      <c r="A18" s="63"/>
      <c r="B18" s="65"/>
      <c r="C18" s="65"/>
      <c r="D18" s="145"/>
      <c r="E18" s="190"/>
      <c r="F18" s="190"/>
      <c r="G18" s="65"/>
      <c r="H18" s="74"/>
      <c r="I18" s="74"/>
      <c r="J18" s="74"/>
      <c r="K18" s="622" t="s">
        <v>760</v>
      </c>
      <c r="L18" s="45"/>
      <c r="M18" s="193"/>
      <c r="N18" s="434"/>
      <c r="O18" s="47"/>
      <c r="AD18" s="621"/>
    </row>
    <row r="19" spans="1:51" s="61" customFormat="1" ht="18" customHeight="1">
      <c r="A19" s="63"/>
      <c r="B19" s="65"/>
      <c r="C19" s="65"/>
      <c r="D19" s="145"/>
      <c r="E19" s="190"/>
      <c r="F19" s="190"/>
      <c r="G19" s="65"/>
      <c r="H19" s="74"/>
      <c r="I19" s="74"/>
      <c r="J19" s="74"/>
      <c r="K19" s="631" t="s">
        <v>761</v>
      </c>
      <c r="L19" s="614" t="s">
        <v>37</v>
      </c>
      <c r="M19" s="638">
        <v>0</v>
      </c>
      <c r="N19" s="434"/>
      <c r="O19" s="47"/>
      <c r="AD19" s="621"/>
    </row>
    <row r="20" spans="1:51" s="61" customFormat="1" ht="18" customHeight="1">
      <c r="A20" s="63"/>
      <c r="B20" s="65"/>
      <c r="C20" s="65"/>
      <c r="D20" s="145"/>
      <c r="E20" s="190"/>
      <c r="F20" s="190"/>
      <c r="G20" s="67"/>
      <c r="H20" s="71"/>
      <c r="I20" s="71"/>
      <c r="J20" s="71"/>
      <c r="K20" s="626" t="s">
        <v>762</v>
      </c>
      <c r="L20" s="639" t="s">
        <v>199</v>
      </c>
      <c r="M20" s="640">
        <v>0</v>
      </c>
      <c r="N20" s="434"/>
      <c r="O20" s="47"/>
      <c r="AD20" s="621"/>
    </row>
    <row r="21" spans="1:51" s="1" customFormat="1" ht="18" customHeight="1">
      <c r="A21" s="10"/>
      <c r="B21" s="6"/>
      <c r="C21" s="147"/>
      <c r="D21" s="129" t="s">
        <v>443</v>
      </c>
      <c r="E21" s="130"/>
      <c r="F21" s="130"/>
      <c r="G21" s="264"/>
      <c r="H21" s="321">
        <f>SUM(H22,H31)</f>
        <v>63460</v>
      </c>
      <c r="I21" s="321">
        <v>63460</v>
      </c>
      <c r="J21" s="95">
        <f t="shared" ref="J21:J24" si="1">H21-I21</f>
        <v>0</v>
      </c>
      <c r="K21" s="81"/>
      <c r="L21" s="133"/>
      <c r="M21" s="80"/>
      <c r="N21" s="125"/>
      <c r="O21" s="2"/>
      <c r="P21" s="11"/>
      <c r="Q21" s="126"/>
      <c r="R21" s="126"/>
      <c r="S21" s="126"/>
      <c r="T21" s="127"/>
      <c r="U21" s="128"/>
      <c r="AD21" s="591"/>
    </row>
    <row r="22" spans="1:51" s="1" customFormat="1" ht="18" customHeight="1">
      <c r="A22" s="10"/>
      <c r="B22" s="6"/>
      <c r="C22" s="134"/>
      <c r="D22" s="135"/>
      <c r="E22" s="129" t="s">
        <v>31</v>
      </c>
      <c r="F22" s="130"/>
      <c r="G22" s="131"/>
      <c r="H22" s="91">
        <f>SUM(H23,H28)</f>
        <v>23460</v>
      </c>
      <c r="I22" s="91">
        <v>23460</v>
      </c>
      <c r="J22" s="95">
        <f t="shared" si="1"/>
        <v>0</v>
      </c>
      <c r="K22" s="84"/>
      <c r="L22" s="93"/>
      <c r="M22" s="82"/>
      <c r="N22" s="125"/>
      <c r="O22" s="2"/>
      <c r="P22" s="11"/>
      <c r="Q22" s="126"/>
      <c r="R22" s="126"/>
      <c r="S22" s="126"/>
      <c r="T22" s="12"/>
      <c r="U22" s="128"/>
      <c r="AD22" s="591"/>
    </row>
    <row r="23" spans="1:51" s="61" customFormat="1" ht="18" customHeight="1">
      <c r="A23" s="63"/>
      <c r="B23" s="65"/>
      <c r="C23" s="186"/>
      <c r="D23" s="187"/>
      <c r="E23" s="188"/>
      <c r="F23" s="136" t="s">
        <v>437</v>
      </c>
      <c r="G23" s="189"/>
      <c r="H23" s="72">
        <f>H24</f>
        <v>20160</v>
      </c>
      <c r="I23" s="72">
        <v>20160</v>
      </c>
      <c r="J23" s="72">
        <f t="shared" si="1"/>
        <v>0</v>
      </c>
      <c r="K23" s="52"/>
      <c r="L23" s="53"/>
      <c r="M23" s="40"/>
      <c r="N23" s="434"/>
      <c r="AD23" s="591"/>
    </row>
    <row r="24" spans="1:51" s="61" customFormat="1" ht="18" customHeight="1">
      <c r="A24" s="63"/>
      <c r="B24" s="65"/>
      <c r="C24" s="65"/>
      <c r="D24" s="145"/>
      <c r="E24" s="190"/>
      <c r="F24" s="190"/>
      <c r="G24" s="138" t="s">
        <v>441</v>
      </c>
      <c r="H24" s="73">
        <f>M24</f>
        <v>20160</v>
      </c>
      <c r="I24" s="73">
        <v>20160</v>
      </c>
      <c r="J24" s="73">
        <f t="shared" si="1"/>
        <v>0</v>
      </c>
      <c r="K24" s="36" t="s">
        <v>47</v>
      </c>
      <c r="L24" s="44"/>
      <c r="M24" s="218">
        <f>SUM(M25:M27)</f>
        <v>20160</v>
      </c>
      <c r="N24" s="435"/>
      <c r="O24" s="47"/>
      <c r="AD24" s="591"/>
    </row>
    <row r="25" spans="1:51" s="61" customFormat="1" ht="18" customHeight="1">
      <c r="A25" s="63"/>
      <c r="B25" s="65"/>
      <c r="C25" s="65"/>
      <c r="D25" s="145"/>
      <c r="E25" s="190"/>
      <c r="F25" s="190"/>
      <c r="G25" s="68"/>
      <c r="H25" s="74"/>
      <c r="I25" s="74"/>
      <c r="J25" s="74"/>
      <c r="K25" s="216" t="s">
        <v>565</v>
      </c>
      <c r="L25" s="45" t="s">
        <v>442</v>
      </c>
      <c r="M25" s="191">
        <v>15000</v>
      </c>
      <c r="N25" s="434"/>
      <c r="O25" s="47"/>
      <c r="AD25" s="591"/>
    </row>
    <row r="26" spans="1:51" s="61" customFormat="1" ht="18" customHeight="1">
      <c r="A26" s="63"/>
      <c r="B26" s="65"/>
      <c r="C26" s="65"/>
      <c r="D26" s="145"/>
      <c r="E26" s="190"/>
      <c r="F26" s="190"/>
      <c r="G26" s="68"/>
      <c r="H26" s="74"/>
      <c r="I26" s="74"/>
      <c r="J26" s="74"/>
      <c r="K26" s="216" t="s">
        <v>567</v>
      </c>
      <c r="L26" s="45" t="s">
        <v>566</v>
      </c>
      <c r="M26" s="191">
        <v>3000</v>
      </c>
      <c r="N26" s="434"/>
      <c r="O26" s="47"/>
      <c r="AD26" s="591"/>
    </row>
    <row r="27" spans="1:51" s="61" customFormat="1" ht="18" customHeight="1">
      <c r="A27" s="63"/>
      <c r="B27" s="65"/>
      <c r="C27" s="65"/>
      <c r="D27" s="145"/>
      <c r="E27" s="190"/>
      <c r="F27" s="190"/>
      <c r="G27" s="68"/>
      <c r="H27" s="74"/>
      <c r="I27" s="74"/>
      <c r="J27" s="74"/>
      <c r="K27" s="217" t="s">
        <v>568</v>
      </c>
      <c r="L27" s="142" t="s">
        <v>442</v>
      </c>
      <c r="M27" s="233">
        <v>2160</v>
      </c>
      <c r="N27" s="434"/>
      <c r="O27" s="47"/>
      <c r="AD27" s="591"/>
    </row>
    <row r="28" spans="1:51" s="137" customFormat="1" ht="18" customHeight="1">
      <c r="A28" s="63"/>
      <c r="B28" s="65"/>
      <c r="C28" s="363"/>
      <c r="D28" s="363"/>
      <c r="E28" s="363"/>
      <c r="F28" s="722" t="s">
        <v>40</v>
      </c>
      <c r="G28" s="723"/>
      <c r="H28" s="520">
        <f>H29</f>
        <v>3300</v>
      </c>
      <c r="I28" s="520">
        <v>3300</v>
      </c>
      <c r="J28" s="521">
        <f>H28-I28</f>
        <v>0</v>
      </c>
      <c r="K28" s="420"/>
      <c r="L28" s="421"/>
      <c r="M28" s="563"/>
      <c r="N28" s="442"/>
      <c r="P28" s="141"/>
      <c r="V28" s="54"/>
      <c r="W28" s="59"/>
      <c r="X28" s="59"/>
      <c r="Y28" s="59"/>
      <c r="Z28" s="59"/>
      <c r="AA28" s="59"/>
      <c r="AB28" s="59"/>
      <c r="AC28" s="59"/>
      <c r="AD28" s="591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</row>
    <row r="29" spans="1:51" s="137" customFormat="1" ht="18" customHeight="1">
      <c r="A29" s="63"/>
      <c r="B29" s="65"/>
      <c r="C29" s="363"/>
      <c r="D29" s="363"/>
      <c r="E29" s="363"/>
      <c r="F29" s="522"/>
      <c r="G29" s="478" t="s">
        <v>41</v>
      </c>
      <c r="H29" s="494">
        <f>M29</f>
        <v>3300</v>
      </c>
      <c r="I29" s="485">
        <v>3300</v>
      </c>
      <c r="J29" s="495">
        <f>H29-I29</f>
        <v>0</v>
      </c>
      <c r="K29" s="391" t="s">
        <v>49</v>
      </c>
      <c r="L29" s="423"/>
      <c r="M29" s="393">
        <f>SUM(M30:M31)</f>
        <v>3300</v>
      </c>
      <c r="N29" s="443"/>
      <c r="O29" s="151"/>
      <c r="P29" s="139"/>
      <c r="Q29" s="101"/>
      <c r="R29" s="101"/>
      <c r="S29" s="101"/>
      <c r="V29" s="54"/>
      <c r="W29" s="59"/>
      <c r="X29" s="59"/>
      <c r="Y29" s="59"/>
      <c r="Z29" s="59"/>
      <c r="AA29" s="59"/>
      <c r="AB29" s="59"/>
      <c r="AC29" s="59"/>
      <c r="AD29" s="591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</row>
    <row r="30" spans="1:51" s="137" customFormat="1" ht="18" customHeight="1">
      <c r="A30" s="63"/>
      <c r="B30" s="65"/>
      <c r="C30" s="363"/>
      <c r="D30" s="363"/>
      <c r="E30" s="363"/>
      <c r="F30" s="479"/>
      <c r="G30" s="479"/>
      <c r="H30" s="488"/>
      <c r="I30" s="532"/>
      <c r="J30" s="492"/>
      <c r="K30" s="387" t="s">
        <v>642</v>
      </c>
      <c r="L30" s="424" t="s">
        <v>0</v>
      </c>
      <c r="M30" s="379">
        <v>3300</v>
      </c>
      <c r="N30" s="444" t="s">
        <v>17</v>
      </c>
      <c r="O30" s="151"/>
      <c r="P30" s="139">
        <v>670000</v>
      </c>
      <c r="Q30" s="101">
        <v>1</v>
      </c>
      <c r="R30" s="101">
        <v>1</v>
      </c>
      <c r="S30" s="101"/>
      <c r="V30" s="54"/>
      <c r="W30" s="59"/>
      <c r="X30" s="59"/>
      <c r="Y30" s="59"/>
      <c r="Z30" s="59"/>
      <c r="AA30" s="59"/>
      <c r="AB30" s="59"/>
      <c r="AC30" s="59"/>
      <c r="AD30" s="591"/>
      <c r="AE30" s="592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</row>
    <row r="31" spans="1:51" s="1" customFormat="1" ht="18" customHeight="1">
      <c r="A31" s="10"/>
      <c r="B31" s="6"/>
      <c r="C31" s="134"/>
      <c r="D31" s="245"/>
      <c r="E31" s="129" t="s">
        <v>58</v>
      </c>
      <c r="F31" s="130"/>
      <c r="G31" s="131"/>
      <c r="H31" s="91">
        <f>H32</f>
        <v>40000</v>
      </c>
      <c r="I31" s="91">
        <v>40000</v>
      </c>
      <c r="J31" s="92">
        <f t="shared" ref="J31:J33" si="2">H31-I31</f>
        <v>0</v>
      </c>
      <c r="K31" s="84"/>
      <c r="L31" s="93"/>
      <c r="M31" s="82"/>
      <c r="N31" s="125"/>
      <c r="O31" s="2"/>
      <c r="P31" s="11"/>
      <c r="Q31" s="126"/>
      <c r="R31" s="126"/>
      <c r="S31" s="126"/>
      <c r="T31" s="12"/>
      <c r="U31" s="128"/>
      <c r="AD31" s="591"/>
    </row>
    <row r="32" spans="1:51" s="61" customFormat="1" ht="18" customHeight="1">
      <c r="A32" s="63"/>
      <c r="B32" s="65"/>
      <c r="C32" s="186"/>
      <c r="D32" s="187"/>
      <c r="E32" s="188"/>
      <c r="F32" s="136" t="s">
        <v>59</v>
      </c>
      <c r="G32" s="189"/>
      <c r="H32" s="72">
        <f>H33</f>
        <v>40000</v>
      </c>
      <c r="I32" s="72">
        <v>40000</v>
      </c>
      <c r="J32" s="72">
        <f t="shared" si="2"/>
        <v>0</v>
      </c>
      <c r="K32" s="52"/>
      <c r="L32" s="53"/>
      <c r="M32" s="40"/>
      <c r="N32" s="434"/>
      <c r="AD32" s="591"/>
    </row>
    <row r="33" spans="1:30" s="61" customFormat="1" ht="18" customHeight="1">
      <c r="A33" s="63"/>
      <c r="B33" s="65"/>
      <c r="C33" s="363"/>
      <c r="D33" s="364"/>
      <c r="E33" s="365"/>
      <c r="F33" s="365"/>
      <c r="G33" s="472" t="s">
        <v>444</v>
      </c>
      <c r="H33" s="41">
        <f>M33</f>
        <v>40000</v>
      </c>
      <c r="I33" s="41">
        <v>40000</v>
      </c>
      <c r="J33" s="41">
        <f t="shared" si="2"/>
        <v>0</v>
      </c>
      <c r="K33" s="391" t="s">
        <v>445</v>
      </c>
      <c r="L33" s="392"/>
      <c r="M33" s="393">
        <f>M34</f>
        <v>40000</v>
      </c>
      <c r="N33" s="435"/>
      <c r="O33" s="47"/>
      <c r="AD33" s="591"/>
    </row>
    <row r="34" spans="1:30" s="61" customFormat="1" ht="18" customHeight="1">
      <c r="A34" s="63"/>
      <c r="B34" s="65"/>
      <c r="C34" s="363"/>
      <c r="D34" s="364"/>
      <c r="E34" s="365"/>
      <c r="F34" s="365"/>
      <c r="G34" s="366"/>
      <c r="H34" s="50"/>
      <c r="I34" s="50"/>
      <c r="J34" s="146"/>
      <c r="K34" s="385" t="s">
        <v>569</v>
      </c>
      <c r="L34" s="382" t="s">
        <v>442</v>
      </c>
      <c r="M34" s="386">
        <v>40000</v>
      </c>
      <c r="N34" s="434"/>
      <c r="O34" s="47"/>
      <c r="AD34" s="591"/>
    </row>
    <row r="35" spans="1:30" s="1" customFormat="1" ht="18" customHeight="1">
      <c r="A35" s="10"/>
      <c r="B35" s="6"/>
      <c r="C35" s="480"/>
      <c r="D35" s="353" t="s">
        <v>500</v>
      </c>
      <c r="E35" s="460"/>
      <c r="F35" s="460"/>
      <c r="G35" s="461"/>
      <c r="H35" s="463">
        <f>SUM(H36)</f>
        <v>100000</v>
      </c>
      <c r="I35" s="463">
        <v>100000</v>
      </c>
      <c r="J35" s="95">
        <f t="shared" ref="J35:J38" si="3">H35-I35</f>
        <v>0</v>
      </c>
      <c r="K35" s="354"/>
      <c r="L35" s="410"/>
      <c r="M35" s="426"/>
      <c r="N35" s="125"/>
      <c r="O35" s="2"/>
      <c r="P35" s="11"/>
      <c r="Q35" s="126"/>
      <c r="R35" s="126"/>
      <c r="S35" s="126"/>
      <c r="T35" s="127"/>
      <c r="U35" s="128"/>
      <c r="AD35" s="591"/>
    </row>
    <row r="36" spans="1:30" s="1" customFormat="1" ht="18" customHeight="1">
      <c r="A36" s="10"/>
      <c r="B36" s="6"/>
      <c r="C36" s="464"/>
      <c r="D36" s="465"/>
      <c r="E36" s="353" t="s">
        <v>31</v>
      </c>
      <c r="F36" s="460"/>
      <c r="G36" s="461"/>
      <c r="H36" s="92">
        <f>SUM(H37)</f>
        <v>100000</v>
      </c>
      <c r="I36" s="92">
        <v>100000</v>
      </c>
      <c r="J36" s="95">
        <f t="shared" si="3"/>
        <v>0</v>
      </c>
      <c r="K36" s="355"/>
      <c r="L36" s="396"/>
      <c r="M36" s="397"/>
      <c r="N36" s="125"/>
      <c r="O36" s="2"/>
      <c r="P36" s="11"/>
      <c r="Q36" s="126"/>
      <c r="R36" s="126"/>
      <c r="S36" s="126"/>
      <c r="T36" s="12"/>
      <c r="U36" s="128"/>
      <c r="AD36" s="591"/>
    </row>
    <row r="37" spans="1:30" s="61" customFormat="1" ht="18" customHeight="1">
      <c r="A37" s="63"/>
      <c r="B37" s="65"/>
      <c r="C37" s="467"/>
      <c r="D37" s="468"/>
      <c r="E37" s="469"/>
      <c r="F37" s="470" t="s">
        <v>35</v>
      </c>
      <c r="G37" s="471"/>
      <c r="H37" s="98">
        <f>H38</f>
        <v>100000</v>
      </c>
      <c r="I37" s="98">
        <v>100000</v>
      </c>
      <c r="J37" s="98">
        <f t="shared" si="3"/>
        <v>0</v>
      </c>
      <c r="K37" s="398"/>
      <c r="L37" s="356"/>
      <c r="M37" s="399"/>
      <c r="N37" s="434"/>
      <c r="AD37" s="591"/>
    </row>
    <row r="38" spans="1:30" s="61" customFormat="1" ht="18" customHeight="1">
      <c r="A38" s="63"/>
      <c r="B38" s="65"/>
      <c r="C38" s="363"/>
      <c r="D38" s="364"/>
      <c r="E38" s="365"/>
      <c r="F38" s="365"/>
      <c r="G38" s="472" t="s">
        <v>441</v>
      </c>
      <c r="H38" s="41">
        <f>M38</f>
        <v>100000</v>
      </c>
      <c r="I38" s="41">
        <v>100000</v>
      </c>
      <c r="J38" s="41">
        <f t="shared" si="3"/>
        <v>0</v>
      </c>
      <c r="K38" s="391" t="s">
        <v>47</v>
      </c>
      <c r="L38" s="392"/>
      <c r="M38" s="393">
        <f>SUM(M39:M39)</f>
        <v>100000</v>
      </c>
      <c r="N38" s="435"/>
      <c r="O38" s="47"/>
      <c r="AD38" s="591"/>
    </row>
    <row r="39" spans="1:30" s="562" customFormat="1" ht="18" customHeight="1">
      <c r="A39" s="362"/>
      <c r="B39" s="363"/>
      <c r="C39" s="363"/>
      <c r="D39" s="364"/>
      <c r="E39" s="364"/>
      <c r="F39" s="507"/>
      <c r="G39" s="534"/>
      <c r="H39" s="146"/>
      <c r="I39" s="146"/>
      <c r="J39" s="146"/>
      <c r="K39" s="385" t="s">
        <v>570</v>
      </c>
      <c r="L39" s="382" t="s">
        <v>442</v>
      </c>
      <c r="M39" s="400">
        <v>100000</v>
      </c>
      <c r="N39" s="436"/>
      <c r="O39" s="561"/>
      <c r="AD39" s="591"/>
    </row>
    <row r="40" spans="1:30" s="1" customFormat="1" ht="18" customHeight="1">
      <c r="A40" s="10"/>
      <c r="B40" s="6"/>
      <c r="C40" s="480"/>
      <c r="D40" s="651" t="s">
        <v>763</v>
      </c>
      <c r="E40" s="460"/>
      <c r="F40" s="548"/>
      <c r="G40" s="549"/>
      <c r="H40" s="553">
        <f>SUM(H41)</f>
        <v>35500</v>
      </c>
      <c r="I40" s="553">
        <v>0</v>
      </c>
      <c r="J40" s="95">
        <f t="shared" ref="J40:J43" si="4">H40-I40</f>
        <v>35500</v>
      </c>
      <c r="K40" s="354"/>
      <c r="L40" s="410"/>
      <c r="M40" s="426"/>
      <c r="N40" s="125"/>
      <c r="O40" s="2"/>
      <c r="P40" s="11"/>
      <c r="Q40" s="126"/>
      <c r="R40" s="126"/>
      <c r="S40" s="126"/>
      <c r="T40" s="127"/>
      <c r="U40" s="128"/>
      <c r="AD40" s="621"/>
    </row>
    <row r="41" spans="1:30" s="1" customFormat="1" ht="18" customHeight="1">
      <c r="A41" s="10"/>
      <c r="B41" s="6"/>
      <c r="C41" s="464"/>
      <c r="D41" s="465"/>
      <c r="E41" s="353" t="s">
        <v>31</v>
      </c>
      <c r="F41" s="460"/>
      <c r="G41" s="461"/>
      <c r="H41" s="92">
        <f>SUM(H42)</f>
        <v>35500</v>
      </c>
      <c r="I41" s="92">
        <v>0</v>
      </c>
      <c r="J41" s="95">
        <f t="shared" si="4"/>
        <v>35500</v>
      </c>
      <c r="K41" s="355"/>
      <c r="L41" s="396"/>
      <c r="M41" s="397"/>
      <c r="N41" s="125"/>
      <c r="O41" s="2"/>
      <c r="P41" s="11"/>
      <c r="Q41" s="126"/>
      <c r="R41" s="126"/>
      <c r="S41" s="126"/>
      <c r="T41" s="12"/>
      <c r="U41" s="128"/>
      <c r="AD41" s="621"/>
    </row>
    <row r="42" spans="1:30" s="61" customFormat="1" ht="18" customHeight="1">
      <c r="A42" s="63"/>
      <c r="B42" s="65"/>
      <c r="C42" s="467"/>
      <c r="D42" s="468"/>
      <c r="E42" s="469"/>
      <c r="F42" s="470" t="s">
        <v>35</v>
      </c>
      <c r="G42" s="471"/>
      <c r="H42" s="98">
        <f>H43</f>
        <v>35500</v>
      </c>
      <c r="I42" s="98">
        <v>0</v>
      </c>
      <c r="J42" s="98">
        <f t="shared" si="4"/>
        <v>35500</v>
      </c>
      <c r="K42" s="398"/>
      <c r="L42" s="356"/>
      <c r="M42" s="399"/>
      <c r="N42" s="434"/>
      <c r="AD42" s="621"/>
    </row>
    <row r="43" spans="1:30" s="61" customFormat="1" ht="18" customHeight="1">
      <c r="A43" s="63"/>
      <c r="B43" s="65"/>
      <c r="C43" s="363"/>
      <c r="D43" s="364"/>
      <c r="E43" s="365"/>
      <c r="F43" s="365"/>
      <c r="G43" s="472" t="s">
        <v>441</v>
      </c>
      <c r="H43" s="41">
        <f>SUM(M43,M49)</f>
        <v>35500</v>
      </c>
      <c r="I43" s="41">
        <v>0</v>
      </c>
      <c r="J43" s="41">
        <f t="shared" si="4"/>
        <v>35500</v>
      </c>
      <c r="K43" s="391" t="s">
        <v>62</v>
      </c>
      <c r="L43" s="392"/>
      <c r="M43" s="393">
        <f>SUM(M45:M48)</f>
        <v>13500</v>
      </c>
      <c r="N43" s="435"/>
      <c r="O43" s="47"/>
      <c r="AD43" s="621"/>
    </row>
    <row r="44" spans="1:30" s="61" customFormat="1" ht="18" customHeight="1">
      <c r="A44" s="63"/>
      <c r="B44" s="65"/>
      <c r="C44" s="363"/>
      <c r="D44" s="364"/>
      <c r="E44" s="365"/>
      <c r="F44" s="365"/>
      <c r="G44" s="366"/>
      <c r="H44" s="50"/>
      <c r="I44" s="50"/>
      <c r="J44" s="50"/>
      <c r="K44" s="622" t="s">
        <v>760</v>
      </c>
      <c r="L44" s="380"/>
      <c r="M44" s="384"/>
      <c r="N44" s="434"/>
      <c r="O44" s="47"/>
      <c r="AD44" s="621"/>
    </row>
    <row r="45" spans="1:30" s="61" customFormat="1" ht="18" customHeight="1">
      <c r="A45" s="63"/>
      <c r="B45" s="65"/>
      <c r="C45" s="363"/>
      <c r="D45" s="364"/>
      <c r="E45" s="365"/>
      <c r="F45" s="365"/>
      <c r="G45" s="366"/>
      <c r="H45" s="50"/>
      <c r="I45" s="50"/>
      <c r="J45" s="50"/>
      <c r="K45" s="631" t="s">
        <v>764</v>
      </c>
      <c r="L45" s="614" t="s">
        <v>37</v>
      </c>
      <c r="M45" s="638">
        <v>3500</v>
      </c>
      <c r="N45" s="434"/>
      <c r="O45" s="47"/>
      <c r="AD45" s="621"/>
    </row>
    <row r="46" spans="1:30" s="61" customFormat="1" ht="18" customHeight="1">
      <c r="A46" s="63"/>
      <c r="B46" s="65"/>
      <c r="C46" s="363"/>
      <c r="D46" s="364"/>
      <c r="E46" s="365"/>
      <c r="F46" s="365"/>
      <c r="G46" s="366"/>
      <c r="H46" s="50"/>
      <c r="I46" s="50"/>
      <c r="J46" s="50"/>
      <c r="K46" s="631" t="s">
        <v>765</v>
      </c>
      <c r="L46" s="614" t="s">
        <v>37</v>
      </c>
      <c r="M46" s="615">
        <v>6000</v>
      </c>
      <c r="N46" s="434"/>
      <c r="O46" s="47"/>
      <c r="AD46" s="621"/>
    </row>
    <row r="47" spans="1:30" s="61" customFormat="1" ht="18" customHeight="1">
      <c r="A47" s="63"/>
      <c r="B47" s="65"/>
      <c r="C47" s="363"/>
      <c r="D47" s="364"/>
      <c r="E47" s="365"/>
      <c r="F47" s="365"/>
      <c r="G47" s="366"/>
      <c r="H47" s="50"/>
      <c r="I47" s="50"/>
      <c r="J47" s="50"/>
      <c r="K47" s="631" t="s">
        <v>766</v>
      </c>
      <c r="L47" s="614" t="s">
        <v>37</v>
      </c>
      <c r="M47" s="615">
        <v>3000</v>
      </c>
      <c r="N47" s="434"/>
      <c r="O47" s="47"/>
      <c r="AD47" s="621"/>
    </row>
    <row r="48" spans="1:30" s="61" customFormat="1" ht="18" customHeight="1">
      <c r="A48" s="63"/>
      <c r="B48" s="65"/>
      <c r="C48" s="363"/>
      <c r="D48" s="364"/>
      <c r="E48" s="365"/>
      <c r="F48" s="365"/>
      <c r="G48" s="366"/>
      <c r="H48" s="50"/>
      <c r="I48" s="50"/>
      <c r="J48" s="50"/>
      <c r="K48" s="631" t="s">
        <v>767</v>
      </c>
      <c r="L48" s="614" t="s">
        <v>37</v>
      </c>
      <c r="M48" s="615">
        <v>1000</v>
      </c>
      <c r="N48" s="434"/>
      <c r="O48" s="47"/>
      <c r="AD48" s="621"/>
    </row>
    <row r="49" spans="1:51" s="61" customFormat="1" ht="18" customHeight="1">
      <c r="A49" s="63"/>
      <c r="B49" s="65"/>
      <c r="C49" s="363"/>
      <c r="D49" s="364"/>
      <c r="E49" s="365"/>
      <c r="F49" s="365"/>
      <c r="G49" s="366"/>
      <c r="H49" s="50"/>
      <c r="I49" s="50"/>
      <c r="J49" s="50"/>
      <c r="K49" s="361" t="s">
        <v>47</v>
      </c>
      <c r="L49" s="380"/>
      <c r="M49" s="384">
        <f>M51</f>
        <v>22000</v>
      </c>
      <c r="N49" s="434"/>
      <c r="O49" s="47"/>
      <c r="AD49" s="621"/>
    </row>
    <row r="50" spans="1:51" s="61" customFormat="1" ht="18" customHeight="1">
      <c r="A50" s="63"/>
      <c r="B50" s="65"/>
      <c r="C50" s="363"/>
      <c r="D50" s="364"/>
      <c r="E50" s="365"/>
      <c r="F50" s="365"/>
      <c r="G50" s="366"/>
      <c r="H50" s="50"/>
      <c r="I50" s="50"/>
      <c r="J50" s="50"/>
      <c r="K50" s="622" t="s">
        <v>760</v>
      </c>
      <c r="L50" s="380"/>
      <c r="M50" s="384"/>
      <c r="N50" s="434"/>
      <c r="O50" s="47"/>
      <c r="AD50" s="621"/>
    </row>
    <row r="51" spans="1:51" s="562" customFormat="1" ht="18" customHeight="1">
      <c r="A51" s="362"/>
      <c r="B51" s="363"/>
      <c r="C51" s="363"/>
      <c r="D51" s="364"/>
      <c r="E51" s="364"/>
      <c r="F51" s="365"/>
      <c r="G51" s="366"/>
      <c r="H51" s="50"/>
      <c r="I51" s="50"/>
      <c r="J51" s="50"/>
      <c r="K51" s="626" t="s">
        <v>768</v>
      </c>
      <c r="L51" s="614" t="s">
        <v>37</v>
      </c>
      <c r="M51" s="638">
        <v>22000</v>
      </c>
      <c r="N51" s="436"/>
      <c r="O51" s="561"/>
      <c r="AD51" s="621"/>
    </row>
    <row r="52" spans="1:51" s="1" customFormat="1" ht="18" customHeight="1">
      <c r="A52" s="10"/>
      <c r="B52" s="6"/>
      <c r="C52" s="179" t="s">
        <v>253</v>
      </c>
      <c r="D52" s="460"/>
      <c r="E52" s="460"/>
      <c r="F52" s="460"/>
      <c r="G52" s="461"/>
      <c r="H52" s="92">
        <f>H53</f>
        <v>25376</v>
      </c>
      <c r="I52" s="92">
        <v>22876</v>
      </c>
      <c r="J52" s="92">
        <f>H52-I52</f>
        <v>2500</v>
      </c>
      <c r="K52" s="401"/>
      <c r="L52" s="395"/>
      <c r="M52" s="402"/>
      <c r="N52" s="724"/>
      <c r="O52" s="724"/>
      <c r="P52" s="724"/>
      <c r="Q52" s="724"/>
      <c r="R52" s="724"/>
      <c r="S52" s="724"/>
      <c r="T52" s="724"/>
      <c r="U52" s="724"/>
      <c r="AD52" s="591"/>
    </row>
    <row r="53" spans="1:51" s="1" customFormat="1" ht="18" customHeight="1">
      <c r="A53" s="10"/>
      <c r="B53" s="6"/>
      <c r="C53" s="480"/>
      <c r="D53" s="353" t="s">
        <v>34</v>
      </c>
      <c r="E53" s="460"/>
      <c r="F53" s="460"/>
      <c r="G53" s="461"/>
      <c r="H53" s="463">
        <f>H54</f>
        <v>25376</v>
      </c>
      <c r="I53" s="463">
        <v>22876</v>
      </c>
      <c r="J53" s="92">
        <f>H53-I53</f>
        <v>2500</v>
      </c>
      <c r="K53" s="394"/>
      <c r="L53" s="395"/>
      <c r="M53" s="402"/>
      <c r="N53" s="125"/>
      <c r="O53" s="2"/>
      <c r="P53" s="11"/>
      <c r="Q53" s="126"/>
      <c r="R53" s="126"/>
      <c r="S53" s="126"/>
      <c r="T53" s="127"/>
      <c r="U53" s="128"/>
      <c r="AD53" s="591"/>
    </row>
    <row r="54" spans="1:51" s="1" customFormat="1" ht="18" customHeight="1">
      <c r="A54" s="10"/>
      <c r="B54" s="6"/>
      <c r="C54" s="464"/>
      <c r="D54" s="465"/>
      <c r="E54" s="353" t="s">
        <v>33</v>
      </c>
      <c r="F54" s="460"/>
      <c r="G54" s="461"/>
      <c r="H54" s="92">
        <f>SUM(H55,H64,H68,H71)</f>
        <v>25376</v>
      </c>
      <c r="I54" s="92">
        <v>22876</v>
      </c>
      <c r="J54" s="92">
        <f>H54-I54</f>
        <v>2500</v>
      </c>
      <c r="K54" s="355"/>
      <c r="L54" s="396"/>
      <c r="M54" s="397"/>
      <c r="N54" s="125"/>
      <c r="O54" s="2"/>
      <c r="P54" s="11"/>
      <c r="Q54" s="126"/>
      <c r="R54" s="126"/>
      <c r="S54" s="126"/>
      <c r="T54" s="12"/>
      <c r="U54" s="128"/>
      <c r="AD54" s="591"/>
    </row>
    <row r="55" spans="1:51" s="141" customFormat="1" ht="18" customHeight="1">
      <c r="A55" s="63"/>
      <c r="B55" s="65"/>
      <c r="C55" s="363"/>
      <c r="D55" s="363"/>
      <c r="E55" s="363"/>
      <c r="F55" s="470" t="s">
        <v>35</v>
      </c>
      <c r="G55" s="473"/>
      <c r="H55" s="98">
        <f>SUM(H56,H58,H62)</f>
        <v>12776</v>
      </c>
      <c r="I55" s="98">
        <v>10276</v>
      </c>
      <c r="J55" s="98">
        <f>H55-I55</f>
        <v>2500</v>
      </c>
      <c r="K55" s="388"/>
      <c r="L55" s="389"/>
      <c r="M55" s="403"/>
      <c r="N55" s="4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AD55" s="591"/>
    </row>
    <row r="56" spans="1:51" s="137" customFormat="1" ht="18" customHeight="1">
      <c r="A56" s="55"/>
      <c r="B56" s="57"/>
      <c r="C56" s="363"/>
      <c r="D56" s="363"/>
      <c r="E56" s="363"/>
      <c r="F56" s="483"/>
      <c r="G56" s="484" t="s">
        <v>36</v>
      </c>
      <c r="H56" s="485">
        <f>M56</f>
        <v>2000</v>
      </c>
      <c r="I56" s="485">
        <v>2000</v>
      </c>
      <c r="J56" s="41">
        <f>H56-I56</f>
        <v>0</v>
      </c>
      <c r="K56" s="391" t="s">
        <v>47</v>
      </c>
      <c r="L56" s="418"/>
      <c r="M56" s="393">
        <f>SUM(M57:M57)</f>
        <v>2000</v>
      </c>
      <c r="N56" s="438"/>
      <c r="O56" s="60"/>
      <c r="P56" s="97"/>
      <c r="Q56" s="54"/>
      <c r="R56" s="54"/>
      <c r="S56" s="54"/>
      <c r="T56" s="54"/>
      <c r="U56" s="54"/>
      <c r="V56" s="54"/>
      <c r="W56" s="59"/>
      <c r="X56" s="59"/>
      <c r="Y56" s="59"/>
      <c r="Z56" s="59"/>
      <c r="AA56" s="59"/>
      <c r="AB56" s="59"/>
      <c r="AC56" s="59"/>
      <c r="AD56" s="591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</row>
    <row r="57" spans="1:51" s="59" customFormat="1" ht="18" customHeight="1">
      <c r="A57" s="55"/>
      <c r="B57" s="57"/>
      <c r="C57" s="363"/>
      <c r="D57" s="363"/>
      <c r="E57" s="363"/>
      <c r="F57" s="487"/>
      <c r="G57" s="487"/>
      <c r="H57" s="488"/>
      <c r="I57" s="488"/>
      <c r="J57" s="492"/>
      <c r="K57" s="377" t="s">
        <v>688</v>
      </c>
      <c r="L57" s="383" t="s">
        <v>37</v>
      </c>
      <c r="M57" s="379">
        <v>2000</v>
      </c>
      <c r="N57" s="439" t="s">
        <v>9</v>
      </c>
      <c r="P57" s="99"/>
      <c r="Q57" s="54"/>
      <c r="R57" s="54"/>
      <c r="S57" s="54"/>
      <c r="T57" s="54"/>
      <c r="U57" s="54"/>
      <c r="V57" s="54"/>
      <c r="AD57" s="591"/>
    </row>
    <row r="58" spans="1:51" s="137" customFormat="1" ht="18" customHeight="1">
      <c r="A58" s="55"/>
      <c r="B58" s="57"/>
      <c r="C58" s="363"/>
      <c r="D58" s="363"/>
      <c r="E58" s="363"/>
      <c r="F58" s="487"/>
      <c r="G58" s="484" t="s">
        <v>38</v>
      </c>
      <c r="H58" s="485">
        <f>M58</f>
        <v>3000</v>
      </c>
      <c r="I58" s="485">
        <v>500</v>
      </c>
      <c r="J58" s="531">
        <f>H58-I58</f>
        <v>2500</v>
      </c>
      <c r="K58" s="391" t="s">
        <v>48</v>
      </c>
      <c r="L58" s="530"/>
      <c r="M58" s="393">
        <f>M61</f>
        <v>3000</v>
      </c>
      <c r="N58" s="440" t="s">
        <v>10</v>
      </c>
      <c r="O58" s="151"/>
      <c r="P58" s="139">
        <v>10380</v>
      </c>
      <c r="Q58" s="101">
        <v>0.5</v>
      </c>
      <c r="R58" s="101">
        <v>0.5</v>
      </c>
      <c r="S58" s="101">
        <v>4</v>
      </c>
      <c r="T58" s="101">
        <v>5</v>
      </c>
      <c r="U58" s="101">
        <v>52</v>
      </c>
      <c r="AD58" s="591"/>
    </row>
    <row r="59" spans="1:51" s="137" customFormat="1" ht="18" customHeight="1">
      <c r="A59" s="55"/>
      <c r="B59" s="57"/>
      <c r="C59" s="363"/>
      <c r="D59" s="363"/>
      <c r="E59" s="363"/>
      <c r="F59" s="487"/>
      <c r="G59" s="487"/>
      <c r="H59" s="488"/>
      <c r="I59" s="488"/>
      <c r="J59" s="492"/>
      <c r="K59" s="387" t="s">
        <v>769</v>
      </c>
      <c r="L59" s="383" t="s">
        <v>0</v>
      </c>
      <c r="M59" s="379">
        <v>500</v>
      </c>
      <c r="N59" s="440"/>
      <c r="O59" s="151"/>
      <c r="P59" s="139"/>
      <c r="Q59" s="101"/>
      <c r="R59" s="101"/>
      <c r="S59" s="101"/>
      <c r="T59" s="101"/>
      <c r="U59" s="101"/>
      <c r="AD59" s="621"/>
    </row>
    <row r="60" spans="1:51" s="137" customFormat="1" ht="18" customHeight="1">
      <c r="A60" s="55"/>
      <c r="B60" s="57"/>
      <c r="C60" s="363"/>
      <c r="D60" s="363"/>
      <c r="E60" s="363"/>
      <c r="F60" s="487"/>
      <c r="G60" s="487"/>
      <c r="H60" s="488"/>
      <c r="I60" s="488"/>
      <c r="J60" s="492"/>
      <c r="K60" s="622" t="s">
        <v>760</v>
      </c>
      <c r="L60" s="383"/>
      <c r="M60" s="384"/>
      <c r="N60" s="440"/>
      <c r="O60" s="151"/>
      <c r="P60" s="139"/>
      <c r="Q60" s="101"/>
      <c r="R60" s="101"/>
      <c r="S60" s="101"/>
      <c r="T60" s="101"/>
      <c r="U60" s="101"/>
      <c r="AD60" s="621"/>
    </row>
    <row r="61" spans="1:51" s="137" customFormat="1" ht="18" customHeight="1">
      <c r="A61" s="63"/>
      <c r="B61" s="65"/>
      <c r="C61" s="363"/>
      <c r="D61" s="363"/>
      <c r="E61" s="363"/>
      <c r="F61" s="487"/>
      <c r="G61" s="487"/>
      <c r="H61" s="488"/>
      <c r="I61" s="488"/>
      <c r="J61" s="492"/>
      <c r="K61" s="641" t="s">
        <v>770</v>
      </c>
      <c r="L61" s="627" t="s">
        <v>39</v>
      </c>
      <c r="M61" s="615">
        <v>3000</v>
      </c>
      <c r="N61" s="441" t="s">
        <v>4</v>
      </c>
      <c r="O61" s="151"/>
      <c r="P61" s="139">
        <v>10380</v>
      </c>
      <c r="Q61" s="101">
        <v>8</v>
      </c>
      <c r="R61" s="101">
        <v>4</v>
      </c>
      <c r="S61" s="101">
        <v>12</v>
      </c>
      <c r="T61" s="101"/>
      <c r="U61" s="101"/>
      <c r="AD61" s="591"/>
    </row>
    <row r="62" spans="1:51" s="137" customFormat="1" ht="18" customHeight="1">
      <c r="A62" s="55"/>
      <c r="B62" s="57"/>
      <c r="C62" s="363"/>
      <c r="D62" s="363"/>
      <c r="E62" s="363"/>
      <c r="F62" s="487"/>
      <c r="G62" s="484" t="s">
        <v>306</v>
      </c>
      <c r="H62" s="485">
        <f>M62</f>
        <v>7776</v>
      </c>
      <c r="I62" s="485">
        <v>7776</v>
      </c>
      <c r="J62" s="531">
        <f>H62-I62</f>
        <v>0</v>
      </c>
      <c r="K62" s="391" t="s">
        <v>307</v>
      </c>
      <c r="L62" s="530"/>
      <c r="M62" s="393">
        <f>SUM(M63)</f>
        <v>7776</v>
      </c>
      <c r="N62" s="440" t="s">
        <v>10</v>
      </c>
      <c r="O62" s="151"/>
      <c r="P62" s="139">
        <v>10380</v>
      </c>
      <c r="Q62" s="101">
        <v>0.5</v>
      </c>
      <c r="R62" s="101">
        <v>0.5</v>
      </c>
      <c r="S62" s="101">
        <v>4</v>
      </c>
      <c r="T62" s="101">
        <v>5</v>
      </c>
      <c r="U62" s="101">
        <v>52</v>
      </c>
      <c r="AD62" s="591"/>
    </row>
    <row r="63" spans="1:51" s="137" customFormat="1" ht="18" customHeight="1">
      <c r="A63" s="63"/>
      <c r="B63" s="65"/>
      <c r="C63" s="363"/>
      <c r="D63" s="363"/>
      <c r="E63" s="363"/>
      <c r="F63" s="487"/>
      <c r="G63" s="487"/>
      <c r="H63" s="488"/>
      <c r="I63" s="488"/>
      <c r="J63" s="492"/>
      <c r="K63" s="385" t="s">
        <v>394</v>
      </c>
      <c r="L63" s="378" t="s">
        <v>37</v>
      </c>
      <c r="M63" s="379">
        <v>7776</v>
      </c>
      <c r="N63" s="441" t="s">
        <v>4</v>
      </c>
      <c r="O63" s="151"/>
      <c r="P63" s="139">
        <v>10380</v>
      </c>
      <c r="Q63" s="101">
        <v>8</v>
      </c>
      <c r="R63" s="101">
        <v>4</v>
      </c>
      <c r="S63" s="101">
        <v>12</v>
      </c>
      <c r="T63" s="101"/>
      <c r="U63" s="101"/>
      <c r="AD63" s="591"/>
    </row>
    <row r="64" spans="1:51" s="137" customFormat="1" ht="18" customHeight="1">
      <c r="A64" s="63"/>
      <c r="B64" s="65"/>
      <c r="C64" s="363"/>
      <c r="D64" s="363"/>
      <c r="E64" s="363"/>
      <c r="F64" s="722" t="s">
        <v>40</v>
      </c>
      <c r="G64" s="723"/>
      <c r="H64" s="520">
        <f>H65</f>
        <v>9000</v>
      </c>
      <c r="I64" s="520">
        <v>9000</v>
      </c>
      <c r="J64" s="521">
        <f>H64-I64</f>
        <v>0</v>
      </c>
      <c r="K64" s="420"/>
      <c r="L64" s="421"/>
      <c r="M64" s="422"/>
      <c r="N64" s="442"/>
      <c r="P64" s="141"/>
      <c r="V64" s="54"/>
      <c r="W64" s="59"/>
      <c r="X64" s="59"/>
      <c r="Y64" s="59"/>
      <c r="Z64" s="59"/>
      <c r="AA64" s="59"/>
      <c r="AB64" s="59"/>
      <c r="AC64" s="59"/>
      <c r="AD64" s="591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</row>
    <row r="65" spans="1:51" s="137" customFormat="1" ht="18" customHeight="1">
      <c r="A65" s="63"/>
      <c r="B65" s="65"/>
      <c r="C65" s="363"/>
      <c r="D65" s="363"/>
      <c r="E65" s="363"/>
      <c r="F65" s="522"/>
      <c r="G65" s="478" t="s">
        <v>41</v>
      </c>
      <c r="H65" s="494">
        <f>M65</f>
        <v>9000</v>
      </c>
      <c r="I65" s="485">
        <v>9000</v>
      </c>
      <c r="J65" s="495">
        <f>H65-I65</f>
        <v>0</v>
      </c>
      <c r="K65" s="391" t="s">
        <v>49</v>
      </c>
      <c r="L65" s="423"/>
      <c r="M65" s="393">
        <f>SUM(M66:M67)</f>
        <v>9000</v>
      </c>
      <c r="N65" s="443"/>
      <c r="O65" s="151"/>
      <c r="P65" s="139"/>
      <c r="Q65" s="101"/>
      <c r="R65" s="101"/>
      <c r="S65" s="101"/>
      <c r="V65" s="54"/>
      <c r="W65" s="59"/>
      <c r="X65" s="59"/>
      <c r="Y65" s="59"/>
      <c r="Z65" s="59"/>
      <c r="AA65" s="59"/>
      <c r="AB65" s="59"/>
      <c r="AC65" s="59"/>
      <c r="AD65" s="591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</row>
    <row r="66" spans="1:51" s="137" customFormat="1" ht="18" customHeight="1">
      <c r="A66" s="63"/>
      <c r="B66" s="65"/>
      <c r="C66" s="363"/>
      <c r="D66" s="363"/>
      <c r="E66" s="363"/>
      <c r="F66" s="479"/>
      <c r="G66" s="479"/>
      <c r="H66" s="488"/>
      <c r="I66" s="532"/>
      <c r="J66" s="492"/>
      <c r="K66" s="387" t="s">
        <v>571</v>
      </c>
      <c r="L66" s="424" t="s">
        <v>0</v>
      </c>
      <c r="M66" s="379">
        <v>2400</v>
      </c>
      <c r="N66" s="444" t="s">
        <v>17</v>
      </c>
      <c r="O66" s="151"/>
      <c r="P66" s="139">
        <v>670000</v>
      </c>
      <c r="Q66" s="101">
        <v>1</v>
      </c>
      <c r="R66" s="101">
        <v>1</v>
      </c>
      <c r="S66" s="101"/>
      <c r="V66" s="54"/>
      <c r="W66" s="59"/>
      <c r="X66" s="59"/>
      <c r="Y66" s="59"/>
      <c r="Z66" s="59"/>
      <c r="AA66" s="59"/>
      <c r="AB66" s="59"/>
      <c r="AC66" s="59"/>
      <c r="AD66" s="591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</row>
    <row r="67" spans="1:51" s="137" customFormat="1" ht="18" customHeight="1">
      <c r="A67" s="63"/>
      <c r="B67" s="65"/>
      <c r="C67" s="363"/>
      <c r="D67" s="363"/>
      <c r="E67" s="363"/>
      <c r="F67" s="500"/>
      <c r="G67" s="500"/>
      <c r="H67" s="525"/>
      <c r="I67" s="533"/>
      <c r="J67" s="526"/>
      <c r="K67" s="385" t="s">
        <v>572</v>
      </c>
      <c r="L67" s="528" t="s">
        <v>0</v>
      </c>
      <c r="M67" s="386">
        <v>6600</v>
      </c>
      <c r="N67" s="444" t="s">
        <v>18</v>
      </c>
      <c r="O67" s="151"/>
      <c r="P67" s="139">
        <v>26000</v>
      </c>
      <c r="Q67" s="101">
        <v>16</v>
      </c>
      <c r="R67" s="101"/>
      <c r="S67" s="101"/>
      <c r="AD67" s="591"/>
    </row>
    <row r="68" spans="1:51" s="137" customFormat="1" ht="18" customHeight="1">
      <c r="A68" s="63"/>
      <c r="B68" s="65"/>
      <c r="C68" s="363"/>
      <c r="D68" s="363"/>
      <c r="E68" s="363"/>
      <c r="F68" s="722" t="s">
        <v>42</v>
      </c>
      <c r="G68" s="723"/>
      <c r="H68" s="520">
        <f>H69</f>
        <v>1500</v>
      </c>
      <c r="I68" s="520">
        <v>1500</v>
      </c>
      <c r="J68" s="521">
        <f>H68-I68</f>
        <v>0</v>
      </c>
      <c r="K68" s="420"/>
      <c r="L68" s="421"/>
      <c r="M68" s="422"/>
      <c r="N68" s="442"/>
      <c r="P68" s="141"/>
      <c r="V68" s="54"/>
      <c r="W68" s="59"/>
      <c r="X68" s="59"/>
      <c r="Y68" s="59"/>
      <c r="Z68" s="59"/>
      <c r="AA68" s="59"/>
      <c r="AB68" s="59"/>
      <c r="AC68" s="59"/>
      <c r="AD68" s="591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</row>
    <row r="69" spans="1:51" s="137" customFormat="1" ht="18" customHeight="1">
      <c r="A69" s="63"/>
      <c r="B69" s="65"/>
      <c r="C69" s="363"/>
      <c r="D69" s="363"/>
      <c r="E69" s="363"/>
      <c r="F69" s="479"/>
      <c r="G69" s="522" t="s">
        <v>43</v>
      </c>
      <c r="H69" s="494">
        <f>M69</f>
        <v>1500</v>
      </c>
      <c r="I69" s="494">
        <v>1500</v>
      </c>
      <c r="J69" s="495">
        <f>H69-I69</f>
        <v>0</v>
      </c>
      <c r="K69" s="36" t="s">
        <v>507</v>
      </c>
      <c r="L69" s="418"/>
      <c r="M69" s="393">
        <f>SUM(M70)</f>
        <v>1500</v>
      </c>
      <c r="N69" s="445"/>
      <c r="O69" s="151"/>
      <c r="P69" s="139"/>
      <c r="Q69" s="101"/>
      <c r="R69" s="101"/>
      <c r="S69" s="101"/>
      <c r="AD69" s="591"/>
    </row>
    <row r="70" spans="1:51" s="137" customFormat="1" ht="18" customHeight="1">
      <c r="A70" s="318"/>
      <c r="B70" s="319"/>
      <c r="C70" s="524"/>
      <c r="D70" s="524"/>
      <c r="E70" s="524"/>
      <c r="F70" s="500"/>
      <c r="G70" s="500"/>
      <c r="H70" s="525"/>
      <c r="I70" s="526"/>
      <c r="J70" s="526"/>
      <c r="K70" s="527" t="s">
        <v>573</v>
      </c>
      <c r="L70" s="528" t="s">
        <v>0</v>
      </c>
      <c r="M70" s="386">
        <v>1500</v>
      </c>
      <c r="N70" s="446" t="s">
        <v>11</v>
      </c>
      <c r="O70" s="151"/>
      <c r="P70" s="139">
        <v>130000</v>
      </c>
      <c r="Q70" s="101">
        <v>1</v>
      </c>
      <c r="R70" s="101"/>
      <c r="S70" s="101"/>
      <c r="AD70" s="591"/>
    </row>
    <row r="71" spans="1:51" customFormat="1">
      <c r="A71" s="63"/>
      <c r="B71" s="65"/>
      <c r="C71" s="363"/>
      <c r="D71" s="363"/>
      <c r="E71" s="363"/>
      <c r="F71" s="519" t="s">
        <v>89</v>
      </c>
      <c r="G71" s="534"/>
      <c r="H71" s="146">
        <f>H72</f>
        <v>2100</v>
      </c>
      <c r="I71" s="146">
        <v>2100</v>
      </c>
      <c r="J71" s="146">
        <f>H71-I71</f>
        <v>0</v>
      </c>
      <c r="K71" s="535"/>
      <c r="L71" s="536"/>
      <c r="M71" s="537"/>
      <c r="AD71" s="591"/>
    </row>
    <row r="72" spans="1:51" customFormat="1">
      <c r="A72" s="63"/>
      <c r="B72" s="65"/>
      <c r="C72" s="363"/>
      <c r="D72" s="363"/>
      <c r="E72" s="363"/>
      <c r="F72" s="474"/>
      <c r="G72" s="363" t="s">
        <v>93</v>
      </c>
      <c r="H72" s="475">
        <f>M72</f>
        <v>2100</v>
      </c>
      <c r="I72" s="475">
        <v>2100</v>
      </c>
      <c r="J72" s="50">
        <f>H72-I72</f>
        <v>0</v>
      </c>
      <c r="K72" s="391" t="s">
        <v>387</v>
      </c>
      <c r="L72" s="417"/>
      <c r="M72" s="393">
        <f>M73</f>
        <v>2100</v>
      </c>
      <c r="AD72" s="591"/>
    </row>
    <row r="73" spans="1:51" customFormat="1" ht="17.25" thickBot="1">
      <c r="A73" s="290"/>
      <c r="B73" s="69"/>
      <c r="C73" s="69"/>
      <c r="D73" s="69"/>
      <c r="E73" s="69"/>
      <c r="F73" s="336"/>
      <c r="G73" s="200"/>
      <c r="H73" s="337"/>
      <c r="I73" s="338"/>
      <c r="J73" s="339"/>
      <c r="K73" s="231" t="s">
        <v>399</v>
      </c>
      <c r="L73" s="232" t="s">
        <v>0</v>
      </c>
      <c r="M73" s="242">
        <v>2100</v>
      </c>
      <c r="N73">
        <v>8</v>
      </c>
      <c r="AD73" s="591"/>
    </row>
    <row r="74" spans="1:51" s="137" customFormat="1" ht="18" customHeight="1">
      <c r="AD74" s="591"/>
    </row>
    <row r="75" spans="1:51" s="137" customFormat="1" ht="18" customHeight="1">
      <c r="AD75" s="591"/>
    </row>
    <row r="76" spans="1:51" s="137" customFormat="1" ht="18" customHeight="1">
      <c r="AD76" s="591"/>
    </row>
    <row r="77" spans="1:51" s="137" customFormat="1" ht="18" customHeight="1">
      <c r="AD77" s="591"/>
    </row>
    <row r="78" spans="1:51" s="137" customFormat="1" ht="18" customHeight="1">
      <c r="AD78" s="591"/>
    </row>
    <row r="79" spans="1:51" s="137" customFormat="1" ht="18" customHeight="1">
      <c r="AD79" s="591"/>
    </row>
    <row r="80" spans="1:51" s="137" customFormat="1" ht="18" customHeight="1">
      <c r="AD80" s="591"/>
    </row>
    <row r="81" spans="1:30" s="137" customFormat="1" ht="18" customHeight="1">
      <c r="AD81" s="591"/>
    </row>
    <row r="82" spans="1:30" s="137" customFormat="1" ht="18" customHeight="1">
      <c r="AD82" s="591"/>
    </row>
    <row r="83" spans="1:30" s="137" customFormat="1" ht="18" customHeight="1">
      <c r="AD83" s="591"/>
    </row>
    <row r="84" spans="1:30" s="137" customFormat="1" ht="18" customHeight="1">
      <c r="AD84" s="591"/>
    </row>
    <row r="85" spans="1:30" s="137" customFormat="1" ht="18" customHeight="1">
      <c r="A85" s="1"/>
      <c r="AD85" s="591"/>
    </row>
    <row r="86" spans="1:30" s="137" customFormat="1" ht="18" customHeight="1">
      <c r="A86" s="1"/>
      <c r="AD86" s="591"/>
    </row>
    <row r="87" spans="1:30" s="137" customFormat="1" ht="18" customHeight="1">
      <c r="A87" s="1"/>
      <c r="AD87" s="591"/>
    </row>
    <row r="88" spans="1:30" s="137" customFormat="1" ht="18" customHeight="1">
      <c r="A88" s="1"/>
      <c r="AD88" s="591"/>
    </row>
    <row r="89" spans="1:30" s="137" customFormat="1" ht="18" customHeight="1">
      <c r="A89" s="1"/>
      <c r="AD89" s="591"/>
    </row>
    <row r="90" spans="1:30" s="137" customFormat="1" ht="18" customHeight="1">
      <c r="A90" s="158"/>
      <c r="AD90" s="591"/>
    </row>
    <row r="91" spans="1:30" s="137" customFormat="1" ht="18" customHeight="1">
      <c r="A91" s="158"/>
      <c r="AD91" s="591"/>
    </row>
    <row r="92" spans="1:30" s="137" customFormat="1" ht="18" customHeight="1">
      <c r="AD92" s="591"/>
    </row>
    <row r="93" spans="1:30" s="137" customFormat="1" ht="18" customHeight="1">
      <c r="AD93" s="591"/>
    </row>
    <row r="94" spans="1:30" s="137" customFormat="1" ht="18" customHeight="1">
      <c r="AD94" s="591"/>
    </row>
    <row r="95" spans="1:30" s="137" customFormat="1" ht="18" customHeight="1">
      <c r="A95" s="1"/>
      <c r="B95" s="1"/>
      <c r="C95" s="1"/>
      <c r="D95" s="1"/>
      <c r="E95" s="1"/>
      <c r="F95" s="1"/>
      <c r="G95" s="1"/>
      <c r="H95" s="1"/>
      <c r="AD95" s="591"/>
    </row>
    <row r="96" spans="1:30" s="137" customFormat="1" ht="18" customHeight="1">
      <c r="A96" s="1"/>
      <c r="B96" s="1"/>
      <c r="C96" s="1"/>
      <c r="D96" s="1"/>
      <c r="E96" s="1"/>
      <c r="F96" s="1"/>
      <c r="G96" s="1"/>
      <c r="H96" s="1"/>
      <c r="AD96" s="591"/>
    </row>
    <row r="97" spans="1:30" s="1" customFormat="1" ht="18" customHeight="1">
      <c r="AD97" s="591"/>
    </row>
    <row r="98" spans="1:30" s="1" customFormat="1" ht="18" customHeight="1">
      <c r="AD98" s="591"/>
    </row>
    <row r="99" spans="1:30" s="137" customFormat="1" ht="18" customHeight="1">
      <c r="A99" s="1"/>
      <c r="B99" s="1"/>
      <c r="C99" s="1"/>
      <c r="D99" s="1"/>
      <c r="E99" s="1"/>
      <c r="F99" s="1"/>
      <c r="G99" s="1"/>
      <c r="H99" s="1"/>
      <c r="AD99" s="591"/>
    </row>
    <row r="100" spans="1:30" s="137" customFormat="1" ht="18" customHeight="1">
      <c r="A100" s="157"/>
      <c r="B100" s="158"/>
      <c r="C100" s="158"/>
      <c r="D100" s="158"/>
      <c r="E100" s="158"/>
      <c r="F100" s="158"/>
      <c r="G100" s="158"/>
      <c r="H100" s="158"/>
      <c r="AD100" s="591"/>
    </row>
    <row r="101" spans="1:30" s="137" customFormat="1" ht="18" customHeight="1">
      <c r="A101" s="24"/>
      <c r="B101" s="24"/>
      <c r="C101" s="24"/>
      <c r="D101" s="24"/>
      <c r="E101" s="24"/>
      <c r="F101" s="24"/>
      <c r="G101" s="24"/>
      <c r="H101" s="77"/>
      <c r="AD101" s="591"/>
    </row>
    <row r="102" spans="1:30" s="137" customFormat="1" ht="18" customHeight="1">
      <c r="A102" s="24"/>
      <c r="B102" s="24"/>
      <c r="C102" s="24"/>
      <c r="D102" s="24"/>
      <c r="E102" s="24"/>
      <c r="F102" s="24"/>
      <c r="G102" s="24"/>
      <c r="H102" s="77"/>
      <c r="AD102" s="591"/>
    </row>
    <row r="103" spans="1:30" s="137" customFormat="1" ht="18" customHeight="1">
      <c r="A103" s="24"/>
      <c r="B103" s="24"/>
      <c r="C103" s="24"/>
      <c r="D103" s="24"/>
      <c r="E103" s="24"/>
      <c r="F103" s="24"/>
      <c r="G103" s="24"/>
      <c r="H103" s="77"/>
      <c r="AD103" s="591"/>
    </row>
    <row r="104" spans="1:30" s="137" customFormat="1" ht="18" customHeight="1">
      <c r="A104" s="24"/>
      <c r="B104" s="24"/>
      <c r="C104" s="24"/>
      <c r="D104" s="24"/>
      <c r="E104" s="24"/>
      <c r="F104" s="24"/>
      <c r="G104" s="24"/>
      <c r="H104" s="77"/>
      <c r="AD104" s="591"/>
    </row>
    <row r="105" spans="1:30" s="137" customFormat="1" ht="18" customHeight="1">
      <c r="A105" s="24"/>
      <c r="B105" s="24"/>
      <c r="C105" s="24"/>
      <c r="D105" s="24"/>
      <c r="E105" s="24"/>
      <c r="F105" s="24"/>
      <c r="G105" s="24"/>
      <c r="H105" s="77"/>
      <c r="AD105" s="591"/>
    </row>
    <row r="106" spans="1:30" s="137" customFormat="1" ht="18" customHeight="1">
      <c r="A106" s="24"/>
      <c r="B106" s="24"/>
      <c r="C106" s="24"/>
      <c r="D106" s="24"/>
      <c r="E106" s="24"/>
      <c r="F106" s="24"/>
      <c r="G106" s="24"/>
      <c r="H106" s="77"/>
      <c r="AD106" s="591"/>
    </row>
    <row r="107" spans="1:30" s="137" customFormat="1" ht="18" customHeight="1">
      <c r="A107" s="24"/>
      <c r="B107" s="24"/>
      <c r="C107" s="24"/>
      <c r="D107" s="24"/>
      <c r="E107" s="24"/>
      <c r="F107" s="24"/>
      <c r="G107" s="24"/>
      <c r="H107" s="77"/>
      <c r="AD107" s="591"/>
    </row>
    <row r="108" spans="1:30" s="137" customFormat="1" ht="18" customHeight="1">
      <c r="A108" s="24"/>
      <c r="B108" s="24"/>
      <c r="C108" s="24"/>
      <c r="D108" s="24"/>
      <c r="E108" s="24"/>
      <c r="F108" s="24"/>
      <c r="G108" s="24"/>
      <c r="H108" s="77"/>
      <c r="AD108" s="591"/>
    </row>
    <row r="109" spans="1:30" s="137" customFormat="1" ht="18" customHeight="1">
      <c r="A109" s="24"/>
      <c r="B109" s="24"/>
      <c r="C109" s="24"/>
      <c r="D109" s="24"/>
      <c r="E109" s="24"/>
      <c r="F109" s="24"/>
      <c r="G109" s="24"/>
      <c r="H109" s="77"/>
      <c r="AD109" s="591"/>
    </row>
    <row r="110" spans="1:30" s="137" customFormat="1" ht="18" customHeight="1">
      <c r="A110" s="24"/>
      <c r="B110" s="24"/>
      <c r="C110" s="24"/>
      <c r="D110" s="24"/>
      <c r="E110" s="24"/>
      <c r="F110" s="24"/>
      <c r="G110" s="24"/>
      <c r="H110" s="77"/>
      <c r="AD110" s="591"/>
    </row>
    <row r="111" spans="1:30" s="137" customFormat="1" ht="18" customHeight="1">
      <c r="A111" s="24"/>
      <c r="B111" s="24"/>
      <c r="C111" s="24"/>
      <c r="D111" s="24"/>
      <c r="E111" s="24"/>
      <c r="F111" s="24"/>
      <c r="G111" s="24"/>
      <c r="H111" s="77"/>
      <c r="AD111" s="591"/>
    </row>
    <row r="112" spans="1:30" s="137" customFormat="1" ht="18" customHeight="1">
      <c r="A112" s="24"/>
      <c r="B112" s="24"/>
      <c r="C112" s="24"/>
      <c r="D112" s="24"/>
      <c r="E112" s="24"/>
      <c r="F112" s="24"/>
      <c r="G112" s="24"/>
      <c r="H112" s="77"/>
      <c r="AD112" s="591"/>
    </row>
    <row r="113" spans="1:30" s="137" customFormat="1" ht="18" customHeight="1">
      <c r="A113" s="24"/>
      <c r="B113" s="24"/>
      <c r="C113" s="24"/>
      <c r="D113" s="24"/>
      <c r="E113" s="24"/>
      <c r="F113" s="24"/>
      <c r="G113" s="24"/>
      <c r="H113" s="77"/>
      <c r="AD113" s="591"/>
    </row>
    <row r="114" spans="1:30" s="137" customFormat="1" ht="18" customHeight="1">
      <c r="A114" s="24"/>
      <c r="B114" s="24"/>
      <c r="C114" s="24"/>
      <c r="D114" s="24"/>
      <c r="E114" s="24"/>
      <c r="F114" s="24"/>
      <c r="G114" s="24"/>
      <c r="H114" s="77"/>
      <c r="AD114" s="591"/>
    </row>
    <row r="115" spans="1:30" s="137" customFormat="1" ht="18" customHeight="1">
      <c r="A115" s="24"/>
      <c r="B115" s="24"/>
      <c r="C115" s="24"/>
      <c r="D115" s="24"/>
      <c r="E115" s="24"/>
      <c r="F115" s="24"/>
      <c r="G115" s="24"/>
      <c r="H115" s="77"/>
      <c r="AD115" s="591"/>
    </row>
    <row r="116" spans="1:30" s="137" customFormat="1" ht="18" customHeight="1">
      <c r="A116" s="24"/>
      <c r="B116" s="24"/>
      <c r="C116" s="24"/>
      <c r="D116" s="24"/>
      <c r="E116" s="24"/>
      <c r="F116" s="24"/>
      <c r="G116" s="24"/>
      <c r="H116" s="77"/>
      <c r="AD116" s="591"/>
    </row>
    <row r="117" spans="1:30" s="137" customFormat="1" ht="18" customHeight="1">
      <c r="A117" s="24"/>
      <c r="B117" s="24"/>
      <c r="C117" s="24"/>
      <c r="D117" s="24"/>
      <c r="E117" s="24"/>
      <c r="F117" s="24"/>
      <c r="G117" s="24"/>
      <c r="H117" s="77"/>
      <c r="AD117" s="591"/>
    </row>
    <row r="118" spans="1:30" s="137" customFormat="1" ht="18" customHeight="1">
      <c r="A118" s="24"/>
      <c r="B118" s="24"/>
      <c r="C118" s="24"/>
      <c r="D118" s="24"/>
      <c r="E118" s="24"/>
      <c r="F118" s="24"/>
      <c r="G118" s="24"/>
      <c r="H118" s="77"/>
      <c r="AD118" s="591"/>
    </row>
    <row r="119" spans="1:30" s="137" customFormat="1" ht="18" customHeight="1">
      <c r="A119" s="24"/>
      <c r="B119" s="24"/>
      <c r="C119" s="24"/>
      <c r="D119" s="24"/>
      <c r="E119" s="24"/>
      <c r="F119" s="24"/>
      <c r="G119" s="24"/>
      <c r="H119" s="77"/>
      <c r="AD119" s="591"/>
    </row>
    <row r="120" spans="1:30" s="137" customFormat="1" ht="18" customHeight="1">
      <c r="A120" s="24"/>
      <c r="B120" s="24"/>
      <c r="C120" s="24"/>
      <c r="D120" s="24"/>
      <c r="E120" s="24"/>
      <c r="F120" s="24"/>
      <c r="G120" s="24"/>
      <c r="H120" s="77"/>
      <c r="AD120" s="591"/>
    </row>
    <row r="121" spans="1:30" s="137" customFormat="1" ht="18" customHeight="1">
      <c r="A121" s="24"/>
      <c r="B121" s="24"/>
      <c r="C121" s="24"/>
      <c r="D121" s="24"/>
      <c r="E121" s="24"/>
      <c r="F121" s="24"/>
      <c r="G121" s="24"/>
      <c r="H121" s="77"/>
      <c r="AD121" s="591"/>
    </row>
    <row r="122" spans="1:30" s="137" customFormat="1" ht="18" customHeight="1">
      <c r="A122" s="24"/>
      <c r="B122" s="24"/>
      <c r="C122" s="24"/>
      <c r="D122" s="24"/>
      <c r="E122" s="24"/>
      <c r="F122" s="24"/>
      <c r="G122" s="24"/>
      <c r="H122" s="77"/>
      <c r="AD122" s="591"/>
    </row>
    <row r="123" spans="1:30" s="137" customFormat="1" ht="18" customHeight="1">
      <c r="A123" s="24"/>
      <c r="B123" s="24"/>
      <c r="C123" s="24"/>
      <c r="D123" s="24"/>
      <c r="E123" s="24"/>
      <c r="F123" s="24"/>
      <c r="G123" s="24"/>
      <c r="H123" s="77"/>
      <c r="AD123" s="591"/>
    </row>
    <row r="124" spans="1:30" s="137" customFormat="1" ht="18" customHeight="1">
      <c r="A124" s="24"/>
      <c r="B124" s="24"/>
      <c r="C124" s="24"/>
      <c r="D124" s="24"/>
      <c r="E124" s="24"/>
      <c r="F124" s="24"/>
      <c r="G124" s="24"/>
      <c r="H124" s="77"/>
      <c r="AD124" s="591"/>
    </row>
    <row r="125" spans="1:30" s="137" customFormat="1" ht="18" customHeight="1">
      <c r="A125" s="24"/>
      <c r="B125" s="24"/>
      <c r="C125" s="24"/>
      <c r="D125" s="24"/>
      <c r="E125" s="24"/>
      <c r="F125" s="24"/>
      <c r="G125" s="24"/>
      <c r="H125" s="77"/>
      <c r="AD125" s="591"/>
    </row>
    <row r="126" spans="1:30" s="137" customFormat="1" ht="18" customHeight="1">
      <c r="A126" s="24"/>
      <c r="B126" s="24"/>
      <c r="C126" s="24"/>
      <c r="D126" s="24"/>
      <c r="E126" s="24"/>
      <c r="F126" s="24"/>
      <c r="G126" s="24"/>
      <c r="H126" s="77"/>
      <c r="AD126" s="591"/>
    </row>
    <row r="127" spans="1:30" s="137" customFormat="1" ht="18" customHeight="1">
      <c r="A127" s="24"/>
      <c r="B127" s="24"/>
      <c r="C127" s="24"/>
      <c r="D127" s="24"/>
      <c r="E127" s="24"/>
      <c r="F127" s="24"/>
      <c r="G127" s="24"/>
      <c r="H127" s="77"/>
      <c r="AD127" s="591"/>
    </row>
    <row r="128" spans="1:30" s="137" customFormat="1" ht="18" customHeight="1">
      <c r="A128" s="24"/>
      <c r="B128" s="24"/>
      <c r="C128" s="24"/>
      <c r="D128" s="24"/>
      <c r="E128" s="24"/>
      <c r="F128" s="24"/>
      <c r="G128" s="24"/>
      <c r="H128" s="77"/>
      <c r="AD128" s="591"/>
    </row>
    <row r="129" spans="1:38" s="137" customFormat="1" ht="18" customHeight="1">
      <c r="A129" s="24"/>
      <c r="B129" s="24"/>
      <c r="C129" s="24"/>
      <c r="D129" s="24"/>
      <c r="E129" s="24"/>
      <c r="F129" s="24"/>
      <c r="G129" s="24"/>
      <c r="H129" s="77"/>
      <c r="I129" s="54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1"/>
      <c r="AE129" s="59"/>
      <c r="AF129" s="59"/>
      <c r="AG129" s="59"/>
      <c r="AH129" s="59"/>
      <c r="AI129" s="59"/>
      <c r="AJ129" s="59"/>
      <c r="AK129" s="59"/>
      <c r="AL129" s="59"/>
    </row>
    <row r="130" spans="1:38" s="137" customFormat="1" ht="18" customHeight="1">
      <c r="A130" s="24"/>
      <c r="B130" s="24"/>
      <c r="C130" s="24"/>
      <c r="D130" s="24"/>
      <c r="E130" s="24"/>
      <c r="F130" s="24"/>
      <c r="G130" s="24"/>
      <c r="H130" s="77"/>
      <c r="I130" s="54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1"/>
      <c r="AE130" s="59"/>
      <c r="AF130" s="59"/>
      <c r="AG130" s="59"/>
      <c r="AH130" s="59"/>
      <c r="AI130" s="59"/>
      <c r="AJ130" s="59"/>
      <c r="AK130" s="59"/>
      <c r="AL130" s="59"/>
    </row>
    <row r="131" spans="1:38" s="1" customFormat="1" ht="18" customHeight="1">
      <c r="A131" s="24"/>
      <c r="B131" s="24"/>
      <c r="C131" s="24"/>
      <c r="D131" s="24"/>
      <c r="E131" s="24"/>
      <c r="F131" s="24"/>
      <c r="G131" s="24"/>
      <c r="H131" s="77"/>
      <c r="AD131" s="591"/>
    </row>
    <row r="132" spans="1:38" s="1" customFormat="1" ht="18" customHeight="1">
      <c r="A132" s="24"/>
      <c r="B132" s="24"/>
      <c r="C132" s="24"/>
      <c r="D132" s="24"/>
      <c r="E132" s="24"/>
      <c r="F132" s="24"/>
      <c r="G132" s="24"/>
      <c r="H132" s="77"/>
      <c r="AD132" s="591"/>
    </row>
    <row r="133" spans="1:38" s="1" customFormat="1" ht="18" customHeight="1">
      <c r="A133" s="24"/>
      <c r="B133" s="24"/>
      <c r="C133" s="24"/>
      <c r="D133" s="24"/>
      <c r="E133" s="24"/>
      <c r="F133" s="24"/>
      <c r="G133" s="24"/>
      <c r="H133" s="77"/>
      <c r="AD133" s="591"/>
    </row>
    <row r="134" spans="1:38" s="137" customFormat="1" ht="18" customHeight="1">
      <c r="A134" s="24"/>
      <c r="B134" s="24"/>
      <c r="C134" s="24"/>
      <c r="D134" s="24"/>
      <c r="E134" s="24"/>
      <c r="F134" s="24"/>
      <c r="G134" s="24"/>
      <c r="H134" s="77"/>
      <c r="AD134" s="591"/>
    </row>
    <row r="135" spans="1:38" s="137" customFormat="1" ht="18" customHeight="1">
      <c r="A135" s="24"/>
      <c r="B135" s="24"/>
      <c r="C135" s="24"/>
      <c r="D135" s="24"/>
      <c r="E135" s="24"/>
      <c r="F135" s="24"/>
      <c r="G135" s="24"/>
      <c r="H135" s="77"/>
      <c r="I135" s="54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1"/>
      <c r="AE135" s="59"/>
      <c r="AF135" s="59"/>
      <c r="AG135" s="59"/>
      <c r="AH135" s="59"/>
      <c r="AI135" s="59"/>
      <c r="AJ135" s="59"/>
      <c r="AK135" s="59"/>
      <c r="AL135" s="59"/>
    </row>
    <row r="136" spans="1:38" s="137" customFormat="1" ht="18" customHeight="1">
      <c r="A136" s="24"/>
      <c r="B136" s="24"/>
      <c r="C136" s="24"/>
      <c r="D136" s="24"/>
      <c r="E136" s="24"/>
      <c r="F136" s="24"/>
      <c r="G136" s="24"/>
      <c r="H136" s="77"/>
      <c r="I136" s="54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1"/>
      <c r="AE136" s="59"/>
      <c r="AF136" s="59"/>
      <c r="AG136" s="59"/>
      <c r="AH136" s="59"/>
      <c r="AI136" s="59"/>
      <c r="AJ136" s="59"/>
      <c r="AK136" s="59"/>
      <c r="AL136" s="59"/>
    </row>
    <row r="137" spans="1:38" s="137" customFormat="1" ht="18" customHeight="1">
      <c r="A137" s="24"/>
      <c r="B137" s="24"/>
      <c r="C137" s="24"/>
      <c r="D137" s="24"/>
      <c r="E137" s="24"/>
      <c r="F137" s="24"/>
      <c r="G137" s="24"/>
      <c r="H137" s="77"/>
      <c r="I137" s="54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1"/>
      <c r="AE137" s="59"/>
      <c r="AF137" s="59"/>
      <c r="AG137" s="59"/>
      <c r="AH137" s="59"/>
      <c r="AI137" s="59"/>
      <c r="AJ137" s="59"/>
      <c r="AK137" s="59"/>
      <c r="AL137" s="59"/>
    </row>
    <row r="138" spans="1:38" s="137" customFormat="1" ht="18" customHeight="1">
      <c r="A138" s="24"/>
      <c r="B138" s="24"/>
      <c r="C138" s="24"/>
      <c r="D138" s="24"/>
      <c r="E138" s="24"/>
      <c r="F138" s="24"/>
      <c r="G138" s="24"/>
      <c r="H138" s="77"/>
      <c r="I138" s="54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1"/>
      <c r="AE138" s="59"/>
      <c r="AF138" s="59"/>
      <c r="AG138" s="59"/>
      <c r="AH138" s="59"/>
      <c r="AI138" s="59"/>
      <c r="AJ138" s="59"/>
      <c r="AK138" s="59"/>
      <c r="AL138" s="59"/>
    </row>
    <row r="139" spans="1:38" s="137" customFormat="1" ht="18" customHeight="1">
      <c r="A139" s="24"/>
      <c r="B139" s="24"/>
      <c r="C139" s="24"/>
      <c r="D139" s="24"/>
      <c r="E139" s="24"/>
      <c r="F139" s="24"/>
      <c r="G139" s="24"/>
      <c r="H139" s="77"/>
      <c r="I139" s="54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1"/>
      <c r="AE139" s="59"/>
      <c r="AF139" s="59"/>
      <c r="AG139" s="59"/>
      <c r="AH139" s="59"/>
      <c r="AI139" s="59"/>
      <c r="AJ139" s="59"/>
      <c r="AK139" s="59"/>
      <c r="AL139" s="59"/>
    </row>
    <row r="140" spans="1:38" s="137" customFormat="1" ht="18" customHeight="1">
      <c r="A140" s="24"/>
      <c r="B140" s="24"/>
      <c r="C140" s="24"/>
      <c r="D140" s="24"/>
      <c r="E140" s="24"/>
      <c r="F140" s="24"/>
      <c r="G140" s="24"/>
      <c r="H140" s="77"/>
      <c r="I140" s="54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1"/>
      <c r="AE140" s="59"/>
      <c r="AF140" s="59"/>
      <c r="AG140" s="59"/>
      <c r="AH140" s="59"/>
      <c r="AI140" s="59"/>
      <c r="AJ140" s="59"/>
      <c r="AK140" s="59"/>
      <c r="AL140" s="59"/>
    </row>
    <row r="141" spans="1:38" s="137" customFormat="1" ht="18" customHeight="1">
      <c r="A141" s="24"/>
      <c r="B141" s="24"/>
      <c r="C141" s="24"/>
      <c r="D141" s="24"/>
      <c r="E141" s="24"/>
      <c r="F141" s="24"/>
      <c r="G141" s="24"/>
      <c r="H141" s="77"/>
      <c r="I141" s="54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1"/>
      <c r="AE141" s="59"/>
      <c r="AF141" s="59"/>
      <c r="AG141" s="59"/>
      <c r="AH141" s="59"/>
      <c r="AI141" s="59"/>
      <c r="AJ141" s="59"/>
      <c r="AK141" s="59"/>
      <c r="AL141" s="59"/>
    </row>
    <row r="142" spans="1:38" s="137" customFormat="1" ht="18" customHeight="1">
      <c r="A142" s="24"/>
      <c r="B142" s="24"/>
      <c r="C142" s="24"/>
      <c r="D142" s="24"/>
      <c r="E142" s="24"/>
      <c r="F142" s="24"/>
      <c r="G142" s="24"/>
      <c r="H142" s="77"/>
      <c r="I142" s="54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1"/>
      <c r="AE142" s="59"/>
      <c r="AF142" s="59"/>
      <c r="AG142" s="59"/>
      <c r="AH142" s="59"/>
      <c r="AI142" s="59"/>
      <c r="AJ142" s="59"/>
      <c r="AK142" s="59"/>
      <c r="AL142" s="59"/>
    </row>
    <row r="143" spans="1:38" s="137" customFormat="1" ht="18" customHeight="1">
      <c r="A143" s="24"/>
      <c r="B143" s="24"/>
      <c r="C143" s="24"/>
      <c r="D143" s="24"/>
      <c r="E143" s="24"/>
      <c r="F143" s="24"/>
      <c r="G143" s="24"/>
      <c r="H143" s="77"/>
      <c r="I143" s="54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1"/>
      <c r="AE143" s="59"/>
      <c r="AF143" s="59"/>
      <c r="AG143" s="59"/>
      <c r="AH143" s="59"/>
      <c r="AI143" s="59"/>
      <c r="AJ143" s="59"/>
      <c r="AK143" s="59"/>
      <c r="AL143" s="59"/>
    </row>
    <row r="144" spans="1:38" s="137" customFormat="1" ht="18" customHeight="1">
      <c r="A144" s="24"/>
      <c r="B144" s="24"/>
      <c r="C144" s="24"/>
      <c r="D144" s="24"/>
      <c r="E144" s="24"/>
      <c r="F144" s="24"/>
      <c r="G144" s="24"/>
      <c r="H144" s="77"/>
      <c r="I144" s="54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1"/>
      <c r="AE144" s="59"/>
      <c r="AF144" s="59"/>
      <c r="AG144" s="59"/>
      <c r="AH144" s="59"/>
      <c r="AI144" s="59"/>
      <c r="AJ144" s="59"/>
      <c r="AK144" s="59"/>
      <c r="AL144" s="59"/>
    </row>
    <row r="145" spans="1:38" s="137" customFormat="1" ht="18" customHeight="1">
      <c r="A145" s="24"/>
      <c r="B145" s="24"/>
      <c r="C145" s="24"/>
      <c r="D145" s="24"/>
      <c r="E145" s="24"/>
      <c r="F145" s="24"/>
      <c r="G145" s="24"/>
      <c r="H145" s="77"/>
      <c r="I145" s="54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1"/>
      <c r="AE145" s="59"/>
      <c r="AF145" s="59"/>
      <c r="AG145" s="59"/>
      <c r="AH145" s="59"/>
      <c r="AI145" s="59"/>
      <c r="AJ145" s="59"/>
      <c r="AK145" s="59"/>
      <c r="AL145" s="59"/>
    </row>
    <row r="146" spans="1:38" s="137" customFormat="1" ht="18" customHeight="1">
      <c r="A146" s="24"/>
      <c r="B146" s="24"/>
      <c r="C146" s="24"/>
      <c r="D146" s="24"/>
      <c r="E146" s="24"/>
      <c r="F146" s="24"/>
      <c r="G146" s="24"/>
      <c r="H146" s="77"/>
      <c r="I146" s="54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1"/>
      <c r="AE146" s="59"/>
      <c r="AF146" s="59"/>
      <c r="AG146" s="59"/>
      <c r="AH146" s="59"/>
      <c r="AI146" s="59"/>
      <c r="AJ146" s="59"/>
      <c r="AK146" s="59"/>
      <c r="AL146" s="59"/>
    </row>
    <row r="147" spans="1:38" s="137" customFormat="1" ht="18" customHeight="1">
      <c r="A147" s="24"/>
      <c r="B147" s="24"/>
      <c r="C147" s="24"/>
      <c r="D147" s="24"/>
      <c r="E147" s="24"/>
      <c r="F147" s="24"/>
      <c r="G147" s="24"/>
      <c r="H147" s="77"/>
      <c r="I147" s="54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1"/>
      <c r="AE147" s="59"/>
      <c r="AF147" s="59"/>
      <c r="AG147" s="59"/>
      <c r="AH147" s="59"/>
      <c r="AI147" s="59"/>
      <c r="AJ147" s="59"/>
      <c r="AK147" s="59"/>
      <c r="AL147" s="59"/>
    </row>
    <row r="148" spans="1:38" s="137" customFormat="1" ht="18" customHeight="1">
      <c r="A148" s="24"/>
      <c r="B148" s="24"/>
      <c r="C148" s="24"/>
      <c r="D148" s="24"/>
      <c r="E148" s="24"/>
      <c r="F148" s="24"/>
      <c r="G148" s="24"/>
      <c r="H148" s="77"/>
      <c r="I148" s="54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1"/>
      <c r="AE148" s="59"/>
      <c r="AF148" s="59"/>
      <c r="AG148" s="59"/>
      <c r="AH148" s="59"/>
      <c r="AI148" s="59"/>
      <c r="AJ148" s="59"/>
      <c r="AK148" s="59"/>
      <c r="AL148" s="59"/>
    </row>
    <row r="149" spans="1:38" s="137" customFormat="1" ht="18" customHeight="1">
      <c r="A149" s="24"/>
      <c r="B149" s="24"/>
      <c r="C149" s="24"/>
      <c r="D149" s="24"/>
      <c r="E149" s="24"/>
      <c r="F149" s="24"/>
      <c r="G149" s="24"/>
      <c r="H149" s="77"/>
      <c r="I149" s="54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1"/>
      <c r="AE149" s="59"/>
      <c r="AF149" s="59"/>
      <c r="AG149" s="59"/>
      <c r="AH149" s="59"/>
      <c r="AI149" s="59"/>
      <c r="AJ149" s="59"/>
      <c r="AK149" s="59"/>
      <c r="AL149" s="59"/>
    </row>
    <row r="150" spans="1:38" s="137" customFormat="1" ht="18" customHeight="1">
      <c r="A150" s="24"/>
      <c r="B150" s="24"/>
      <c r="C150" s="24"/>
      <c r="D150" s="24"/>
      <c r="E150" s="24"/>
      <c r="F150" s="24"/>
      <c r="G150" s="24"/>
      <c r="H150" s="77"/>
      <c r="I150" s="54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1"/>
      <c r="AE150" s="59"/>
      <c r="AF150" s="59"/>
      <c r="AG150" s="59"/>
      <c r="AH150" s="59"/>
      <c r="AI150" s="59"/>
      <c r="AJ150" s="59"/>
      <c r="AK150" s="59"/>
      <c r="AL150" s="59"/>
    </row>
    <row r="151" spans="1:38" s="137" customFormat="1" ht="18" customHeight="1">
      <c r="A151" s="24"/>
      <c r="B151" s="24"/>
      <c r="C151" s="24"/>
      <c r="D151" s="24"/>
      <c r="E151" s="24"/>
      <c r="F151" s="24"/>
      <c r="G151" s="24"/>
      <c r="H151" s="77"/>
      <c r="I151" s="54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1"/>
      <c r="AE151" s="59"/>
      <c r="AF151" s="59"/>
      <c r="AG151" s="59"/>
      <c r="AH151" s="59"/>
      <c r="AI151" s="59"/>
      <c r="AJ151" s="59"/>
      <c r="AK151" s="59"/>
      <c r="AL151" s="59"/>
    </row>
    <row r="152" spans="1:38" s="137" customFormat="1" ht="18" customHeight="1">
      <c r="A152" s="24"/>
      <c r="B152" s="24"/>
      <c r="C152" s="24"/>
      <c r="D152" s="24"/>
      <c r="E152" s="24"/>
      <c r="F152" s="24"/>
      <c r="G152" s="24"/>
      <c r="H152" s="77"/>
      <c r="I152" s="54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1"/>
      <c r="AE152" s="59"/>
      <c r="AF152" s="59"/>
      <c r="AG152" s="59"/>
      <c r="AH152" s="59"/>
      <c r="AI152" s="59"/>
      <c r="AJ152" s="59"/>
      <c r="AK152" s="59"/>
      <c r="AL152" s="59"/>
    </row>
    <row r="153" spans="1:38" s="137" customFormat="1" ht="18" customHeight="1">
      <c r="A153" s="24"/>
      <c r="B153" s="24"/>
      <c r="C153" s="24"/>
      <c r="D153" s="24"/>
      <c r="E153" s="24"/>
      <c r="F153" s="24"/>
      <c r="G153" s="24"/>
      <c r="H153" s="77"/>
      <c r="I153" s="54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1"/>
      <c r="AE153" s="59"/>
      <c r="AF153" s="59"/>
      <c r="AG153" s="59"/>
      <c r="AH153" s="59"/>
      <c r="AI153" s="59"/>
      <c r="AJ153" s="59"/>
      <c r="AK153" s="59"/>
      <c r="AL153" s="59"/>
    </row>
    <row r="154" spans="1:38" s="137" customFormat="1" ht="18" customHeight="1">
      <c r="A154" s="24"/>
      <c r="B154" s="24"/>
      <c r="C154" s="24"/>
      <c r="D154" s="24"/>
      <c r="E154" s="24"/>
      <c r="F154" s="24"/>
      <c r="G154" s="24"/>
      <c r="H154" s="77"/>
      <c r="I154" s="54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1"/>
      <c r="AE154" s="59"/>
      <c r="AF154" s="59"/>
      <c r="AG154" s="59"/>
      <c r="AH154" s="59"/>
      <c r="AI154" s="59"/>
      <c r="AJ154" s="59"/>
      <c r="AK154" s="59"/>
      <c r="AL154" s="59"/>
    </row>
    <row r="155" spans="1:38" s="137" customFormat="1" ht="18" customHeight="1">
      <c r="A155" s="24"/>
      <c r="B155" s="24"/>
      <c r="C155" s="24"/>
      <c r="D155" s="24"/>
      <c r="E155" s="24"/>
      <c r="F155" s="24"/>
      <c r="G155" s="24"/>
      <c r="H155" s="77"/>
      <c r="I155" s="54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1"/>
      <c r="AE155" s="59"/>
      <c r="AF155" s="59"/>
      <c r="AG155" s="59"/>
      <c r="AH155" s="59"/>
      <c r="AI155" s="59"/>
      <c r="AJ155" s="59"/>
      <c r="AK155" s="59"/>
      <c r="AL155" s="59"/>
    </row>
    <row r="156" spans="1:38" s="137" customFormat="1" ht="18" customHeight="1">
      <c r="A156" s="24"/>
      <c r="B156" s="24"/>
      <c r="C156" s="24"/>
      <c r="D156" s="24"/>
      <c r="E156" s="24"/>
      <c r="F156" s="24"/>
      <c r="G156" s="24"/>
      <c r="H156" s="77"/>
      <c r="I156" s="54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1"/>
      <c r="AE156" s="59"/>
      <c r="AF156" s="59"/>
      <c r="AG156" s="59"/>
      <c r="AH156" s="59"/>
      <c r="AI156" s="59"/>
      <c r="AJ156" s="59"/>
      <c r="AK156" s="59"/>
      <c r="AL156" s="59"/>
    </row>
    <row r="157" spans="1:38" s="137" customFormat="1" ht="18" customHeight="1">
      <c r="A157" s="24"/>
      <c r="B157" s="24"/>
      <c r="C157" s="24"/>
      <c r="D157" s="24"/>
      <c r="E157" s="24"/>
      <c r="F157" s="24"/>
      <c r="G157" s="24"/>
      <c r="H157" s="77"/>
      <c r="I157" s="54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1"/>
      <c r="AE157" s="59"/>
      <c r="AF157" s="59"/>
      <c r="AG157" s="59"/>
      <c r="AH157" s="59"/>
      <c r="AI157" s="59"/>
      <c r="AJ157" s="59"/>
      <c r="AK157" s="59"/>
      <c r="AL157" s="59"/>
    </row>
    <row r="158" spans="1:38" s="137" customFormat="1" ht="18" customHeight="1">
      <c r="A158" s="24"/>
      <c r="B158" s="24"/>
      <c r="C158" s="24"/>
      <c r="D158" s="24"/>
      <c r="E158" s="24"/>
      <c r="F158" s="24"/>
      <c r="G158" s="24"/>
      <c r="H158" s="77"/>
      <c r="I158" s="54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1"/>
      <c r="AE158" s="59"/>
      <c r="AF158" s="59"/>
      <c r="AG158" s="59"/>
      <c r="AH158" s="59"/>
      <c r="AI158" s="59"/>
      <c r="AJ158" s="59"/>
      <c r="AK158" s="59"/>
      <c r="AL158" s="59"/>
    </row>
    <row r="159" spans="1:38" s="137" customFormat="1" ht="18" customHeight="1">
      <c r="A159" s="24"/>
      <c r="B159" s="24"/>
      <c r="C159" s="24"/>
      <c r="D159" s="24"/>
      <c r="E159" s="24"/>
      <c r="F159" s="24"/>
      <c r="G159" s="24"/>
      <c r="H159" s="77"/>
      <c r="I159" s="54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1"/>
      <c r="AE159" s="59"/>
      <c r="AF159" s="59"/>
      <c r="AG159" s="59"/>
      <c r="AH159" s="59"/>
      <c r="AI159" s="59"/>
      <c r="AJ159" s="59"/>
      <c r="AK159" s="59"/>
      <c r="AL159" s="59"/>
    </row>
    <row r="160" spans="1:38" s="137" customFormat="1" ht="18" customHeight="1">
      <c r="A160" s="24"/>
      <c r="B160" s="24"/>
      <c r="C160" s="24"/>
      <c r="D160" s="24"/>
      <c r="E160" s="24"/>
      <c r="F160" s="24"/>
      <c r="G160" s="24"/>
      <c r="H160" s="77"/>
      <c r="I160" s="54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1"/>
      <c r="AE160" s="59"/>
      <c r="AF160" s="59"/>
      <c r="AG160" s="59"/>
      <c r="AH160" s="59"/>
      <c r="AI160" s="59"/>
      <c r="AJ160" s="59"/>
      <c r="AK160" s="59"/>
      <c r="AL160" s="59"/>
    </row>
    <row r="161" spans="1:38" s="137" customFormat="1" ht="18" customHeight="1">
      <c r="A161" s="24"/>
      <c r="B161" s="24"/>
      <c r="C161" s="24"/>
      <c r="D161" s="24"/>
      <c r="E161" s="24"/>
      <c r="F161" s="24"/>
      <c r="G161" s="24"/>
      <c r="H161" s="77"/>
      <c r="I161" s="54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1"/>
      <c r="AE161" s="59"/>
      <c r="AF161" s="59"/>
      <c r="AG161" s="59"/>
      <c r="AH161" s="59"/>
      <c r="AI161" s="59"/>
      <c r="AJ161" s="59"/>
      <c r="AK161" s="59"/>
      <c r="AL161" s="59"/>
    </row>
    <row r="162" spans="1:38" s="137" customFormat="1" ht="18" customHeight="1">
      <c r="A162" s="24"/>
      <c r="B162" s="24"/>
      <c r="C162" s="24"/>
      <c r="D162" s="24"/>
      <c r="E162" s="24"/>
      <c r="F162" s="24"/>
      <c r="G162" s="24"/>
      <c r="H162" s="77"/>
      <c r="I162" s="54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1"/>
      <c r="AE162" s="59"/>
      <c r="AF162" s="59"/>
      <c r="AG162" s="59"/>
      <c r="AH162" s="59"/>
      <c r="AI162" s="59"/>
      <c r="AJ162" s="59"/>
      <c r="AK162" s="59"/>
      <c r="AL162" s="59"/>
    </row>
    <row r="163" spans="1:38" s="137" customFormat="1" ht="18" customHeight="1">
      <c r="A163" s="24"/>
      <c r="B163" s="24"/>
      <c r="C163" s="24"/>
      <c r="D163" s="24"/>
      <c r="E163" s="24"/>
      <c r="F163" s="24"/>
      <c r="G163" s="24"/>
      <c r="H163" s="77"/>
      <c r="I163" s="54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1"/>
      <c r="AE163" s="59"/>
      <c r="AF163" s="59"/>
      <c r="AG163" s="59"/>
      <c r="AH163" s="59"/>
      <c r="AI163" s="59"/>
      <c r="AJ163" s="59"/>
      <c r="AK163" s="59"/>
      <c r="AL163" s="59"/>
    </row>
    <row r="164" spans="1:38" s="137" customFormat="1" ht="18" customHeight="1">
      <c r="A164" s="24"/>
      <c r="B164" s="24"/>
      <c r="C164" s="24"/>
      <c r="D164" s="24"/>
      <c r="E164" s="24"/>
      <c r="F164" s="24"/>
      <c r="G164" s="24"/>
      <c r="H164" s="77"/>
      <c r="I164" s="54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1"/>
      <c r="AE164" s="59"/>
      <c r="AF164" s="59"/>
      <c r="AG164" s="59"/>
      <c r="AH164" s="59"/>
      <c r="AI164" s="59"/>
      <c r="AJ164" s="59"/>
      <c r="AK164" s="59"/>
      <c r="AL164" s="59"/>
    </row>
    <row r="165" spans="1:38" s="137" customFormat="1" ht="18" customHeight="1">
      <c r="A165" s="24"/>
      <c r="B165" s="24"/>
      <c r="C165" s="24"/>
      <c r="D165" s="24"/>
      <c r="E165" s="24"/>
      <c r="F165" s="24"/>
      <c r="G165" s="24"/>
      <c r="H165" s="77"/>
      <c r="I165" s="54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1"/>
      <c r="AE165" s="59"/>
      <c r="AF165" s="59"/>
      <c r="AG165" s="59"/>
      <c r="AH165" s="59"/>
      <c r="AI165" s="59"/>
      <c r="AJ165" s="59"/>
      <c r="AK165" s="59"/>
      <c r="AL165" s="59"/>
    </row>
    <row r="166" spans="1:38" s="137" customFormat="1" ht="18" customHeight="1">
      <c r="A166" s="24"/>
      <c r="B166" s="24"/>
      <c r="C166" s="24"/>
      <c r="D166" s="24"/>
      <c r="E166" s="24"/>
      <c r="F166" s="24"/>
      <c r="G166" s="24"/>
      <c r="H166" s="77"/>
      <c r="I166" s="54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1"/>
      <c r="AE166" s="59"/>
      <c r="AF166" s="59"/>
      <c r="AG166" s="59"/>
      <c r="AH166" s="59"/>
      <c r="AI166" s="59"/>
      <c r="AJ166" s="59"/>
      <c r="AK166" s="59"/>
      <c r="AL166" s="59"/>
    </row>
    <row r="167" spans="1:38" s="137" customFormat="1" ht="18" customHeight="1">
      <c r="A167" s="24"/>
      <c r="B167" s="24"/>
      <c r="C167" s="24"/>
      <c r="D167" s="24"/>
      <c r="E167" s="24"/>
      <c r="F167" s="24"/>
      <c r="G167" s="24"/>
      <c r="H167" s="77"/>
      <c r="I167" s="54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1"/>
      <c r="AE167" s="59"/>
      <c r="AF167" s="59"/>
      <c r="AG167" s="59"/>
      <c r="AH167" s="59"/>
      <c r="AI167" s="59"/>
      <c r="AJ167" s="59"/>
      <c r="AK167" s="59"/>
      <c r="AL167" s="59"/>
    </row>
    <row r="168" spans="1:38" s="137" customFormat="1" ht="18" customHeight="1">
      <c r="A168" s="24"/>
      <c r="B168" s="24"/>
      <c r="C168" s="24"/>
      <c r="D168" s="24"/>
      <c r="E168" s="24"/>
      <c r="F168" s="24"/>
      <c r="G168" s="24"/>
      <c r="H168" s="77"/>
      <c r="I168" s="54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1"/>
      <c r="AE168" s="59"/>
      <c r="AF168" s="59"/>
      <c r="AG168" s="59"/>
      <c r="AH168" s="59"/>
      <c r="AI168" s="59"/>
      <c r="AJ168" s="59"/>
      <c r="AK168" s="59"/>
      <c r="AL168" s="59"/>
    </row>
    <row r="169" spans="1:38" s="137" customFormat="1" ht="18" customHeight="1">
      <c r="A169" s="24"/>
      <c r="B169" s="24"/>
      <c r="C169" s="24"/>
      <c r="D169" s="24"/>
      <c r="E169" s="24"/>
      <c r="F169" s="24"/>
      <c r="G169" s="24"/>
      <c r="H169" s="77"/>
      <c r="I169" s="54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1"/>
      <c r="AE169" s="59"/>
      <c r="AF169" s="59"/>
      <c r="AG169" s="59"/>
      <c r="AH169" s="59"/>
      <c r="AI169" s="59"/>
      <c r="AJ169" s="59"/>
      <c r="AK169" s="59"/>
      <c r="AL169" s="59"/>
    </row>
    <row r="170" spans="1:38" s="137" customFormat="1" ht="18" customHeight="1">
      <c r="A170" s="24"/>
      <c r="B170" s="24"/>
      <c r="C170" s="24"/>
      <c r="D170" s="24"/>
      <c r="E170" s="24"/>
      <c r="F170" s="24"/>
      <c r="G170" s="24"/>
      <c r="H170" s="77"/>
      <c r="I170" s="54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1"/>
      <c r="AE170" s="59"/>
      <c r="AF170" s="59"/>
      <c r="AG170" s="59"/>
      <c r="AH170" s="59"/>
      <c r="AI170" s="59"/>
      <c r="AJ170" s="59"/>
      <c r="AK170" s="59"/>
      <c r="AL170" s="59"/>
    </row>
    <row r="171" spans="1:38" s="137" customFormat="1" ht="18" customHeight="1">
      <c r="A171" s="24"/>
      <c r="B171" s="24"/>
      <c r="C171" s="24"/>
      <c r="D171" s="24"/>
      <c r="E171" s="24"/>
      <c r="F171" s="24"/>
      <c r="G171" s="24"/>
      <c r="H171" s="77"/>
      <c r="I171" s="54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1"/>
      <c r="AE171" s="59"/>
      <c r="AF171" s="59"/>
      <c r="AG171" s="59"/>
      <c r="AH171" s="59"/>
      <c r="AI171" s="59"/>
      <c r="AJ171" s="59"/>
      <c r="AK171" s="59"/>
      <c r="AL171" s="59"/>
    </row>
    <row r="172" spans="1:38" s="137" customFormat="1" ht="18" customHeight="1">
      <c r="A172" s="24"/>
      <c r="B172" s="24"/>
      <c r="C172" s="24"/>
      <c r="D172" s="24"/>
      <c r="E172" s="24"/>
      <c r="F172" s="24"/>
      <c r="G172" s="24"/>
      <c r="H172" s="77"/>
      <c r="I172" s="54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1"/>
      <c r="AE172" s="59"/>
      <c r="AF172" s="59"/>
      <c r="AG172" s="59"/>
      <c r="AH172" s="59"/>
      <c r="AI172" s="59"/>
      <c r="AJ172" s="59"/>
      <c r="AK172" s="59"/>
      <c r="AL172" s="59"/>
    </row>
    <row r="173" spans="1:38" s="137" customFormat="1" ht="18" customHeight="1">
      <c r="A173" s="24"/>
      <c r="B173" s="24"/>
      <c r="C173" s="24"/>
      <c r="D173" s="24"/>
      <c r="E173" s="24"/>
      <c r="F173" s="24"/>
      <c r="G173" s="24"/>
      <c r="H173" s="77"/>
      <c r="I173" s="54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1"/>
      <c r="AE173" s="59"/>
      <c r="AF173" s="59"/>
      <c r="AG173" s="59"/>
      <c r="AH173" s="59"/>
      <c r="AI173" s="59"/>
      <c r="AJ173" s="59"/>
      <c r="AK173" s="59"/>
      <c r="AL173" s="59"/>
    </row>
    <row r="174" spans="1:38" s="137" customFormat="1" ht="18" customHeight="1">
      <c r="A174" s="24"/>
      <c r="B174" s="24"/>
      <c r="C174" s="24"/>
      <c r="D174" s="24"/>
      <c r="E174" s="24"/>
      <c r="F174" s="24"/>
      <c r="G174" s="24"/>
      <c r="H174" s="77"/>
      <c r="I174" s="54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1"/>
      <c r="AE174" s="59"/>
      <c r="AF174" s="59"/>
      <c r="AG174" s="59"/>
      <c r="AH174" s="59"/>
      <c r="AI174" s="59"/>
      <c r="AJ174" s="59"/>
      <c r="AK174" s="59"/>
      <c r="AL174" s="59"/>
    </row>
    <row r="175" spans="1:38" s="137" customFormat="1" ht="18" customHeight="1">
      <c r="A175" s="24"/>
      <c r="B175" s="24"/>
      <c r="C175" s="24"/>
      <c r="D175" s="24"/>
      <c r="E175" s="24"/>
      <c r="F175" s="24"/>
      <c r="G175" s="24"/>
      <c r="H175" s="77"/>
      <c r="I175" s="54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1"/>
      <c r="AE175" s="59"/>
      <c r="AF175" s="59"/>
      <c r="AG175" s="59"/>
      <c r="AH175" s="59"/>
      <c r="AI175" s="59"/>
      <c r="AJ175" s="59"/>
      <c r="AK175" s="59"/>
      <c r="AL175" s="59"/>
    </row>
    <row r="176" spans="1:38" s="137" customFormat="1" ht="18" customHeight="1">
      <c r="A176" s="24"/>
      <c r="B176" s="24"/>
      <c r="C176" s="24"/>
      <c r="D176" s="24"/>
      <c r="E176" s="24"/>
      <c r="F176" s="24"/>
      <c r="G176" s="24"/>
      <c r="H176" s="77"/>
      <c r="I176" s="54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1"/>
      <c r="AE176" s="59"/>
      <c r="AF176" s="59"/>
      <c r="AG176" s="59"/>
      <c r="AH176" s="59"/>
      <c r="AI176" s="59"/>
      <c r="AJ176" s="59"/>
      <c r="AK176" s="59"/>
      <c r="AL176" s="59"/>
    </row>
    <row r="177" spans="1:38" s="137" customFormat="1" ht="18" customHeight="1">
      <c r="A177" s="24"/>
      <c r="B177" s="24"/>
      <c r="C177" s="24"/>
      <c r="D177" s="24"/>
      <c r="E177" s="24"/>
      <c r="F177" s="24"/>
      <c r="G177" s="24"/>
      <c r="H177" s="77"/>
      <c r="I177" s="54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1"/>
      <c r="AE177" s="59"/>
      <c r="AF177" s="59"/>
      <c r="AG177" s="59"/>
      <c r="AH177" s="59"/>
      <c r="AI177" s="59"/>
      <c r="AJ177" s="59"/>
      <c r="AK177" s="59"/>
      <c r="AL177" s="59"/>
    </row>
    <row r="178" spans="1:38" s="137" customFormat="1" ht="18" customHeight="1">
      <c r="A178" s="24"/>
      <c r="B178" s="24"/>
      <c r="C178" s="24"/>
      <c r="D178" s="24"/>
      <c r="E178" s="24"/>
      <c r="F178" s="24"/>
      <c r="G178" s="24"/>
      <c r="H178" s="77"/>
      <c r="I178" s="54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1"/>
      <c r="AE178" s="59"/>
      <c r="AF178" s="59"/>
      <c r="AG178" s="59"/>
      <c r="AH178" s="59"/>
      <c r="AI178" s="59"/>
      <c r="AJ178" s="59"/>
      <c r="AK178" s="59"/>
      <c r="AL178" s="59"/>
    </row>
    <row r="179" spans="1:38" s="137" customFormat="1" ht="18" customHeight="1">
      <c r="A179" s="24"/>
      <c r="B179" s="24"/>
      <c r="C179" s="24"/>
      <c r="D179" s="24"/>
      <c r="E179" s="24"/>
      <c r="F179" s="24"/>
      <c r="G179" s="24"/>
      <c r="H179" s="77"/>
      <c r="I179" s="54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1"/>
      <c r="AE179" s="59"/>
      <c r="AF179" s="59"/>
      <c r="AG179" s="59"/>
      <c r="AH179" s="59"/>
      <c r="AI179" s="59"/>
      <c r="AJ179" s="59"/>
      <c r="AK179" s="59"/>
      <c r="AL179" s="59"/>
    </row>
    <row r="180" spans="1:38" s="137" customFormat="1" ht="18" customHeight="1">
      <c r="A180" s="24"/>
      <c r="B180" s="24"/>
      <c r="C180" s="24"/>
      <c r="D180" s="24"/>
      <c r="E180" s="24"/>
      <c r="F180" s="24"/>
      <c r="G180" s="24"/>
      <c r="H180" s="77"/>
      <c r="I180" s="54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1"/>
      <c r="AE180" s="59"/>
      <c r="AF180" s="59"/>
      <c r="AG180" s="59"/>
      <c r="AH180" s="59"/>
      <c r="AI180" s="59"/>
      <c r="AJ180" s="59"/>
      <c r="AK180" s="59"/>
      <c r="AL180" s="59"/>
    </row>
    <row r="181" spans="1:38" s="137" customFormat="1" ht="18" customHeight="1">
      <c r="A181" s="24"/>
      <c r="B181" s="24"/>
      <c r="C181" s="24"/>
      <c r="D181" s="24"/>
      <c r="E181" s="24"/>
      <c r="F181" s="24"/>
      <c r="G181" s="24"/>
      <c r="H181" s="77"/>
      <c r="I181" s="54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1"/>
      <c r="AE181" s="59"/>
      <c r="AF181" s="59"/>
      <c r="AG181" s="59"/>
      <c r="AH181" s="59"/>
      <c r="AI181" s="59"/>
      <c r="AJ181" s="59"/>
      <c r="AK181" s="59"/>
      <c r="AL181" s="59"/>
    </row>
    <row r="182" spans="1:38" s="137" customFormat="1" ht="18" customHeight="1">
      <c r="A182" s="24"/>
      <c r="B182" s="24"/>
      <c r="C182" s="24"/>
      <c r="D182" s="24"/>
      <c r="E182" s="24"/>
      <c r="F182" s="24"/>
      <c r="G182" s="24"/>
      <c r="H182" s="77"/>
      <c r="I182" s="54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1"/>
      <c r="AE182" s="59"/>
      <c r="AF182" s="59"/>
      <c r="AG182" s="59"/>
      <c r="AH182" s="59"/>
      <c r="AI182" s="59"/>
      <c r="AJ182" s="59"/>
      <c r="AK182" s="59"/>
      <c r="AL182" s="59"/>
    </row>
    <row r="183" spans="1:38" s="137" customFormat="1" ht="18" customHeight="1">
      <c r="A183" s="24"/>
      <c r="B183" s="24"/>
      <c r="C183" s="24"/>
      <c r="D183" s="24"/>
      <c r="E183" s="24"/>
      <c r="F183" s="24"/>
      <c r="G183" s="24"/>
      <c r="H183" s="77"/>
      <c r="I183" s="54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1"/>
      <c r="AE183" s="59"/>
      <c r="AF183" s="59"/>
      <c r="AG183" s="59"/>
      <c r="AH183" s="59"/>
      <c r="AI183" s="59"/>
      <c r="AJ183" s="59"/>
      <c r="AK183" s="59"/>
      <c r="AL183" s="59"/>
    </row>
    <row r="184" spans="1:38" s="137" customFormat="1" ht="18" customHeight="1">
      <c r="A184" s="24"/>
      <c r="B184" s="24"/>
      <c r="C184" s="24"/>
      <c r="D184" s="24"/>
      <c r="E184" s="24"/>
      <c r="F184" s="24"/>
      <c r="G184" s="24"/>
      <c r="H184" s="77"/>
      <c r="I184" s="54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1"/>
      <c r="AE184" s="59"/>
      <c r="AF184" s="59"/>
      <c r="AG184" s="59"/>
      <c r="AH184" s="59"/>
      <c r="AI184" s="59"/>
      <c r="AJ184" s="59"/>
      <c r="AK184" s="59"/>
      <c r="AL184" s="59"/>
    </row>
    <row r="185" spans="1:38" s="1" customFormat="1" ht="18" customHeight="1">
      <c r="A185" s="24"/>
      <c r="B185" s="24"/>
      <c r="C185" s="24"/>
      <c r="D185" s="24"/>
      <c r="E185" s="24"/>
      <c r="F185" s="24"/>
      <c r="G185" s="24"/>
      <c r="H185" s="77"/>
      <c r="AD185" s="591"/>
    </row>
    <row r="186" spans="1:38" s="1" customFormat="1" ht="18" customHeight="1">
      <c r="A186" s="24"/>
      <c r="B186" s="24"/>
      <c r="C186" s="24"/>
      <c r="D186" s="24"/>
      <c r="E186" s="24"/>
      <c r="F186" s="24"/>
      <c r="G186" s="24"/>
      <c r="H186" s="77"/>
      <c r="AD186" s="591"/>
    </row>
    <row r="187" spans="1:38" s="137" customFormat="1" ht="18" customHeight="1">
      <c r="A187" s="24"/>
      <c r="B187" s="24"/>
      <c r="C187" s="24"/>
      <c r="D187" s="24"/>
      <c r="E187" s="24"/>
      <c r="F187" s="24"/>
      <c r="G187" s="24"/>
      <c r="H187" s="77"/>
      <c r="I187" s="54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1"/>
      <c r="AE187" s="59"/>
      <c r="AF187" s="59"/>
      <c r="AG187" s="59"/>
      <c r="AH187" s="59"/>
      <c r="AI187" s="59"/>
      <c r="AJ187" s="59"/>
      <c r="AK187" s="59"/>
      <c r="AL187" s="59"/>
    </row>
    <row r="188" spans="1:38" s="137" customFormat="1" ht="18" customHeight="1">
      <c r="A188" s="24"/>
      <c r="B188" s="24"/>
      <c r="C188" s="24"/>
      <c r="D188" s="24"/>
      <c r="E188" s="24"/>
      <c r="F188" s="24"/>
      <c r="G188" s="24"/>
      <c r="H188" s="77"/>
      <c r="I188" s="54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1"/>
      <c r="AE188" s="59"/>
      <c r="AF188" s="59"/>
      <c r="AG188" s="59"/>
      <c r="AH188" s="59"/>
      <c r="AI188" s="59"/>
      <c r="AJ188" s="59"/>
      <c r="AK188" s="59"/>
      <c r="AL188" s="59"/>
    </row>
    <row r="189" spans="1:38" s="137" customFormat="1" ht="18" customHeight="1">
      <c r="A189" s="24"/>
      <c r="B189" s="24"/>
      <c r="C189" s="24"/>
      <c r="D189" s="24"/>
      <c r="E189" s="24"/>
      <c r="F189" s="24"/>
      <c r="G189" s="24"/>
      <c r="H189" s="77"/>
      <c r="I189" s="54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1"/>
      <c r="AE189" s="59"/>
      <c r="AF189" s="59"/>
      <c r="AG189" s="59"/>
      <c r="AH189" s="59"/>
      <c r="AI189" s="59"/>
      <c r="AJ189" s="59"/>
      <c r="AK189" s="59"/>
      <c r="AL189" s="59"/>
    </row>
    <row r="190" spans="1:38" s="137" customFormat="1" ht="18" customHeight="1">
      <c r="A190" s="24"/>
      <c r="B190" s="24"/>
      <c r="C190" s="24"/>
      <c r="D190" s="24"/>
      <c r="E190" s="24"/>
      <c r="F190" s="24"/>
      <c r="G190" s="24"/>
      <c r="H190" s="77"/>
      <c r="I190" s="54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1"/>
      <c r="AE190" s="59"/>
      <c r="AF190" s="59"/>
      <c r="AG190" s="59"/>
      <c r="AH190" s="59"/>
      <c r="AI190" s="59"/>
      <c r="AJ190" s="59"/>
      <c r="AK190" s="59"/>
      <c r="AL190" s="59"/>
    </row>
    <row r="191" spans="1:38" s="137" customFormat="1" ht="18" customHeight="1">
      <c r="A191" s="24"/>
      <c r="B191" s="24"/>
      <c r="C191" s="24"/>
      <c r="D191" s="24"/>
      <c r="E191" s="24"/>
      <c r="F191" s="24"/>
      <c r="G191" s="24"/>
      <c r="H191" s="77"/>
      <c r="I191" s="54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1"/>
      <c r="AE191" s="59"/>
      <c r="AF191" s="59"/>
      <c r="AG191" s="59"/>
      <c r="AH191" s="59"/>
      <c r="AI191" s="59"/>
      <c r="AJ191" s="59"/>
      <c r="AK191" s="59"/>
      <c r="AL191" s="59"/>
    </row>
    <row r="192" spans="1:38" s="137" customFormat="1" ht="18" customHeight="1">
      <c r="A192" s="24"/>
      <c r="B192" s="24"/>
      <c r="C192" s="24"/>
      <c r="D192" s="24"/>
      <c r="E192" s="24"/>
      <c r="F192" s="24"/>
      <c r="G192" s="24"/>
      <c r="H192" s="77"/>
      <c r="I192" s="54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1"/>
      <c r="AE192" s="59"/>
      <c r="AF192" s="59"/>
      <c r="AG192" s="59"/>
      <c r="AH192" s="59"/>
      <c r="AI192" s="59"/>
      <c r="AJ192" s="59"/>
      <c r="AK192" s="59"/>
      <c r="AL192" s="59"/>
    </row>
    <row r="193" spans="1:38" s="137" customFormat="1" ht="18" customHeight="1">
      <c r="A193" s="24"/>
      <c r="B193" s="24"/>
      <c r="C193" s="24"/>
      <c r="D193" s="24"/>
      <c r="E193" s="24"/>
      <c r="F193" s="24"/>
      <c r="G193" s="24"/>
      <c r="H193" s="77"/>
      <c r="I193" s="54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1"/>
      <c r="AE193" s="59"/>
      <c r="AF193" s="59"/>
      <c r="AG193" s="59"/>
      <c r="AH193" s="59"/>
      <c r="AI193" s="59"/>
      <c r="AJ193" s="59"/>
      <c r="AK193" s="59"/>
      <c r="AL193" s="59"/>
    </row>
    <row r="194" spans="1:38" s="137" customFormat="1" ht="18" customHeight="1">
      <c r="A194" s="24"/>
      <c r="B194" s="24"/>
      <c r="C194" s="24"/>
      <c r="D194" s="24"/>
      <c r="E194" s="24"/>
      <c r="F194" s="24"/>
      <c r="G194" s="24"/>
      <c r="H194" s="77"/>
      <c r="I194" s="54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1"/>
      <c r="AE194" s="59"/>
      <c r="AF194" s="59"/>
      <c r="AG194" s="59"/>
      <c r="AH194" s="59"/>
      <c r="AI194" s="59"/>
      <c r="AJ194" s="59"/>
      <c r="AK194" s="59"/>
      <c r="AL194" s="59"/>
    </row>
    <row r="195" spans="1:38" s="137" customFormat="1" ht="18" customHeight="1">
      <c r="A195" s="24"/>
      <c r="B195" s="24"/>
      <c r="C195" s="24"/>
      <c r="D195" s="24"/>
      <c r="E195" s="24"/>
      <c r="F195" s="24"/>
      <c r="G195" s="24"/>
      <c r="H195" s="77"/>
      <c r="I195" s="54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1"/>
      <c r="AE195" s="59"/>
      <c r="AF195" s="59"/>
      <c r="AG195" s="59"/>
      <c r="AH195" s="59"/>
      <c r="AI195" s="59"/>
      <c r="AJ195" s="59"/>
      <c r="AK195" s="59"/>
      <c r="AL195" s="59"/>
    </row>
    <row r="196" spans="1:38" s="137" customFormat="1" ht="18" customHeight="1">
      <c r="A196" s="24"/>
      <c r="B196" s="24"/>
      <c r="C196" s="24"/>
      <c r="D196" s="24"/>
      <c r="E196" s="24"/>
      <c r="F196" s="24"/>
      <c r="G196" s="24"/>
      <c r="H196" s="77"/>
      <c r="I196" s="54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1"/>
      <c r="AE196" s="59"/>
      <c r="AF196" s="59"/>
      <c r="AG196" s="59"/>
      <c r="AH196" s="59"/>
      <c r="AI196" s="59"/>
      <c r="AJ196" s="59"/>
      <c r="AK196" s="59"/>
      <c r="AL196" s="59"/>
    </row>
    <row r="197" spans="1:38" s="137" customFormat="1" ht="18" customHeight="1">
      <c r="A197" s="24"/>
      <c r="B197" s="24"/>
      <c r="C197" s="24"/>
      <c r="D197" s="24"/>
      <c r="E197" s="24"/>
      <c r="F197" s="24"/>
      <c r="G197" s="24"/>
      <c r="H197" s="77"/>
      <c r="I197" s="54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1"/>
      <c r="AE197" s="59"/>
      <c r="AF197" s="59"/>
      <c r="AG197" s="59"/>
      <c r="AH197" s="59"/>
      <c r="AI197" s="59"/>
      <c r="AJ197" s="59"/>
      <c r="AK197" s="59"/>
      <c r="AL197" s="59"/>
    </row>
    <row r="198" spans="1:38" s="137" customFormat="1" ht="18" customHeight="1">
      <c r="A198" s="24"/>
      <c r="B198" s="24"/>
      <c r="C198" s="24"/>
      <c r="D198" s="24"/>
      <c r="E198" s="24"/>
      <c r="F198" s="24"/>
      <c r="G198" s="24"/>
      <c r="H198" s="77"/>
      <c r="I198" s="54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1"/>
      <c r="AE198" s="59"/>
      <c r="AF198" s="59"/>
      <c r="AG198" s="59"/>
      <c r="AH198" s="59"/>
      <c r="AI198" s="59"/>
      <c r="AJ198" s="59"/>
      <c r="AK198" s="59"/>
      <c r="AL198" s="59"/>
    </row>
    <row r="199" spans="1:38" s="137" customFormat="1" ht="18" customHeight="1">
      <c r="A199" s="24"/>
      <c r="B199" s="24"/>
      <c r="C199" s="24"/>
      <c r="D199" s="24"/>
      <c r="E199" s="24"/>
      <c r="F199" s="24"/>
      <c r="G199" s="24"/>
      <c r="H199" s="77"/>
      <c r="I199" s="54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1"/>
      <c r="AE199" s="59"/>
      <c r="AF199" s="59"/>
      <c r="AG199" s="59"/>
      <c r="AH199" s="59"/>
      <c r="AI199" s="59"/>
      <c r="AJ199" s="59"/>
      <c r="AK199" s="59"/>
      <c r="AL199" s="59"/>
    </row>
    <row r="200" spans="1:38" s="137" customFormat="1" ht="18" customHeight="1">
      <c r="A200" s="24"/>
      <c r="B200" s="24"/>
      <c r="C200" s="24"/>
      <c r="D200" s="24"/>
      <c r="E200" s="24"/>
      <c r="F200" s="24"/>
      <c r="G200" s="24"/>
      <c r="H200" s="77"/>
      <c r="I200" s="54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1"/>
      <c r="AE200" s="59"/>
      <c r="AF200" s="59"/>
      <c r="AG200" s="59"/>
      <c r="AH200" s="59"/>
      <c r="AI200" s="59"/>
      <c r="AJ200" s="59"/>
      <c r="AK200" s="59"/>
      <c r="AL200" s="59"/>
    </row>
    <row r="201" spans="1:38" s="137" customFormat="1" ht="18" customHeight="1">
      <c r="A201" s="24"/>
      <c r="B201" s="24"/>
      <c r="C201" s="24"/>
      <c r="D201" s="24"/>
      <c r="E201" s="24"/>
      <c r="F201" s="24"/>
      <c r="G201" s="24"/>
      <c r="H201" s="77"/>
      <c r="I201" s="54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1"/>
      <c r="AE201" s="59"/>
      <c r="AF201" s="59"/>
      <c r="AG201" s="59"/>
      <c r="AH201" s="59"/>
      <c r="AI201" s="59"/>
      <c r="AJ201" s="59"/>
      <c r="AK201" s="59"/>
      <c r="AL201" s="59"/>
    </row>
    <row r="202" spans="1:38" s="137" customFormat="1" ht="18" customHeight="1">
      <c r="A202" s="24"/>
      <c r="B202" s="24"/>
      <c r="C202" s="24"/>
      <c r="D202" s="24"/>
      <c r="E202" s="24"/>
      <c r="F202" s="24"/>
      <c r="G202" s="24"/>
      <c r="H202" s="77"/>
      <c r="I202" s="54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1"/>
      <c r="AE202" s="59"/>
      <c r="AF202" s="59"/>
      <c r="AG202" s="59"/>
      <c r="AH202" s="59"/>
      <c r="AI202" s="59"/>
      <c r="AJ202" s="59"/>
      <c r="AK202" s="59"/>
      <c r="AL202" s="59"/>
    </row>
    <row r="203" spans="1:38" s="137" customFormat="1" ht="18" customHeight="1">
      <c r="A203" s="24"/>
      <c r="B203" s="24"/>
      <c r="C203" s="24"/>
      <c r="D203" s="24"/>
      <c r="E203" s="24"/>
      <c r="F203" s="24"/>
      <c r="G203" s="24"/>
      <c r="H203" s="77"/>
      <c r="I203" s="54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1"/>
      <c r="AE203" s="59"/>
      <c r="AF203" s="59"/>
      <c r="AG203" s="59"/>
      <c r="AH203" s="59"/>
      <c r="AI203" s="59"/>
      <c r="AJ203" s="59"/>
      <c r="AK203" s="59"/>
      <c r="AL203" s="59"/>
    </row>
    <row r="204" spans="1:38" s="137" customFormat="1" ht="18" customHeight="1">
      <c r="A204" s="24"/>
      <c r="B204" s="24"/>
      <c r="C204" s="24"/>
      <c r="D204" s="24"/>
      <c r="E204" s="24"/>
      <c r="F204" s="24"/>
      <c r="G204" s="24"/>
      <c r="H204" s="77"/>
      <c r="I204" s="54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1"/>
      <c r="AE204" s="59"/>
      <c r="AF204" s="59"/>
      <c r="AG204" s="59"/>
      <c r="AH204" s="59"/>
      <c r="AI204" s="59"/>
      <c r="AJ204" s="59"/>
      <c r="AK204" s="59"/>
      <c r="AL204" s="59"/>
    </row>
    <row r="205" spans="1:38" s="137" customFormat="1" ht="18" customHeight="1">
      <c r="A205" s="24"/>
      <c r="B205" s="24"/>
      <c r="C205" s="24"/>
      <c r="D205" s="24"/>
      <c r="E205" s="24"/>
      <c r="F205" s="24"/>
      <c r="G205" s="24"/>
      <c r="H205" s="77"/>
      <c r="I205" s="54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1"/>
      <c r="AE205" s="59"/>
      <c r="AF205" s="59"/>
      <c r="AG205" s="59"/>
      <c r="AH205" s="59"/>
      <c r="AI205" s="59"/>
      <c r="AJ205" s="59"/>
      <c r="AK205" s="59"/>
      <c r="AL205" s="59"/>
    </row>
    <row r="206" spans="1:38" s="137" customFormat="1" ht="18" customHeight="1">
      <c r="A206" s="24"/>
      <c r="B206" s="24"/>
      <c r="C206" s="24"/>
      <c r="D206" s="24"/>
      <c r="E206" s="24"/>
      <c r="F206" s="24"/>
      <c r="G206" s="24"/>
      <c r="H206" s="77"/>
      <c r="I206" s="54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1"/>
      <c r="AE206" s="59"/>
      <c r="AF206" s="59"/>
      <c r="AG206" s="59"/>
      <c r="AH206" s="59"/>
      <c r="AI206" s="59"/>
      <c r="AJ206" s="59"/>
      <c r="AK206" s="59"/>
      <c r="AL206" s="59"/>
    </row>
    <row r="207" spans="1:38" s="137" customFormat="1" ht="18" customHeight="1">
      <c r="A207" s="24"/>
      <c r="B207" s="24"/>
      <c r="C207" s="24"/>
      <c r="D207" s="24"/>
      <c r="E207" s="24"/>
      <c r="F207" s="24"/>
      <c r="G207" s="24"/>
      <c r="H207" s="77"/>
      <c r="I207" s="54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1"/>
      <c r="AE207" s="59"/>
      <c r="AF207" s="59"/>
      <c r="AG207" s="59"/>
      <c r="AH207" s="59"/>
      <c r="AI207" s="59"/>
      <c r="AJ207" s="59"/>
      <c r="AK207" s="59"/>
      <c r="AL207" s="59"/>
    </row>
    <row r="208" spans="1:38" s="137" customFormat="1" ht="18" customHeight="1">
      <c r="A208" s="24"/>
      <c r="B208" s="24"/>
      <c r="C208" s="24"/>
      <c r="D208" s="24"/>
      <c r="E208" s="24"/>
      <c r="F208" s="24"/>
      <c r="G208" s="24"/>
      <c r="H208" s="77"/>
      <c r="I208" s="54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1"/>
      <c r="AE208" s="59"/>
      <c r="AF208" s="59"/>
      <c r="AG208" s="59"/>
      <c r="AH208" s="59"/>
      <c r="AI208" s="59"/>
      <c r="AJ208" s="59"/>
      <c r="AK208" s="59"/>
      <c r="AL208" s="59"/>
    </row>
    <row r="209" spans="1:38" s="137" customFormat="1" ht="18" customHeight="1">
      <c r="A209" s="24"/>
      <c r="B209" s="24"/>
      <c r="C209" s="24"/>
      <c r="D209" s="24"/>
      <c r="E209" s="24"/>
      <c r="F209" s="24"/>
      <c r="G209" s="24"/>
      <c r="H209" s="77"/>
      <c r="I209" s="54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1"/>
      <c r="AE209" s="59"/>
      <c r="AF209" s="59"/>
      <c r="AG209" s="59"/>
      <c r="AH209" s="59"/>
      <c r="AI209" s="59"/>
      <c r="AJ209" s="59"/>
      <c r="AK209" s="59"/>
      <c r="AL209" s="59"/>
    </row>
    <row r="210" spans="1:38" s="1" customFormat="1" ht="18" customHeight="1">
      <c r="A210" s="24"/>
      <c r="B210" s="24"/>
      <c r="C210" s="24"/>
      <c r="D210" s="24"/>
      <c r="E210" s="24"/>
      <c r="F210" s="24"/>
      <c r="G210" s="24"/>
      <c r="H210" s="77"/>
      <c r="AD210" s="591"/>
    </row>
    <row r="211" spans="1:38" s="1" customFormat="1" ht="18" customHeight="1">
      <c r="A211" s="24"/>
      <c r="B211" s="24"/>
      <c r="C211" s="24"/>
      <c r="D211" s="24"/>
      <c r="E211" s="24"/>
      <c r="F211" s="24"/>
      <c r="G211" s="24"/>
      <c r="H211" s="77"/>
      <c r="AD211" s="591"/>
    </row>
    <row r="212" spans="1:38" s="1" customFormat="1" ht="18" customHeight="1">
      <c r="A212" s="24"/>
      <c r="B212" s="24"/>
      <c r="C212" s="24"/>
      <c r="D212" s="24"/>
      <c r="E212" s="24"/>
      <c r="F212" s="24"/>
      <c r="G212" s="24"/>
      <c r="H212" s="77"/>
      <c r="AD212" s="591"/>
    </row>
    <row r="213" spans="1:38" s="1" customFormat="1" ht="18" customHeight="1">
      <c r="A213" s="24"/>
      <c r="B213" s="24"/>
      <c r="C213" s="24"/>
      <c r="D213" s="24"/>
      <c r="E213" s="24"/>
      <c r="F213" s="24"/>
      <c r="G213" s="24"/>
      <c r="H213" s="77"/>
      <c r="AD213" s="591"/>
    </row>
    <row r="214" spans="1:38" s="1" customFormat="1" ht="18" customHeight="1">
      <c r="A214" s="24"/>
      <c r="B214" s="24"/>
      <c r="C214" s="24"/>
      <c r="D214" s="24"/>
      <c r="E214" s="24"/>
      <c r="F214" s="24"/>
      <c r="G214" s="24"/>
      <c r="H214" s="77"/>
      <c r="AD214" s="591"/>
    </row>
    <row r="215" spans="1:38" s="1" customFormat="1" ht="18" customHeight="1">
      <c r="A215" s="24"/>
      <c r="B215" s="24"/>
      <c r="C215" s="24"/>
      <c r="D215" s="24"/>
      <c r="E215" s="24"/>
      <c r="F215" s="24"/>
      <c r="G215" s="24"/>
      <c r="H215" s="77"/>
      <c r="AD215" s="591"/>
    </row>
    <row r="216" spans="1:38" s="1" customFormat="1" ht="18" customHeight="1">
      <c r="A216" s="24"/>
      <c r="B216" s="24"/>
      <c r="C216" s="24"/>
      <c r="D216" s="24"/>
      <c r="E216" s="24"/>
      <c r="F216" s="24"/>
      <c r="G216" s="24"/>
      <c r="H216" s="77"/>
      <c r="AD216" s="591"/>
    </row>
    <row r="217" spans="1:38" s="137" customFormat="1" ht="18" customHeight="1">
      <c r="A217" s="24"/>
      <c r="B217" s="24"/>
      <c r="C217" s="24"/>
      <c r="D217" s="24"/>
      <c r="E217" s="24"/>
      <c r="F217" s="24"/>
      <c r="G217" s="24"/>
      <c r="H217" s="77"/>
      <c r="I217" s="61"/>
      <c r="J217" s="61"/>
      <c r="K217" s="61"/>
      <c r="AD217" s="591"/>
    </row>
    <row r="218" spans="1:38" s="137" customFormat="1" ht="18" customHeight="1">
      <c r="A218" s="24"/>
      <c r="B218" s="24"/>
      <c r="C218" s="24"/>
      <c r="D218" s="24"/>
      <c r="E218" s="24"/>
      <c r="F218" s="24"/>
      <c r="G218" s="24"/>
      <c r="H218" s="77"/>
      <c r="I218" s="61"/>
      <c r="J218" s="61"/>
      <c r="K218" s="61"/>
      <c r="AD218" s="591"/>
    </row>
    <row r="219" spans="1:38" s="1" customFormat="1" ht="18" customHeight="1">
      <c r="A219" s="24"/>
      <c r="B219" s="24"/>
      <c r="C219" s="24"/>
      <c r="D219" s="24"/>
      <c r="E219" s="24"/>
      <c r="F219" s="24"/>
      <c r="G219" s="24"/>
      <c r="H219" s="77"/>
      <c r="AD219" s="591"/>
    </row>
    <row r="220" spans="1:38" s="1" customFormat="1" ht="18" customHeight="1">
      <c r="A220" s="24"/>
      <c r="B220" s="24"/>
      <c r="C220" s="24"/>
      <c r="D220" s="24"/>
      <c r="E220" s="24"/>
      <c r="F220" s="24"/>
      <c r="G220" s="24"/>
      <c r="H220" s="77"/>
      <c r="AD220" s="591"/>
    </row>
    <row r="221" spans="1:38" s="1" customFormat="1" ht="18" customHeight="1">
      <c r="A221" s="24"/>
      <c r="B221" s="24"/>
      <c r="C221" s="24"/>
      <c r="D221" s="24"/>
      <c r="E221" s="24"/>
      <c r="F221" s="24"/>
      <c r="G221" s="24"/>
      <c r="H221" s="77"/>
      <c r="AD221" s="591"/>
    </row>
    <row r="222" spans="1:38" s="1" customFormat="1" ht="18" customHeight="1">
      <c r="A222" s="24"/>
      <c r="B222" s="24"/>
      <c r="C222" s="24"/>
      <c r="D222" s="24"/>
      <c r="E222" s="24"/>
      <c r="F222" s="24"/>
      <c r="G222" s="24"/>
      <c r="H222" s="77"/>
      <c r="AD222" s="591"/>
    </row>
    <row r="223" spans="1:38" s="1" customFormat="1" ht="18" customHeight="1">
      <c r="A223" s="24"/>
      <c r="B223" s="24"/>
      <c r="C223" s="24"/>
      <c r="D223" s="24"/>
      <c r="E223" s="24"/>
      <c r="F223" s="24"/>
      <c r="G223" s="24"/>
      <c r="H223" s="77"/>
      <c r="AD223" s="591"/>
    </row>
    <row r="224" spans="1:38" s="137" customFormat="1" ht="18" customHeight="1">
      <c r="A224" s="24"/>
      <c r="B224" s="24"/>
      <c r="C224" s="24"/>
      <c r="D224" s="24"/>
      <c r="E224" s="24"/>
      <c r="F224" s="24"/>
      <c r="G224" s="24"/>
      <c r="H224" s="77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591"/>
    </row>
    <row r="225" spans="1:30" s="137" customFormat="1" ht="18" customHeight="1">
      <c r="A225" s="24"/>
      <c r="B225" s="24"/>
      <c r="C225" s="24"/>
      <c r="D225" s="24"/>
      <c r="E225" s="24"/>
      <c r="F225" s="24"/>
      <c r="G225" s="24"/>
      <c r="H225" s="77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591"/>
    </row>
    <row r="226" spans="1:30" s="137" customFormat="1" ht="18" customHeight="1">
      <c r="A226" s="24"/>
      <c r="B226" s="24"/>
      <c r="C226" s="24"/>
      <c r="D226" s="24"/>
      <c r="E226" s="24"/>
      <c r="F226" s="24"/>
      <c r="G226" s="24"/>
      <c r="H226" s="77"/>
      <c r="AD226" s="591"/>
    </row>
    <row r="227" spans="1:30" s="137" customFormat="1" ht="18" customHeight="1">
      <c r="A227" s="24"/>
      <c r="B227" s="24"/>
      <c r="C227" s="24"/>
      <c r="D227" s="24"/>
      <c r="E227" s="24"/>
      <c r="F227" s="24"/>
      <c r="G227" s="24"/>
      <c r="H227" s="77"/>
      <c r="AD227" s="591"/>
    </row>
    <row r="228" spans="1:30" s="137" customFormat="1" ht="18" customHeight="1">
      <c r="A228" s="24"/>
      <c r="B228" s="24"/>
      <c r="C228" s="24"/>
      <c r="D228" s="24"/>
      <c r="E228" s="24"/>
      <c r="F228" s="24"/>
      <c r="G228" s="24"/>
      <c r="H228" s="77"/>
      <c r="AD228" s="591"/>
    </row>
    <row r="229" spans="1:30" s="1" customFormat="1" ht="18" customHeight="1">
      <c r="A229" s="24"/>
      <c r="B229" s="24"/>
      <c r="C229" s="24"/>
      <c r="D229" s="24"/>
      <c r="E229" s="24"/>
      <c r="F229" s="24"/>
      <c r="G229" s="24"/>
      <c r="H229" s="77"/>
      <c r="AD229" s="591"/>
    </row>
    <row r="230" spans="1:30" s="1" customFormat="1" ht="18" customHeight="1">
      <c r="A230" s="24"/>
      <c r="B230" s="24"/>
      <c r="C230" s="24"/>
      <c r="D230" s="24"/>
      <c r="E230" s="24"/>
      <c r="F230" s="24"/>
      <c r="G230" s="24"/>
      <c r="H230" s="77"/>
      <c r="AD230" s="591"/>
    </row>
    <row r="231" spans="1:30" s="1" customFormat="1" ht="18" customHeight="1">
      <c r="A231" s="24"/>
      <c r="B231" s="24"/>
      <c r="C231" s="24"/>
      <c r="D231" s="24"/>
      <c r="E231" s="24"/>
      <c r="F231" s="24"/>
      <c r="G231" s="24"/>
      <c r="H231" s="77"/>
      <c r="AD231" s="591"/>
    </row>
    <row r="232" spans="1:30" s="1" customFormat="1" ht="18" customHeight="1">
      <c r="A232" s="24"/>
      <c r="B232" s="24"/>
      <c r="C232" s="24"/>
      <c r="D232" s="24"/>
      <c r="E232" s="24"/>
      <c r="F232" s="24"/>
      <c r="G232" s="24"/>
      <c r="H232" s="77"/>
      <c r="AD232" s="591"/>
    </row>
    <row r="233" spans="1:30" s="1" customFormat="1" ht="18" customHeight="1">
      <c r="A233" s="24"/>
      <c r="B233" s="24"/>
      <c r="C233" s="24"/>
      <c r="D233" s="24"/>
      <c r="E233" s="24"/>
      <c r="F233" s="24"/>
      <c r="G233" s="24"/>
      <c r="H233" s="77"/>
      <c r="AD233" s="591"/>
    </row>
    <row r="234" spans="1:30" s="137" customFormat="1" ht="18" customHeight="1">
      <c r="A234" s="24"/>
      <c r="B234" s="24"/>
      <c r="C234" s="24"/>
      <c r="D234" s="24"/>
      <c r="E234" s="24"/>
      <c r="F234" s="24"/>
      <c r="G234" s="24"/>
      <c r="H234" s="77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591"/>
    </row>
  </sheetData>
  <sheetProtection selectLockedCells="1" selectUnlockedCells="1"/>
  <protectedRanges>
    <protectedRange password="ECE8" sqref="O2:AC4" name="작성자만수정_1"/>
    <protectedRange password="ECE8" sqref="O5:AC9 A95:H99 I94:S216 B74:L93 A74:A89 I229:K233 I219:K223 O56:AC70 O28:AC31 O21:AC22 O52:AC54 O35:AC36 O40:AC41" name="작성자만수정_2_1_1"/>
  </protectedRanges>
  <autoFilter ref="A3:AY73">
    <filterColumn colId="10" showButton="0"/>
    <filterColumn colId="11" showButton="0"/>
  </autoFilter>
  <mergeCells count="13">
    <mergeCell ref="J2:J3"/>
    <mergeCell ref="K2:M3"/>
    <mergeCell ref="A2:A3"/>
    <mergeCell ref="B2:D2"/>
    <mergeCell ref="E2:G2"/>
    <mergeCell ref="H2:H3"/>
    <mergeCell ref="I2:I3"/>
    <mergeCell ref="N52:U52"/>
    <mergeCell ref="A4:G4"/>
    <mergeCell ref="N7:U7"/>
    <mergeCell ref="F64:G64"/>
    <mergeCell ref="F68:G68"/>
    <mergeCell ref="F28:G28"/>
  </mergeCells>
  <phoneticPr fontId="12" type="noConversion"/>
  <conditionalFormatting sqref="J69:J70">
    <cfRule type="containsText" dxfId="1145" priority="223" operator="containsText" text="허하나로">
      <formula>NOT(ISERROR(SEARCH("허하나로",H1095)))</formula>
    </cfRule>
    <cfRule type="containsText" dxfId="1144" priority="224" operator="containsText" text="한별">
      <formula>NOT(ISERROR(SEARCH("한별",H1095)))</formula>
    </cfRule>
    <cfRule type="containsText" dxfId="1143" priority="225" operator="containsText" text="정홍조">
      <formula>NOT(ISERROR(SEARCH("정홍조",H1095)))</formula>
    </cfRule>
    <cfRule type="containsText" dxfId="1142" priority="226" operator="containsText" text="김지윤">
      <formula>NOT(ISERROR(SEARCH("김지윤",H1095)))</formula>
    </cfRule>
    <cfRule type="containsText" dxfId="1141" priority="227" operator="containsText" text="전준영">
      <formula>NOT(ISERROR(SEARCH("전준영",H1095)))</formula>
    </cfRule>
    <cfRule type="containsText" dxfId="1140" priority="228" operator="containsText" text="차재성">
      <formula>NOT(ISERROR(SEARCH("차재성",H1095)))</formula>
    </cfRule>
  </conditionalFormatting>
  <conditionalFormatting sqref="J6:J9">
    <cfRule type="containsText" dxfId="1139" priority="235" operator="containsText" text="허하나로">
      <formula>NOT(ISERROR(SEARCH("허하나로",H732)))</formula>
    </cfRule>
    <cfRule type="containsText" dxfId="1138" priority="236" operator="containsText" text="한별">
      <formula>NOT(ISERROR(SEARCH("한별",H732)))</formula>
    </cfRule>
    <cfRule type="containsText" dxfId="1137" priority="237" operator="containsText" text="정홍조">
      <formula>NOT(ISERROR(SEARCH("정홍조",H732)))</formula>
    </cfRule>
    <cfRule type="containsText" dxfId="1136" priority="238" operator="containsText" text="김지윤">
      <formula>NOT(ISERROR(SEARCH("김지윤",H732)))</formula>
    </cfRule>
    <cfRule type="containsText" dxfId="1135" priority="239" operator="containsText" text="전준영">
      <formula>NOT(ISERROR(SEARCH("전준영",H732)))</formula>
    </cfRule>
    <cfRule type="containsText" dxfId="1134" priority="240" operator="containsText" text="차재성">
      <formula>NOT(ISERROR(SEARCH("차재성",H732)))</formula>
    </cfRule>
  </conditionalFormatting>
  <conditionalFormatting sqref="J5">
    <cfRule type="containsText" dxfId="1133" priority="229" operator="containsText" text="허하나로">
      <formula>NOT(ISERROR(SEARCH("허하나로",H731)))</formula>
    </cfRule>
    <cfRule type="containsText" dxfId="1132" priority="230" operator="containsText" text="한별">
      <formula>NOT(ISERROR(SEARCH("한별",H731)))</formula>
    </cfRule>
    <cfRule type="containsText" dxfId="1131" priority="231" operator="containsText" text="정홍조">
      <formula>NOT(ISERROR(SEARCH("정홍조",H731)))</formula>
    </cfRule>
    <cfRule type="containsText" dxfId="1130" priority="232" operator="containsText" text="김지윤">
      <formula>NOT(ISERROR(SEARCH("김지윤",H731)))</formula>
    </cfRule>
    <cfRule type="containsText" dxfId="1129" priority="233" operator="containsText" text="전준영">
      <formula>NOT(ISERROR(SEARCH("전준영",H731)))</formula>
    </cfRule>
    <cfRule type="containsText" dxfId="1128" priority="234" operator="containsText" text="차재성">
      <formula>NOT(ISERROR(SEARCH("차재성",H731)))</formula>
    </cfRule>
  </conditionalFormatting>
  <conditionalFormatting sqref="J52">
    <cfRule type="containsText" dxfId="1127" priority="145" operator="containsText" text="허하나로">
      <formula>NOT(ISERROR(SEARCH("허하나로",H865)))</formula>
    </cfRule>
    <cfRule type="containsText" dxfId="1126" priority="146" operator="containsText" text="한별">
      <formula>NOT(ISERROR(SEARCH("한별",H865)))</formula>
    </cfRule>
    <cfRule type="containsText" dxfId="1125" priority="147" operator="containsText" text="정홍조">
      <formula>NOT(ISERROR(SEARCH("정홍조",H865)))</formula>
    </cfRule>
    <cfRule type="containsText" dxfId="1124" priority="148" operator="containsText" text="김지윤">
      <formula>NOT(ISERROR(SEARCH("김지윤",H865)))</formula>
    </cfRule>
    <cfRule type="containsText" dxfId="1123" priority="149" operator="containsText" text="전준영">
      <formula>NOT(ISERROR(SEARCH("전준영",H865)))</formula>
    </cfRule>
    <cfRule type="containsText" dxfId="1122" priority="150" operator="containsText" text="차재성">
      <formula>NOT(ISERROR(SEARCH("차재성",H865)))</formula>
    </cfRule>
  </conditionalFormatting>
  <conditionalFormatting sqref="J55:J56">
    <cfRule type="containsText" dxfId="1121" priority="121" operator="containsText" text="허하나로">
      <formula>NOT(ISERROR(SEARCH("허하나로",H1073)))</formula>
    </cfRule>
    <cfRule type="containsText" dxfId="1120" priority="122" operator="containsText" text="한별">
      <formula>NOT(ISERROR(SEARCH("한별",H1073)))</formula>
    </cfRule>
    <cfRule type="containsText" dxfId="1119" priority="123" operator="containsText" text="정홍조">
      <formula>NOT(ISERROR(SEARCH("정홍조",H1073)))</formula>
    </cfRule>
    <cfRule type="containsText" dxfId="1118" priority="124" operator="containsText" text="김지윤">
      <formula>NOT(ISERROR(SEARCH("김지윤",H1073)))</formula>
    </cfRule>
    <cfRule type="containsText" dxfId="1117" priority="125" operator="containsText" text="전준영">
      <formula>NOT(ISERROR(SEARCH("전준영",H1073)))</formula>
    </cfRule>
    <cfRule type="containsText" dxfId="1116" priority="126" operator="containsText" text="차재성">
      <formula>NOT(ISERROR(SEARCH("차재성",H1073)))</formula>
    </cfRule>
  </conditionalFormatting>
  <conditionalFormatting sqref="J61">
    <cfRule type="containsText" dxfId="1115" priority="115" operator="containsText" text="허하나로">
      <formula>NOT(ISERROR(SEARCH("허하나로",H1070)))</formula>
    </cfRule>
    <cfRule type="containsText" dxfId="1114" priority="116" operator="containsText" text="한별">
      <formula>NOT(ISERROR(SEARCH("한별",H1070)))</formula>
    </cfRule>
    <cfRule type="containsText" dxfId="1113" priority="117" operator="containsText" text="정홍조">
      <formula>NOT(ISERROR(SEARCH("정홍조",H1070)))</formula>
    </cfRule>
    <cfRule type="containsText" dxfId="1112" priority="118" operator="containsText" text="김지윤">
      <formula>NOT(ISERROR(SEARCH("김지윤",H1070)))</formula>
    </cfRule>
    <cfRule type="containsText" dxfId="1111" priority="119" operator="containsText" text="전준영">
      <formula>NOT(ISERROR(SEARCH("전준영",H1070)))</formula>
    </cfRule>
    <cfRule type="containsText" dxfId="1110" priority="120" operator="containsText" text="차재성">
      <formula>NOT(ISERROR(SEARCH("차재성",H1070)))</formula>
    </cfRule>
  </conditionalFormatting>
  <conditionalFormatting sqref="J54">
    <cfRule type="containsText" dxfId="1109" priority="1201" operator="containsText" text="허하나로">
      <formula>NOT(ISERROR(SEARCH("허하나로",H1062)))</formula>
    </cfRule>
    <cfRule type="containsText" dxfId="1108" priority="1202" operator="containsText" text="한별">
      <formula>NOT(ISERROR(SEARCH("한별",H1062)))</formula>
    </cfRule>
    <cfRule type="containsText" dxfId="1107" priority="1203" operator="containsText" text="정홍조">
      <formula>NOT(ISERROR(SEARCH("정홍조",H1062)))</formula>
    </cfRule>
    <cfRule type="containsText" dxfId="1106" priority="1204" operator="containsText" text="김지윤">
      <formula>NOT(ISERROR(SEARCH("김지윤",H1062)))</formula>
    </cfRule>
    <cfRule type="containsText" dxfId="1105" priority="1205" operator="containsText" text="전준영">
      <formula>NOT(ISERROR(SEARCH("전준영",H1062)))</formula>
    </cfRule>
    <cfRule type="containsText" dxfId="1104" priority="1206" operator="containsText" text="차재성">
      <formula>NOT(ISERROR(SEARCH("차재성",H1062)))</formula>
    </cfRule>
  </conditionalFormatting>
  <conditionalFormatting sqref="J64:J67 J58:J59">
    <cfRule type="containsText" dxfId="1103" priority="1213" operator="containsText" text="허하나로">
      <formula>NOT(ISERROR(SEARCH("허하나로",H1069)))</formula>
    </cfRule>
    <cfRule type="containsText" dxfId="1102" priority="1214" operator="containsText" text="한별">
      <formula>NOT(ISERROR(SEARCH("한별",H1069)))</formula>
    </cfRule>
    <cfRule type="containsText" dxfId="1101" priority="1215" operator="containsText" text="정홍조">
      <formula>NOT(ISERROR(SEARCH("정홍조",H1069)))</formula>
    </cfRule>
    <cfRule type="containsText" dxfId="1100" priority="1216" operator="containsText" text="김지윤">
      <formula>NOT(ISERROR(SEARCH("김지윤",H1069)))</formula>
    </cfRule>
    <cfRule type="containsText" dxfId="1099" priority="1217" operator="containsText" text="전준영">
      <formula>NOT(ISERROR(SEARCH("전준영",H1069)))</formula>
    </cfRule>
    <cfRule type="containsText" dxfId="1098" priority="1218" operator="containsText" text="차재성">
      <formula>NOT(ISERROR(SEARCH("차재성",H1069)))</formula>
    </cfRule>
  </conditionalFormatting>
  <conditionalFormatting sqref="J68">
    <cfRule type="containsText" dxfId="1097" priority="103" operator="containsText" text="허하나로">
      <formula>NOT(ISERROR(SEARCH("허하나로",H1079)))</formula>
    </cfRule>
    <cfRule type="containsText" dxfId="1096" priority="104" operator="containsText" text="한별">
      <formula>NOT(ISERROR(SEARCH("한별",H1079)))</formula>
    </cfRule>
    <cfRule type="containsText" dxfId="1095" priority="105" operator="containsText" text="정홍조">
      <formula>NOT(ISERROR(SEARCH("정홍조",H1079)))</formula>
    </cfRule>
    <cfRule type="containsText" dxfId="1094" priority="106" operator="containsText" text="김지윤">
      <formula>NOT(ISERROR(SEARCH("김지윤",H1079)))</formula>
    </cfRule>
    <cfRule type="containsText" dxfId="1093" priority="107" operator="containsText" text="전준영">
      <formula>NOT(ISERROR(SEARCH("전준영",H1079)))</formula>
    </cfRule>
    <cfRule type="containsText" dxfId="1092" priority="108" operator="containsText" text="차재성">
      <formula>NOT(ISERROR(SEARCH("차재성",H1079)))</formula>
    </cfRule>
  </conditionalFormatting>
  <conditionalFormatting sqref="L65">
    <cfRule type="containsText" dxfId="1091" priority="97" operator="containsText" text="허하나로">
      <formula>NOT(ISERROR(SEARCH("허하나로",J1210)))</formula>
    </cfRule>
    <cfRule type="containsText" dxfId="1090" priority="98" operator="containsText" text="한별">
      <formula>NOT(ISERROR(SEARCH("한별",J1210)))</formula>
    </cfRule>
    <cfRule type="containsText" dxfId="1089" priority="99" operator="containsText" text="정홍조">
      <formula>NOT(ISERROR(SEARCH("정홍조",J1210)))</formula>
    </cfRule>
    <cfRule type="containsText" dxfId="1088" priority="100" operator="containsText" text="김지윤">
      <formula>NOT(ISERROR(SEARCH("김지윤",J1210)))</formula>
    </cfRule>
    <cfRule type="containsText" dxfId="1087" priority="101" operator="containsText" text="전준영">
      <formula>NOT(ISERROR(SEARCH("전준영",J1210)))</formula>
    </cfRule>
    <cfRule type="containsText" dxfId="1086" priority="102" operator="containsText" text="차재성">
      <formula>NOT(ISERROR(SEARCH("차재성",J1210)))</formula>
    </cfRule>
  </conditionalFormatting>
  <conditionalFormatting sqref="I70">
    <cfRule type="containsText" dxfId="1085" priority="91" operator="containsText" text="허하나로">
      <formula>NOT(ISERROR(SEARCH("허하나로",G1096)))</formula>
    </cfRule>
    <cfRule type="containsText" dxfId="1084" priority="92" operator="containsText" text="한별">
      <formula>NOT(ISERROR(SEARCH("한별",G1096)))</formula>
    </cfRule>
    <cfRule type="containsText" dxfId="1083" priority="93" operator="containsText" text="정홍조">
      <formula>NOT(ISERROR(SEARCH("정홍조",G1096)))</formula>
    </cfRule>
    <cfRule type="containsText" dxfId="1082" priority="94" operator="containsText" text="김지윤">
      <formula>NOT(ISERROR(SEARCH("김지윤",G1096)))</formula>
    </cfRule>
    <cfRule type="containsText" dxfId="1081" priority="95" operator="containsText" text="전준영">
      <formula>NOT(ISERROR(SEARCH("전준영",G1096)))</formula>
    </cfRule>
    <cfRule type="containsText" dxfId="1080" priority="96" operator="containsText" text="차재성">
      <formula>NOT(ISERROR(SEARCH("차재성",G1096)))</formula>
    </cfRule>
  </conditionalFormatting>
  <conditionalFormatting sqref="J62:J63">
    <cfRule type="containsText" dxfId="1079" priority="85" operator="containsText" text="허하나로">
      <formula>NOT(ISERROR(SEARCH("허하나로",H1071)))</formula>
    </cfRule>
    <cfRule type="containsText" dxfId="1078" priority="86" operator="containsText" text="한별">
      <formula>NOT(ISERROR(SEARCH("한별",H1071)))</formula>
    </cfRule>
    <cfRule type="containsText" dxfId="1077" priority="87" operator="containsText" text="정홍조">
      <formula>NOT(ISERROR(SEARCH("정홍조",H1071)))</formula>
    </cfRule>
    <cfRule type="containsText" dxfId="1076" priority="88" operator="containsText" text="김지윤">
      <formula>NOT(ISERROR(SEARCH("김지윤",H1071)))</formula>
    </cfRule>
    <cfRule type="containsText" dxfId="1075" priority="89" operator="containsText" text="전준영">
      <formula>NOT(ISERROR(SEARCH("전준영",H1071)))</formula>
    </cfRule>
    <cfRule type="containsText" dxfId="1074" priority="90" operator="containsText" text="차재성">
      <formula>NOT(ISERROR(SEARCH("차재성",H1071)))</formula>
    </cfRule>
  </conditionalFormatting>
  <conditionalFormatting sqref="J57">
    <cfRule type="containsText" dxfId="1073" priority="3679" operator="containsText" text="허하나로">
      <formula>NOT(ISERROR(SEARCH("허하나로",H1064)))</formula>
    </cfRule>
    <cfRule type="containsText" dxfId="1072" priority="3680" operator="containsText" text="한별">
      <formula>NOT(ISERROR(SEARCH("한별",H1064)))</formula>
    </cfRule>
    <cfRule type="containsText" dxfId="1071" priority="3681" operator="containsText" text="정홍조">
      <formula>NOT(ISERROR(SEARCH("정홍조",H1064)))</formula>
    </cfRule>
    <cfRule type="containsText" dxfId="1070" priority="3682" operator="containsText" text="김지윤">
      <formula>NOT(ISERROR(SEARCH("김지윤",H1064)))</formula>
    </cfRule>
    <cfRule type="containsText" dxfId="1069" priority="3683" operator="containsText" text="전준영">
      <formula>NOT(ISERROR(SEARCH("전준영",H1064)))</formula>
    </cfRule>
    <cfRule type="containsText" dxfId="1068" priority="3684" operator="containsText" text="차재성">
      <formula>NOT(ISERROR(SEARCH("차재성",H1064)))</formula>
    </cfRule>
  </conditionalFormatting>
  <conditionalFormatting sqref="J21:J22">
    <cfRule type="containsText" dxfId="1067" priority="49" operator="containsText" text="허하나로">
      <formula>NOT(ISERROR(SEARCH("허하나로",H756)))</formula>
    </cfRule>
    <cfRule type="containsText" dxfId="1066" priority="50" operator="containsText" text="한별">
      <formula>NOT(ISERROR(SEARCH("한별",H756)))</formula>
    </cfRule>
    <cfRule type="containsText" dxfId="1065" priority="51" operator="containsText" text="정홍조">
      <formula>NOT(ISERROR(SEARCH("정홍조",H756)))</formula>
    </cfRule>
    <cfRule type="containsText" dxfId="1064" priority="52" operator="containsText" text="김지윤">
      <formula>NOT(ISERROR(SEARCH("김지윤",H756)))</formula>
    </cfRule>
    <cfRule type="containsText" dxfId="1063" priority="53" operator="containsText" text="전준영">
      <formula>NOT(ISERROR(SEARCH("전준영",H756)))</formula>
    </cfRule>
    <cfRule type="containsText" dxfId="1062" priority="54" operator="containsText" text="차재성">
      <formula>NOT(ISERROR(SEARCH("차재성",H756)))</formula>
    </cfRule>
  </conditionalFormatting>
  <conditionalFormatting sqref="J31">
    <cfRule type="containsText" dxfId="1061" priority="43" operator="containsText" text="허하나로">
      <formula>NOT(ISERROR(SEARCH("허하나로",H762)))</formula>
    </cfRule>
    <cfRule type="containsText" dxfId="1060" priority="44" operator="containsText" text="한별">
      <formula>NOT(ISERROR(SEARCH("한별",H762)))</formula>
    </cfRule>
    <cfRule type="containsText" dxfId="1059" priority="45" operator="containsText" text="정홍조">
      <formula>NOT(ISERROR(SEARCH("정홍조",H762)))</formula>
    </cfRule>
    <cfRule type="containsText" dxfId="1058" priority="46" operator="containsText" text="김지윤">
      <formula>NOT(ISERROR(SEARCH("김지윤",H762)))</formula>
    </cfRule>
    <cfRule type="containsText" dxfId="1057" priority="47" operator="containsText" text="전준영">
      <formula>NOT(ISERROR(SEARCH("전준영",H762)))</formula>
    </cfRule>
    <cfRule type="containsText" dxfId="1056" priority="48" operator="containsText" text="차재성">
      <formula>NOT(ISERROR(SEARCH("차재성",H762)))</formula>
    </cfRule>
  </conditionalFormatting>
  <conditionalFormatting sqref="J2:J3">
    <cfRule type="containsText" dxfId="1055" priority="37" operator="containsText" text="허하나로">
      <formula>NOT(ISERROR(SEARCH("허하나로",H782)))</formula>
    </cfRule>
    <cfRule type="containsText" dxfId="1054" priority="38" operator="containsText" text="한별">
      <formula>NOT(ISERROR(SEARCH("한별",H782)))</formula>
    </cfRule>
    <cfRule type="containsText" dxfId="1053" priority="39" operator="containsText" text="정홍조">
      <formula>NOT(ISERROR(SEARCH("정홍조",H782)))</formula>
    </cfRule>
    <cfRule type="containsText" dxfId="1052" priority="40" operator="containsText" text="김지윤">
      <formula>NOT(ISERROR(SEARCH("김지윤",H782)))</formula>
    </cfRule>
    <cfRule type="containsText" dxfId="1051" priority="41" operator="containsText" text="전준영">
      <formula>NOT(ISERROR(SEARCH("전준영",H782)))</formula>
    </cfRule>
    <cfRule type="containsText" dxfId="1050" priority="42" operator="containsText" text="차재성">
      <formula>NOT(ISERROR(SEARCH("차재성",H782)))</formula>
    </cfRule>
  </conditionalFormatting>
  <conditionalFormatting sqref="J35:J36">
    <cfRule type="containsText" dxfId="1049" priority="19" operator="containsText" text="허하나로">
      <formula>NOT(ISERROR(SEARCH("허하나로",H784)))</formula>
    </cfRule>
    <cfRule type="containsText" dxfId="1048" priority="20" operator="containsText" text="한별">
      <formula>NOT(ISERROR(SEARCH("한별",H784)))</formula>
    </cfRule>
    <cfRule type="containsText" dxfId="1047" priority="21" operator="containsText" text="정홍조">
      <formula>NOT(ISERROR(SEARCH("정홍조",H784)))</formula>
    </cfRule>
    <cfRule type="containsText" dxfId="1046" priority="22" operator="containsText" text="김지윤">
      <formula>NOT(ISERROR(SEARCH("김지윤",H784)))</formula>
    </cfRule>
    <cfRule type="containsText" dxfId="1045" priority="23" operator="containsText" text="전준영">
      <formula>NOT(ISERROR(SEARCH("전준영",H784)))</formula>
    </cfRule>
    <cfRule type="containsText" dxfId="1044" priority="24" operator="containsText" text="차재성">
      <formula>NOT(ISERROR(SEARCH("차재성",H784)))</formula>
    </cfRule>
  </conditionalFormatting>
  <conditionalFormatting sqref="J28:J30">
    <cfRule type="containsText" dxfId="1043" priority="13" operator="containsText" text="허하나로">
      <formula>NOT(ISERROR(SEARCH("허하나로",H1053)))</formula>
    </cfRule>
    <cfRule type="containsText" dxfId="1042" priority="14" operator="containsText" text="한별">
      <formula>NOT(ISERROR(SEARCH("한별",H1053)))</formula>
    </cfRule>
    <cfRule type="containsText" dxfId="1041" priority="15" operator="containsText" text="정홍조">
      <formula>NOT(ISERROR(SEARCH("정홍조",H1053)))</formula>
    </cfRule>
    <cfRule type="containsText" dxfId="1040" priority="16" operator="containsText" text="김지윤">
      <formula>NOT(ISERROR(SEARCH("김지윤",H1053)))</formula>
    </cfRule>
    <cfRule type="containsText" dxfId="1039" priority="17" operator="containsText" text="전준영">
      <formula>NOT(ISERROR(SEARCH("전준영",H1053)))</formula>
    </cfRule>
    <cfRule type="containsText" dxfId="1038" priority="18" operator="containsText" text="차재성">
      <formula>NOT(ISERROR(SEARCH("차재성",H1053)))</formula>
    </cfRule>
  </conditionalFormatting>
  <conditionalFormatting sqref="L29">
    <cfRule type="containsText" dxfId="1037" priority="7" operator="containsText" text="허하나로">
      <formula>NOT(ISERROR(SEARCH("허하나로",J1188)))</formula>
    </cfRule>
    <cfRule type="containsText" dxfId="1036" priority="8" operator="containsText" text="한별">
      <formula>NOT(ISERROR(SEARCH("한별",J1188)))</formula>
    </cfRule>
    <cfRule type="containsText" dxfId="1035" priority="9" operator="containsText" text="정홍조">
      <formula>NOT(ISERROR(SEARCH("정홍조",J1188)))</formula>
    </cfRule>
    <cfRule type="containsText" dxfId="1034" priority="10" operator="containsText" text="김지윤">
      <formula>NOT(ISERROR(SEARCH("김지윤",J1188)))</formula>
    </cfRule>
    <cfRule type="containsText" dxfId="1033" priority="11" operator="containsText" text="전준영">
      <formula>NOT(ISERROR(SEARCH("전준영",J1188)))</formula>
    </cfRule>
    <cfRule type="containsText" dxfId="1032" priority="12" operator="containsText" text="차재성">
      <formula>NOT(ISERROR(SEARCH("차재성",J1188)))</formula>
    </cfRule>
  </conditionalFormatting>
  <conditionalFormatting sqref="J40:J41">
    <cfRule type="containsText" dxfId="1031" priority="1" operator="containsText" text="허하나로">
      <formula>NOT(ISERROR(SEARCH("허하나로",H789)))</formula>
    </cfRule>
    <cfRule type="containsText" dxfId="1030" priority="2" operator="containsText" text="한별">
      <formula>NOT(ISERROR(SEARCH("한별",H789)))</formula>
    </cfRule>
    <cfRule type="containsText" dxfId="1029" priority="3" operator="containsText" text="정홍조">
      <formula>NOT(ISERROR(SEARCH("정홍조",H789)))</formula>
    </cfRule>
    <cfRule type="containsText" dxfId="1028" priority="4" operator="containsText" text="김지윤">
      <formula>NOT(ISERROR(SEARCH("김지윤",H789)))</formula>
    </cfRule>
    <cfRule type="containsText" dxfId="1027" priority="5" operator="containsText" text="전준영">
      <formula>NOT(ISERROR(SEARCH("전준영",H789)))</formula>
    </cfRule>
    <cfRule type="containsText" dxfId="1026" priority="6" operator="containsText" text="차재성">
      <formula>NOT(ISERROR(SEARCH("차재성",H789)))</formula>
    </cfRule>
  </conditionalFormatting>
  <conditionalFormatting sqref="J60">
    <cfRule type="containsText" dxfId="1025" priority="5113" operator="containsText" text="허하나로">
      <formula>NOT(ISERROR(SEARCH("허하나로",H1070)))</formula>
    </cfRule>
    <cfRule type="containsText" dxfId="1024" priority="5114" operator="containsText" text="한별">
      <formula>NOT(ISERROR(SEARCH("한별",H1070)))</formula>
    </cfRule>
    <cfRule type="containsText" dxfId="1023" priority="5115" operator="containsText" text="정홍조">
      <formula>NOT(ISERROR(SEARCH("정홍조",H1070)))</formula>
    </cfRule>
    <cfRule type="containsText" dxfId="1022" priority="5116" operator="containsText" text="김지윤">
      <formula>NOT(ISERROR(SEARCH("김지윤",H1070)))</formula>
    </cfRule>
    <cfRule type="containsText" dxfId="1021" priority="5117" operator="containsText" text="전준영">
      <formula>NOT(ISERROR(SEARCH("전준영",H1070)))</formula>
    </cfRule>
    <cfRule type="containsText" dxfId="1020" priority="5118" operator="containsText" text="차재성">
      <formula>NOT(ISERROR(SEARCH("차재성",H1070)))</formula>
    </cfRule>
  </conditionalFormatting>
  <pageMargins left="0.25" right="0.25" top="0.75" bottom="0.75" header="0.3" footer="0.3"/>
  <pageSetup paperSize="9" scale="74" firstPageNumber="0" fitToHeight="0" orientation="landscape" useFirstPageNumber="1" r:id="rId1"/>
  <headerFooter alignWithMargins="0">
    <oddHeader xml:space="preserve">&amp;L&amp;"돋움,굵게"
</oddHeader>
  </headerFooter>
  <rowBreaks count="1" manualBreakCount="1">
    <brk id="34" max="1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9" operator="containsText" text="허하나로" id="{79B152C1-B2E1-40E0-9E75-D7A9F76B9003}">
            <xm:f>NOT(ISERROR(SEARCH("허하나로",행정관리부!H1068)))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8FC6B557-ADFF-4EC7-A5F4-009BA2774F2C}">
            <xm:f>NOT(ISERROR(SEARCH("한별",행정관리부!H1068)))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4B8F03B6-AC04-4287-AD6B-88A50042BCD2}">
            <xm:f>NOT(ISERROR(SEARCH("정홍조",행정관리부!H1068)))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53B9FC3C-3C67-43D0-98A7-5EFFBE6CC4EC}">
            <xm:f>NOT(ISERROR(SEARCH("김지윤",행정관리부!H1068)))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CFBEE776-6AA4-4748-BCCC-D10B4A572B13}">
            <xm:f>NOT(ISERROR(SEARCH("전준영",행정관리부!H1068)))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FC84453E-808D-4BA6-AE79-F755C1A55E4A}">
            <xm:f>NOT(ISERROR(SEARCH("차재성",행정관리부!H1068)))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J73</xm:sqref>
        </x14:conditionalFormatting>
        <x14:conditionalFormatting xmlns:xm="http://schemas.microsoft.com/office/excel/2006/main">
          <x14:cfRule type="containsText" priority="73" operator="containsText" text="허하나로" id="{876F91CA-E610-40FE-81A7-44CDC5489935}">
            <xm:f>NOT(ISERROR(SEARCH("허하나로",행정관리부!H1124)))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5B556011-188D-4A3F-B13D-DC561B03F89B}">
            <xm:f>NOT(ISERROR(SEARCH("한별",행정관리부!H1124)))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ACAB305B-1D7C-4461-83B8-74D3DD016EA6}">
            <xm:f>NOT(ISERROR(SEARCH("정홍조",행정관리부!H1124)))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66FACC27-5BF4-415B-A45F-20971346D5CE}">
            <xm:f>NOT(ISERROR(SEARCH("김지윤",행정관리부!H1124)))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5FB2FFF1-D507-4E64-9BA9-BB6EF899BCB4}">
            <xm:f>NOT(ISERROR(SEARCH("전준영",행정관리부!H1124)))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89227B41-3E6A-4530-A8A2-E80A0BDFEB6D}">
            <xm:f>NOT(ISERROR(SEARCH("차재성",행정관리부!H1124)))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J71:J72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BP53"/>
  <sheetViews>
    <sheetView zoomScale="85" zoomScaleNormal="85" workbookViewId="0">
      <selection activeCell="G23" sqref="G23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" customWidth="1"/>
    <col min="10" max="10" width="14.625" customWidth="1"/>
    <col min="11" max="11" width="62.375" customWidth="1"/>
    <col min="12" max="12" width="3.875" customWidth="1"/>
    <col min="13" max="13" width="14.625" customWidth="1"/>
    <col min="14" max="14" width="9" style="591"/>
  </cols>
  <sheetData>
    <row r="1" spans="1:68" ht="17.25" thickBot="1">
      <c r="A1" s="88" t="s">
        <v>146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68" ht="16.5" customHeight="1">
      <c r="A2" s="715" t="s">
        <v>21</v>
      </c>
      <c r="B2" s="717" t="s">
        <v>22</v>
      </c>
      <c r="C2" s="718"/>
      <c r="D2" s="719"/>
      <c r="E2" s="717" t="s">
        <v>23</v>
      </c>
      <c r="F2" s="718"/>
      <c r="G2" s="719"/>
      <c r="H2" s="693" t="s">
        <v>728</v>
      </c>
      <c r="I2" s="693" t="s">
        <v>729</v>
      </c>
      <c r="J2" s="720" t="s">
        <v>467</v>
      </c>
      <c r="K2" s="704" t="s">
        <v>1</v>
      </c>
      <c r="L2" s="705"/>
      <c r="M2" s="706"/>
    </row>
    <row r="3" spans="1:68" ht="17.25" thickBot="1">
      <c r="A3" s="716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94"/>
      <c r="I3" s="694"/>
      <c r="J3" s="721"/>
      <c r="K3" s="707"/>
      <c r="L3" s="708"/>
      <c r="M3" s="709"/>
    </row>
    <row r="4" spans="1:68" ht="17.25" thickBot="1">
      <c r="A4" s="710" t="s">
        <v>30</v>
      </c>
      <c r="B4" s="711"/>
      <c r="C4" s="711"/>
      <c r="D4" s="711"/>
      <c r="E4" s="711"/>
      <c r="F4" s="711"/>
      <c r="G4" s="712"/>
      <c r="H4" s="185">
        <f>H5</f>
        <v>308648</v>
      </c>
      <c r="I4" s="185">
        <v>47440</v>
      </c>
      <c r="J4" s="120">
        <f>H4-I4</f>
        <v>261208</v>
      </c>
      <c r="K4" s="89"/>
      <c r="L4" s="90"/>
      <c r="M4" s="121"/>
    </row>
    <row r="5" spans="1:68">
      <c r="A5" s="205" t="s">
        <v>2</v>
      </c>
      <c r="B5" s="122"/>
      <c r="C5" s="123"/>
      <c r="D5" s="123"/>
      <c r="E5" s="123"/>
      <c r="F5" s="123"/>
      <c r="G5" s="124"/>
      <c r="H5" s="94">
        <f>H6</f>
        <v>308648</v>
      </c>
      <c r="I5" s="94">
        <v>47440</v>
      </c>
      <c r="J5" s="95">
        <f t="shared" ref="J5:J39" si="0">H5-I5</f>
        <v>261208</v>
      </c>
      <c r="K5" s="78"/>
      <c r="L5" s="79"/>
      <c r="M5" s="80"/>
    </row>
    <row r="6" spans="1:68">
      <c r="A6" s="10"/>
      <c r="B6" s="129" t="s">
        <v>251</v>
      </c>
      <c r="C6" s="129"/>
      <c r="D6" s="130"/>
      <c r="E6" s="130"/>
      <c r="F6" s="130"/>
      <c r="G6" s="131"/>
      <c r="H6" s="94">
        <f>SUM(H7,H35)</f>
        <v>308648</v>
      </c>
      <c r="I6" s="94">
        <v>47440</v>
      </c>
      <c r="J6" s="95">
        <f t="shared" si="0"/>
        <v>261208</v>
      </c>
      <c r="K6" s="78"/>
      <c r="L6" s="79"/>
      <c r="M6" s="80"/>
    </row>
    <row r="7" spans="1:68">
      <c r="A7" s="10"/>
      <c r="B7" s="6"/>
      <c r="C7" s="179" t="s">
        <v>576</v>
      </c>
      <c r="D7" s="130"/>
      <c r="E7" s="130"/>
      <c r="F7" s="130"/>
      <c r="G7" s="131"/>
      <c r="H7" s="91">
        <f>SUM(H8,H18,H23,H29)</f>
        <v>287508</v>
      </c>
      <c r="I7" s="91">
        <v>26300</v>
      </c>
      <c r="J7" s="92">
        <f t="shared" ref="J7:J11" si="1">H7-I7</f>
        <v>261208</v>
      </c>
      <c r="K7" s="159"/>
      <c r="L7" s="149"/>
      <c r="M7" s="150"/>
    </row>
    <row r="8" spans="1:68">
      <c r="A8" s="10"/>
      <c r="B8" s="6"/>
      <c r="C8" s="147"/>
      <c r="D8" s="129" t="s">
        <v>577</v>
      </c>
      <c r="E8" s="130"/>
      <c r="F8" s="130"/>
      <c r="G8" s="131"/>
      <c r="H8" s="132">
        <f>H9</f>
        <v>26300</v>
      </c>
      <c r="I8" s="132">
        <v>26300</v>
      </c>
      <c r="J8" s="9">
        <f t="shared" si="1"/>
        <v>0</v>
      </c>
      <c r="K8" s="148"/>
      <c r="L8" s="149"/>
      <c r="M8" s="150"/>
    </row>
    <row r="9" spans="1:68">
      <c r="A9" s="10"/>
      <c r="B9" s="6"/>
      <c r="C9" s="134"/>
      <c r="D9" s="135"/>
      <c r="E9" s="129" t="s">
        <v>33</v>
      </c>
      <c r="F9" s="130"/>
      <c r="G9" s="131"/>
      <c r="H9" s="91">
        <f>SUM(H10,H13)</f>
        <v>26300</v>
      </c>
      <c r="I9" s="91">
        <v>26300</v>
      </c>
      <c r="J9" s="92">
        <f t="shared" si="1"/>
        <v>0</v>
      </c>
      <c r="K9" s="84"/>
      <c r="L9" s="93"/>
      <c r="M9" s="82"/>
    </row>
    <row r="10" spans="1:68">
      <c r="A10" s="63"/>
      <c r="B10" s="65"/>
      <c r="C10" s="65"/>
      <c r="D10" s="65"/>
      <c r="E10" s="65"/>
      <c r="F10" s="136" t="s">
        <v>35</v>
      </c>
      <c r="G10" s="140"/>
      <c r="H10" s="72">
        <f>H11</f>
        <v>5000</v>
      </c>
      <c r="I10" s="72">
        <v>5000</v>
      </c>
      <c r="J10" s="98">
        <f t="shared" si="1"/>
        <v>0</v>
      </c>
      <c r="K10" s="144"/>
      <c r="L10" s="38"/>
      <c r="M10" s="37"/>
    </row>
    <row r="11" spans="1:68">
      <c r="A11" s="55"/>
      <c r="B11" s="57"/>
      <c r="C11" s="65"/>
      <c r="D11" s="65"/>
      <c r="E11" s="65"/>
      <c r="F11" s="192"/>
      <c r="G11" s="64" t="s">
        <v>7</v>
      </c>
      <c r="H11" s="207">
        <f>M11</f>
        <v>5000</v>
      </c>
      <c r="I11" s="207">
        <v>5000</v>
      </c>
      <c r="J11" s="41">
        <f t="shared" si="1"/>
        <v>0</v>
      </c>
      <c r="K11" s="565" t="s">
        <v>44</v>
      </c>
      <c r="L11" s="209"/>
      <c r="M11" s="218">
        <f>SUM(M12:M12)</f>
        <v>5000</v>
      </c>
    </row>
    <row r="12" spans="1:68">
      <c r="A12" s="55"/>
      <c r="B12" s="57"/>
      <c r="C12" s="65"/>
      <c r="D12" s="65"/>
      <c r="E12" s="65"/>
      <c r="F12" s="56"/>
      <c r="G12" s="56"/>
      <c r="H12" s="100"/>
      <c r="I12" s="100"/>
      <c r="J12" s="102"/>
      <c r="K12" s="217" t="s">
        <v>578</v>
      </c>
      <c r="L12" s="204" t="s">
        <v>37</v>
      </c>
      <c r="M12" s="196">
        <v>5000</v>
      </c>
    </row>
    <row r="13" spans="1:68">
      <c r="A13" s="63"/>
      <c r="B13" s="65"/>
      <c r="C13" s="65"/>
      <c r="D13" s="65"/>
      <c r="E13" s="65"/>
      <c r="F13" s="713" t="s">
        <v>40</v>
      </c>
      <c r="G13" s="714"/>
      <c r="H13" s="152">
        <f>SUM(H14,H16)</f>
        <v>21300</v>
      </c>
      <c r="I13" s="152">
        <v>21300</v>
      </c>
      <c r="J13" s="153">
        <f>H13-I13</f>
        <v>0</v>
      </c>
      <c r="K13" s="154"/>
      <c r="L13" s="58"/>
      <c r="M13" s="564"/>
    </row>
    <row r="14" spans="1:68">
      <c r="A14" s="63"/>
      <c r="B14" s="65"/>
      <c r="C14" s="65"/>
      <c r="D14" s="65"/>
      <c r="E14" s="65"/>
      <c r="F14" s="109"/>
      <c r="G14" s="199" t="s">
        <v>41</v>
      </c>
      <c r="H14" s="210">
        <f>M14</f>
        <v>3300</v>
      </c>
      <c r="I14" s="207">
        <v>3300</v>
      </c>
      <c r="J14" s="202">
        <f>H14-I14</f>
        <v>0</v>
      </c>
      <c r="K14" s="36" t="s">
        <v>50</v>
      </c>
      <c r="L14" s="212"/>
      <c r="M14" s="218">
        <f>M15</f>
        <v>3300</v>
      </c>
    </row>
    <row r="15" spans="1:68" s="137" customFormat="1" ht="18" customHeight="1">
      <c r="A15" s="63"/>
      <c r="B15" s="65"/>
      <c r="C15" s="65"/>
      <c r="D15" s="65"/>
      <c r="E15" s="65"/>
      <c r="F15" s="194"/>
      <c r="G15" s="194"/>
      <c r="H15" s="100"/>
      <c r="I15" s="104"/>
      <c r="J15" s="102"/>
      <c r="K15" s="387" t="s">
        <v>644</v>
      </c>
      <c r="L15" s="424" t="s">
        <v>0</v>
      </c>
      <c r="M15" s="379">
        <v>3300</v>
      </c>
      <c r="N15" s="591"/>
      <c r="O15" s="590"/>
      <c r="P15"/>
      <c r="Q15"/>
      <c r="R15" s="101"/>
      <c r="U15" s="54"/>
      <c r="V15" s="59"/>
      <c r="W15" s="59"/>
      <c r="X15" s="59"/>
      <c r="Y15" s="59"/>
      <c r="Z15" s="59"/>
      <c r="AA15" s="59"/>
      <c r="AB15" s="59"/>
      <c r="AC15" s="59">
        <v>9</v>
      </c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</row>
    <row r="16" spans="1:68">
      <c r="A16" s="63"/>
      <c r="B16" s="65"/>
      <c r="C16" s="65"/>
      <c r="D16" s="65"/>
      <c r="E16" s="65"/>
      <c r="F16" s="105"/>
      <c r="G16" s="199" t="s">
        <v>428</v>
      </c>
      <c r="H16" s="210">
        <f>M16</f>
        <v>18000</v>
      </c>
      <c r="I16" s="207">
        <v>18000</v>
      </c>
      <c r="J16" s="202">
        <f>H16-I16</f>
        <v>0</v>
      </c>
      <c r="K16" s="391" t="s">
        <v>51</v>
      </c>
      <c r="L16" s="423"/>
      <c r="M16" s="393">
        <f>M17</f>
        <v>18000</v>
      </c>
    </row>
    <row r="17" spans="1:68" s="137" customFormat="1" ht="18" customHeight="1">
      <c r="A17" s="63"/>
      <c r="B17" s="65"/>
      <c r="C17" s="65"/>
      <c r="D17" s="65"/>
      <c r="E17" s="65"/>
      <c r="F17" s="194"/>
      <c r="G17" s="194"/>
      <c r="H17" s="100"/>
      <c r="I17" s="104"/>
      <c r="J17" s="102"/>
      <c r="K17" s="387" t="s">
        <v>694</v>
      </c>
      <c r="L17" s="528" t="s">
        <v>0</v>
      </c>
      <c r="M17" s="379">
        <v>18000</v>
      </c>
      <c r="N17" s="591"/>
      <c r="O17" s="590"/>
      <c r="P17"/>
      <c r="Q17"/>
      <c r="R17" s="101"/>
      <c r="U17" s="54"/>
      <c r="V17" s="59"/>
      <c r="W17" s="59"/>
      <c r="X17" s="59"/>
      <c r="Y17" s="59"/>
      <c r="Z17" s="59"/>
      <c r="AA17" s="59"/>
      <c r="AB17" s="59"/>
      <c r="AC17" s="59">
        <v>9</v>
      </c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</row>
    <row r="18" spans="1:68">
      <c r="A18" s="10"/>
      <c r="B18" s="6"/>
      <c r="C18" s="147"/>
      <c r="D18" s="651" t="s">
        <v>773</v>
      </c>
      <c r="E18" s="130"/>
      <c r="F18" s="130"/>
      <c r="G18" s="131"/>
      <c r="H18" s="132">
        <f>H19</f>
        <v>1208</v>
      </c>
      <c r="I18" s="132">
        <v>0</v>
      </c>
      <c r="J18" s="9">
        <f t="shared" ref="J18:J21" si="2">H18-I18</f>
        <v>1208</v>
      </c>
      <c r="K18" s="394"/>
      <c r="L18" s="395"/>
      <c r="M18" s="402"/>
      <c r="N18" s="621"/>
    </row>
    <row r="19" spans="1:68">
      <c r="A19" s="10"/>
      <c r="B19" s="6"/>
      <c r="C19" s="134"/>
      <c r="D19" s="135"/>
      <c r="E19" s="129" t="s">
        <v>774</v>
      </c>
      <c r="F19" s="130"/>
      <c r="G19" s="131"/>
      <c r="H19" s="91">
        <f>H20</f>
        <v>1208</v>
      </c>
      <c r="I19" s="91">
        <v>0</v>
      </c>
      <c r="J19" s="92">
        <f t="shared" si="2"/>
        <v>1208</v>
      </c>
      <c r="K19" s="355"/>
      <c r="L19" s="396"/>
      <c r="M19" s="397"/>
      <c r="N19" s="621"/>
    </row>
    <row r="20" spans="1:68">
      <c r="A20" s="63"/>
      <c r="B20" s="65"/>
      <c r="C20" s="65"/>
      <c r="D20" s="65"/>
      <c r="E20" s="65"/>
      <c r="F20" s="136" t="s">
        <v>775</v>
      </c>
      <c r="G20" s="140"/>
      <c r="H20" s="72">
        <f>H21</f>
        <v>1208</v>
      </c>
      <c r="I20" s="72">
        <v>0</v>
      </c>
      <c r="J20" s="98">
        <f t="shared" si="2"/>
        <v>1208</v>
      </c>
      <c r="K20" s="388"/>
      <c r="L20" s="389"/>
      <c r="M20" s="403"/>
      <c r="N20" s="621"/>
    </row>
    <row r="21" spans="1:68">
      <c r="A21" s="55"/>
      <c r="B21" s="57"/>
      <c r="C21" s="65"/>
      <c r="D21" s="65"/>
      <c r="E21" s="65"/>
      <c r="F21" s="192"/>
      <c r="G21" s="206" t="s">
        <v>776</v>
      </c>
      <c r="H21" s="207">
        <f>M21</f>
        <v>1208</v>
      </c>
      <c r="I21" s="207">
        <v>0</v>
      </c>
      <c r="J21" s="41">
        <f t="shared" si="2"/>
        <v>1208</v>
      </c>
      <c r="K21" s="642" t="s">
        <v>777</v>
      </c>
      <c r="L21" s="418"/>
      <c r="M21" s="393">
        <f>SUM(M22:M22)</f>
        <v>1208</v>
      </c>
      <c r="N21" s="621"/>
    </row>
    <row r="22" spans="1:68">
      <c r="A22" s="55"/>
      <c r="B22" s="57"/>
      <c r="C22" s="65"/>
      <c r="D22" s="65"/>
      <c r="E22" s="65"/>
      <c r="F22" s="56"/>
      <c r="G22" s="684" t="s">
        <v>888</v>
      </c>
      <c r="H22" s="100"/>
      <c r="I22" s="100"/>
      <c r="J22" s="102"/>
      <c r="K22" s="624" t="s">
        <v>778</v>
      </c>
      <c r="L22" s="625" t="s">
        <v>37</v>
      </c>
      <c r="M22" s="615">
        <v>1208</v>
      </c>
      <c r="N22" s="621"/>
    </row>
    <row r="23" spans="1:68">
      <c r="A23" s="459"/>
      <c r="B23" s="462"/>
      <c r="C23" s="462"/>
      <c r="D23" s="651" t="s">
        <v>840</v>
      </c>
      <c r="E23" s="460"/>
      <c r="F23" s="460"/>
      <c r="G23" s="461"/>
      <c r="H23" s="463">
        <f>H24</f>
        <v>50000</v>
      </c>
      <c r="I23" s="463">
        <v>0</v>
      </c>
      <c r="J23" s="95">
        <f>H23-I23</f>
        <v>50000</v>
      </c>
      <c r="K23" s="354"/>
      <c r="L23" s="410"/>
      <c r="M23" s="426"/>
      <c r="N23"/>
    </row>
    <row r="24" spans="1:68">
      <c r="A24" s="459"/>
      <c r="B24" s="462"/>
      <c r="C24" s="489"/>
      <c r="D24" s="465"/>
      <c r="E24" s="353" t="s">
        <v>219</v>
      </c>
      <c r="F24" s="460"/>
      <c r="G24" s="461"/>
      <c r="H24" s="92">
        <f>H25</f>
        <v>50000</v>
      </c>
      <c r="I24" s="92">
        <v>0</v>
      </c>
      <c r="J24" s="95">
        <f>H24-I24</f>
        <v>50000</v>
      </c>
      <c r="K24" s="355"/>
      <c r="L24" s="396"/>
      <c r="M24" s="397"/>
      <c r="N24"/>
    </row>
    <row r="25" spans="1:68">
      <c r="A25" s="362"/>
      <c r="B25" s="363"/>
      <c r="C25" s="467"/>
      <c r="D25" s="468"/>
      <c r="E25" s="469"/>
      <c r="F25" s="470" t="s">
        <v>220</v>
      </c>
      <c r="G25" s="471"/>
      <c r="H25" s="98">
        <f>SUM(H26)</f>
        <v>50000</v>
      </c>
      <c r="I25" s="98">
        <v>0</v>
      </c>
      <c r="J25" s="98">
        <f>H25-I25</f>
        <v>50000</v>
      </c>
      <c r="K25" s="427"/>
      <c r="L25" s="356"/>
      <c r="M25" s="399"/>
      <c r="N25"/>
    </row>
    <row r="26" spans="1:68">
      <c r="A26" s="362"/>
      <c r="B26" s="363"/>
      <c r="C26" s="363"/>
      <c r="D26" s="364"/>
      <c r="E26" s="365"/>
      <c r="F26" s="365"/>
      <c r="G26" s="366" t="s">
        <v>224</v>
      </c>
      <c r="H26" s="41">
        <f>SUM(M26)</f>
        <v>50000</v>
      </c>
      <c r="I26" s="41">
        <v>0</v>
      </c>
      <c r="J26" s="41">
        <f>H26-I26</f>
        <v>50000</v>
      </c>
      <c r="K26" s="428" t="s">
        <v>587</v>
      </c>
      <c r="L26" s="392"/>
      <c r="M26" s="393">
        <f>SUM(M28:M28)</f>
        <v>50000</v>
      </c>
      <c r="N26"/>
    </row>
    <row r="27" spans="1:68">
      <c r="A27" s="362"/>
      <c r="B27" s="363"/>
      <c r="C27" s="363"/>
      <c r="D27" s="364"/>
      <c r="E27" s="365"/>
      <c r="F27" s="365"/>
      <c r="G27" s="366"/>
      <c r="H27" s="50"/>
      <c r="I27" s="50"/>
      <c r="J27" s="50"/>
      <c r="K27" s="645" t="s">
        <v>801</v>
      </c>
      <c r="L27" s="380"/>
      <c r="M27" s="384"/>
      <c r="N27"/>
    </row>
    <row r="28" spans="1:68">
      <c r="A28" s="63"/>
      <c r="B28" s="65"/>
      <c r="C28" s="363"/>
      <c r="D28" s="507"/>
      <c r="E28" s="547"/>
      <c r="F28" s="547"/>
      <c r="G28" s="654"/>
      <c r="H28" s="656"/>
      <c r="I28" s="656"/>
      <c r="J28" s="656"/>
      <c r="K28" s="647" t="s">
        <v>869</v>
      </c>
      <c r="L28" s="639" t="s">
        <v>223</v>
      </c>
      <c r="M28" s="634">
        <v>50000</v>
      </c>
      <c r="N28"/>
    </row>
    <row r="29" spans="1:68">
      <c r="A29" s="459"/>
      <c r="B29" s="462"/>
      <c r="C29" s="462"/>
      <c r="D29" s="651" t="s">
        <v>841</v>
      </c>
      <c r="E29" s="460"/>
      <c r="F29" s="460"/>
      <c r="G29" s="461"/>
      <c r="H29" s="463">
        <f>H30</f>
        <v>210000</v>
      </c>
      <c r="I29" s="463">
        <v>0</v>
      </c>
      <c r="J29" s="95">
        <f>H29-I29</f>
        <v>210000</v>
      </c>
      <c r="K29" s="354"/>
      <c r="L29" s="410"/>
      <c r="M29" s="426"/>
      <c r="N29"/>
    </row>
    <row r="30" spans="1:68">
      <c r="A30" s="459"/>
      <c r="B30" s="462"/>
      <c r="C30" s="489"/>
      <c r="D30" s="465"/>
      <c r="E30" s="353" t="s">
        <v>219</v>
      </c>
      <c r="F30" s="460"/>
      <c r="G30" s="461"/>
      <c r="H30" s="92">
        <f>H31</f>
        <v>210000</v>
      </c>
      <c r="I30" s="92">
        <v>0</v>
      </c>
      <c r="J30" s="95">
        <f>H30-I30</f>
        <v>210000</v>
      </c>
      <c r="K30" s="355"/>
      <c r="L30" s="396"/>
      <c r="M30" s="397"/>
      <c r="N30"/>
    </row>
    <row r="31" spans="1:68">
      <c r="A31" s="362"/>
      <c r="B31" s="363"/>
      <c r="C31" s="467"/>
      <c r="D31" s="468"/>
      <c r="E31" s="469"/>
      <c r="F31" s="470" t="s">
        <v>220</v>
      </c>
      <c r="G31" s="471"/>
      <c r="H31" s="98">
        <f>SUM(H32)</f>
        <v>210000</v>
      </c>
      <c r="I31" s="98">
        <v>0</v>
      </c>
      <c r="J31" s="98">
        <f>H31-I31</f>
        <v>210000</v>
      </c>
      <c r="K31" s="427"/>
      <c r="L31" s="356"/>
      <c r="M31" s="399"/>
      <c r="N31"/>
    </row>
    <row r="32" spans="1:68">
      <c r="A32" s="362"/>
      <c r="B32" s="363"/>
      <c r="C32" s="363"/>
      <c r="D32" s="364"/>
      <c r="E32" s="365"/>
      <c r="F32" s="365"/>
      <c r="G32" s="366" t="s">
        <v>224</v>
      </c>
      <c r="H32" s="41">
        <f>SUM(M32)</f>
        <v>210000</v>
      </c>
      <c r="I32" s="41">
        <v>0</v>
      </c>
      <c r="J32" s="41">
        <f>H32-I32</f>
        <v>210000</v>
      </c>
      <c r="K32" s="428" t="s">
        <v>587</v>
      </c>
      <c r="L32" s="392"/>
      <c r="M32" s="393">
        <f>SUM(M34:M34)</f>
        <v>210000</v>
      </c>
      <c r="N32"/>
    </row>
    <row r="33" spans="1:68">
      <c r="A33" s="63"/>
      <c r="B33" s="65"/>
      <c r="C33" s="363"/>
      <c r="D33" s="364"/>
      <c r="E33" s="364"/>
      <c r="F33" s="365"/>
      <c r="G33" s="366"/>
      <c r="H33" s="74"/>
      <c r="I33" s="74"/>
      <c r="J33" s="50"/>
      <c r="K33" s="655" t="s">
        <v>796</v>
      </c>
      <c r="L33" s="380"/>
      <c r="M33" s="379"/>
      <c r="N33"/>
    </row>
    <row r="34" spans="1:68">
      <c r="A34" s="63"/>
      <c r="B34" s="65"/>
      <c r="C34" s="363"/>
      <c r="D34" s="364"/>
      <c r="E34" s="507"/>
      <c r="F34" s="547"/>
      <c r="G34" s="654"/>
      <c r="H34" s="656"/>
      <c r="I34" s="656"/>
      <c r="J34" s="656"/>
      <c r="K34" s="647" t="s">
        <v>879</v>
      </c>
      <c r="L34" s="639" t="s">
        <v>223</v>
      </c>
      <c r="M34" s="634">
        <v>210000</v>
      </c>
      <c r="N34"/>
    </row>
    <row r="35" spans="1:68">
      <c r="A35" s="10"/>
      <c r="B35" s="6"/>
      <c r="C35" s="179" t="s">
        <v>294</v>
      </c>
      <c r="D35" s="130"/>
      <c r="E35" s="130"/>
      <c r="F35" s="130"/>
      <c r="G35" s="131"/>
      <c r="H35" s="91">
        <f>H36</f>
        <v>21140</v>
      </c>
      <c r="I35" s="91">
        <v>21140</v>
      </c>
      <c r="J35" s="92">
        <f t="shared" si="0"/>
        <v>0</v>
      </c>
      <c r="K35" s="401"/>
      <c r="L35" s="395"/>
      <c r="M35" s="402"/>
    </row>
    <row r="36" spans="1:68">
      <c r="A36" s="10"/>
      <c r="B36" s="6"/>
      <c r="C36" s="147"/>
      <c r="D36" s="129" t="s">
        <v>34</v>
      </c>
      <c r="E36" s="130"/>
      <c r="F36" s="130"/>
      <c r="G36" s="131"/>
      <c r="H36" s="132">
        <f>H37</f>
        <v>21140</v>
      </c>
      <c r="I36" s="132">
        <v>21140</v>
      </c>
      <c r="J36" s="9">
        <f t="shared" si="0"/>
        <v>0</v>
      </c>
      <c r="K36" s="394"/>
      <c r="L36" s="395"/>
      <c r="M36" s="402"/>
    </row>
    <row r="37" spans="1:68">
      <c r="A37" s="10"/>
      <c r="B37" s="6"/>
      <c r="C37" s="134"/>
      <c r="D37" s="135"/>
      <c r="E37" s="129" t="s">
        <v>33</v>
      </c>
      <c r="F37" s="130"/>
      <c r="G37" s="131"/>
      <c r="H37" s="91">
        <f>SUM(H38,H43,H47,H51)</f>
        <v>21140</v>
      </c>
      <c r="I37" s="91">
        <v>21140</v>
      </c>
      <c r="J37" s="92">
        <f t="shared" si="0"/>
        <v>0</v>
      </c>
      <c r="K37" s="355"/>
      <c r="L37" s="396"/>
      <c r="M37" s="397"/>
    </row>
    <row r="38" spans="1:68">
      <c r="A38" s="63"/>
      <c r="B38" s="65"/>
      <c r="C38" s="65"/>
      <c r="D38" s="65"/>
      <c r="E38" s="65"/>
      <c r="F38" s="136" t="s">
        <v>35</v>
      </c>
      <c r="G38" s="140"/>
      <c r="H38" s="72">
        <f>SUM(H39,H41)</f>
        <v>7040</v>
      </c>
      <c r="I38" s="72">
        <v>7040</v>
      </c>
      <c r="J38" s="98">
        <f t="shared" si="0"/>
        <v>0</v>
      </c>
      <c r="K38" s="388"/>
      <c r="L38" s="389"/>
      <c r="M38" s="403"/>
    </row>
    <row r="39" spans="1:68">
      <c r="A39" s="55"/>
      <c r="B39" s="57"/>
      <c r="C39" s="65"/>
      <c r="D39" s="65"/>
      <c r="E39" s="65"/>
      <c r="F39" s="192"/>
      <c r="G39" s="206" t="s">
        <v>36</v>
      </c>
      <c r="H39" s="207">
        <f>M39</f>
        <v>2000</v>
      </c>
      <c r="I39" s="207">
        <v>2000</v>
      </c>
      <c r="J39" s="41">
        <f t="shared" si="0"/>
        <v>0</v>
      </c>
      <c r="K39" s="391" t="s">
        <v>52</v>
      </c>
      <c r="L39" s="418"/>
      <c r="M39" s="393">
        <f>SUM(M40:M40)</f>
        <v>2000</v>
      </c>
    </row>
    <row r="40" spans="1:68">
      <c r="A40" s="55"/>
      <c r="B40" s="57"/>
      <c r="C40" s="65"/>
      <c r="D40" s="65"/>
      <c r="E40" s="65"/>
      <c r="F40" s="56"/>
      <c r="G40" s="56"/>
      <c r="H40" s="100"/>
      <c r="I40" s="100"/>
      <c r="J40" s="102"/>
      <c r="K40" s="425" t="s">
        <v>579</v>
      </c>
      <c r="L40" s="383" t="s">
        <v>37</v>
      </c>
      <c r="M40" s="379">
        <v>2000</v>
      </c>
    </row>
    <row r="41" spans="1:68" s="137" customFormat="1" ht="18" customHeight="1">
      <c r="A41" s="55"/>
      <c r="B41" s="57"/>
      <c r="C41" s="65"/>
      <c r="D41" s="65"/>
      <c r="E41" s="65"/>
      <c r="F41" s="56"/>
      <c r="G41" s="206" t="s">
        <v>306</v>
      </c>
      <c r="H41" s="207">
        <f>M41</f>
        <v>5040</v>
      </c>
      <c r="I41" s="207">
        <v>5040</v>
      </c>
      <c r="J41" s="208">
        <f>H41-I41</f>
        <v>0</v>
      </c>
      <c r="K41" s="391" t="s">
        <v>307</v>
      </c>
      <c r="L41" s="530"/>
      <c r="M41" s="393">
        <f>SUM(M42)</f>
        <v>5040</v>
      </c>
      <c r="N41" s="591"/>
    </row>
    <row r="42" spans="1:68" s="137" customFormat="1" ht="18" customHeight="1">
      <c r="A42" s="63"/>
      <c r="B42" s="65"/>
      <c r="C42" s="65"/>
      <c r="D42" s="65"/>
      <c r="E42" s="65"/>
      <c r="F42" s="56"/>
      <c r="G42" s="56"/>
      <c r="H42" s="100"/>
      <c r="I42" s="100"/>
      <c r="J42" s="102"/>
      <c r="K42" s="385" t="s">
        <v>580</v>
      </c>
      <c r="L42" s="378" t="s">
        <v>37</v>
      </c>
      <c r="M42" s="379">
        <v>5040</v>
      </c>
      <c r="N42" s="591"/>
    </row>
    <row r="43" spans="1:68">
      <c r="A43" s="63"/>
      <c r="B43" s="65"/>
      <c r="C43" s="65"/>
      <c r="D43" s="65"/>
      <c r="E43" s="65"/>
      <c r="F43" s="713" t="s">
        <v>40</v>
      </c>
      <c r="G43" s="714"/>
      <c r="H43" s="152">
        <f>H44</f>
        <v>9000</v>
      </c>
      <c r="I43" s="152">
        <v>9000</v>
      </c>
      <c r="J43" s="153">
        <f>H43-I43</f>
        <v>0</v>
      </c>
      <c r="K43" s="420"/>
      <c r="L43" s="421"/>
      <c r="M43" s="422"/>
    </row>
    <row r="44" spans="1:68">
      <c r="A44" s="63"/>
      <c r="B44" s="65"/>
      <c r="C44" s="65"/>
      <c r="D44" s="65"/>
      <c r="E44" s="65"/>
      <c r="F44" s="109"/>
      <c r="G44" s="199" t="s">
        <v>41</v>
      </c>
      <c r="H44" s="210">
        <f>M44</f>
        <v>9000</v>
      </c>
      <c r="I44" s="207">
        <v>9000</v>
      </c>
      <c r="J44" s="202">
        <f>H44-I44</f>
        <v>0</v>
      </c>
      <c r="K44" s="391" t="s">
        <v>50</v>
      </c>
      <c r="L44" s="423"/>
      <c r="M44" s="393">
        <f>SUM(M45:M46)</f>
        <v>9000</v>
      </c>
    </row>
    <row r="45" spans="1:68" s="137" customFormat="1" ht="18" customHeight="1">
      <c r="A45" s="63"/>
      <c r="B45" s="65"/>
      <c r="C45" s="65"/>
      <c r="D45" s="65"/>
      <c r="E45" s="65"/>
      <c r="F45" s="194"/>
      <c r="G45" s="194"/>
      <c r="H45" s="100"/>
      <c r="I45" s="104"/>
      <c r="J45" s="102"/>
      <c r="K45" s="387" t="s">
        <v>695</v>
      </c>
      <c r="L45" s="424" t="s">
        <v>0</v>
      </c>
      <c r="M45" s="379">
        <v>2400</v>
      </c>
      <c r="N45" s="591"/>
      <c r="O45"/>
      <c r="P45"/>
      <c r="Q45"/>
      <c r="R45" s="101"/>
      <c r="U45" s="54"/>
      <c r="V45" s="59"/>
      <c r="W45" s="59"/>
      <c r="X45" s="59"/>
      <c r="Y45" s="59"/>
      <c r="Z45" s="59"/>
      <c r="AA45" s="59"/>
      <c r="AB45" s="59"/>
      <c r="AC45" s="59">
        <v>9</v>
      </c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</row>
    <row r="46" spans="1:68" s="137" customFormat="1" ht="18" customHeight="1">
      <c r="A46" s="63"/>
      <c r="B46" s="65"/>
      <c r="C46" s="65"/>
      <c r="D46" s="65"/>
      <c r="E46" s="65"/>
      <c r="F46" s="194"/>
      <c r="G46" s="194"/>
      <c r="H46" s="100"/>
      <c r="I46" s="104"/>
      <c r="J46" s="102"/>
      <c r="K46" s="385" t="s">
        <v>696</v>
      </c>
      <c r="L46" s="528" t="s">
        <v>0</v>
      </c>
      <c r="M46" s="379">
        <v>6600</v>
      </c>
      <c r="N46" s="591"/>
      <c r="O46"/>
      <c r="P46"/>
      <c r="Q46"/>
      <c r="R46" s="101"/>
    </row>
    <row r="47" spans="1:68">
      <c r="A47" s="63"/>
      <c r="B47" s="65"/>
      <c r="C47" s="65"/>
      <c r="D47" s="65"/>
      <c r="E47" s="65"/>
      <c r="F47" s="713" t="s">
        <v>42</v>
      </c>
      <c r="G47" s="714"/>
      <c r="H47" s="152">
        <f>H48</f>
        <v>3000</v>
      </c>
      <c r="I47" s="152">
        <v>3000</v>
      </c>
      <c r="J47" s="153">
        <f>H47-I47</f>
        <v>0</v>
      </c>
      <c r="K47" s="601"/>
      <c r="L47" s="421"/>
      <c r="M47" s="422"/>
    </row>
    <row r="48" spans="1:68">
      <c r="A48" s="63"/>
      <c r="B48" s="65"/>
      <c r="C48" s="65"/>
      <c r="D48" s="65"/>
      <c r="E48" s="65"/>
      <c r="F48" s="194"/>
      <c r="G48" s="109" t="s">
        <v>43</v>
      </c>
      <c r="H48" s="210">
        <f>M48</f>
        <v>3000</v>
      </c>
      <c r="I48" s="210">
        <v>3000</v>
      </c>
      <c r="J48" s="202">
        <f>H48-I48</f>
        <v>0</v>
      </c>
      <c r="K48" s="36" t="s">
        <v>507</v>
      </c>
      <c r="L48" s="209"/>
      <c r="M48" s="218">
        <f>SUM(M49:M50)</f>
        <v>3000</v>
      </c>
    </row>
    <row r="49" spans="1:13">
      <c r="A49" s="63"/>
      <c r="B49" s="65"/>
      <c r="C49" s="65"/>
      <c r="D49" s="65"/>
      <c r="E49" s="65"/>
      <c r="F49" s="194"/>
      <c r="G49" s="105"/>
      <c r="H49" s="106"/>
      <c r="I49" s="106"/>
      <c r="J49" s="107"/>
      <c r="K49" s="351" t="s">
        <v>581</v>
      </c>
      <c r="L49" s="96" t="s">
        <v>0</v>
      </c>
      <c r="M49" s="191">
        <v>1500</v>
      </c>
    </row>
    <row r="50" spans="1:13">
      <c r="A50" s="318"/>
      <c r="B50" s="319"/>
      <c r="C50" s="319"/>
      <c r="D50" s="319"/>
      <c r="E50" s="319"/>
      <c r="F50" s="195"/>
      <c r="G50" s="195"/>
      <c r="H50" s="103"/>
      <c r="I50" s="155"/>
      <c r="J50" s="155"/>
      <c r="K50" s="198" t="s">
        <v>582</v>
      </c>
      <c r="L50" s="211" t="s">
        <v>0</v>
      </c>
      <c r="M50" s="196">
        <v>1500</v>
      </c>
    </row>
    <row r="51" spans="1:13">
      <c r="A51" s="63"/>
      <c r="B51" s="65"/>
      <c r="C51" s="65"/>
      <c r="D51" s="65"/>
      <c r="E51" s="65"/>
      <c r="F51" s="334" t="s">
        <v>89</v>
      </c>
      <c r="G51" s="70"/>
      <c r="H51" s="71">
        <f>H52</f>
        <v>2100</v>
      </c>
      <c r="I51" s="71">
        <v>2100</v>
      </c>
      <c r="J51" s="146">
        <f>H51-I51</f>
        <v>0</v>
      </c>
      <c r="K51" s="274"/>
      <c r="L51" s="275"/>
      <c r="M51" s="335"/>
    </row>
    <row r="52" spans="1:13">
      <c r="A52" s="63"/>
      <c r="B52" s="65"/>
      <c r="C52" s="65"/>
      <c r="D52" s="65"/>
      <c r="E52" s="65"/>
      <c r="F52" s="143"/>
      <c r="G52" s="65" t="s">
        <v>93</v>
      </c>
      <c r="H52" s="75">
        <f>M52</f>
        <v>2100</v>
      </c>
      <c r="I52" s="75">
        <v>2100</v>
      </c>
      <c r="J52" s="48">
        <f>H52-I52</f>
        <v>0</v>
      </c>
      <c r="K52" s="36" t="s">
        <v>387</v>
      </c>
      <c r="L52" s="39"/>
      <c r="M52" s="218">
        <f>M53</f>
        <v>2100</v>
      </c>
    </row>
    <row r="53" spans="1:13" ht="17.25" thickBot="1">
      <c r="A53" s="290"/>
      <c r="B53" s="69"/>
      <c r="C53" s="69"/>
      <c r="D53" s="69"/>
      <c r="E53" s="69"/>
      <c r="F53" s="336"/>
      <c r="G53" s="200"/>
      <c r="H53" s="337"/>
      <c r="I53" s="338"/>
      <c r="J53" s="339"/>
      <c r="K53" s="231" t="s">
        <v>389</v>
      </c>
      <c r="L53" s="232" t="s">
        <v>0</v>
      </c>
      <c r="M53" s="242">
        <v>2100</v>
      </c>
    </row>
  </sheetData>
  <protectedRanges>
    <protectedRange password="ECE8" sqref="N41:U42" name="작성자만수정_2_1_1"/>
    <protectedRange password="ECE8" sqref="R45:AD46 R17:AD17 R15:AD15" name="작성자만수정_2_1_1_1"/>
  </protectedRanges>
  <autoFilter ref="A3:BP53">
    <filterColumn colId="10" showButton="0"/>
    <filterColumn colId="11" showButton="0"/>
  </autoFilter>
  <mergeCells count="11">
    <mergeCell ref="K2:M3"/>
    <mergeCell ref="A4:G4"/>
    <mergeCell ref="F43:G43"/>
    <mergeCell ref="F47:G47"/>
    <mergeCell ref="A2:A3"/>
    <mergeCell ref="B2:D2"/>
    <mergeCell ref="E2:G2"/>
    <mergeCell ref="H2:H3"/>
    <mergeCell ref="I2:I3"/>
    <mergeCell ref="J2:J3"/>
    <mergeCell ref="F13:G13"/>
  </mergeCells>
  <phoneticPr fontId="12" type="noConversion"/>
  <conditionalFormatting sqref="J50">
    <cfRule type="containsText" dxfId="1007" priority="277" operator="containsText" text="허하나로">
      <formula>NOT(ISERROR(SEARCH("허하나로",H1076)))</formula>
    </cfRule>
    <cfRule type="containsText" dxfId="1006" priority="278" operator="containsText" text="한별">
      <formula>NOT(ISERROR(SEARCH("한별",H1076)))</formula>
    </cfRule>
    <cfRule type="containsText" dxfId="1005" priority="279" operator="containsText" text="정홍조">
      <formula>NOT(ISERROR(SEARCH("정홍조",H1076)))</formula>
    </cfRule>
    <cfRule type="containsText" dxfId="1004" priority="280" operator="containsText" text="김지윤">
      <formula>NOT(ISERROR(SEARCH("김지윤",H1076)))</formula>
    </cfRule>
    <cfRule type="containsText" dxfId="1003" priority="281" operator="containsText" text="전준영">
      <formula>NOT(ISERROR(SEARCH("전준영",H1076)))</formula>
    </cfRule>
    <cfRule type="containsText" dxfId="1002" priority="282" operator="containsText" text="차재성">
      <formula>NOT(ISERROR(SEARCH("차재성",H1076)))</formula>
    </cfRule>
  </conditionalFormatting>
  <conditionalFormatting sqref="J6">
    <cfRule type="containsText" dxfId="1001" priority="289" operator="containsText" text="허하나로">
      <formula>NOT(ISERROR(SEARCH("허하나로",H712)))</formula>
    </cfRule>
    <cfRule type="containsText" dxfId="1000" priority="290" operator="containsText" text="한별">
      <formula>NOT(ISERROR(SEARCH("한별",H712)))</formula>
    </cfRule>
    <cfRule type="containsText" dxfId="999" priority="291" operator="containsText" text="정홍조">
      <formula>NOT(ISERROR(SEARCH("정홍조",H712)))</formula>
    </cfRule>
    <cfRule type="containsText" dxfId="998" priority="292" operator="containsText" text="김지윤">
      <formula>NOT(ISERROR(SEARCH("김지윤",H712)))</formula>
    </cfRule>
    <cfRule type="containsText" dxfId="997" priority="293" operator="containsText" text="전준영">
      <formula>NOT(ISERROR(SEARCH("전준영",H712)))</formula>
    </cfRule>
    <cfRule type="containsText" dxfId="996" priority="294" operator="containsText" text="차재성">
      <formula>NOT(ISERROR(SEARCH("차재성",H712)))</formula>
    </cfRule>
  </conditionalFormatting>
  <conditionalFormatting sqref="J5">
    <cfRule type="containsText" dxfId="995" priority="283" operator="containsText" text="허하나로">
      <formula>NOT(ISERROR(SEARCH("허하나로",H711)))</formula>
    </cfRule>
    <cfRule type="containsText" dxfId="994" priority="284" operator="containsText" text="한별">
      <formula>NOT(ISERROR(SEARCH("한별",H711)))</formula>
    </cfRule>
    <cfRule type="containsText" dxfId="993" priority="285" operator="containsText" text="정홍조">
      <formula>NOT(ISERROR(SEARCH("정홍조",H711)))</formula>
    </cfRule>
    <cfRule type="containsText" dxfId="992" priority="286" operator="containsText" text="김지윤">
      <formula>NOT(ISERROR(SEARCH("김지윤",H711)))</formula>
    </cfRule>
    <cfRule type="containsText" dxfId="991" priority="287" operator="containsText" text="전준영">
      <formula>NOT(ISERROR(SEARCH("전준영",H711)))</formula>
    </cfRule>
    <cfRule type="containsText" dxfId="990" priority="288" operator="containsText" text="차재성">
      <formula>NOT(ISERROR(SEARCH("차재성",H711)))</formula>
    </cfRule>
  </conditionalFormatting>
  <conditionalFormatting sqref="J35">
    <cfRule type="containsText" dxfId="989" priority="271" operator="containsText" text="허하나로">
      <formula>NOT(ISERROR(SEARCH("허하나로",H845)))</formula>
    </cfRule>
    <cfRule type="containsText" dxfId="988" priority="272" operator="containsText" text="한별">
      <formula>NOT(ISERROR(SEARCH("한별",H845)))</formula>
    </cfRule>
    <cfRule type="containsText" dxfId="987" priority="273" operator="containsText" text="정홍조">
      <formula>NOT(ISERROR(SEARCH("정홍조",H845)))</formula>
    </cfRule>
    <cfRule type="containsText" dxfId="986" priority="274" operator="containsText" text="김지윤">
      <formula>NOT(ISERROR(SEARCH("김지윤",H845)))</formula>
    </cfRule>
    <cfRule type="containsText" dxfId="985" priority="275" operator="containsText" text="전준영">
      <formula>NOT(ISERROR(SEARCH("전준영",H845)))</formula>
    </cfRule>
    <cfRule type="containsText" dxfId="984" priority="276" operator="containsText" text="차재성">
      <formula>NOT(ISERROR(SEARCH("차재성",H845)))</formula>
    </cfRule>
  </conditionalFormatting>
  <conditionalFormatting sqref="J38:J39">
    <cfRule type="containsText" dxfId="983" priority="265" operator="containsText" text="허하나로">
      <formula>NOT(ISERROR(SEARCH("허하나로",H1053)))</formula>
    </cfRule>
    <cfRule type="containsText" dxfId="982" priority="266" operator="containsText" text="한별">
      <formula>NOT(ISERROR(SEARCH("한별",H1053)))</formula>
    </cfRule>
    <cfRule type="containsText" dxfId="981" priority="267" operator="containsText" text="정홍조">
      <formula>NOT(ISERROR(SEARCH("정홍조",H1053)))</formula>
    </cfRule>
    <cfRule type="containsText" dxfId="980" priority="268" operator="containsText" text="김지윤">
      <formula>NOT(ISERROR(SEARCH("김지윤",H1053)))</formula>
    </cfRule>
    <cfRule type="containsText" dxfId="979" priority="269" operator="containsText" text="전준영">
      <formula>NOT(ISERROR(SEARCH("전준영",H1053)))</formula>
    </cfRule>
    <cfRule type="containsText" dxfId="978" priority="270" operator="containsText" text="차재성">
      <formula>NOT(ISERROR(SEARCH("차재성",H1053)))</formula>
    </cfRule>
  </conditionalFormatting>
  <conditionalFormatting sqref="J40">
    <cfRule type="containsText" dxfId="977" priority="259" operator="containsText" text="허하나로">
      <formula>NOT(ISERROR(SEARCH("허하나로",H1044)))</formula>
    </cfRule>
    <cfRule type="containsText" dxfId="976" priority="260" operator="containsText" text="한별">
      <formula>NOT(ISERROR(SEARCH("한별",H1044)))</formula>
    </cfRule>
    <cfRule type="containsText" dxfId="975" priority="261" operator="containsText" text="정홍조">
      <formula>NOT(ISERROR(SEARCH("정홍조",H1044)))</formula>
    </cfRule>
    <cfRule type="containsText" dxfId="974" priority="262" operator="containsText" text="김지윤">
      <formula>NOT(ISERROR(SEARCH("김지윤",H1044)))</formula>
    </cfRule>
    <cfRule type="containsText" dxfId="973" priority="263" operator="containsText" text="전준영">
      <formula>NOT(ISERROR(SEARCH("전준영",H1044)))</formula>
    </cfRule>
    <cfRule type="containsText" dxfId="972" priority="264" operator="containsText" text="차재성">
      <formula>NOT(ISERROR(SEARCH("차재성",H1044)))</formula>
    </cfRule>
  </conditionalFormatting>
  <conditionalFormatting sqref="J37">
    <cfRule type="containsText" dxfId="971" priority="313" operator="containsText" text="허하나로">
      <formula>NOT(ISERROR(SEARCH("허하나로",H1042)))</formula>
    </cfRule>
    <cfRule type="containsText" dxfId="970" priority="314" operator="containsText" text="한별">
      <formula>NOT(ISERROR(SEARCH("한별",H1042)))</formula>
    </cfRule>
    <cfRule type="containsText" dxfId="969" priority="315" operator="containsText" text="정홍조">
      <formula>NOT(ISERROR(SEARCH("정홍조",H1042)))</formula>
    </cfRule>
    <cfRule type="containsText" dxfId="968" priority="316" operator="containsText" text="김지윤">
      <formula>NOT(ISERROR(SEARCH("김지윤",H1042)))</formula>
    </cfRule>
    <cfRule type="containsText" dxfId="967" priority="317" operator="containsText" text="전준영">
      <formula>NOT(ISERROR(SEARCH("전준영",H1042)))</formula>
    </cfRule>
    <cfRule type="containsText" dxfId="966" priority="318" operator="containsText" text="차재성">
      <formula>NOT(ISERROR(SEARCH("차재성",H1042)))</formula>
    </cfRule>
  </conditionalFormatting>
  <conditionalFormatting sqref="J47">
    <cfRule type="containsText" dxfId="965" priority="253" operator="containsText" text="허하나로">
      <formula>NOT(ISERROR(SEARCH("허하나로",H1059)))</formula>
    </cfRule>
    <cfRule type="containsText" dxfId="964" priority="254" operator="containsText" text="한별">
      <formula>NOT(ISERROR(SEARCH("한별",H1059)))</formula>
    </cfRule>
    <cfRule type="containsText" dxfId="963" priority="255" operator="containsText" text="정홍조">
      <formula>NOT(ISERROR(SEARCH("정홍조",H1059)))</formula>
    </cfRule>
    <cfRule type="containsText" dxfId="962" priority="256" operator="containsText" text="김지윤">
      <formula>NOT(ISERROR(SEARCH("김지윤",H1059)))</formula>
    </cfRule>
    <cfRule type="containsText" dxfId="961" priority="257" operator="containsText" text="전준영">
      <formula>NOT(ISERROR(SEARCH("전준영",H1059)))</formula>
    </cfRule>
    <cfRule type="containsText" dxfId="960" priority="258" operator="containsText" text="차재성">
      <formula>NOT(ISERROR(SEARCH("차재성",H1059)))</formula>
    </cfRule>
  </conditionalFormatting>
  <conditionalFormatting sqref="L44">
    <cfRule type="containsText" dxfId="959" priority="247" operator="containsText" text="허하나로">
      <formula>NOT(ISERROR(SEARCH("허하나로",J1190)))</formula>
    </cfRule>
    <cfRule type="containsText" dxfId="958" priority="248" operator="containsText" text="한별">
      <formula>NOT(ISERROR(SEARCH("한별",J1190)))</formula>
    </cfRule>
    <cfRule type="containsText" dxfId="957" priority="249" operator="containsText" text="정홍조">
      <formula>NOT(ISERROR(SEARCH("정홍조",J1190)))</formula>
    </cfRule>
    <cfRule type="containsText" dxfId="956" priority="250" operator="containsText" text="김지윤">
      <formula>NOT(ISERROR(SEARCH("김지윤",J1190)))</formula>
    </cfRule>
    <cfRule type="containsText" dxfId="955" priority="251" operator="containsText" text="전준영">
      <formula>NOT(ISERROR(SEARCH("전준영",J1190)))</formula>
    </cfRule>
    <cfRule type="containsText" dxfId="954" priority="252" operator="containsText" text="차재성">
      <formula>NOT(ISERROR(SEARCH("차재성",J1190)))</formula>
    </cfRule>
  </conditionalFormatting>
  <conditionalFormatting sqref="I50">
    <cfRule type="containsText" dxfId="953" priority="241" operator="containsText" text="허하나로">
      <formula>NOT(ISERROR(SEARCH("허하나로",G1076)))</formula>
    </cfRule>
    <cfRule type="containsText" dxfId="952" priority="242" operator="containsText" text="한별">
      <formula>NOT(ISERROR(SEARCH("한별",G1076)))</formula>
    </cfRule>
    <cfRule type="containsText" dxfId="951" priority="243" operator="containsText" text="정홍조">
      <formula>NOT(ISERROR(SEARCH("정홍조",G1076)))</formula>
    </cfRule>
    <cfRule type="containsText" dxfId="950" priority="244" operator="containsText" text="김지윤">
      <formula>NOT(ISERROR(SEARCH("김지윤",G1076)))</formula>
    </cfRule>
    <cfRule type="containsText" dxfId="949" priority="245" operator="containsText" text="전준영">
      <formula>NOT(ISERROR(SEARCH("전준영",G1076)))</formula>
    </cfRule>
    <cfRule type="containsText" dxfId="948" priority="246" operator="containsText" text="차재성">
      <formula>NOT(ISERROR(SEARCH("차재성",G1076)))</formula>
    </cfRule>
  </conditionalFormatting>
  <conditionalFormatting sqref="J43:J44">
    <cfRule type="containsText" dxfId="947" priority="1423" operator="containsText" text="허하나로">
      <formula>NOT(ISERROR(SEARCH("허하나로",H1055)))</formula>
    </cfRule>
    <cfRule type="containsText" dxfId="946" priority="1424" operator="containsText" text="한별">
      <formula>NOT(ISERROR(SEARCH("한별",H1055)))</formula>
    </cfRule>
    <cfRule type="containsText" dxfId="945" priority="1425" operator="containsText" text="정홍조">
      <formula>NOT(ISERROR(SEARCH("정홍조",H1055)))</formula>
    </cfRule>
    <cfRule type="containsText" dxfId="944" priority="1426" operator="containsText" text="김지윤">
      <formula>NOT(ISERROR(SEARCH("김지윤",H1055)))</formula>
    </cfRule>
    <cfRule type="containsText" dxfId="943" priority="1427" operator="containsText" text="전준영">
      <formula>NOT(ISERROR(SEARCH("전준영",H1055)))</formula>
    </cfRule>
    <cfRule type="containsText" dxfId="942" priority="1428" operator="containsText" text="차재성">
      <formula>NOT(ISERROR(SEARCH("차재성",H1055)))</formula>
    </cfRule>
  </conditionalFormatting>
  <conditionalFormatting sqref="J48:J49">
    <cfRule type="containsText" dxfId="941" priority="4045" operator="containsText" text="허하나로">
      <formula>NOT(ISERROR(SEARCH("허하나로",H1075)))</formula>
    </cfRule>
    <cfRule type="containsText" dxfId="940" priority="4046" operator="containsText" text="한별">
      <formula>NOT(ISERROR(SEARCH("한별",H1075)))</formula>
    </cfRule>
    <cfRule type="containsText" dxfId="939" priority="4047" operator="containsText" text="정홍조">
      <formula>NOT(ISERROR(SEARCH("정홍조",H1075)))</formula>
    </cfRule>
    <cfRule type="containsText" dxfId="938" priority="4048" operator="containsText" text="김지윤">
      <formula>NOT(ISERROR(SEARCH("김지윤",H1075)))</formula>
    </cfRule>
    <cfRule type="containsText" dxfId="937" priority="4049" operator="containsText" text="전준영">
      <formula>NOT(ISERROR(SEARCH("전준영",H1075)))</formula>
    </cfRule>
    <cfRule type="containsText" dxfId="936" priority="4050" operator="containsText" text="차재성">
      <formula>NOT(ISERROR(SEARCH("차재성",H1075)))</formula>
    </cfRule>
  </conditionalFormatting>
  <conditionalFormatting sqref="J2:J3">
    <cfRule type="containsText" dxfId="935" priority="85" operator="containsText" text="허하나로">
      <formula>NOT(ISERROR(SEARCH("허하나로",H784)))</formula>
    </cfRule>
    <cfRule type="containsText" dxfId="934" priority="86" operator="containsText" text="한별">
      <formula>NOT(ISERROR(SEARCH("한별",H784)))</formula>
    </cfRule>
    <cfRule type="containsText" dxfId="933" priority="87" operator="containsText" text="정홍조">
      <formula>NOT(ISERROR(SEARCH("정홍조",H784)))</formula>
    </cfRule>
    <cfRule type="containsText" dxfId="932" priority="88" operator="containsText" text="김지윤">
      <formula>NOT(ISERROR(SEARCH("김지윤",H784)))</formula>
    </cfRule>
    <cfRule type="containsText" dxfId="931" priority="89" operator="containsText" text="전준영">
      <formula>NOT(ISERROR(SEARCH("전준영",H784)))</formula>
    </cfRule>
    <cfRule type="containsText" dxfId="930" priority="90" operator="containsText" text="차재성">
      <formula>NOT(ISERROR(SEARCH("차재성",H784)))</formula>
    </cfRule>
  </conditionalFormatting>
  <conditionalFormatting sqref="J7">
    <cfRule type="containsText" dxfId="929" priority="73" operator="containsText" text="허하나로">
      <formula>NOT(ISERROR(SEARCH("허하나로",H837)))</formula>
    </cfRule>
    <cfRule type="containsText" dxfId="928" priority="74" operator="containsText" text="한별">
      <formula>NOT(ISERROR(SEARCH("한별",H837)))</formula>
    </cfRule>
    <cfRule type="containsText" dxfId="927" priority="75" operator="containsText" text="정홍조">
      <formula>NOT(ISERROR(SEARCH("정홍조",H837)))</formula>
    </cfRule>
    <cfRule type="containsText" dxfId="926" priority="76" operator="containsText" text="김지윤">
      <formula>NOT(ISERROR(SEARCH("김지윤",H837)))</formula>
    </cfRule>
    <cfRule type="containsText" dxfId="925" priority="77" operator="containsText" text="전준영">
      <formula>NOT(ISERROR(SEARCH("전준영",H837)))</formula>
    </cfRule>
    <cfRule type="containsText" dxfId="924" priority="78" operator="containsText" text="차재성">
      <formula>NOT(ISERROR(SEARCH("차재성",H837)))</formula>
    </cfRule>
  </conditionalFormatting>
  <conditionalFormatting sqref="J10:J11">
    <cfRule type="containsText" dxfId="923" priority="67" operator="containsText" text="허하나로">
      <formula>NOT(ISERROR(SEARCH("허하나로",H1045)))</formula>
    </cfRule>
    <cfRule type="containsText" dxfId="922" priority="68" operator="containsText" text="한별">
      <formula>NOT(ISERROR(SEARCH("한별",H1045)))</formula>
    </cfRule>
    <cfRule type="containsText" dxfId="921" priority="69" operator="containsText" text="정홍조">
      <formula>NOT(ISERROR(SEARCH("정홍조",H1045)))</formula>
    </cfRule>
    <cfRule type="containsText" dxfId="920" priority="70" operator="containsText" text="김지윤">
      <formula>NOT(ISERROR(SEARCH("김지윤",H1045)))</formula>
    </cfRule>
    <cfRule type="containsText" dxfId="919" priority="71" operator="containsText" text="전준영">
      <formula>NOT(ISERROR(SEARCH("전준영",H1045)))</formula>
    </cfRule>
    <cfRule type="containsText" dxfId="918" priority="72" operator="containsText" text="차재성">
      <formula>NOT(ISERROR(SEARCH("차재성",H1045)))</formula>
    </cfRule>
  </conditionalFormatting>
  <conditionalFormatting sqref="J12">
    <cfRule type="containsText" dxfId="917" priority="61" operator="containsText" text="허하나로">
      <formula>NOT(ISERROR(SEARCH("허하나로",H1036)))</formula>
    </cfRule>
    <cfRule type="containsText" dxfId="916" priority="62" operator="containsText" text="한별">
      <formula>NOT(ISERROR(SEARCH("한별",H1036)))</formula>
    </cfRule>
    <cfRule type="containsText" dxfId="915" priority="63" operator="containsText" text="정홍조">
      <formula>NOT(ISERROR(SEARCH("정홍조",H1036)))</formula>
    </cfRule>
    <cfRule type="containsText" dxfId="914" priority="64" operator="containsText" text="김지윤">
      <formula>NOT(ISERROR(SEARCH("김지윤",H1036)))</formula>
    </cfRule>
    <cfRule type="containsText" dxfId="913" priority="65" operator="containsText" text="전준영">
      <formula>NOT(ISERROR(SEARCH("전준영",H1036)))</formula>
    </cfRule>
    <cfRule type="containsText" dxfId="912" priority="66" operator="containsText" text="차재성">
      <formula>NOT(ISERROR(SEARCH("차재성",H1036)))</formula>
    </cfRule>
  </conditionalFormatting>
  <conditionalFormatting sqref="J9">
    <cfRule type="containsText" dxfId="911" priority="79" operator="containsText" text="허하나로">
      <formula>NOT(ISERROR(SEARCH("허하나로",H1034)))</formula>
    </cfRule>
    <cfRule type="containsText" dxfId="910" priority="80" operator="containsText" text="한별">
      <formula>NOT(ISERROR(SEARCH("한별",H1034)))</formula>
    </cfRule>
    <cfRule type="containsText" dxfId="909" priority="81" operator="containsText" text="정홍조">
      <formula>NOT(ISERROR(SEARCH("정홍조",H1034)))</formula>
    </cfRule>
    <cfRule type="containsText" dxfId="908" priority="82" operator="containsText" text="김지윤">
      <formula>NOT(ISERROR(SEARCH("김지윤",H1034)))</formula>
    </cfRule>
    <cfRule type="containsText" dxfId="907" priority="83" operator="containsText" text="전준영">
      <formula>NOT(ISERROR(SEARCH("전준영",H1034)))</formula>
    </cfRule>
    <cfRule type="containsText" dxfId="906" priority="84" operator="containsText" text="차재성">
      <formula>NOT(ISERROR(SEARCH("차재성",H1034)))</formula>
    </cfRule>
  </conditionalFormatting>
  <conditionalFormatting sqref="L14">
    <cfRule type="containsText" dxfId="905" priority="49" operator="containsText" text="허하나로">
      <formula>NOT(ISERROR(SEARCH("허하나로",J1175)))</formula>
    </cfRule>
    <cfRule type="containsText" dxfId="904" priority="50" operator="containsText" text="한별">
      <formula>NOT(ISERROR(SEARCH("한별",J1175)))</formula>
    </cfRule>
    <cfRule type="containsText" dxfId="903" priority="51" operator="containsText" text="정홍조">
      <formula>NOT(ISERROR(SEARCH("정홍조",J1175)))</formula>
    </cfRule>
    <cfRule type="containsText" dxfId="902" priority="52" operator="containsText" text="김지윤">
      <formula>NOT(ISERROR(SEARCH("김지윤",J1175)))</formula>
    </cfRule>
    <cfRule type="containsText" dxfId="901" priority="53" operator="containsText" text="전준영">
      <formula>NOT(ISERROR(SEARCH("전준영",J1175)))</formula>
    </cfRule>
    <cfRule type="containsText" dxfId="900" priority="54" operator="containsText" text="차재성">
      <formula>NOT(ISERROR(SEARCH("차재성",J1175)))</formula>
    </cfRule>
  </conditionalFormatting>
  <conditionalFormatting sqref="J13:J14">
    <cfRule type="containsText" dxfId="899" priority="55" operator="containsText" text="허하나로">
      <formula>NOT(ISERROR(SEARCH("허하나로",H1040)))</formula>
    </cfRule>
    <cfRule type="containsText" dxfId="898" priority="56" operator="containsText" text="한별">
      <formula>NOT(ISERROR(SEARCH("한별",H1040)))</formula>
    </cfRule>
    <cfRule type="containsText" dxfId="897" priority="57" operator="containsText" text="정홍조">
      <formula>NOT(ISERROR(SEARCH("정홍조",H1040)))</formula>
    </cfRule>
    <cfRule type="containsText" dxfId="896" priority="58" operator="containsText" text="김지윤">
      <formula>NOT(ISERROR(SEARCH("김지윤",H1040)))</formula>
    </cfRule>
    <cfRule type="containsText" dxfId="895" priority="59" operator="containsText" text="전준영">
      <formula>NOT(ISERROR(SEARCH("전준영",H1040)))</formula>
    </cfRule>
    <cfRule type="containsText" dxfId="894" priority="60" operator="containsText" text="차재성">
      <formula>NOT(ISERROR(SEARCH("차재성",H1040)))</formula>
    </cfRule>
  </conditionalFormatting>
  <conditionalFormatting sqref="L16">
    <cfRule type="containsText" dxfId="893" priority="25" operator="containsText" text="허하나로">
      <formula>NOT(ISERROR(SEARCH("허하나로",J1175)))</formula>
    </cfRule>
    <cfRule type="containsText" dxfId="892" priority="26" operator="containsText" text="한별">
      <formula>NOT(ISERROR(SEARCH("한별",J1175)))</formula>
    </cfRule>
    <cfRule type="containsText" dxfId="891" priority="27" operator="containsText" text="정홍조">
      <formula>NOT(ISERROR(SEARCH("정홍조",J1175)))</formula>
    </cfRule>
    <cfRule type="containsText" dxfId="890" priority="28" operator="containsText" text="김지윤">
      <formula>NOT(ISERROR(SEARCH("김지윤",J1175)))</formula>
    </cfRule>
    <cfRule type="containsText" dxfId="889" priority="29" operator="containsText" text="전준영">
      <formula>NOT(ISERROR(SEARCH("전준영",J1175)))</formula>
    </cfRule>
    <cfRule type="containsText" dxfId="888" priority="30" operator="containsText" text="차재성">
      <formula>NOT(ISERROR(SEARCH("차재성",J1175)))</formula>
    </cfRule>
  </conditionalFormatting>
  <conditionalFormatting sqref="J16">
    <cfRule type="containsText" dxfId="887" priority="31" operator="containsText" text="허하나로">
      <formula>NOT(ISERROR(SEARCH("허하나로",H1041)))</formula>
    </cfRule>
    <cfRule type="containsText" dxfId="886" priority="32" operator="containsText" text="한별">
      <formula>NOT(ISERROR(SEARCH("한별",H1041)))</formula>
    </cfRule>
    <cfRule type="containsText" dxfId="885" priority="33" operator="containsText" text="정홍조">
      <formula>NOT(ISERROR(SEARCH("정홍조",H1041)))</formula>
    </cfRule>
    <cfRule type="containsText" dxfId="884" priority="34" operator="containsText" text="김지윤">
      <formula>NOT(ISERROR(SEARCH("김지윤",H1041)))</formula>
    </cfRule>
    <cfRule type="containsText" dxfId="883" priority="35" operator="containsText" text="전준영">
      <formula>NOT(ISERROR(SEARCH("전준영",H1041)))</formula>
    </cfRule>
    <cfRule type="containsText" dxfId="882" priority="36" operator="containsText" text="차재성">
      <formula>NOT(ISERROR(SEARCH("차재성",H1041)))</formula>
    </cfRule>
  </conditionalFormatting>
  <conditionalFormatting sqref="J20:J21">
    <cfRule type="containsText" dxfId="881" priority="7" operator="containsText" text="허하나로">
      <formula>NOT(ISERROR(SEARCH("허하나로",H1047)))</formula>
    </cfRule>
    <cfRule type="containsText" dxfId="880" priority="8" operator="containsText" text="한별">
      <formula>NOT(ISERROR(SEARCH("한별",H1047)))</formula>
    </cfRule>
    <cfRule type="containsText" dxfId="879" priority="9" operator="containsText" text="정홍조">
      <formula>NOT(ISERROR(SEARCH("정홍조",H1047)))</formula>
    </cfRule>
    <cfRule type="containsText" dxfId="878" priority="10" operator="containsText" text="김지윤">
      <formula>NOT(ISERROR(SEARCH("김지윤",H1047)))</formula>
    </cfRule>
    <cfRule type="containsText" dxfId="877" priority="11" operator="containsText" text="전준영">
      <formula>NOT(ISERROR(SEARCH("전준영",H1047)))</formula>
    </cfRule>
    <cfRule type="containsText" dxfId="876" priority="12" operator="containsText" text="차재성">
      <formula>NOT(ISERROR(SEARCH("차재성",H1047)))</formula>
    </cfRule>
  </conditionalFormatting>
  <conditionalFormatting sqref="J22">
    <cfRule type="containsText" dxfId="875" priority="1" operator="containsText" text="허하나로">
      <formula>NOT(ISERROR(SEARCH("허하나로",H1038)))</formula>
    </cfRule>
    <cfRule type="containsText" dxfId="874" priority="2" operator="containsText" text="한별">
      <formula>NOT(ISERROR(SEARCH("한별",H1038)))</formula>
    </cfRule>
    <cfRule type="containsText" dxfId="873" priority="3" operator="containsText" text="정홍조">
      <formula>NOT(ISERROR(SEARCH("정홍조",H1038)))</formula>
    </cfRule>
    <cfRule type="containsText" dxfId="872" priority="4" operator="containsText" text="김지윤">
      <formula>NOT(ISERROR(SEARCH("김지윤",H1038)))</formula>
    </cfRule>
    <cfRule type="containsText" dxfId="871" priority="5" operator="containsText" text="전준영">
      <formula>NOT(ISERROR(SEARCH("전준영",H1038)))</formula>
    </cfRule>
    <cfRule type="containsText" dxfId="870" priority="6" operator="containsText" text="차재성">
      <formula>NOT(ISERROR(SEARCH("차재성",H1038)))</formula>
    </cfRule>
  </conditionalFormatting>
  <conditionalFormatting sqref="J19">
    <cfRule type="containsText" dxfId="869" priority="19" operator="containsText" text="허하나로">
      <formula>NOT(ISERROR(SEARCH("허하나로",H1036)))</formula>
    </cfRule>
    <cfRule type="containsText" dxfId="868" priority="20" operator="containsText" text="한별">
      <formula>NOT(ISERROR(SEARCH("한별",H1036)))</formula>
    </cfRule>
    <cfRule type="containsText" dxfId="867" priority="21" operator="containsText" text="정홍조">
      <formula>NOT(ISERROR(SEARCH("정홍조",H1036)))</formula>
    </cfRule>
    <cfRule type="containsText" dxfId="866" priority="22" operator="containsText" text="김지윤">
      <formula>NOT(ISERROR(SEARCH("김지윤",H1036)))</formula>
    </cfRule>
    <cfRule type="containsText" dxfId="865" priority="23" operator="containsText" text="전준영">
      <formula>NOT(ISERROR(SEARCH("전준영",H1036)))</formula>
    </cfRule>
    <cfRule type="containsText" dxfId="864" priority="24" operator="containsText" text="차재성">
      <formula>NOT(ISERROR(SEARCH("차재성",H1036)))</formula>
    </cfRule>
  </conditionalFormatting>
  <pageMargins left="0.25" right="0.25" top="0.75" bottom="0.75" header="0.3" footer="0.3"/>
  <pageSetup paperSize="9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3" operator="containsText" text="허하나로" id="{1494A34C-D8A3-4A8C-912C-87C4FAE6F4D6}">
            <xm:f>NOT(ISERROR(SEARCH("허하나로",수익사업부!H1076)))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34" operator="containsText" text="한별" id="{9A05B581-3CB0-40FA-A3D0-8C32539C02F3}">
            <xm:f>NOT(ISERROR(SEARCH("한별",수익사업부!H1076)))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35" operator="containsText" text="정홍조" id="{5CB65F46-528F-4FA5-9C17-1E1ECFAA8C5D}">
            <xm:f>NOT(ISERROR(SEARCH("정홍조",수익사업부!H1076)))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36" operator="containsText" text="김지윤" id="{37AD3EC3-7B9F-49D6-8946-4D398A5481FD}">
            <xm:f>NOT(ISERROR(SEARCH("김지윤",수익사업부!H1076)))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37" operator="containsText" text="전준영" id="{5BB14AEF-6986-4F7A-A602-93F94736D366}">
            <xm:f>NOT(ISERROR(SEARCH("전준영",수익사업부!H1076)))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38" operator="containsText" text="차재성" id="{6C58C232-8A4D-477E-A03B-63ABFEA63310}">
            <xm:f>NOT(ISERROR(SEARCH("차재성",수익사업부!H1076)))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J41:J42</xm:sqref>
        </x14:conditionalFormatting>
        <x14:conditionalFormatting xmlns:xm="http://schemas.microsoft.com/office/excel/2006/main">
          <x14:cfRule type="containsText" priority="127" operator="containsText" text="허하나로" id="{45A443E8-C4D8-4C0E-B9C6-937C0ABE67BC}">
            <xm:f>NOT(ISERROR(SEARCH("허하나로",행정관리부!H1080)))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8" operator="containsText" text="한별" id="{6B29D7AA-BD7B-404B-B384-4E108E74B95E}">
            <xm:f>NOT(ISERROR(SEARCH("한별",행정관리부!H1080)))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9" operator="containsText" text="정홍조" id="{E8F7FE3E-F176-4BB0-B382-DEB0465BE734}">
            <xm:f>NOT(ISERROR(SEARCH("정홍조",행정관리부!H1080)))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30" operator="containsText" text="김지윤" id="{CA469AEE-8E90-4132-9921-9DF657DF5252}">
            <xm:f>NOT(ISERROR(SEARCH("김지윤",행정관리부!H1080)))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31" operator="containsText" text="전준영" id="{1334EC84-C5B8-47A1-AC4E-426C4FED141E}">
            <xm:f>NOT(ISERROR(SEARCH("전준영",행정관리부!H1080)))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32" operator="containsText" text="차재성" id="{F502BF71-523A-4F2B-A23D-5E33A84B616B}">
            <xm:f>NOT(ISERROR(SEARCH("차재성",행정관리부!H1080)))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121" operator="containsText" text="허하나로" id="{683107EB-0B48-410E-BE87-36193006F129}">
            <xm:f>NOT(ISERROR(SEARCH("허하나로",행정관리부!H1136)))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2" operator="containsText" text="한별" id="{FF49DDE7-374E-488B-AA43-A31F7AECA83B}">
            <xm:f>NOT(ISERROR(SEARCH("한별",행정관리부!H1136)))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3" operator="containsText" text="정홍조" id="{4E23FB7A-C7E6-4FC1-BE14-6D722D9FA143}">
            <xm:f>NOT(ISERROR(SEARCH("정홍조",행정관리부!H1136)))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24" operator="containsText" text="김지윤" id="{DE2B97C3-6AAE-4706-A105-7CEAFC0529CB}">
            <xm:f>NOT(ISERROR(SEARCH("김지윤",행정관리부!H1136)))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5" operator="containsText" text="전준영" id="{CC69DB47-5128-4DC0-932E-29D124CDF9A6}">
            <xm:f>NOT(ISERROR(SEARCH("전준영",행정관리부!H1136)))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6" operator="containsText" text="차재성" id="{AE3ACC82-37D8-41F2-8D5E-53099CE05503}">
            <xm:f>NOT(ISERROR(SEARCH("차재성",행정관리부!H1136)))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J51:J52</xm:sqref>
        </x14:conditionalFormatting>
        <x14:conditionalFormatting xmlns:xm="http://schemas.microsoft.com/office/excel/2006/main">
          <x14:cfRule type="containsText" priority="109" operator="containsText" text="허하나로" id="{5F8876F6-6D44-4F20-9C56-05284E2F0DA9}">
            <xm:f>NOT(ISERROR(SEARCH("허하나로",수익사업부!H1087)))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28E3B3F1-39ED-4490-BD5E-795907F76909}">
            <xm:f>NOT(ISERROR(SEARCH("한별",수익사업부!H1087)))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F2B1C16F-AC01-47A8-B3A3-25918990979B}">
            <xm:f>NOT(ISERROR(SEARCH("정홍조",수익사업부!H1087)))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3C9F8655-497D-436E-9A66-1092FDFD16A7}">
            <xm:f>NOT(ISERROR(SEARCH("김지윤",수익사업부!H1087)))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8C357196-AB86-4B1B-9B9B-EB10841D3BE8}">
            <xm:f>NOT(ISERROR(SEARCH("전준영",수익사업부!H1087)))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1F84DB7C-7797-4DF7-B703-0DACB1D12B0E}">
            <xm:f>NOT(ISERROR(SEARCH("차재성",수익사업부!H1087)))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J45:J46</xm:sqref>
        </x14:conditionalFormatting>
        <x14:conditionalFormatting xmlns:xm="http://schemas.microsoft.com/office/excel/2006/main">
          <x14:cfRule type="containsText" priority="37" operator="containsText" text="허하나로" id="{A65A90C3-2390-47FC-8B35-706DCFEF541A}">
            <xm:f>NOT(ISERROR(SEARCH("허하나로",수익사업부!H1072)))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BF74BB58-4DB3-46CC-B3BA-C13A4671CFD6}">
            <xm:f>NOT(ISERROR(SEARCH("한별",수익사업부!H1072)))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46C9588D-EDCB-4A6C-9D19-EEF31AF476E0}">
            <xm:f>NOT(ISERROR(SEARCH("정홍조",수익사업부!H1072)))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218A9970-B3A2-473C-95F5-59FFE67449EA}">
            <xm:f>NOT(ISERROR(SEARCH("김지윤",수익사업부!H1072)))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E3216A6A-E8AF-48B5-B908-7EB01C3F68DC}">
            <xm:f>NOT(ISERROR(SEARCH("전준영",수익사업부!H1072)))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E059051F-1A91-4E36-9B1F-959D217B00D0}">
            <xm:f>NOT(ISERROR(SEARCH("차재성",수익사업부!H1072)))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containsText" priority="4639" operator="containsText" text="허하나로" id="{5F8876F6-6D44-4F20-9C56-05284E2F0DA9}">
            <xm:f>NOT(ISERROR(SEARCH("허하나로",수익사업부!H1072)))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640" operator="containsText" text="한별" id="{28E3B3F1-39ED-4490-BD5E-795907F76909}">
            <xm:f>NOT(ISERROR(SEARCH("한별",수익사업부!H1072)))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641" operator="containsText" text="정홍조" id="{F2B1C16F-AC01-47A8-B3A3-25918990979B}">
            <xm:f>NOT(ISERROR(SEARCH("정홍조",수익사업부!H1072)))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42" operator="containsText" text="김지윤" id="{3C9F8655-497D-436E-9A66-1092FDFD16A7}">
            <xm:f>NOT(ISERROR(SEARCH("김지윤",수익사업부!H1072)))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643" operator="containsText" text="전준영" id="{8C357196-AB86-4B1B-9B9B-EB10841D3BE8}">
            <xm:f>NOT(ISERROR(SEARCH("전준영",수익사업부!H1072)))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644" operator="containsText" text="차재성" id="{1F84DB7C-7797-4DF7-B703-0DACB1D12B0E}">
            <xm:f>NOT(ISERROR(SEARCH("차재성",수익사업부!H1072)))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O45"/>
  <sheetViews>
    <sheetView zoomScale="85" zoomScaleNormal="85" workbookViewId="0">
      <selection activeCell="G17" sqref="G17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9.125" customWidth="1"/>
    <col min="10" max="10" width="14.625" customWidth="1"/>
    <col min="11" max="11" width="60.625" customWidth="1"/>
    <col min="12" max="12" width="3.875" customWidth="1"/>
    <col min="13" max="13" width="10.25" bestFit="1" customWidth="1"/>
    <col min="14" max="14" width="9" style="591"/>
  </cols>
  <sheetData>
    <row r="1" spans="1:13" ht="17.25" thickBot="1">
      <c r="A1" s="88" t="s">
        <v>346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347</v>
      </c>
    </row>
    <row r="2" spans="1:13" ht="17.25" customHeight="1">
      <c r="A2" s="715" t="s">
        <v>348</v>
      </c>
      <c r="B2" s="717" t="s">
        <v>349</v>
      </c>
      <c r="C2" s="718"/>
      <c r="D2" s="719"/>
      <c r="E2" s="717" t="s">
        <v>350</v>
      </c>
      <c r="F2" s="718"/>
      <c r="G2" s="719"/>
      <c r="H2" s="693" t="s">
        <v>728</v>
      </c>
      <c r="I2" s="693" t="s">
        <v>729</v>
      </c>
      <c r="J2" s="720" t="s">
        <v>467</v>
      </c>
      <c r="K2" s="704" t="s">
        <v>1</v>
      </c>
      <c r="L2" s="705"/>
      <c r="M2" s="706"/>
    </row>
    <row r="3" spans="1:13" ht="17.25" thickBot="1">
      <c r="A3" s="716"/>
      <c r="B3" s="119" t="s">
        <v>453</v>
      </c>
      <c r="C3" s="119" t="s">
        <v>351</v>
      </c>
      <c r="D3" s="119" t="s">
        <v>352</v>
      </c>
      <c r="E3" s="119" t="s">
        <v>353</v>
      </c>
      <c r="F3" s="119" t="s">
        <v>354</v>
      </c>
      <c r="G3" s="119" t="s">
        <v>355</v>
      </c>
      <c r="H3" s="694"/>
      <c r="I3" s="694"/>
      <c r="J3" s="721"/>
      <c r="K3" s="707"/>
      <c r="L3" s="708"/>
      <c r="M3" s="709"/>
    </row>
    <row r="4" spans="1:13" ht="17.25" thickBot="1">
      <c r="A4" s="710" t="s">
        <v>356</v>
      </c>
      <c r="B4" s="711"/>
      <c r="C4" s="711"/>
      <c r="D4" s="711"/>
      <c r="E4" s="711"/>
      <c r="F4" s="711"/>
      <c r="G4" s="712"/>
      <c r="H4" s="185">
        <f>H5</f>
        <v>3868944</v>
      </c>
      <c r="I4" s="185">
        <v>3686944</v>
      </c>
      <c r="J4" s="120">
        <f>H4-I4</f>
        <v>182000</v>
      </c>
      <c r="K4" s="89"/>
      <c r="L4" s="90"/>
      <c r="M4" s="121"/>
    </row>
    <row r="5" spans="1:13">
      <c r="A5" s="205" t="s">
        <v>357</v>
      </c>
      <c r="B5" s="122"/>
      <c r="C5" s="123"/>
      <c r="D5" s="123"/>
      <c r="E5" s="123"/>
      <c r="F5" s="123"/>
      <c r="G5" s="124"/>
      <c r="H5" s="94">
        <f>H6</f>
        <v>3868944</v>
      </c>
      <c r="I5" s="94">
        <v>3686944</v>
      </c>
      <c r="J5" s="95">
        <f>H5-I5</f>
        <v>182000</v>
      </c>
      <c r="K5" s="78"/>
      <c r="L5" s="79"/>
      <c r="M5" s="80"/>
    </row>
    <row r="6" spans="1:13">
      <c r="A6" s="10"/>
      <c r="B6" s="129" t="s">
        <v>258</v>
      </c>
      <c r="C6" s="129"/>
      <c r="D6" s="130"/>
      <c r="E6" s="130"/>
      <c r="F6" s="130"/>
      <c r="G6" s="131"/>
      <c r="H6" s="94">
        <f>SUM(H7,H21)</f>
        <v>3868944</v>
      </c>
      <c r="I6" s="94">
        <v>3686944</v>
      </c>
      <c r="J6" s="95">
        <f>H6-I6</f>
        <v>182000</v>
      </c>
      <c r="K6" s="78"/>
      <c r="L6" s="79"/>
      <c r="M6" s="80"/>
    </row>
    <row r="7" spans="1:13">
      <c r="A7" s="10"/>
      <c r="B7" s="6"/>
      <c r="C7" s="179" t="s">
        <v>358</v>
      </c>
      <c r="D7" s="130"/>
      <c r="E7" s="130"/>
      <c r="F7" s="130"/>
      <c r="G7" s="131"/>
      <c r="H7" s="94">
        <f>SUM(H8)</f>
        <v>3817156</v>
      </c>
      <c r="I7" s="94">
        <v>3635156</v>
      </c>
      <c r="J7" s="95">
        <f t="shared" ref="J7:J11" si="0">H7-I7</f>
        <v>182000</v>
      </c>
      <c r="K7" s="78"/>
      <c r="L7" s="79"/>
      <c r="M7" s="80"/>
    </row>
    <row r="8" spans="1:13">
      <c r="A8" s="10"/>
      <c r="B8" s="6"/>
      <c r="C8" s="7"/>
      <c r="D8" s="129" t="s">
        <v>359</v>
      </c>
      <c r="E8" s="130"/>
      <c r="F8" s="130"/>
      <c r="G8" s="131"/>
      <c r="H8" s="132">
        <f>SUM(H9)</f>
        <v>3817156</v>
      </c>
      <c r="I8" s="132">
        <v>3635156</v>
      </c>
      <c r="J8" s="95">
        <f t="shared" si="0"/>
        <v>182000</v>
      </c>
      <c r="K8" s="81"/>
      <c r="L8" s="133"/>
      <c r="M8" s="80"/>
    </row>
    <row r="9" spans="1:13">
      <c r="A9" s="10"/>
      <c r="B9" s="6"/>
      <c r="C9" s="134"/>
      <c r="D9" s="135"/>
      <c r="E9" s="129" t="s">
        <v>360</v>
      </c>
      <c r="F9" s="130"/>
      <c r="G9" s="131"/>
      <c r="H9" s="91">
        <f>H10</f>
        <v>3817156</v>
      </c>
      <c r="I9" s="91">
        <v>3635156</v>
      </c>
      <c r="J9" s="95">
        <f t="shared" si="0"/>
        <v>182000</v>
      </c>
      <c r="K9" s="84"/>
      <c r="L9" s="93"/>
      <c r="M9" s="82"/>
    </row>
    <row r="10" spans="1:13">
      <c r="A10" s="63"/>
      <c r="B10" s="65"/>
      <c r="C10" s="186"/>
      <c r="D10" s="187"/>
      <c r="E10" s="188"/>
      <c r="F10" s="136" t="s">
        <v>60</v>
      </c>
      <c r="G10" s="189"/>
      <c r="H10" s="72">
        <f>SUM(M11,M13,M15,M19)</f>
        <v>3817156</v>
      </c>
      <c r="I10" s="72">
        <v>3635156</v>
      </c>
      <c r="J10" s="72">
        <f t="shared" si="0"/>
        <v>182000</v>
      </c>
      <c r="K10" s="569"/>
      <c r="L10" s="570"/>
      <c r="M10" s="40"/>
    </row>
    <row r="11" spans="1:13">
      <c r="A11" s="63"/>
      <c r="B11" s="65"/>
      <c r="C11" s="65"/>
      <c r="D11" s="145"/>
      <c r="E11" s="190"/>
      <c r="F11" s="190"/>
      <c r="G11" s="138" t="s">
        <v>361</v>
      </c>
      <c r="H11" s="73">
        <f>M11+M13</f>
        <v>5000</v>
      </c>
      <c r="I11" s="73">
        <v>5000</v>
      </c>
      <c r="J11" s="73">
        <f t="shared" si="0"/>
        <v>0</v>
      </c>
      <c r="K11" s="361" t="s">
        <v>562</v>
      </c>
      <c r="L11" s="380"/>
      <c r="M11" s="415">
        <f>SUM(M12:M12)</f>
        <v>4000</v>
      </c>
    </row>
    <row r="12" spans="1:13">
      <c r="A12" s="63"/>
      <c r="B12" s="65"/>
      <c r="C12" s="65"/>
      <c r="D12" s="145"/>
      <c r="E12" s="190"/>
      <c r="F12" s="190"/>
      <c r="G12" s="68"/>
      <c r="H12" s="74"/>
      <c r="I12" s="74"/>
      <c r="J12" s="74"/>
      <c r="K12" s="387" t="s">
        <v>733</v>
      </c>
      <c r="L12" s="380" t="s">
        <v>199</v>
      </c>
      <c r="M12" s="404">
        <v>4000</v>
      </c>
    </row>
    <row r="13" spans="1:13">
      <c r="A13" s="63"/>
      <c r="B13" s="65"/>
      <c r="C13" s="65"/>
      <c r="D13" s="145"/>
      <c r="E13" s="190"/>
      <c r="F13" s="190"/>
      <c r="G13" s="68"/>
      <c r="H13" s="74"/>
      <c r="I13" s="74"/>
      <c r="J13" s="74"/>
      <c r="K13" s="361" t="s">
        <v>605</v>
      </c>
      <c r="L13" s="380"/>
      <c r="M13" s="415">
        <f>SUM(M14:M14)</f>
        <v>1000</v>
      </c>
    </row>
    <row r="14" spans="1:13">
      <c r="A14" s="63"/>
      <c r="B14" s="65"/>
      <c r="C14" s="65"/>
      <c r="D14" s="145"/>
      <c r="E14" s="190"/>
      <c r="F14" s="190"/>
      <c r="G14" s="67"/>
      <c r="H14" s="71"/>
      <c r="I14" s="71"/>
      <c r="J14" s="71"/>
      <c r="K14" s="385" t="s">
        <v>734</v>
      </c>
      <c r="L14" s="382" t="s">
        <v>199</v>
      </c>
      <c r="M14" s="400">
        <v>1000</v>
      </c>
    </row>
    <row r="15" spans="1:13">
      <c r="A15" s="63"/>
      <c r="B15" s="65"/>
      <c r="C15" s="65"/>
      <c r="D15" s="65"/>
      <c r="E15" s="65"/>
      <c r="F15" s="143"/>
      <c r="G15" s="65" t="s">
        <v>63</v>
      </c>
      <c r="H15" s="75">
        <f>M15</f>
        <v>3810156</v>
      </c>
      <c r="I15" s="75">
        <v>3628156</v>
      </c>
      <c r="J15" s="48">
        <f>H15-I15</f>
        <v>182000</v>
      </c>
      <c r="K15" s="361" t="s">
        <v>411</v>
      </c>
      <c r="L15" s="416"/>
      <c r="M15" s="384">
        <f>M18</f>
        <v>3810156</v>
      </c>
    </row>
    <row r="16" spans="1:13">
      <c r="A16" s="63"/>
      <c r="B16" s="65"/>
      <c r="C16" s="65"/>
      <c r="D16" s="65"/>
      <c r="E16" s="65"/>
      <c r="F16" s="143"/>
      <c r="G16" s="657" t="s">
        <v>887</v>
      </c>
      <c r="H16" s="75"/>
      <c r="I16" s="75"/>
      <c r="J16" s="48"/>
      <c r="K16" s="619" t="s">
        <v>803</v>
      </c>
      <c r="L16" s="383" t="s">
        <v>0</v>
      </c>
      <c r="M16" s="379">
        <v>3628156</v>
      </c>
    </row>
    <row r="17" spans="1:15">
      <c r="A17" s="63"/>
      <c r="B17" s="65"/>
      <c r="C17" s="65"/>
      <c r="D17" s="65"/>
      <c r="E17" s="65"/>
      <c r="F17" s="143"/>
      <c r="G17" s="65"/>
      <c r="H17" s="75"/>
      <c r="I17" s="75"/>
      <c r="J17" s="48"/>
      <c r="K17" s="660" t="s">
        <v>802</v>
      </c>
      <c r="L17" s="383"/>
      <c r="M17" s="379"/>
      <c r="N17" s="621"/>
    </row>
    <row r="18" spans="1:15">
      <c r="A18" s="63"/>
      <c r="B18" s="65"/>
      <c r="C18" s="65"/>
      <c r="D18" s="65"/>
      <c r="E18" s="65"/>
      <c r="F18" s="143"/>
      <c r="G18" s="67"/>
      <c r="H18" s="76"/>
      <c r="I18" s="76"/>
      <c r="J18" s="49"/>
      <c r="K18" s="686" t="s">
        <v>876</v>
      </c>
      <c r="L18" s="625" t="s">
        <v>0</v>
      </c>
      <c r="M18" s="615">
        <v>3810156</v>
      </c>
      <c r="N18" s="621"/>
    </row>
    <row r="19" spans="1:15">
      <c r="A19" s="63"/>
      <c r="B19" s="65"/>
      <c r="C19" s="65"/>
      <c r="D19" s="65"/>
      <c r="E19" s="65"/>
      <c r="F19" s="143"/>
      <c r="G19" s="65" t="s">
        <v>363</v>
      </c>
      <c r="H19" s="75">
        <f>M19</f>
        <v>2000</v>
      </c>
      <c r="I19" s="75">
        <v>2000</v>
      </c>
      <c r="J19" s="48">
        <f>H19-I19</f>
        <v>0</v>
      </c>
      <c r="K19" s="361" t="s">
        <v>364</v>
      </c>
      <c r="L19" s="416"/>
      <c r="M19" s="384">
        <f>M20</f>
        <v>2000</v>
      </c>
    </row>
    <row r="20" spans="1:15">
      <c r="A20" s="63"/>
      <c r="B20" s="65"/>
      <c r="C20" s="65"/>
      <c r="D20" s="65"/>
      <c r="E20" s="65"/>
      <c r="F20" s="143"/>
      <c r="G20" s="67"/>
      <c r="H20" s="76"/>
      <c r="I20" s="76"/>
      <c r="J20" s="49"/>
      <c r="K20" s="385" t="s">
        <v>730</v>
      </c>
      <c r="L20" s="378" t="s">
        <v>0</v>
      </c>
      <c r="M20" s="379">
        <v>2000</v>
      </c>
    </row>
    <row r="21" spans="1:15">
      <c r="A21" s="10"/>
      <c r="B21" s="6"/>
      <c r="C21" s="179" t="s">
        <v>365</v>
      </c>
      <c r="D21" s="130"/>
      <c r="E21" s="130"/>
      <c r="F21" s="130"/>
      <c r="G21" s="131"/>
      <c r="H21" s="91">
        <f>H22</f>
        <v>51788</v>
      </c>
      <c r="I21" s="91">
        <v>51788</v>
      </c>
      <c r="J21" s="92">
        <f t="shared" ref="J21:J25" si="1">H21-I21</f>
        <v>0</v>
      </c>
      <c r="K21" s="401"/>
      <c r="L21" s="395"/>
      <c r="M21" s="402"/>
    </row>
    <row r="22" spans="1:15">
      <c r="A22" s="10"/>
      <c r="B22" s="6"/>
      <c r="C22" s="147"/>
      <c r="D22" s="129" t="s">
        <v>366</v>
      </c>
      <c r="E22" s="130"/>
      <c r="F22" s="130"/>
      <c r="G22" s="131"/>
      <c r="H22" s="132">
        <f>H23</f>
        <v>51788</v>
      </c>
      <c r="I22" s="132">
        <v>51788</v>
      </c>
      <c r="J22" s="9">
        <f t="shared" si="1"/>
        <v>0</v>
      </c>
      <c r="K22" s="394"/>
      <c r="L22" s="395"/>
      <c r="M22" s="402"/>
    </row>
    <row r="23" spans="1:15" s="137" customFormat="1" ht="18" customHeight="1">
      <c r="A23" s="10"/>
      <c r="B23" s="6"/>
      <c r="C23" s="134"/>
      <c r="D23" s="135"/>
      <c r="E23" s="129" t="s">
        <v>360</v>
      </c>
      <c r="F23" s="130"/>
      <c r="G23" s="131"/>
      <c r="H23" s="91">
        <f>SUM(H24,H31,H35,H41)</f>
        <v>51788</v>
      </c>
      <c r="I23" s="91">
        <v>51788</v>
      </c>
      <c r="J23" s="92">
        <f t="shared" si="1"/>
        <v>0</v>
      </c>
      <c r="K23" s="355"/>
      <c r="L23" s="396"/>
      <c r="M23" s="397"/>
      <c r="N23" s="591"/>
    </row>
    <row r="24" spans="1:15" s="137" customFormat="1" ht="18" customHeight="1">
      <c r="A24" s="63"/>
      <c r="B24" s="65"/>
      <c r="C24" s="65"/>
      <c r="D24" s="65"/>
      <c r="E24" s="65"/>
      <c r="F24" s="136" t="s">
        <v>367</v>
      </c>
      <c r="G24" s="140"/>
      <c r="H24" s="72">
        <f>SUM(H25,H29)</f>
        <v>25128</v>
      </c>
      <c r="I24" s="72">
        <v>25128</v>
      </c>
      <c r="J24" s="98">
        <f t="shared" si="1"/>
        <v>0</v>
      </c>
      <c r="K24" s="388"/>
      <c r="L24" s="389"/>
      <c r="M24" s="403"/>
      <c r="N24" s="591"/>
    </row>
    <row r="25" spans="1:15">
      <c r="A25" s="55"/>
      <c r="B25" s="57"/>
      <c r="C25" s="65"/>
      <c r="D25" s="65"/>
      <c r="E25" s="65"/>
      <c r="F25" s="192"/>
      <c r="G25" s="206" t="s">
        <v>361</v>
      </c>
      <c r="H25" s="207">
        <f>M25</f>
        <v>18000</v>
      </c>
      <c r="I25" s="73">
        <v>18000</v>
      </c>
      <c r="J25" s="41">
        <f t="shared" si="1"/>
        <v>0</v>
      </c>
      <c r="K25" s="391" t="s">
        <v>73</v>
      </c>
      <c r="L25" s="418"/>
      <c r="M25" s="393">
        <f>SUM(M26:M28)</f>
        <v>18000</v>
      </c>
    </row>
    <row r="26" spans="1:15">
      <c r="A26" s="55"/>
      <c r="B26" s="57"/>
      <c r="C26" s="65"/>
      <c r="D26" s="65"/>
      <c r="E26" s="65"/>
      <c r="F26" s="222"/>
      <c r="G26" s="56"/>
      <c r="H26" s="100"/>
      <c r="I26" s="100"/>
      <c r="J26" s="50"/>
      <c r="K26" s="387" t="s">
        <v>731</v>
      </c>
      <c r="L26" s="383" t="s">
        <v>0</v>
      </c>
      <c r="M26" s="379">
        <v>6000</v>
      </c>
    </row>
    <row r="27" spans="1:15">
      <c r="A27" s="55"/>
      <c r="B27" s="57"/>
      <c r="C27" s="65"/>
      <c r="D27" s="65"/>
      <c r="E27" s="65"/>
      <c r="F27" s="222"/>
      <c r="G27" s="56"/>
      <c r="H27" s="100"/>
      <c r="I27" s="100"/>
      <c r="J27" s="50"/>
      <c r="K27" s="387" t="s">
        <v>735</v>
      </c>
      <c r="L27" s="383" t="s">
        <v>0</v>
      </c>
      <c r="M27" s="379">
        <v>7000</v>
      </c>
      <c r="O27" s="590"/>
    </row>
    <row r="28" spans="1:15">
      <c r="A28" s="55"/>
      <c r="B28" s="57"/>
      <c r="C28" s="65"/>
      <c r="D28" s="65"/>
      <c r="E28" s="65"/>
      <c r="F28" s="222"/>
      <c r="G28" s="56"/>
      <c r="H28" s="100"/>
      <c r="I28" s="100"/>
      <c r="J28" s="50"/>
      <c r="K28" s="387" t="s">
        <v>732</v>
      </c>
      <c r="L28" s="383" t="s">
        <v>0</v>
      </c>
      <c r="M28" s="379">
        <v>5000</v>
      </c>
    </row>
    <row r="29" spans="1:15">
      <c r="A29" s="63"/>
      <c r="B29" s="65"/>
      <c r="C29" s="65"/>
      <c r="D29" s="65"/>
      <c r="E29" s="65"/>
      <c r="F29" s="105"/>
      <c r="G29" s="333" t="s">
        <v>368</v>
      </c>
      <c r="H29" s="106">
        <f>M30</f>
        <v>7128</v>
      </c>
      <c r="I29" s="223">
        <v>7128</v>
      </c>
      <c r="J29" s="107">
        <f>H29-I29</f>
        <v>0</v>
      </c>
      <c r="K29" s="419" t="s">
        <v>369</v>
      </c>
      <c r="L29" s="383"/>
      <c r="M29" s="384">
        <f>M30</f>
        <v>7128</v>
      </c>
    </row>
    <row r="30" spans="1:15">
      <c r="A30" s="63"/>
      <c r="B30" s="65"/>
      <c r="C30" s="65"/>
      <c r="D30" s="65"/>
      <c r="E30" s="65"/>
      <c r="F30" s="224"/>
      <c r="G30" s="197"/>
      <c r="H30" s="106"/>
      <c r="I30" s="223"/>
      <c r="J30" s="107"/>
      <c r="K30" s="385" t="s">
        <v>736</v>
      </c>
      <c r="L30" s="378" t="s">
        <v>0</v>
      </c>
      <c r="M30" s="379">
        <v>7128</v>
      </c>
      <c r="O30" s="590"/>
    </row>
    <row r="31" spans="1:15">
      <c r="A31" s="63"/>
      <c r="B31" s="65"/>
      <c r="C31" s="65"/>
      <c r="D31" s="65"/>
      <c r="E31" s="65"/>
      <c r="F31" s="713" t="s">
        <v>53</v>
      </c>
      <c r="G31" s="714"/>
      <c r="H31" s="152">
        <f>H32</f>
        <v>10060</v>
      </c>
      <c r="I31" s="152">
        <v>10060</v>
      </c>
      <c r="J31" s="153">
        <f>H31-I31</f>
        <v>0</v>
      </c>
      <c r="K31" s="420"/>
      <c r="L31" s="421"/>
      <c r="M31" s="422"/>
    </row>
    <row r="32" spans="1:15">
      <c r="A32" s="63"/>
      <c r="B32" s="65"/>
      <c r="C32" s="65"/>
      <c r="D32" s="65"/>
      <c r="E32" s="65"/>
      <c r="F32" s="109"/>
      <c r="G32" s="199" t="s">
        <v>370</v>
      </c>
      <c r="H32" s="210">
        <f>M32</f>
        <v>10060</v>
      </c>
      <c r="I32" s="73">
        <v>10060</v>
      </c>
      <c r="J32" s="202">
        <f>H32-I32</f>
        <v>0</v>
      </c>
      <c r="K32" s="391" t="s">
        <v>371</v>
      </c>
      <c r="L32" s="423"/>
      <c r="M32" s="393">
        <f>SUM(M33:M34)</f>
        <v>10060</v>
      </c>
    </row>
    <row r="33" spans="1:15">
      <c r="A33" s="63"/>
      <c r="B33" s="65"/>
      <c r="C33" s="65"/>
      <c r="D33" s="65"/>
      <c r="E33" s="65"/>
      <c r="F33" s="105"/>
      <c r="G33" s="194"/>
      <c r="H33" s="106"/>
      <c r="I33" s="100"/>
      <c r="J33" s="107"/>
      <c r="K33" s="387" t="s">
        <v>608</v>
      </c>
      <c r="L33" s="424" t="s">
        <v>0</v>
      </c>
      <c r="M33" s="379">
        <v>2800</v>
      </c>
      <c r="O33" s="590"/>
    </row>
    <row r="34" spans="1:15">
      <c r="A34" s="63"/>
      <c r="B34" s="65"/>
      <c r="C34" s="65"/>
      <c r="D34" s="65"/>
      <c r="E34" s="65"/>
      <c r="F34" s="194"/>
      <c r="G34" s="194"/>
      <c r="H34" s="100"/>
      <c r="I34" s="104"/>
      <c r="J34" s="102"/>
      <c r="K34" s="387" t="s">
        <v>607</v>
      </c>
      <c r="L34" s="424" t="s">
        <v>0</v>
      </c>
      <c r="M34" s="379">
        <v>7260</v>
      </c>
      <c r="O34" s="590"/>
    </row>
    <row r="35" spans="1:15">
      <c r="A35" s="63"/>
      <c r="B35" s="65"/>
      <c r="C35" s="65"/>
      <c r="D35" s="65"/>
      <c r="E35" s="65"/>
      <c r="F35" s="136" t="s">
        <v>372</v>
      </c>
      <c r="G35" s="140"/>
      <c r="H35" s="72">
        <f>H36</f>
        <v>12100</v>
      </c>
      <c r="I35" s="72">
        <v>12100</v>
      </c>
      <c r="J35" s="98">
        <f>H35-I35</f>
        <v>0</v>
      </c>
      <c r="K35" s="388"/>
      <c r="L35" s="389"/>
      <c r="M35" s="390"/>
    </row>
    <row r="36" spans="1:15">
      <c r="A36" s="63"/>
      <c r="B36" s="65"/>
      <c r="C36" s="65"/>
      <c r="D36" s="65"/>
      <c r="E36" s="65"/>
      <c r="F36" s="143"/>
      <c r="G36" s="65" t="s">
        <v>373</v>
      </c>
      <c r="H36" s="75">
        <f>SUM(M36,M38)</f>
        <v>12100</v>
      </c>
      <c r="I36" s="75">
        <v>12100</v>
      </c>
      <c r="J36" s="48">
        <f>H36-I36</f>
        <v>0</v>
      </c>
      <c r="K36" s="391" t="s">
        <v>374</v>
      </c>
      <c r="L36" s="417"/>
      <c r="M36" s="393">
        <f>SUM(M37:M37)</f>
        <v>6600</v>
      </c>
    </row>
    <row r="37" spans="1:15">
      <c r="A37" s="63"/>
      <c r="B37" s="65"/>
      <c r="C37" s="65"/>
      <c r="D37" s="65"/>
      <c r="E37" s="65"/>
      <c r="F37" s="105"/>
      <c r="G37" s="197"/>
      <c r="H37" s="106"/>
      <c r="I37" s="223"/>
      <c r="J37" s="107"/>
      <c r="K37" s="387" t="s">
        <v>375</v>
      </c>
      <c r="L37" s="383" t="s">
        <v>0</v>
      </c>
      <c r="M37" s="379">
        <v>6600</v>
      </c>
    </row>
    <row r="38" spans="1:15">
      <c r="A38" s="63"/>
      <c r="B38" s="65"/>
      <c r="C38" s="65"/>
      <c r="D38" s="65"/>
      <c r="E38" s="65"/>
      <c r="F38" s="105"/>
      <c r="G38" s="197"/>
      <c r="H38" s="106"/>
      <c r="I38" s="223"/>
      <c r="J38" s="107"/>
      <c r="K38" s="361" t="s">
        <v>83</v>
      </c>
      <c r="L38" s="406"/>
      <c r="M38" s="384">
        <f>SUM(M39:M40)</f>
        <v>5500</v>
      </c>
    </row>
    <row r="39" spans="1:15">
      <c r="A39" s="63"/>
      <c r="B39" s="65"/>
      <c r="C39" s="65"/>
      <c r="D39" s="65"/>
      <c r="E39" s="65"/>
      <c r="F39" s="105"/>
      <c r="G39" s="197"/>
      <c r="H39" s="106"/>
      <c r="I39" s="223"/>
      <c r="J39" s="107"/>
      <c r="K39" s="387" t="s">
        <v>697</v>
      </c>
      <c r="L39" s="383" t="s">
        <v>0</v>
      </c>
      <c r="M39" s="379">
        <v>4000</v>
      </c>
      <c r="O39" s="590"/>
    </row>
    <row r="40" spans="1:15">
      <c r="A40" s="63"/>
      <c r="B40" s="65"/>
      <c r="C40" s="186"/>
      <c r="D40" s="187"/>
      <c r="E40" s="219"/>
      <c r="F40" s="145"/>
      <c r="G40" s="221"/>
      <c r="H40" s="74"/>
      <c r="I40" s="74"/>
      <c r="J40" s="74"/>
      <c r="K40" s="387" t="s">
        <v>698</v>
      </c>
      <c r="L40" s="380" t="s">
        <v>0</v>
      </c>
      <c r="M40" s="379">
        <v>1500</v>
      </c>
      <c r="O40" s="590"/>
    </row>
    <row r="41" spans="1:15">
      <c r="A41" s="63"/>
      <c r="B41" s="65"/>
      <c r="C41" s="65"/>
      <c r="D41" s="65"/>
      <c r="E41" s="65"/>
      <c r="F41" s="136" t="s">
        <v>376</v>
      </c>
      <c r="G41" s="140"/>
      <c r="H41" s="72">
        <f>SUM(M42,M44)</f>
        <v>4500</v>
      </c>
      <c r="I41" s="72">
        <v>4500</v>
      </c>
      <c r="J41" s="98">
        <f>H41-I41</f>
        <v>0</v>
      </c>
      <c r="K41" s="388"/>
      <c r="L41" s="389"/>
      <c r="M41" s="390"/>
    </row>
    <row r="42" spans="1:15">
      <c r="A42" s="63"/>
      <c r="B42" s="65"/>
      <c r="C42" s="65"/>
      <c r="D42" s="65"/>
      <c r="E42" s="65"/>
      <c r="F42" s="143"/>
      <c r="G42" s="65" t="s">
        <v>90</v>
      </c>
      <c r="H42" s="75">
        <f>M42</f>
        <v>2400</v>
      </c>
      <c r="I42" s="75">
        <v>2400</v>
      </c>
      <c r="J42" s="48">
        <f>H42-I42</f>
        <v>0</v>
      </c>
      <c r="K42" s="391" t="s">
        <v>377</v>
      </c>
      <c r="L42" s="417"/>
      <c r="M42" s="393">
        <f>M43</f>
        <v>2400</v>
      </c>
    </row>
    <row r="43" spans="1:15">
      <c r="A43" s="63"/>
      <c r="B43" s="65"/>
      <c r="C43" s="65"/>
      <c r="D43" s="65"/>
      <c r="E43" s="65"/>
      <c r="F43" s="105"/>
      <c r="G43" s="195"/>
      <c r="H43" s="108"/>
      <c r="I43" s="225"/>
      <c r="J43" s="156"/>
      <c r="K43" s="385" t="s">
        <v>609</v>
      </c>
      <c r="L43" s="378" t="s">
        <v>0</v>
      </c>
      <c r="M43" s="386">
        <v>2400</v>
      </c>
    </row>
    <row r="44" spans="1:15">
      <c r="A44" s="63"/>
      <c r="B44" s="65"/>
      <c r="C44" s="65"/>
      <c r="D44" s="65"/>
      <c r="E44" s="65"/>
      <c r="F44" s="105"/>
      <c r="G44" s="333" t="s">
        <v>378</v>
      </c>
      <c r="H44" s="106">
        <f>M44</f>
        <v>2100</v>
      </c>
      <c r="I44" s="73">
        <v>2100</v>
      </c>
      <c r="J44" s="107">
        <f>H44-I44</f>
        <v>0</v>
      </c>
      <c r="K44" s="361" t="s">
        <v>94</v>
      </c>
      <c r="L44" s="406"/>
      <c r="M44" s="384">
        <f>M45</f>
        <v>2100</v>
      </c>
    </row>
    <row r="45" spans="1:15" ht="17.25" thickBot="1">
      <c r="A45" s="290"/>
      <c r="B45" s="69"/>
      <c r="C45" s="69"/>
      <c r="D45" s="69"/>
      <c r="E45" s="69"/>
      <c r="F45" s="336"/>
      <c r="G45" s="340"/>
      <c r="H45" s="337"/>
      <c r="I45" s="338"/>
      <c r="J45" s="339"/>
      <c r="K45" s="231" t="s">
        <v>393</v>
      </c>
      <c r="L45" s="232" t="s">
        <v>0</v>
      </c>
      <c r="M45" s="242">
        <v>2100</v>
      </c>
    </row>
  </sheetData>
  <autoFilter ref="A3:M45">
    <filterColumn colId="10" showButton="0"/>
    <filterColumn colId="11" showButton="0"/>
  </autoFilter>
  <mergeCells count="9">
    <mergeCell ref="F31:G31"/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6:J9">
    <cfRule type="containsText" dxfId="827" priority="151" operator="containsText" text="허하나로">
      <formula>NOT(ISERROR(SEARCH("허하나로",H701)))</formula>
    </cfRule>
    <cfRule type="containsText" dxfId="826" priority="152" operator="containsText" text="한별">
      <formula>NOT(ISERROR(SEARCH("한별",H701)))</formula>
    </cfRule>
    <cfRule type="containsText" dxfId="825" priority="153" operator="containsText" text="정홍조">
      <formula>NOT(ISERROR(SEARCH("정홍조",H701)))</formula>
    </cfRule>
    <cfRule type="containsText" dxfId="824" priority="154" operator="containsText" text="김지윤">
      <formula>NOT(ISERROR(SEARCH("김지윤",H701)))</formula>
    </cfRule>
    <cfRule type="containsText" dxfId="823" priority="155" operator="containsText" text="전준영">
      <formula>NOT(ISERROR(SEARCH("전준영",H701)))</formula>
    </cfRule>
    <cfRule type="containsText" dxfId="822" priority="156" operator="containsText" text="차재성">
      <formula>NOT(ISERROR(SEARCH("차재성",H701)))</formula>
    </cfRule>
  </conditionalFormatting>
  <conditionalFormatting sqref="J5">
    <cfRule type="containsText" dxfId="821" priority="145" operator="containsText" text="허하나로">
      <formula>NOT(ISERROR(SEARCH("허하나로",H700)))</formula>
    </cfRule>
    <cfRule type="containsText" dxfId="820" priority="146" operator="containsText" text="한별">
      <formula>NOT(ISERROR(SEARCH("한별",H700)))</formula>
    </cfRule>
    <cfRule type="containsText" dxfId="819" priority="147" operator="containsText" text="정홍조">
      <formula>NOT(ISERROR(SEARCH("정홍조",H700)))</formula>
    </cfRule>
    <cfRule type="containsText" dxfId="818" priority="148" operator="containsText" text="김지윤">
      <formula>NOT(ISERROR(SEARCH("김지윤",H700)))</formula>
    </cfRule>
    <cfRule type="containsText" dxfId="817" priority="149" operator="containsText" text="전준영">
      <formula>NOT(ISERROR(SEARCH("전준영",H700)))</formula>
    </cfRule>
    <cfRule type="containsText" dxfId="816" priority="150" operator="containsText" text="차재성">
      <formula>NOT(ISERROR(SEARCH("차재성",H700)))</formula>
    </cfRule>
  </conditionalFormatting>
  <conditionalFormatting sqref="J21">
    <cfRule type="containsText" dxfId="815" priority="139" operator="containsText" text="허하나로">
      <formula>NOT(ISERROR(SEARCH("허하나로",H834)))</formula>
    </cfRule>
    <cfRule type="containsText" dxfId="814" priority="140" operator="containsText" text="한별">
      <formula>NOT(ISERROR(SEARCH("한별",H834)))</formula>
    </cfRule>
    <cfRule type="containsText" dxfId="813" priority="141" operator="containsText" text="정홍조">
      <formula>NOT(ISERROR(SEARCH("정홍조",H834)))</formula>
    </cfRule>
    <cfRule type="containsText" dxfId="812" priority="142" operator="containsText" text="김지윤">
      <formula>NOT(ISERROR(SEARCH("김지윤",H834)))</formula>
    </cfRule>
    <cfRule type="containsText" dxfId="811" priority="143" operator="containsText" text="전준영">
      <formula>NOT(ISERROR(SEARCH("전준영",H834)))</formula>
    </cfRule>
    <cfRule type="containsText" dxfId="810" priority="144" operator="containsText" text="차재성">
      <formula>NOT(ISERROR(SEARCH("차재성",H834)))</formula>
    </cfRule>
  </conditionalFormatting>
  <conditionalFormatting sqref="J23">
    <cfRule type="containsText" dxfId="809" priority="163" operator="containsText" text="허하나로">
      <formula>NOT(ISERROR(SEARCH("허하나로",H1031)))</formula>
    </cfRule>
    <cfRule type="containsText" dxfId="808" priority="164" operator="containsText" text="한별">
      <formula>NOT(ISERROR(SEARCH("한별",H1031)))</formula>
    </cfRule>
    <cfRule type="containsText" dxfId="807" priority="165" operator="containsText" text="정홍조">
      <formula>NOT(ISERROR(SEARCH("정홍조",H1031)))</formula>
    </cfRule>
    <cfRule type="containsText" dxfId="806" priority="166" operator="containsText" text="김지윤">
      <formula>NOT(ISERROR(SEARCH("김지윤",H1031)))</formula>
    </cfRule>
    <cfRule type="containsText" dxfId="805" priority="167" operator="containsText" text="전준영">
      <formula>NOT(ISERROR(SEARCH("전준영",H1031)))</formula>
    </cfRule>
    <cfRule type="containsText" dxfId="804" priority="168" operator="containsText" text="차재성">
      <formula>NOT(ISERROR(SEARCH("차재성",H1031)))</formula>
    </cfRule>
  </conditionalFormatting>
  <conditionalFormatting sqref="J34">
    <cfRule type="containsText" dxfId="803" priority="169" operator="containsText" text="허하나로">
      <formula>NOT(ISERROR(SEARCH("허하나로",H1046)))</formula>
    </cfRule>
    <cfRule type="containsText" dxfId="802" priority="170" operator="containsText" text="한별">
      <formula>NOT(ISERROR(SEARCH("한별",H1046)))</formula>
    </cfRule>
    <cfRule type="containsText" dxfId="801" priority="171" operator="containsText" text="정홍조">
      <formula>NOT(ISERROR(SEARCH("정홍조",H1046)))</formula>
    </cfRule>
    <cfRule type="containsText" dxfId="800" priority="172" operator="containsText" text="김지윤">
      <formula>NOT(ISERROR(SEARCH("김지윤",H1046)))</formula>
    </cfRule>
    <cfRule type="containsText" dxfId="799" priority="173" operator="containsText" text="전준영">
      <formula>NOT(ISERROR(SEARCH("전준영",H1046)))</formula>
    </cfRule>
    <cfRule type="containsText" dxfId="798" priority="174" operator="containsText" text="차재성">
      <formula>NOT(ISERROR(SEARCH("차재성",H1046)))</formula>
    </cfRule>
  </conditionalFormatting>
  <conditionalFormatting sqref="L32">
    <cfRule type="containsText" dxfId="797" priority="133" operator="containsText" text="허하나로">
      <formula>NOT(ISERROR(SEARCH("허하나로",J1179)))</formula>
    </cfRule>
    <cfRule type="containsText" dxfId="796" priority="134" operator="containsText" text="한별">
      <formula>NOT(ISERROR(SEARCH("한별",J1179)))</formula>
    </cfRule>
    <cfRule type="containsText" dxfId="795" priority="135" operator="containsText" text="정홍조">
      <formula>NOT(ISERROR(SEARCH("정홍조",J1179)))</formula>
    </cfRule>
    <cfRule type="containsText" dxfId="794" priority="136" operator="containsText" text="김지윤">
      <formula>NOT(ISERROR(SEARCH("김지윤",J1179)))</formula>
    </cfRule>
    <cfRule type="containsText" dxfId="793" priority="137" operator="containsText" text="전준영">
      <formula>NOT(ISERROR(SEARCH("전준영",J1179)))</formula>
    </cfRule>
    <cfRule type="containsText" dxfId="792" priority="138" operator="containsText" text="차재성">
      <formula>NOT(ISERROR(SEARCH("차재성",J1179)))</formula>
    </cfRule>
  </conditionalFormatting>
  <conditionalFormatting sqref="J24:J25">
    <cfRule type="containsText" dxfId="791" priority="127" operator="containsText" text="허하나로">
      <formula>NOT(ISERROR(SEARCH("허하나로",H1038)))</formula>
    </cfRule>
    <cfRule type="containsText" dxfId="790" priority="128" operator="containsText" text="한별">
      <formula>NOT(ISERROR(SEARCH("한별",H1038)))</formula>
    </cfRule>
    <cfRule type="containsText" dxfId="789" priority="129" operator="containsText" text="정홍조">
      <formula>NOT(ISERROR(SEARCH("정홍조",H1038)))</formula>
    </cfRule>
    <cfRule type="containsText" dxfId="788" priority="130" operator="containsText" text="김지윤">
      <formula>NOT(ISERROR(SEARCH("김지윤",H1038)))</formula>
    </cfRule>
    <cfRule type="containsText" dxfId="787" priority="131" operator="containsText" text="전준영">
      <formula>NOT(ISERROR(SEARCH("전준영",H1038)))</formula>
    </cfRule>
    <cfRule type="containsText" dxfId="786" priority="132" operator="containsText" text="차재성">
      <formula>NOT(ISERROR(SEARCH("차재성",H1038)))</formula>
    </cfRule>
  </conditionalFormatting>
  <conditionalFormatting sqref="J18:J19">
    <cfRule type="containsText" dxfId="785" priority="115" operator="containsText" text="허하나로">
      <formula>NOT(ISERROR(SEARCH("허하나로",H1103)))</formula>
    </cfRule>
    <cfRule type="containsText" dxfId="784" priority="116" operator="containsText" text="한별">
      <formula>NOT(ISERROR(SEARCH("한별",H1103)))</formula>
    </cfRule>
    <cfRule type="containsText" dxfId="783" priority="117" operator="containsText" text="정홍조">
      <formula>NOT(ISERROR(SEARCH("정홍조",H1103)))</formula>
    </cfRule>
    <cfRule type="containsText" dxfId="782" priority="118" operator="containsText" text="김지윤">
      <formula>NOT(ISERROR(SEARCH("김지윤",H1103)))</formula>
    </cfRule>
    <cfRule type="containsText" dxfId="781" priority="119" operator="containsText" text="전준영">
      <formula>NOT(ISERROR(SEARCH("전준영",H1103)))</formula>
    </cfRule>
    <cfRule type="containsText" dxfId="780" priority="120" operator="containsText" text="차재성">
      <formula>NOT(ISERROR(SEARCH("차재성",H1103)))</formula>
    </cfRule>
  </conditionalFormatting>
  <conditionalFormatting sqref="J20">
    <cfRule type="containsText" dxfId="779" priority="121" operator="containsText" text="허하나로">
      <formula>NOT(ISERROR(SEARCH("허하나로",H1104)))</formula>
    </cfRule>
    <cfRule type="containsText" dxfId="778" priority="122" operator="containsText" text="한별">
      <formula>NOT(ISERROR(SEARCH("한별",H1104)))</formula>
    </cfRule>
    <cfRule type="containsText" dxfId="777" priority="123" operator="containsText" text="정홍조">
      <formula>NOT(ISERROR(SEARCH("정홍조",H1104)))</formula>
    </cfRule>
    <cfRule type="containsText" dxfId="776" priority="124" operator="containsText" text="김지윤">
      <formula>NOT(ISERROR(SEARCH("김지윤",H1104)))</formula>
    </cfRule>
    <cfRule type="containsText" dxfId="775" priority="125" operator="containsText" text="전준영">
      <formula>NOT(ISERROR(SEARCH("전준영",H1104)))</formula>
    </cfRule>
    <cfRule type="containsText" dxfId="774" priority="126" operator="containsText" text="차재성">
      <formula>NOT(ISERROR(SEARCH("차재성",H1104)))</formula>
    </cfRule>
  </conditionalFormatting>
  <conditionalFormatting sqref="J15">
    <cfRule type="containsText" dxfId="773" priority="103" operator="containsText" text="허하나로">
      <formula>NOT(ISERROR(SEARCH("허하나로",H1102)))</formula>
    </cfRule>
    <cfRule type="containsText" dxfId="772" priority="104" operator="containsText" text="한별">
      <formula>NOT(ISERROR(SEARCH("한별",H1102)))</formula>
    </cfRule>
    <cfRule type="containsText" dxfId="771" priority="105" operator="containsText" text="정홍조">
      <formula>NOT(ISERROR(SEARCH("정홍조",H1102)))</formula>
    </cfRule>
    <cfRule type="containsText" dxfId="770" priority="106" operator="containsText" text="김지윤">
      <formula>NOT(ISERROR(SEARCH("김지윤",H1102)))</formula>
    </cfRule>
    <cfRule type="containsText" dxfId="769" priority="107" operator="containsText" text="전준영">
      <formula>NOT(ISERROR(SEARCH("전준영",H1102)))</formula>
    </cfRule>
    <cfRule type="containsText" dxfId="768" priority="108" operator="containsText" text="차재성">
      <formula>NOT(ISERROR(SEARCH("차재성",H1102)))</formula>
    </cfRule>
  </conditionalFormatting>
  <conditionalFormatting sqref="J37">
    <cfRule type="containsText" dxfId="767" priority="85" operator="containsText" text="허하나로">
      <formula>NOT(ISERROR(SEARCH("허하나로",H1071)))</formula>
    </cfRule>
    <cfRule type="containsText" dxfId="766" priority="86" operator="containsText" text="한별">
      <formula>NOT(ISERROR(SEARCH("한별",H1071)))</formula>
    </cfRule>
    <cfRule type="containsText" dxfId="765" priority="87" operator="containsText" text="정홍조">
      <formula>NOT(ISERROR(SEARCH("정홍조",H1071)))</formula>
    </cfRule>
    <cfRule type="containsText" dxfId="764" priority="88" operator="containsText" text="김지윤">
      <formula>NOT(ISERROR(SEARCH("김지윤",H1071)))</formula>
    </cfRule>
    <cfRule type="containsText" dxfId="763" priority="89" operator="containsText" text="전준영">
      <formula>NOT(ISERROR(SEARCH("전준영",H1071)))</formula>
    </cfRule>
    <cfRule type="containsText" dxfId="762" priority="90" operator="containsText" text="차재성">
      <formula>NOT(ISERROR(SEARCH("차재성",H1071)))</formula>
    </cfRule>
  </conditionalFormatting>
  <conditionalFormatting sqref="J35">
    <cfRule type="containsText" dxfId="761" priority="79" operator="containsText" text="허하나로">
      <formula>NOT(ISERROR(SEARCH("허하나로",H1117)))</formula>
    </cfRule>
    <cfRule type="containsText" dxfId="760" priority="80" operator="containsText" text="한별">
      <formula>NOT(ISERROR(SEARCH("한별",H1117)))</formula>
    </cfRule>
    <cfRule type="containsText" dxfId="759" priority="81" operator="containsText" text="정홍조">
      <formula>NOT(ISERROR(SEARCH("정홍조",H1117)))</formula>
    </cfRule>
    <cfRule type="containsText" dxfId="758" priority="82" operator="containsText" text="김지윤">
      <formula>NOT(ISERROR(SEARCH("김지윤",H1117)))</formula>
    </cfRule>
    <cfRule type="containsText" dxfId="757" priority="83" operator="containsText" text="전준영">
      <formula>NOT(ISERROR(SEARCH("전준영",H1117)))</formula>
    </cfRule>
    <cfRule type="containsText" dxfId="756" priority="84" operator="containsText" text="차재성">
      <formula>NOT(ISERROR(SEARCH("차재성",H1117)))</formula>
    </cfRule>
  </conditionalFormatting>
  <conditionalFormatting sqref="J36">
    <cfRule type="containsText" dxfId="755" priority="73" operator="containsText" text="허하나로">
      <formula>NOT(ISERROR(SEARCH("허하나로",H1118)))</formula>
    </cfRule>
    <cfRule type="containsText" dxfId="754" priority="74" operator="containsText" text="한별">
      <formula>NOT(ISERROR(SEARCH("한별",H1118)))</formula>
    </cfRule>
    <cfRule type="containsText" dxfId="753" priority="75" operator="containsText" text="정홍조">
      <formula>NOT(ISERROR(SEARCH("정홍조",H1118)))</formula>
    </cfRule>
    <cfRule type="containsText" dxfId="752" priority="76" operator="containsText" text="김지윤">
      <formula>NOT(ISERROR(SEARCH("김지윤",H1118)))</formula>
    </cfRule>
    <cfRule type="containsText" dxfId="751" priority="77" operator="containsText" text="전준영">
      <formula>NOT(ISERROR(SEARCH("전준영",H1118)))</formula>
    </cfRule>
    <cfRule type="containsText" dxfId="750" priority="78" operator="containsText" text="차재성">
      <formula>NOT(ISERROR(SEARCH("차재성",H1118)))</formula>
    </cfRule>
  </conditionalFormatting>
  <conditionalFormatting sqref="J30">
    <cfRule type="containsText" dxfId="749" priority="61" operator="containsText" text="허하나로">
      <formula>NOT(ISERROR(SEARCH("허하나로",H1072)))</formula>
    </cfRule>
    <cfRule type="containsText" dxfId="748" priority="62" operator="containsText" text="한별">
      <formula>NOT(ISERROR(SEARCH("한별",H1072)))</formula>
    </cfRule>
    <cfRule type="containsText" dxfId="747" priority="63" operator="containsText" text="정홍조">
      <formula>NOT(ISERROR(SEARCH("정홍조",H1072)))</formula>
    </cfRule>
    <cfRule type="containsText" dxfId="746" priority="64" operator="containsText" text="김지윤">
      <formula>NOT(ISERROR(SEARCH("김지윤",H1072)))</formula>
    </cfRule>
    <cfRule type="containsText" dxfId="745" priority="65" operator="containsText" text="전준영">
      <formula>NOT(ISERROR(SEARCH("전준영",H1072)))</formula>
    </cfRule>
    <cfRule type="containsText" dxfId="744" priority="66" operator="containsText" text="차재성">
      <formula>NOT(ISERROR(SEARCH("차재성",H1072)))</formula>
    </cfRule>
  </conditionalFormatting>
  <conditionalFormatting sqref="J29">
    <cfRule type="containsText" dxfId="743" priority="67" operator="containsText" text="허하나로">
      <formula>NOT(ISERROR(SEARCH("허하나로",H1072)))</formula>
    </cfRule>
    <cfRule type="containsText" dxfId="742" priority="68" operator="containsText" text="한별">
      <formula>NOT(ISERROR(SEARCH("한별",H1072)))</formula>
    </cfRule>
    <cfRule type="containsText" dxfId="741" priority="69" operator="containsText" text="정홍조">
      <formula>NOT(ISERROR(SEARCH("정홍조",H1072)))</formula>
    </cfRule>
    <cfRule type="containsText" dxfId="740" priority="70" operator="containsText" text="김지윤">
      <formula>NOT(ISERROR(SEARCH("김지윤",H1072)))</formula>
    </cfRule>
    <cfRule type="containsText" dxfId="739" priority="71" operator="containsText" text="전준영">
      <formula>NOT(ISERROR(SEARCH("전준영",H1072)))</formula>
    </cfRule>
    <cfRule type="containsText" dxfId="738" priority="72" operator="containsText" text="차재성">
      <formula>NOT(ISERROR(SEARCH("차재성",H1072)))</formula>
    </cfRule>
  </conditionalFormatting>
  <conditionalFormatting sqref="J45">
    <cfRule type="containsText" dxfId="737" priority="49" operator="containsText" text="허하나로">
      <formula>NOT(ISERROR(SEARCH("허하나로",H1060)))</formula>
    </cfRule>
    <cfRule type="containsText" dxfId="736" priority="50" operator="containsText" text="한별">
      <formula>NOT(ISERROR(SEARCH("한별",H1060)))</formula>
    </cfRule>
    <cfRule type="containsText" dxfId="735" priority="51" operator="containsText" text="정홍조">
      <formula>NOT(ISERROR(SEARCH("정홍조",H1060)))</formula>
    </cfRule>
    <cfRule type="containsText" dxfId="734" priority="52" operator="containsText" text="김지윤">
      <formula>NOT(ISERROR(SEARCH("김지윤",H1060)))</formula>
    </cfRule>
    <cfRule type="containsText" dxfId="733" priority="53" operator="containsText" text="전준영">
      <formula>NOT(ISERROR(SEARCH("전준영",H1060)))</formula>
    </cfRule>
    <cfRule type="containsText" dxfId="732" priority="54" operator="containsText" text="차재성">
      <formula>NOT(ISERROR(SEARCH("차재성",H1060)))</formula>
    </cfRule>
  </conditionalFormatting>
  <conditionalFormatting sqref="J44">
    <cfRule type="containsText" dxfId="731" priority="55" operator="containsText" text="허하나로">
      <formula>NOT(ISERROR(SEARCH("허하나로",H1060)))</formula>
    </cfRule>
    <cfRule type="containsText" dxfId="730" priority="56" operator="containsText" text="한별">
      <formula>NOT(ISERROR(SEARCH("한별",H1060)))</formula>
    </cfRule>
    <cfRule type="containsText" dxfId="729" priority="57" operator="containsText" text="정홍조">
      <formula>NOT(ISERROR(SEARCH("정홍조",H1060)))</formula>
    </cfRule>
    <cfRule type="containsText" dxfId="728" priority="58" operator="containsText" text="김지윤">
      <formula>NOT(ISERROR(SEARCH("김지윤",H1060)))</formula>
    </cfRule>
    <cfRule type="containsText" dxfId="727" priority="59" operator="containsText" text="전준영">
      <formula>NOT(ISERROR(SEARCH("전준영",H1060)))</formula>
    </cfRule>
    <cfRule type="containsText" dxfId="726" priority="60" operator="containsText" text="차재성">
      <formula>NOT(ISERROR(SEARCH("차재성",H1060)))</formula>
    </cfRule>
  </conditionalFormatting>
  <conditionalFormatting sqref="J43">
    <cfRule type="containsText" dxfId="725" priority="43" operator="containsText" text="허하나로">
      <formula>NOT(ISERROR(SEARCH("허하나로",H1066)))</formula>
    </cfRule>
    <cfRule type="containsText" dxfId="724" priority="44" operator="containsText" text="한별">
      <formula>NOT(ISERROR(SEARCH("한별",H1066)))</formula>
    </cfRule>
    <cfRule type="containsText" dxfId="723" priority="45" operator="containsText" text="정홍조">
      <formula>NOT(ISERROR(SEARCH("정홍조",H1066)))</formula>
    </cfRule>
    <cfRule type="containsText" dxfId="722" priority="46" operator="containsText" text="김지윤">
      <formula>NOT(ISERROR(SEARCH("김지윤",H1066)))</formula>
    </cfRule>
    <cfRule type="containsText" dxfId="721" priority="47" operator="containsText" text="전준영">
      <formula>NOT(ISERROR(SEARCH("전준영",H1066)))</formula>
    </cfRule>
    <cfRule type="containsText" dxfId="720" priority="48" operator="containsText" text="차재성">
      <formula>NOT(ISERROR(SEARCH("차재성",H1066)))</formula>
    </cfRule>
  </conditionalFormatting>
  <conditionalFormatting sqref="J41">
    <cfRule type="containsText" dxfId="719" priority="37" operator="containsText" text="허하나로">
      <formula>NOT(ISERROR(SEARCH("허하나로",H1122)))</formula>
    </cfRule>
    <cfRule type="containsText" dxfId="718" priority="38" operator="containsText" text="한별">
      <formula>NOT(ISERROR(SEARCH("한별",H1122)))</formula>
    </cfRule>
    <cfRule type="containsText" dxfId="717" priority="39" operator="containsText" text="정홍조">
      <formula>NOT(ISERROR(SEARCH("정홍조",H1122)))</formula>
    </cfRule>
    <cfRule type="containsText" dxfId="716" priority="40" operator="containsText" text="김지윤">
      <formula>NOT(ISERROR(SEARCH("김지윤",H1122)))</formula>
    </cfRule>
    <cfRule type="containsText" dxfId="715" priority="41" operator="containsText" text="전준영">
      <formula>NOT(ISERROR(SEARCH("전준영",H1122)))</formula>
    </cfRule>
    <cfRule type="containsText" dxfId="714" priority="42" operator="containsText" text="차재성">
      <formula>NOT(ISERROR(SEARCH("차재성",H1122)))</formula>
    </cfRule>
  </conditionalFormatting>
  <conditionalFormatting sqref="J42">
    <cfRule type="containsText" dxfId="713" priority="31" operator="containsText" text="허하나로">
      <formula>NOT(ISERROR(SEARCH("허하나로",H1123)))</formula>
    </cfRule>
    <cfRule type="containsText" dxfId="712" priority="32" operator="containsText" text="한별">
      <formula>NOT(ISERROR(SEARCH("한별",H1123)))</formula>
    </cfRule>
    <cfRule type="containsText" dxfId="711" priority="33" operator="containsText" text="정홍조">
      <formula>NOT(ISERROR(SEARCH("정홍조",H1123)))</formula>
    </cfRule>
    <cfRule type="containsText" dxfId="710" priority="34" operator="containsText" text="김지윤">
      <formula>NOT(ISERROR(SEARCH("김지윤",H1123)))</formula>
    </cfRule>
    <cfRule type="containsText" dxfId="709" priority="35" operator="containsText" text="전준영">
      <formula>NOT(ISERROR(SEARCH("전준영",H1123)))</formula>
    </cfRule>
    <cfRule type="containsText" dxfId="708" priority="36" operator="containsText" text="차재성">
      <formula>NOT(ISERROR(SEARCH("차재성",H1123)))</formula>
    </cfRule>
  </conditionalFormatting>
  <conditionalFormatting sqref="J31:J33">
    <cfRule type="containsText" dxfId="707" priority="3553" operator="containsText" text="허하나로">
      <formula>NOT(ISERROR(SEARCH("허하나로",H1044)))</formula>
    </cfRule>
    <cfRule type="containsText" dxfId="706" priority="3554" operator="containsText" text="한별">
      <formula>NOT(ISERROR(SEARCH("한별",H1044)))</formula>
    </cfRule>
    <cfRule type="containsText" dxfId="705" priority="3555" operator="containsText" text="정홍조">
      <formula>NOT(ISERROR(SEARCH("정홍조",H1044)))</formula>
    </cfRule>
    <cfRule type="containsText" dxfId="704" priority="3556" operator="containsText" text="김지윤">
      <formula>NOT(ISERROR(SEARCH("김지윤",H1044)))</formula>
    </cfRule>
    <cfRule type="containsText" dxfId="703" priority="3557" operator="containsText" text="전준영">
      <formula>NOT(ISERROR(SEARCH("전준영",H1044)))</formula>
    </cfRule>
    <cfRule type="containsText" dxfId="702" priority="3558" operator="containsText" text="차재성">
      <formula>NOT(ISERROR(SEARCH("차재성",H1044)))</formula>
    </cfRule>
  </conditionalFormatting>
  <conditionalFormatting sqref="J2:J3">
    <cfRule type="containsText" dxfId="701" priority="13" operator="containsText" text="허하나로">
      <formula>NOT(ISERROR(SEARCH("허하나로",H765)))</formula>
    </cfRule>
    <cfRule type="containsText" dxfId="700" priority="14" operator="containsText" text="한별">
      <formula>NOT(ISERROR(SEARCH("한별",H765)))</formula>
    </cfRule>
    <cfRule type="containsText" dxfId="699" priority="15" operator="containsText" text="정홍조">
      <formula>NOT(ISERROR(SEARCH("정홍조",H765)))</formula>
    </cfRule>
    <cfRule type="containsText" dxfId="698" priority="16" operator="containsText" text="김지윤">
      <formula>NOT(ISERROR(SEARCH("김지윤",H765)))</formula>
    </cfRule>
    <cfRule type="containsText" dxfId="697" priority="17" operator="containsText" text="전준영">
      <formula>NOT(ISERROR(SEARCH("전준영",H765)))</formula>
    </cfRule>
    <cfRule type="containsText" dxfId="696" priority="18" operator="containsText" text="차재성">
      <formula>NOT(ISERROR(SEARCH("차재성",H765)))</formula>
    </cfRule>
  </conditionalFormatting>
  <conditionalFormatting sqref="J16:J17">
    <cfRule type="containsText" dxfId="695" priority="5239" operator="containsText" text="허하나로">
      <formula>NOT(ISERROR(SEARCH("허하나로",H1102)))</formula>
    </cfRule>
    <cfRule type="containsText" dxfId="694" priority="5240" operator="containsText" text="한별">
      <formula>NOT(ISERROR(SEARCH("한별",H1102)))</formula>
    </cfRule>
    <cfRule type="containsText" dxfId="693" priority="5241" operator="containsText" text="정홍조">
      <formula>NOT(ISERROR(SEARCH("정홍조",H1102)))</formula>
    </cfRule>
    <cfRule type="containsText" dxfId="692" priority="5242" operator="containsText" text="김지윤">
      <formula>NOT(ISERROR(SEARCH("김지윤",H1102)))</formula>
    </cfRule>
    <cfRule type="containsText" dxfId="691" priority="5243" operator="containsText" text="전준영">
      <formula>NOT(ISERROR(SEARCH("전준영",H1102)))</formula>
    </cfRule>
    <cfRule type="containsText" dxfId="690" priority="5244" operator="containsText" text="차재성">
      <formula>NOT(ISERROR(SEARCH("차재성",H1102)))</formula>
    </cfRule>
  </conditionalFormatting>
  <pageMargins left="0.25" right="0.25" top="0.75" bottom="0.75" header="0.3" footer="0.3"/>
  <pageSetup paperSize="9" scale="73" fitToHeight="0" orientation="landscape" r:id="rId1"/>
  <rowBreaks count="1" manualBreakCount="1">
    <brk id="34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1" operator="containsText" text="허하나로" id="{C294F580-39A9-4097-98FA-8F17556D2A41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2" operator="containsText" text="한별" id="{E7D6554B-9C46-4666-A85D-C58AD45BA43E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3" operator="containsText" text="정홍조" id="{7C07EAAA-F9A7-4E58-83CC-2C49472B8520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94" operator="containsText" text="김지윤" id="{1AF6A9A8-B2DD-42B6-81DF-A708F725FAEE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" operator="containsText" text="전준영" id="{2DC022A8-EE30-4726-8784-39BFC158A152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text="차재성" id="{F9BAE3D1-2C60-4D14-9EA3-DA93C37C3B1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J28</xm:sqref>
        </x14:conditionalFormatting>
        <x14:conditionalFormatting xmlns:xm="http://schemas.microsoft.com/office/excel/2006/main">
          <x14:cfRule type="containsText" priority="97" operator="containsText" text="허하나로" id="{D420B4E7-1BEB-4CD1-A9C9-65CC61F04197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8" operator="containsText" text="한별" id="{90F099D4-7C37-4BDB-901B-04D78DC2D524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9" operator="containsText" text="정홍조" id="{21538F85-3204-4525-8782-CBF07A523A8D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0" operator="containsText" text="김지윤" id="{8529A7A3-9362-4706-81B8-C7F4319C3C58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1" operator="containsText" text="전준영" id="{800EB218-3CD1-4F18-A482-DB1E0FE67E65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2" operator="containsText" text="차재성" id="{101D2B35-E144-4998-A601-0B57C844CF6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J26:J27</xm:sqref>
        </x14:conditionalFormatting>
        <x14:conditionalFormatting xmlns:xm="http://schemas.microsoft.com/office/excel/2006/main">
          <x14:cfRule type="containsText" priority="25" operator="containsText" text="허하나로" id="{D43E79B1-EE6A-4EA3-B52C-6BD7978B8DEE}">
            <xm:f>NOT(ISERROR(SEARCH("허하나로",행정관리부!H1075)))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9A4F73E9-1D7E-4266-B557-5ACD8AA5E762}">
            <xm:f>NOT(ISERROR(SEARCH("한별",행정관리부!H1075)))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32804C67-EC96-4BA9-ACCB-ECCFBC9E3A3A}">
            <xm:f>NOT(ISERROR(SEARCH("정홍조",행정관리부!H1075)))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C38D4C6C-F422-410A-8EBD-B53F54AD5EEC}">
            <xm:f>NOT(ISERROR(SEARCH("김지윤",행정관리부!H1075)))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C76CB348-C024-4FC3-907D-DF0066147DB2}">
            <xm:f>NOT(ISERROR(SEARCH("전준영",행정관리부!H1075)))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8B876EBE-049B-4999-A9C7-262844F64215}">
            <xm:f>NOT(ISERROR(SEARCH("차재성",행정관리부!H1075)))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J38</xm:sqref>
        </x14:conditionalFormatting>
        <x14:conditionalFormatting xmlns:xm="http://schemas.microsoft.com/office/excel/2006/main">
          <x14:cfRule type="containsText" priority="19" operator="containsText" text="허하나로" id="{08CD5C75-19D4-4A24-ADA7-CFB6DC3C4BA0}">
            <xm:f>NOT(ISERROR(SEARCH("허하나로",행정관리부!H1074)))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99960472-C61B-40D2-A3BC-3BA232C4FDED}">
            <xm:f>NOT(ISERROR(SEARCH("한별",행정관리부!H1074)))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20CEEC82-27B8-4AD0-B37E-2F4091C6F9BD}">
            <xm:f>NOT(ISERROR(SEARCH("정홍조",행정관리부!H1074)))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5D7B9C1E-0A64-49F9-A95C-24667468298A}">
            <xm:f>NOT(ISERROR(SEARCH("김지윤",행정관리부!H1074)))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E193CF20-FF69-48C7-84C2-19442BB48DEB}">
            <xm:f>NOT(ISERROR(SEARCH("전준영",행정관리부!H1074)))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515AFE08-532C-4B52-BA37-2D16F4065E65}">
            <xm:f>NOT(ISERROR(SEARCH("차재성",행정관리부!H1074)))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R32"/>
  <sheetViews>
    <sheetView zoomScale="85" zoomScaleNormal="85" workbookViewId="0">
      <selection activeCell="G11" sqref="G11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9.875" style="591" bestFit="1" customWidth="1"/>
  </cols>
  <sheetData>
    <row r="1" spans="1:13" ht="17.25" thickBot="1">
      <c r="A1" s="88" t="s">
        <v>173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3" ht="16.5" customHeight="1">
      <c r="A2" s="715" t="s">
        <v>21</v>
      </c>
      <c r="B2" s="717" t="s">
        <v>22</v>
      </c>
      <c r="C2" s="718"/>
      <c r="D2" s="719"/>
      <c r="E2" s="717" t="s">
        <v>23</v>
      </c>
      <c r="F2" s="718"/>
      <c r="G2" s="719"/>
      <c r="H2" s="693" t="s">
        <v>728</v>
      </c>
      <c r="I2" s="693" t="s">
        <v>729</v>
      </c>
      <c r="J2" s="720" t="s">
        <v>467</v>
      </c>
      <c r="K2" s="704" t="s">
        <v>1</v>
      </c>
      <c r="L2" s="705"/>
      <c r="M2" s="706"/>
    </row>
    <row r="3" spans="1:13" ht="17.25" thickBot="1">
      <c r="A3" s="716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94"/>
      <c r="I3" s="694"/>
      <c r="J3" s="721"/>
      <c r="K3" s="707"/>
      <c r="L3" s="708"/>
      <c r="M3" s="709"/>
    </row>
    <row r="4" spans="1:13" ht="17.25" thickBot="1">
      <c r="A4" s="710" t="s">
        <v>30</v>
      </c>
      <c r="B4" s="711"/>
      <c r="C4" s="711"/>
      <c r="D4" s="711"/>
      <c r="E4" s="711"/>
      <c r="F4" s="711"/>
      <c r="G4" s="712"/>
      <c r="H4" s="185">
        <f>H5</f>
        <v>96648</v>
      </c>
      <c r="I4" s="185">
        <v>20648</v>
      </c>
      <c r="J4" s="120">
        <f t="shared" ref="J4:J11" si="0">H4-I4</f>
        <v>76000</v>
      </c>
      <c r="K4" s="89"/>
      <c r="L4" s="90"/>
      <c r="M4" s="121"/>
    </row>
    <row r="5" spans="1:13">
      <c r="A5" s="205" t="s">
        <v>2</v>
      </c>
      <c r="B5" s="122"/>
      <c r="C5" s="123"/>
      <c r="D5" s="123"/>
      <c r="E5" s="123"/>
      <c r="F5" s="123"/>
      <c r="G5" s="124"/>
      <c r="H5" s="94">
        <f>H6</f>
        <v>96648</v>
      </c>
      <c r="I5" s="94">
        <v>20648</v>
      </c>
      <c r="J5" s="95">
        <f t="shared" si="0"/>
        <v>76000</v>
      </c>
      <c r="K5" s="78"/>
      <c r="L5" s="79"/>
      <c r="M5" s="80"/>
    </row>
    <row r="6" spans="1:13">
      <c r="A6" s="10"/>
      <c r="B6" s="129" t="s">
        <v>289</v>
      </c>
      <c r="C6" s="129"/>
      <c r="D6" s="130"/>
      <c r="E6" s="130"/>
      <c r="F6" s="130"/>
      <c r="G6" s="131"/>
      <c r="H6" s="94">
        <f>SUM(H7,H25)</f>
        <v>96648</v>
      </c>
      <c r="I6" s="94">
        <v>20648</v>
      </c>
      <c r="J6" s="95">
        <f t="shared" si="0"/>
        <v>76000</v>
      </c>
      <c r="K6" s="78"/>
      <c r="L6" s="79"/>
      <c r="M6" s="80"/>
    </row>
    <row r="7" spans="1:13">
      <c r="A7" s="10"/>
      <c r="B7" s="6"/>
      <c r="C7" s="179" t="s">
        <v>242</v>
      </c>
      <c r="D7" s="130"/>
      <c r="E7" s="130"/>
      <c r="F7" s="130"/>
      <c r="G7" s="131"/>
      <c r="H7" s="91">
        <f>H8</f>
        <v>20648</v>
      </c>
      <c r="I7" s="91">
        <v>20648</v>
      </c>
      <c r="J7" s="92">
        <f t="shared" si="0"/>
        <v>0</v>
      </c>
      <c r="K7" s="159"/>
      <c r="L7" s="149"/>
      <c r="M7" s="150"/>
    </row>
    <row r="8" spans="1:13">
      <c r="A8" s="10"/>
      <c r="B8" s="6"/>
      <c r="C8" s="147"/>
      <c r="D8" s="129" t="s">
        <v>34</v>
      </c>
      <c r="E8" s="130"/>
      <c r="F8" s="130"/>
      <c r="G8" s="131"/>
      <c r="H8" s="132">
        <f>H9</f>
        <v>20648</v>
      </c>
      <c r="I8" s="132">
        <v>20648</v>
      </c>
      <c r="J8" s="9">
        <f t="shared" si="0"/>
        <v>0</v>
      </c>
      <c r="K8" s="148"/>
      <c r="L8" s="149"/>
      <c r="M8" s="150"/>
    </row>
    <row r="9" spans="1:13">
      <c r="A9" s="10"/>
      <c r="B9" s="6"/>
      <c r="C9" s="134"/>
      <c r="D9" s="135"/>
      <c r="E9" s="129" t="s">
        <v>31</v>
      </c>
      <c r="F9" s="130"/>
      <c r="G9" s="131"/>
      <c r="H9" s="91">
        <f>SUM(H10,H15,H19,H22)</f>
        <v>20648</v>
      </c>
      <c r="I9" s="91">
        <v>20648</v>
      </c>
      <c r="J9" s="92">
        <f t="shared" si="0"/>
        <v>0</v>
      </c>
      <c r="K9" s="84"/>
      <c r="L9" s="93"/>
      <c r="M9" s="82"/>
    </row>
    <row r="10" spans="1:13">
      <c r="A10" s="63"/>
      <c r="B10" s="65"/>
      <c r="C10" s="65"/>
      <c r="D10" s="65"/>
      <c r="E10" s="65"/>
      <c r="F10" s="136" t="s">
        <v>35</v>
      </c>
      <c r="G10" s="140"/>
      <c r="H10" s="72">
        <f>SUM(H11,H13)</f>
        <v>8048</v>
      </c>
      <c r="I10" s="72">
        <v>8048</v>
      </c>
      <c r="J10" s="98">
        <f t="shared" si="0"/>
        <v>0</v>
      </c>
      <c r="K10" s="388"/>
      <c r="L10" s="389"/>
      <c r="M10" s="403"/>
    </row>
    <row r="11" spans="1:13">
      <c r="A11" s="55"/>
      <c r="B11" s="57"/>
      <c r="C11" s="65"/>
      <c r="D11" s="65"/>
      <c r="E11" s="65"/>
      <c r="F11" s="192"/>
      <c r="G11" s="206" t="s">
        <v>36</v>
      </c>
      <c r="H11" s="207">
        <f>M11</f>
        <v>2000</v>
      </c>
      <c r="I11" s="207">
        <v>2000</v>
      </c>
      <c r="J11" s="41">
        <f t="shared" si="0"/>
        <v>0</v>
      </c>
      <c r="K11" s="391" t="s">
        <v>47</v>
      </c>
      <c r="L11" s="418"/>
      <c r="M11" s="393">
        <f>SUM(M12:M12)</f>
        <v>2000</v>
      </c>
    </row>
    <row r="12" spans="1:13">
      <c r="A12" s="55"/>
      <c r="B12" s="57"/>
      <c r="C12" s="65"/>
      <c r="D12" s="65"/>
      <c r="E12" s="65"/>
      <c r="F12" s="56"/>
      <c r="G12" s="56"/>
      <c r="H12" s="100"/>
      <c r="I12" s="100"/>
      <c r="J12" s="102"/>
      <c r="K12" s="602" t="s">
        <v>610</v>
      </c>
      <c r="L12" s="383" t="s">
        <v>37</v>
      </c>
      <c r="M12" s="379">
        <v>2000</v>
      </c>
    </row>
    <row r="13" spans="1:13">
      <c r="A13" s="55"/>
      <c r="B13" s="57"/>
      <c r="C13" s="65"/>
      <c r="D13" s="65"/>
      <c r="E13" s="65"/>
      <c r="F13" s="56"/>
      <c r="G13" s="206" t="s">
        <v>309</v>
      </c>
      <c r="H13" s="207">
        <f>M13</f>
        <v>6048</v>
      </c>
      <c r="I13" s="207">
        <v>6048</v>
      </c>
      <c r="J13" s="208">
        <f>H13-I13</f>
        <v>0</v>
      </c>
      <c r="K13" s="391" t="s">
        <v>310</v>
      </c>
      <c r="L13" s="530"/>
      <c r="M13" s="393">
        <f>SUM(M14)</f>
        <v>6048</v>
      </c>
    </row>
    <row r="14" spans="1:13">
      <c r="A14" s="63"/>
      <c r="B14" s="65"/>
      <c r="C14" s="65"/>
      <c r="D14" s="65"/>
      <c r="E14" s="65"/>
      <c r="F14" s="56"/>
      <c r="G14" s="56"/>
      <c r="H14" s="100"/>
      <c r="I14" s="100"/>
      <c r="J14" s="102"/>
      <c r="K14" s="385" t="s">
        <v>612</v>
      </c>
      <c r="L14" s="378" t="s">
        <v>37</v>
      </c>
      <c r="M14" s="379">
        <v>6048</v>
      </c>
    </row>
    <row r="15" spans="1:13">
      <c r="A15" s="63"/>
      <c r="B15" s="65"/>
      <c r="C15" s="65"/>
      <c r="D15" s="65"/>
      <c r="E15" s="65"/>
      <c r="F15" s="713" t="s">
        <v>40</v>
      </c>
      <c r="G15" s="714"/>
      <c r="H15" s="152">
        <f>H16</f>
        <v>9000</v>
      </c>
      <c r="I15" s="152">
        <v>9000</v>
      </c>
      <c r="J15" s="153">
        <f>H15-I15</f>
        <v>0</v>
      </c>
      <c r="K15" s="603"/>
      <c r="L15" s="604"/>
      <c r="M15" s="390"/>
    </row>
    <row r="16" spans="1:13">
      <c r="A16" s="63"/>
      <c r="B16" s="65"/>
      <c r="C16" s="65"/>
      <c r="D16" s="65"/>
      <c r="E16" s="65"/>
      <c r="F16" s="109"/>
      <c r="G16" s="199" t="s">
        <v>41</v>
      </c>
      <c r="H16" s="210">
        <f>M16</f>
        <v>9000</v>
      </c>
      <c r="I16" s="207">
        <v>9000</v>
      </c>
      <c r="J16" s="202">
        <f>H16-I16</f>
        <v>0</v>
      </c>
      <c r="K16" s="391" t="s">
        <v>49</v>
      </c>
      <c r="L16" s="605"/>
      <c r="M16" s="393">
        <f>SUM(M17:M18)</f>
        <v>9000</v>
      </c>
    </row>
    <row r="17" spans="1:18">
      <c r="A17" s="63"/>
      <c r="B17" s="65"/>
      <c r="C17" s="65"/>
      <c r="D17" s="65"/>
      <c r="E17" s="65"/>
      <c r="F17" s="194"/>
      <c r="G17" s="194"/>
      <c r="H17" s="100"/>
      <c r="I17" s="104"/>
      <c r="J17" s="102"/>
      <c r="K17" s="387" t="s">
        <v>699</v>
      </c>
      <c r="L17" s="424" t="s">
        <v>0</v>
      </c>
      <c r="M17" s="379">
        <v>2400</v>
      </c>
      <c r="P17" s="590"/>
    </row>
    <row r="18" spans="1:18">
      <c r="A18" s="63"/>
      <c r="B18" s="65"/>
      <c r="C18" s="65"/>
      <c r="D18" s="65"/>
      <c r="E18" s="65"/>
      <c r="F18" s="194"/>
      <c r="G18" s="194"/>
      <c r="H18" s="100"/>
      <c r="I18" s="104"/>
      <c r="J18" s="102"/>
      <c r="K18" s="385" t="s">
        <v>700</v>
      </c>
      <c r="L18" s="528" t="s">
        <v>0</v>
      </c>
      <c r="M18" s="379">
        <v>6600</v>
      </c>
      <c r="P18" s="590"/>
    </row>
    <row r="19" spans="1:18">
      <c r="A19" s="63"/>
      <c r="B19" s="65"/>
      <c r="C19" s="65"/>
      <c r="D19" s="65"/>
      <c r="E19" s="65"/>
      <c r="F19" s="713" t="s">
        <v>42</v>
      </c>
      <c r="G19" s="714"/>
      <c r="H19" s="152">
        <f>H20</f>
        <v>1500</v>
      </c>
      <c r="I19" s="152">
        <v>1500</v>
      </c>
      <c r="J19" s="153">
        <f>H19-I19</f>
        <v>0</v>
      </c>
      <c r="K19" s="603"/>
      <c r="L19" s="604"/>
      <c r="M19" s="390"/>
    </row>
    <row r="20" spans="1:18">
      <c r="A20" s="63"/>
      <c r="B20" s="65"/>
      <c r="C20" s="65"/>
      <c r="D20" s="65"/>
      <c r="E20" s="65"/>
      <c r="F20" s="194"/>
      <c r="G20" s="109" t="s">
        <v>43</v>
      </c>
      <c r="H20" s="210">
        <f>M20</f>
        <v>1500</v>
      </c>
      <c r="I20" s="210">
        <v>1500</v>
      </c>
      <c r="J20" s="202">
        <f>H20-I20</f>
        <v>0</v>
      </c>
      <c r="K20" s="391" t="s">
        <v>507</v>
      </c>
      <c r="L20" s="418"/>
      <c r="M20" s="393">
        <f>SUM(M21)</f>
        <v>1500</v>
      </c>
    </row>
    <row r="21" spans="1:18">
      <c r="A21" s="318"/>
      <c r="B21" s="319"/>
      <c r="C21" s="319"/>
      <c r="D21" s="319"/>
      <c r="E21" s="319"/>
      <c r="F21" s="195"/>
      <c r="G21" s="195"/>
      <c r="H21" s="103"/>
      <c r="I21" s="155"/>
      <c r="J21" s="155"/>
      <c r="K21" s="527" t="s">
        <v>611</v>
      </c>
      <c r="L21" s="528" t="s">
        <v>0</v>
      </c>
      <c r="M21" s="379">
        <v>1500</v>
      </c>
    </row>
    <row r="22" spans="1:18">
      <c r="A22" s="63"/>
      <c r="B22" s="65"/>
      <c r="C22" s="65"/>
      <c r="D22" s="65"/>
      <c r="E22" s="65"/>
      <c r="F22" s="334" t="s">
        <v>89</v>
      </c>
      <c r="G22" s="70"/>
      <c r="H22" s="71">
        <f>H23</f>
        <v>2100</v>
      </c>
      <c r="I22" s="71">
        <v>2100</v>
      </c>
      <c r="J22" s="146">
        <f>H22-I22</f>
        <v>0</v>
      </c>
      <c r="K22" s="535"/>
      <c r="L22" s="536"/>
      <c r="M22" s="390"/>
    </row>
    <row r="23" spans="1:18">
      <c r="A23" s="63"/>
      <c r="B23" s="65"/>
      <c r="C23" s="65"/>
      <c r="D23" s="65"/>
      <c r="E23" s="65"/>
      <c r="F23" s="143"/>
      <c r="G23" s="65" t="s">
        <v>93</v>
      </c>
      <c r="H23" s="75">
        <f>M23</f>
        <v>2100</v>
      </c>
      <c r="I23" s="75">
        <v>2100</v>
      </c>
      <c r="J23" s="48">
        <f>H23-I23</f>
        <v>0</v>
      </c>
      <c r="K23" s="391" t="s">
        <v>387</v>
      </c>
      <c r="L23" s="417"/>
      <c r="M23" s="393">
        <f>M24</f>
        <v>2100</v>
      </c>
    </row>
    <row r="24" spans="1:18">
      <c r="A24" s="63"/>
      <c r="B24" s="65"/>
      <c r="C24" s="67"/>
      <c r="D24" s="67"/>
      <c r="E24" s="67"/>
      <c r="F24" s="224"/>
      <c r="G24" s="195"/>
      <c r="H24" s="108"/>
      <c r="I24" s="225"/>
      <c r="J24" s="156"/>
      <c r="K24" s="217" t="s">
        <v>390</v>
      </c>
      <c r="L24" s="204" t="s">
        <v>0</v>
      </c>
      <c r="M24" s="196">
        <v>2100</v>
      </c>
      <c r="P24" s="590"/>
    </row>
    <row r="25" spans="1:18" s="1" customFormat="1" ht="18" customHeight="1">
      <c r="A25" s="10"/>
      <c r="B25" s="462"/>
      <c r="C25" s="661" t="s">
        <v>804</v>
      </c>
      <c r="D25" s="548"/>
      <c r="E25" s="548"/>
      <c r="F25" s="548"/>
      <c r="G25" s="549"/>
      <c r="H25" s="95">
        <f>SUM(H26)</f>
        <v>76000</v>
      </c>
      <c r="I25" s="95">
        <v>0</v>
      </c>
      <c r="J25" s="95">
        <f t="shared" ref="J25" si="1">H25-I25</f>
        <v>76000</v>
      </c>
      <c r="K25" s="407"/>
      <c r="L25" s="408"/>
      <c r="M25" s="409"/>
      <c r="N25" s="593"/>
      <c r="O25" s="593"/>
      <c r="P25" s="593"/>
      <c r="Q25" s="593"/>
      <c r="R25" s="593"/>
    </row>
    <row r="26" spans="1:18" s="1" customFormat="1" ht="18" customHeight="1">
      <c r="A26" s="10"/>
      <c r="B26" s="462"/>
      <c r="C26" s="462"/>
      <c r="D26" s="661" t="s">
        <v>421</v>
      </c>
      <c r="E26" s="460"/>
      <c r="F26" s="460"/>
      <c r="G26" s="461"/>
      <c r="H26" s="463">
        <f>H27</f>
        <v>76000</v>
      </c>
      <c r="I26" s="463">
        <v>0</v>
      </c>
      <c r="J26" s="92">
        <f>H26-I26</f>
        <v>76000</v>
      </c>
      <c r="K26" s="354"/>
      <c r="L26" s="410"/>
      <c r="M26" s="409"/>
      <c r="N26" s="621"/>
      <c r="O26" s="621"/>
      <c r="P26" s="621"/>
      <c r="Q26" s="621"/>
      <c r="R26" s="621"/>
    </row>
    <row r="27" spans="1:18" s="1" customFormat="1" ht="18" customHeight="1">
      <c r="A27" s="10"/>
      <c r="B27" s="462"/>
      <c r="C27" s="464"/>
      <c r="D27" s="465"/>
      <c r="E27" s="353" t="s">
        <v>606</v>
      </c>
      <c r="F27" s="460"/>
      <c r="G27" s="461"/>
      <c r="H27" s="92">
        <f>H28</f>
        <v>76000</v>
      </c>
      <c r="I27" s="92">
        <v>0</v>
      </c>
      <c r="J27" s="92">
        <f>H27-I27</f>
        <v>76000</v>
      </c>
      <c r="K27" s="355"/>
      <c r="L27" s="396"/>
      <c r="M27" s="411"/>
      <c r="N27" s="621"/>
      <c r="O27" s="621"/>
      <c r="P27" s="621"/>
      <c r="Q27" s="621"/>
      <c r="R27" s="621"/>
    </row>
    <row r="28" spans="1:18" s="61" customFormat="1" ht="18" customHeight="1">
      <c r="A28" s="63"/>
      <c r="B28" s="363"/>
      <c r="C28" s="467"/>
      <c r="D28" s="468"/>
      <c r="E28" s="469"/>
      <c r="F28" s="470" t="s">
        <v>367</v>
      </c>
      <c r="G28" s="471"/>
      <c r="H28" s="98">
        <f>H29</f>
        <v>76000</v>
      </c>
      <c r="I28" s="98">
        <v>0</v>
      </c>
      <c r="J28" s="98">
        <f t="shared" ref="J28:J29" si="2">H28-I28</f>
        <v>76000</v>
      </c>
      <c r="K28" s="398"/>
      <c r="L28" s="356"/>
      <c r="M28" s="412"/>
      <c r="N28" s="621"/>
      <c r="O28" s="621"/>
      <c r="P28" s="621"/>
      <c r="Q28" s="621"/>
      <c r="R28" s="621"/>
    </row>
    <row r="29" spans="1:18" s="61" customFormat="1">
      <c r="A29" s="63"/>
      <c r="B29" s="363"/>
      <c r="C29" s="363"/>
      <c r="D29" s="364"/>
      <c r="E29" s="365"/>
      <c r="F29" s="365"/>
      <c r="G29" s="472" t="s">
        <v>604</v>
      </c>
      <c r="H29" s="41">
        <f>M29</f>
        <v>76000</v>
      </c>
      <c r="I29" s="41">
        <v>0</v>
      </c>
      <c r="J29" s="41">
        <f t="shared" si="2"/>
        <v>76000</v>
      </c>
      <c r="K29" s="391" t="s">
        <v>225</v>
      </c>
      <c r="L29" s="392"/>
      <c r="M29" s="413">
        <f>M31</f>
        <v>76000</v>
      </c>
      <c r="N29" s="621"/>
      <c r="O29" s="621"/>
      <c r="P29" s="621"/>
      <c r="Q29" s="621"/>
      <c r="R29" s="621"/>
    </row>
    <row r="30" spans="1:18" s="61" customFormat="1">
      <c r="A30" s="63"/>
      <c r="B30" s="363"/>
      <c r="C30" s="363"/>
      <c r="D30" s="364"/>
      <c r="E30" s="365"/>
      <c r="F30" s="365"/>
      <c r="G30" s="658" t="s">
        <v>870</v>
      </c>
      <c r="H30" s="50"/>
      <c r="I30" s="50"/>
      <c r="J30" s="50"/>
      <c r="K30" s="622" t="s">
        <v>756</v>
      </c>
      <c r="L30" s="380"/>
      <c r="M30" s="663"/>
      <c r="N30" s="621"/>
      <c r="O30" s="621"/>
      <c r="P30" s="621"/>
      <c r="Q30" s="621"/>
      <c r="R30" s="621"/>
    </row>
    <row r="31" spans="1:18" s="61" customFormat="1" ht="17.25" thickBot="1">
      <c r="A31" s="290"/>
      <c r="B31" s="513"/>
      <c r="C31" s="513"/>
      <c r="D31" s="538"/>
      <c r="E31" s="539"/>
      <c r="F31" s="539"/>
      <c r="G31" s="662"/>
      <c r="H31" s="230"/>
      <c r="I31" s="230"/>
      <c r="J31" s="230"/>
      <c r="K31" s="664" t="s">
        <v>871</v>
      </c>
      <c r="L31" s="649" t="s">
        <v>0</v>
      </c>
      <c r="M31" s="665">
        <v>76000</v>
      </c>
      <c r="N31" s="621"/>
      <c r="O31" s="621"/>
      <c r="P31" s="621"/>
      <c r="Q31" s="621"/>
      <c r="R31" s="621"/>
    </row>
    <row r="32" spans="1:18">
      <c r="O32" s="252"/>
      <c r="P32" s="590"/>
    </row>
  </sheetData>
  <protectedRanges>
    <protectedRange password="ECE8" sqref="N25:Z27" name="작성자만수정_2_1_1"/>
  </protectedRanges>
  <autoFilter ref="A3:M24">
    <filterColumn colId="10" showButton="0"/>
    <filterColumn colId="11" showButton="0"/>
  </autoFilter>
  <mergeCells count="10"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665" priority="73" operator="containsText" text="허하나로">
      <formula>NOT(ISERROR(SEARCH("허하나로",H1053)))</formula>
    </cfRule>
    <cfRule type="containsText" dxfId="664" priority="74" operator="containsText" text="한별">
      <formula>NOT(ISERROR(SEARCH("한별",H1053)))</formula>
    </cfRule>
    <cfRule type="containsText" dxfId="663" priority="75" operator="containsText" text="정홍조">
      <formula>NOT(ISERROR(SEARCH("정홍조",H1053)))</formula>
    </cfRule>
    <cfRule type="containsText" dxfId="662" priority="76" operator="containsText" text="김지윤">
      <formula>NOT(ISERROR(SEARCH("김지윤",H1053)))</formula>
    </cfRule>
    <cfRule type="containsText" dxfId="661" priority="77" operator="containsText" text="전준영">
      <formula>NOT(ISERROR(SEARCH("전준영",H1053)))</formula>
    </cfRule>
    <cfRule type="containsText" dxfId="660" priority="78" operator="containsText" text="차재성">
      <formula>NOT(ISERROR(SEARCH("차재성",H1053)))</formula>
    </cfRule>
  </conditionalFormatting>
  <conditionalFormatting sqref="J6">
    <cfRule type="containsText" dxfId="659" priority="85" operator="containsText" text="허하나로">
      <formula>NOT(ISERROR(SEARCH("허하나로",H690)))</formula>
    </cfRule>
    <cfRule type="containsText" dxfId="658" priority="86" operator="containsText" text="한별">
      <formula>NOT(ISERROR(SEARCH("한별",H690)))</formula>
    </cfRule>
    <cfRule type="containsText" dxfId="657" priority="87" operator="containsText" text="정홍조">
      <formula>NOT(ISERROR(SEARCH("정홍조",H690)))</formula>
    </cfRule>
    <cfRule type="containsText" dxfId="656" priority="88" operator="containsText" text="김지윤">
      <formula>NOT(ISERROR(SEARCH("김지윤",H690)))</formula>
    </cfRule>
    <cfRule type="containsText" dxfId="655" priority="89" operator="containsText" text="전준영">
      <formula>NOT(ISERROR(SEARCH("전준영",H690)))</formula>
    </cfRule>
    <cfRule type="containsText" dxfId="654" priority="90" operator="containsText" text="차재성">
      <formula>NOT(ISERROR(SEARCH("차재성",H690)))</formula>
    </cfRule>
  </conditionalFormatting>
  <conditionalFormatting sqref="J5">
    <cfRule type="containsText" dxfId="653" priority="79" operator="containsText" text="허하나로">
      <formula>NOT(ISERROR(SEARCH("허하나로",H689)))</formula>
    </cfRule>
    <cfRule type="containsText" dxfId="652" priority="80" operator="containsText" text="한별">
      <formula>NOT(ISERROR(SEARCH("한별",H689)))</formula>
    </cfRule>
    <cfRule type="containsText" dxfId="651" priority="81" operator="containsText" text="정홍조">
      <formula>NOT(ISERROR(SEARCH("정홍조",H689)))</formula>
    </cfRule>
    <cfRule type="containsText" dxfId="650" priority="82" operator="containsText" text="김지윤">
      <formula>NOT(ISERROR(SEARCH("김지윤",H689)))</formula>
    </cfRule>
    <cfRule type="containsText" dxfId="649" priority="83" operator="containsText" text="전준영">
      <formula>NOT(ISERROR(SEARCH("전준영",H689)))</formula>
    </cfRule>
    <cfRule type="containsText" dxfId="648" priority="84" operator="containsText" text="차재성">
      <formula>NOT(ISERROR(SEARCH("차재성",H689)))</formula>
    </cfRule>
  </conditionalFormatting>
  <conditionalFormatting sqref="J7">
    <cfRule type="containsText" dxfId="647" priority="67" operator="containsText" text="허하나로">
      <formula>NOT(ISERROR(SEARCH("허하나로",H823)))</formula>
    </cfRule>
    <cfRule type="containsText" dxfId="646" priority="68" operator="containsText" text="한별">
      <formula>NOT(ISERROR(SEARCH("한별",H823)))</formula>
    </cfRule>
    <cfRule type="containsText" dxfId="645" priority="69" operator="containsText" text="정홍조">
      <formula>NOT(ISERROR(SEARCH("정홍조",H823)))</formula>
    </cfRule>
    <cfRule type="containsText" dxfId="644" priority="70" operator="containsText" text="김지윤">
      <formula>NOT(ISERROR(SEARCH("김지윤",H823)))</formula>
    </cfRule>
    <cfRule type="containsText" dxfId="643" priority="71" operator="containsText" text="전준영">
      <formula>NOT(ISERROR(SEARCH("전준영",H823)))</formula>
    </cfRule>
    <cfRule type="containsText" dxfId="642" priority="72" operator="containsText" text="차재성">
      <formula>NOT(ISERROR(SEARCH("차재성",H823)))</formula>
    </cfRule>
  </conditionalFormatting>
  <conditionalFormatting sqref="J10:J11">
    <cfRule type="containsText" dxfId="641" priority="61" operator="containsText" text="허하나로">
      <formula>NOT(ISERROR(SEARCH("허하나로",H1031)))</formula>
    </cfRule>
    <cfRule type="containsText" dxfId="640" priority="62" operator="containsText" text="한별">
      <formula>NOT(ISERROR(SEARCH("한별",H1031)))</formula>
    </cfRule>
    <cfRule type="containsText" dxfId="639" priority="63" operator="containsText" text="정홍조">
      <formula>NOT(ISERROR(SEARCH("정홍조",H1031)))</formula>
    </cfRule>
    <cfRule type="containsText" dxfId="638" priority="64" operator="containsText" text="김지윤">
      <formula>NOT(ISERROR(SEARCH("김지윤",H1031)))</formula>
    </cfRule>
    <cfRule type="containsText" dxfId="637" priority="65" operator="containsText" text="전준영">
      <formula>NOT(ISERROR(SEARCH("전준영",H1031)))</formula>
    </cfRule>
    <cfRule type="containsText" dxfId="636" priority="66" operator="containsText" text="차재성">
      <formula>NOT(ISERROR(SEARCH("차재성",H1031)))</formula>
    </cfRule>
  </conditionalFormatting>
  <conditionalFormatting sqref="J9">
    <cfRule type="containsText" dxfId="635" priority="103" operator="containsText" text="허하나로">
      <formula>NOT(ISERROR(SEARCH("허하나로",H1020)))</formula>
    </cfRule>
    <cfRule type="containsText" dxfId="634" priority="104" operator="containsText" text="한별">
      <formula>NOT(ISERROR(SEARCH("한별",H1020)))</formula>
    </cfRule>
    <cfRule type="containsText" dxfId="633" priority="105" operator="containsText" text="정홍조">
      <formula>NOT(ISERROR(SEARCH("정홍조",H1020)))</formula>
    </cfRule>
    <cfRule type="containsText" dxfId="632" priority="106" operator="containsText" text="김지윤">
      <formula>NOT(ISERROR(SEARCH("김지윤",H1020)))</formula>
    </cfRule>
    <cfRule type="containsText" dxfId="631" priority="107" operator="containsText" text="전준영">
      <formula>NOT(ISERROR(SEARCH("전준영",H1020)))</formula>
    </cfRule>
    <cfRule type="containsText" dxfId="630" priority="108" operator="containsText" text="차재성">
      <formula>NOT(ISERROR(SEARCH("차재성",H1020)))</formula>
    </cfRule>
  </conditionalFormatting>
  <conditionalFormatting sqref="J15:J18">
    <cfRule type="containsText" dxfId="629" priority="109" operator="containsText" text="허하나로">
      <formula>NOT(ISERROR(SEARCH("허하나로",H1033)))</formula>
    </cfRule>
    <cfRule type="containsText" dxfId="628" priority="110" operator="containsText" text="한별">
      <formula>NOT(ISERROR(SEARCH("한별",H1033)))</formula>
    </cfRule>
    <cfRule type="containsText" dxfId="627" priority="111" operator="containsText" text="정홍조">
      <formula>NOT(ISERROR(SEARCH("정홍조",H1033)))</formula>
    </cfRule>
    <cfRule type="containsText" dxfId="626" priority="112" operator="containsText" text="김지윤">
      <formula>NOT(ISERROR(SEARCH("김지윤",H1033)))</formula>
    </cfRule>
    <cfRule type="containsText" dxfId="625" priority="113" operator="containsText" text="전준영">
      <formula>NOT(ISERROR(SEARCH("전준영",H1033)))</formula>
    </cfRule>
    <cfRule type="containsText" dxfId="624" priority="114" operator="containsText" text="차재성">
      <formula>NOT(ISERROR(SEARCH("차재성",H1033)))</formula>
    </cfRule>
  </conditionalFormatting>
  <conditionalFormatting sqref="J19">
    <cfRule type="containsText" dxfId="623" priority="49" operator="containsText" text="허하나로">
      <formula>NOT(ISERROR(SEARCH("허하나로",H1037)))</formula>
    </cfRule>
    <cfRule type="containsText" dxfId="622" priority="50" operator="containsText" text="한별">
      <formula>NOT(ISERROR(SEARCH("한별",H1037)))</formula>
    </cfRule>
    <cfRule type="containsText" dxfId="621" priority="51" operator="containsText" text="정홍조">
      <formula>NOT(ISERROR(SEARCH("정홍조",H1037)))</formula>
    </cfRule>
    <cfRule type="containsText" dxfId="620" priority="52" operator="containsText" text="김지윤">
      <formula>NOT(ISERROR(SEARCH("김지윤",H1037)))</formula>
    </cfRule>
    <cfRule type="containsText" dxfId="619" priority="53" operator="containsText" text="전준영">
      <formula>NOT(ISERROR(SEARCH("전준영",H1037)))</formula>
    </cfRule>
    <cfRule type="containsText" dxfId="618" priority="54" operator="containsText" text="차재성">
      <formula>NOT(ISERROR(SEARCH("차재성",H1037)))</formula>
    </cfRule>
  </conditionalFormatting>
  <conditionalFormatting sqref="L16">
    <cfRule type="containsText" dxfId="617" priority="43" operator="containsText" text="허하나로">
      <formula>NOT(ISERROR(SEARCH("허하나로",J1168)))</formula>
    </cfRule>
    <cfRule type="containsText" dxfId="616" priority="44" operator="containsText" text="한별">
      <formula>NOT(ISERROR(SEARCH("한별",J1168)))</formula>
    </cfRule>
    <cfRule type="containsText" dxfId="615" priority="45" operator="containsText" text="정홍조">
      <formula>NOT(ISERROR(SEARCH("정홍조",J1168)))</formula>
    </cfRule>
    <cfRule type="containsText" dxfId="614" priority="46" operator="containsText" text="김지윤">
      <formula>NOT(ISERROR(SEARCH("김지윤",J1168)))</formula>
    </cfRule>
    <cfRule type="containsText" dxfId="613" priority="47" operator="containsText" text="전준영">
      <formula>NOT(ISERROR(SEARCH("전준영",J1168)))</formula>
    </cfRule>
    <cfRule type="containsText" dxfId="612" priority="48" operator="containsText" text="차재성">
      <formula>NOT(ISERROR(SEARCH("차재성",J1168)))</formula>
    </cfRule>
  </conditionalFormatting>
  <conditionalFormatting sqref="I21">
    <cfRule type="containsText" dxfId="611" priority="37" operator="containsText" text="허하나로">
      <formula>NOT(ISERROR(SEARCH("허하나로",G1054)))</formula>
    </cfRule>
    <cfRule type="containsText" dxfId="610" priority="38" operator="containsText" text="한별">
      <formula>NOT(ISERROR(SEARCH("한별",G1054)))</formula>
    </cfRule>
    <cfRule type="containsText" dxfId="609" priority="39" operator="containsText" text="정홍조">
      <formula>NOT(ISERROR(SEARCH("정홍조",G1054)))</formula>
    </cfRule>
    <cfRule type="containsText" dxfId="608" priority="40" operator="containsText" text="김지윤">
      <formula>NOT(ISERROR(SEARCH("김지윤",G1054)))</formula>
    </cfRule>
    <cfRule type="containsText" dxfId="607" priority="41" operator="containsText" text="전준영">
      <formula>NOT(ISERROR(SEARCH("전준영",G1054)))</formula>
    </cfRule>
    <cfRule type="containsText" dxfId="606" priority="42" operator="containsText" text="차재성">
      <formula>NOT(ISERROR(SEARCH("차재성",G1054)))</formula>
    </cfRule>
  </conditionalFormatting>
  <conditionalFormatting sqref="J13:J14">
    <cfRule type="containsText" dxfId="605" priority="31" operator="containsText" text="허하나로">
      <formula>NOT(ISERROR(SEARCH("허하나로",H1029)))</formula>
    </cfRule>
    <cfRule type="containsText" dxfId="604" priority="32" operator="containsText" text="한별">
      <formula>NOT(ISERROR(SEARCH("한별",H1029)))</formula>
    </cfRule>
    <cfRule type="containsText" dxfId="603" priority="33" operator="containsText" text="정홍조">
      <formula>NOT(ISERROR(SEARCH("정홍조",H1029)))</formula>
    </cfRule>
    <cfRule type="containsText" dxfId="602" priority="34" operator="containsText" text="김지윤">
      <formula>NOT(ISERROR(SEARCH("김지윤",H1029)))</formula>
    </cfRule>
    <cfRule type="containsText" dxfId="601" priority="35" operator="containsText" text="전준영">
      <formula>NOT(ISERROR(SEARCH("전준영",H1029)))</formula>
    </cfRule>
    <cfRule type="containsText" dxfId="600" priority="36" operator="containsText" text="차재성">
      <formula>NOT(ISERROR(SEARCH("차재성",H1029)))</formula>
    </cfRule>
  </conditionalFormatting>
  <conditionalFormatting sqref="J12">
    <cfRule type="containsText" dxfId="599" priority="3463" operator="containsText" text="허하나로">
      <formula>NOT(ISERROR(SEARCH("허하나로",H1022)))</formula>
    </cfRule>
    <cfRule type="containsText" dxfId="598" priority="3464" operator="containsText" text="한별">
      <formula>NOT(ISERROR(SEARCH("한별",H1022)))</formula>
    </cfRule>
    <cfRule type="containsText" dxfId="597" priority="3465" operator="containsText" text="정홍조">
      <formula>NOT(ISERROR(SEARCH("정홍조",H1022)))</formula>
    </cfRule>
    <cfRule type="containsText" dxfId="596" priority="3466" operator="containsText" text="김지윤">
      <formula>NOT(ISERROR(SEARCH("김지윤",H1022)))</formula>
    </cfRule>
    <cfRule type="containsText" dxfId="595" priority="3467" operator="containsText" text="전준영">
      <formula>NOT(ISERROR(SEARCH("전준영",H1022)))</formula>
    </cfRule>
    <cfRule type="containsText" dxfId="594" priority="3468" operator="containsText" text="차재성">
      <formula>NOT(ISERROR(SEARCH("차재성",H1022)))</formula>
    </cfRule>
  </conditionalFormatting>
  <conditionalFormatting sqref="J2:J3">
    <cfRule type="containsText" dxfId="593" priority="13" operator="containsText" text="허하나로">
      <formula>NOT(ISERROR(SEARCH("허하나로",H769)))</formula>
    </cfRule>
    <cfRule type="containsText" dxfId="592" priority="14" operator="containsText" text="한별">
      <formula>NOT(ISERROR(SEARCH("한별",H769)))</formula>
    </cfRule>
    <cfRule type="containsText" dxfId="591" priority="15" operator="containsText" text="정홍조">
      <formula>NOT(ISERROR(SEARCH("정홍조",H769)))</formula>
    </cfRule>
    <cfRule type="containsText" dxfId="590" priority="16" operator="containsText" text="김지윤">
      <formula>NOT(ISERROR(SEARCH("김지윤",H769)))</formula>
    </cfRule>
    <cfRule type="containsText" dxfId="589" priority="17" operator="containsText" text="전준영">
      <formula>NOT(ISERROR(SEARCH("전준영",H769)))</formula>
    </cfRule>
    <cfRule type="containsText" dxfId="588" priority="18" operator="containsText" text="차재성">
      <formula>NOT(ISERROR(SEARCH("차재성",H769)))</formula>
    </cfRule>
  </conditionalFormatting>
  <pageMargins left="0.25" right="0.25" top="0.75" bottom="0.75" header="0.3" footer="0.3"/>
  <pageSetup paperSize="9" scale="72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5" operator="containsText" text="허하나로" id="{774F1957-6F7E-47F0-83F6-DDCC9E32F87C}">
            <xm:f>NOT(ISERROR(SEARCH("허하나로",행정관리부!H1053)))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5BA179BA-92F8-4DA7-8572-8DD8D06767D6}">
            <xm:f>NOT(ISERROR(SEARCH("한별",행정관리부!H1053)))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C9A7CB98-1908-4097-B954-21561F3ED660}">
            <xm:f>NOT(ISERROR(SEARCH("정홍조",행정관리부!H1053)))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F42696BF-6191-453B-91F0-A4C50C1E5F51}">
            <xm:f>NOT(ISERROR(SEARCH("김지윤",행정관리부!H1053)))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F6BE78ED-6A1A-4876-B007-2C5A7559D9E8}">
            <xm:f>NOT(ISERROR(SEARCH("전준영",행정관리부!H1053)))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DC424755-C126-42D9-900C-CDA0AA09D931}">
            <xm:f>NOT(ISERROR(SEARCH("차재성",행정관리부!H1053)))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19" operator="containsText" text="허하나로" id="{D86B4523-9939-4486-9282-D4DDFE713595}">
            <xm:f>NOT(ISERROR(SEARCH("허하나로",행정관리부!H1109)))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0C3EB3C8-FCE3-46D8-9153-BE59AF7908E1}">
            <xm:f>NOT(ISERROR(SEARCH("한별",행정관리부!H1109)))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F55C4DC4-1262-47FA-8412-8512C9DB54EC}">
            <xm:f>NOT(ISERROR(SEARCH("정홍조",행정관리부!H1109)))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E5306826-E6C4-4F06-8750-02736BA2C452}">
            <xm:f>NOT(ISERROR(SEARCH("김지윤",행정관리부!H1109)))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980CAFB1-FB54-401A-ABE4-71AF55BB55BA}">
            <xm:f>NOT(ISERROR(SEARCH("전준영",행정관리부!H1109)))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483E4931-8C71-4D92-A93D-6BB4D2EF8801}">
            <xm:f>NOT(ISERROR(SEARCH("차재성",행정관리부!H1109)))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  <x14:conditionalFormatting xmlns:xm="http://schemas.microsoft.com/office/excel/2006/main">
          <x14:cfRule type="containsText" priority="7" operator="containsText" text="허하나로" id="{8FD9F108-E5B7-403E-9DEE-58218C1A3F88}">
            <xm:f>NOT(ISERROR(SEARCH("허하나로",시설조성부!H1069)))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731F7470-4E32-426B-BED6-35C7BA042F6C}">
            <xm:f>NOT(ISERROR(SEARCH("한별",시설조성부!H1069)))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FA6ACEE2-2CF8-4D98-8FD7-5C34A6BC6244}">
            <xm:f>NOT(ISERROR(SEARCH("정홍조",시설조성부!H1069)))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FF19253F-D3E6-4C53-BF78-FAFFE8E591FE}">
            <xm:f>NOT(ISERROR(SEARCH("김지윤",시설조성부!H1069)))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58E87052-A2D2-4A2D-B423-E0F4DF59EF68}">
            <xm:f>NOT(ISERROR(SEARCH("전준영",시설조성부!H1069)))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2B797142-2460-46CC-B526-F4DA20A08BAA}">
            <xm:f>NOT(ISERROR(SEARCH("차재성",시설조성부!H1069)))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J26:J27</xm:sqref>
        </x14:conditionalFormatting>
        <x14:conditionalFormatting xmlns:xm="http://schemas.microsoft.com/office/excel/2006/main">
          <x14:cfRule type="containsText" priority="1" operator="containsText" text="허하나로" id="{7FFCAF1B-7226-4EF0-B74C-9D17EACE1FBD}">
            <xm:f>NOT(ISERROR(SEARCH("허하나로",시설조성부!H758)))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3030D397-28CE-4778-B876-885E999C30EE}">
            <xm:f>NOT(ISERROR(SEARCH("한별",시설조성부!H758)))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78E9FFF9-225B-49AC-A345-242EEBBAC21C}">
            <xm:f>NOT(ISERROR(SEARCH("정홍조",시설조성부!H758)))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D01B19F9-CA5F-4838-9518-86B0AAF09942}">
            <xm:f>NOT(ISERROR(SEARCH("김지윤",시설조성부!H758)))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28888E18-148C-494F-B213-FA53CB16A203}">
            <xm:f>NOT(ISERROR(SEARCH("전준영",시설조성부!H758)))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597A7CB9-2631-4233-87C4-756F10A0EF73}">
            <xm:f>NOT(ISERROR(SEARCH("차재성",시설조성부!H758)))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R66"/>
  <sheetViews>
    <sheetView tabSelected="1" topLeftCell="A34" zoomScale="85" zoomScaleNormal="85" workbookViewId="0">
      <selection activeCell="G37" sqref="G37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62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11.5" style="591" bestFit="1" customWidth="1"/>
    <col min="15" max="15" width="22.25" style="591" customWidth="1"/>
    <col min="16" max="16" width="11.5" style="591" bestFit="1" customWidth="1"/>
    <col min="17" max="18" width="9" style="591"/>
  </cols>
  <sheetData>
    <row r="1" spans="1:18" ht="17.25" thickBot="1">
      <c r="A1" s="88" t="s">
        <v>174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8" ht="16.5" customHeight="1">
      <c r="A2" s="715" t="s">
        <v>21</v>
      </c>
      <c r="B2" s="717" t="s">
        <v>22</v>
      </c>
      <c r="C2" s="718"/>
      <c r="D2" s="719"/>
      <c r="E2" s="717" t="s">
        <v>23</v>
      </c>
      <c r="F2" s="718"/>
      <c r="G2" s="719"/>
      <c r="H2" s="693" t="s">
        <v>728</v>
      </c>
      <c r="I2" s="693" t="s">
        <v>729</v>
      </c>
      <c r="J2" s="720" t="s">
        <v>467</v>
      </c>
      <c r="K2" s="704" t="s">
        <v>1</v>
      </c>
      <c r="L2" s="705"/>
      <c r="M2" s="706"/>
    </row>
    <row r="3" spans="1:18" ht="17.25" thickBot="1">
      <c r="A3" s="716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94"/>
      <c r="I3" s="694"/>
      <c r="J3" s="721"/>
      <c r="K3" s="707"/>
      <c r="L3" s="708"/>
      <c r="M3" s="709"/>
    </row>
    <row r="4" spans="1:18" ht="17.25" thickBot="1">
      <c r="A4" s="710" t="s">
        <v>30</v>
      </c>
      <c r="B4" s="711"/>
      <c r="C4" s="711"/>
      <c r="D4" s="711"/>
      <c r="E4" s="711"/>
      <c r="F4" s="711"/>
      <c r="G4" s="712"/>
      <c r="H4" s="185">
        <f>H5+H38</f>
        <v>5372749</v>
      </c>
      <c r="I4" s="185">
        <v>7998648</v>
      </c>
      <c r="J4" s="120">
        <f>H4-I4</f>
        <v>-2625899</v>
      </c>
      <c r="K4" s="89"/>
      <c r="L4" s="90"/>
      <c r="M4" s="121"/>
    </row>
    <row r="5" spans="1:18">
      <c r="A5" s="205" t="s">
        <v>2</v>
      </c>
      <c r="B5" s="122"/>
      <c r="C5" s="123"/>
      <c r="D5" s="123"/>
      <c r="E5" s="123"/>
      <c r="F5" s="123"/>
      <c r="G5" s="124"/>
      <c r="H5" s="94">
        <f>H6</f>
        <v>1823648</v>
      </c>
      <c r="I5" s="94">
        <v>1765648</v>
      </c>
      <c r="J5" s="95">
        <f t="shared" ref="J5:J18" si="0">H5-I5</f>
        <v>58000</v>
      </c>
      <c r="K5" s="78"/>
      <c r="L5" s="79"/>
      <c r="M5" s="80"/>
    </row>
    <row r="6" spans="1:18">
      <c r="A6" s="10"/>
      <c r="B6" s="129" t="s">
        <v>288</v>
      </c>
      <c r="C6" s="129"/>
      <c r="D6" s="130"/>
      <c r="E6" s="130"/>
      <c r="F6" s="130"/>
      <c r="G6" s="131"/>
      <c r="H6" s="94">
        <f>SUM(H7,H14,H32)</f>
        <v>1823648</v>
      </c>
      <c r="I6" s="94">
        <v>1765648</v>
      </c>
      <c r="J6" s="95">
        <f t="shared" si="0"/>
        <v>58000</v>
      </c>
      <c r="K6" s="78"/>
      <c r="L6" s="79"/>
      <c r="M6" s="80"/>
    </row>
    <row r="7" spans="1:18">
      <c r="A7" s="10"/>
      <c r="B7" s="6"/>
      <c r="C7" s="129" t="s">
        <v>873</v>
      </c>
      <c r="D7" s="130"/>
      <c r="E7" s="130"/>
      <c r="F7" s="130"/>
      <c r="G7" s="131"/>
      <c r="H7" s="91">
        <f>H8</f>
        <v>58000</v>
      </c>
      <c r="I7" s="91">
        <v>0</v>
      </c>
      <c r="J7" s="92">
        <f t="shared" ref="J7:J11" si="1">H7-I7</f>
        <v>58000</v>
      </c>
      <c r="K7" s="159"/>
      <c r="L7" s="149"/>
      <c r="M7" s="150"/>
      <c r="N7" s="621"/>
      <c r="O7" s="621"/>
      <c r="P7" s="621"/>
      <c r="Q7" s="621"/>
      <c r="R7" s="621"/>
    </row>
    <row r="8" spans="1:18">
      <c r="A8" s="10"/>
      <c r="B8" s="6"/>
      <c r="C8" s="147"/>
      <c r="D8" s="129" t="s">
        <v>872</v>
      </c>
      <c r="E8" s="130"/>
      <c r="F8" s="130"/>
      <c r="G8" s="131"/>
      <c r="H8" s="132">
        <f>H9</f>
        <v>58000</v>
      </c>
      <c r="I8" s="132">
        <v>0</v>
      </c>
      <c r="J8" s="9">
        <f t="shared" si="1"/>
        <v>58000</v>
      </c>
      <c r="K8" s="148"/>
      <c r="L8" s="149"/>
      <c r="M8" s="150"/>
      <c r="N8" s="621"/>
      <c r="O8" s="621"/>
      <c r="P8" s="621"/>
      <c r="Q8" s="621"/>
      <c r="R8" s="621"/>
    </row>
    <row r="9" spans="1:18">
      <c r="A9" s="10"/>
      <c r="B9" s="6"/>
      <c r="C9" s="134"/>
      <c r="D9" s="135"/>
      <c r="E9" s="129" t="s">
        <v>31</v>
      </c>
      <c r="F9" s="130"/>
      <c r="G9" s="131"/>
      <c r="H9" s="91">
        <f>H10</f>
        <v>58000</v>
      </c>
      <c r="I9" s="91">
        <v>0</v>
      </c>
      <c r="J9" s="92">
        <f t="shared" si="1"/>
        <v>58000</v>
      </c>
      <c r="K9" s="355"/>
      <c r="L9" s="396"/>
      <c r="M9" s="397"/>
      <c r="N9" s="621"/>
      <c r="O9" s="621"/>
      <c r="P9" s="621"/>
      <c r="Q9" s="621"/>
      <c r="R9" s="621"/>
    </row>
    <row r="10" spans="1:18">
      <c r="A10" s="63"/>
      <c r="B10" s="65"/>
      <c r="C10" s="65"/>
      <c r="D10" s="65"/>
      <c r="E10" s="65"/>
      <c r="F10" s="136" t="s">
        <v>35</v>
      </c>
      <c r="G10" s="140"/>
      <c r="H10" s="72">
        <f>H11</f>
        <v>58000</v>
      </c>
      <c r="I10" s="72">
        <v>0</v>
      </c>
      <c r="J10" s="98">
        <f t="shared" si="1"/>
        <v>58000</v>
      </c>
      <c r="K10" s="388"/>
      <c r="L10" s="389"/>
      <c r="M10" s="403"/>
      <c r="N10" s="621"/>
      <c r="O10" s="621"/>
      <c r="P10" s="621"/>
      <c r="Q10" s="621"/>
      <c r="R10" s="621"/>
    </row>
    <row r="11" spans="1:18">
      <c r="A11" s="55"/>
      <c r="B11" s="57"/>
      <c r="C11" s="65"/>
      <c r="D11" s="65"/>
      <c r="E11" s="65"/>
      <c r="F11" s="192"/>
      <c r="G11" s="206" t="s">
        <v>36</v>
      </c>
      <c r="H11" s="207">
        <f>M11</f>
        <v>58000</v>
      </c>
      <c r="I11" s="207">
        <v>0</v>
      </c>
      <c r="J11" s="41">
        <f t="shared" si="1"/>
        <v>58000</v>
      </c>
      <c r="K11" s="391" t="s">
        <v>47</v>
      </c>
      <c r="L11" s="418"/>
      <c r="M11" s="393">
        <f>SUM(M13:M13)</f>
        <v>58000</v>
      </c>
      <c r="N11" s="621"/>
      <c r="O11" s="621"/>
      <c r="P11" s="621"/>
      <c r="Q11" s="621"/>
      <c r="R11" s="621"/>
    </row>
    <row r="12" spans="1:18">
      <c r="A12" s="55"/>
      <c r="B12" s="57"/>
      <c r="C12" s="65"/>
      <c r="D12" s="65"/>
      <c r="E12" s="65"/>
      <c r="F12" s="222"/>
      <c r="G12" s="658" t="s">
        <v>863</v>
      </c>
      <c r="H12" s="100"/>
      <c r="I12" s="100"/>
      <c r="J12" s="50"/>
      <c r="K12" s="622" t="s">
        <v>796</v>
      </c>
      <c r="L12" s="424"/>
      <c r="M12" s="384"/>
      <c r="N12" s="621"/>
      <c r="O12" s="621"/>
      <c r="P12" s="621"/>
      <c r="Q12" s="621"/>
      <c r="R12" s="621"/>
    </row>
    <row r="13" spans="1:18">
      <c r="A13" s="55"/>
      <c r="B13" s="57"/>
      <c r="C13" s="65"/>
      <c r="D13" s="65"/>
      <c r="E13" s="65"/>
      <c r="F13" s="56"/>
      <c r="G13" s="56"/>
      <c r="H13" s="100"/>
      <c r="I13" s="100"/>
      <c r="J13" s="102"/>
      <c r="K13" s="624" t="s">
        <v>889</v>
      </c>
      <c r="L13" s="625" t="s">
        <v>37</v>
      </c>
      <c r="M13" s="615">
        <v>58000</v>
      </c>
      <c r="N13" s="621"/>
      <c r="O13" s="621"/>
      <c r="P13" s="621"/>
      <c r="Q13" s="621"/>
      <c r="R13" s="621"/>
    </row>
    <row r="14" spans="1:18">
      <c r="A14" s="10"/>
      <c r="B14" s="6"/>
      <c r="C14" s="179" t="s">
        <v>243</v>
      </c>
      <c r="D14" s="130"/>
      <c r="E14" s="130"/>
      <c r="F14" s="130"/>
      <c r="G14" s="131"/>
      <c r="H14" s="91">
        <f>H15</f>
        <v>20648</v>
      </c>
      <c r="I14" s="91">
        <v>20648</v>
      </c>
      <c r="J14" s="92">
        <f t="shared" si="0"/>
        <v>0</v>
      </c>
      <c r="K14" s="159"/>
      <c r="L14" s="149"/>
      <c r="M14" s="150"/>
    </row>
    <row r="15" spans="1:18">
      <c r="A15" s="10"/>
      <c r="B15" s="6"/>
      <c r="C15" s="147"/>
      <c r="D15" s="129" t="s">
        <v>34</v>
      </c>
      <c r="E15" s="130"/>
      <c r="F15" s="130"/>
      <c r="G15" s="131"/>
      <c r="H15" s="132">
        <f>H16</f>
        <v>20648</v>
      </c>
      <c r="I15" s="132">
        <v>20648</v>
      </c>
      <c r="J15" s="9">
        <f t="shared" si="0"/>
        <v>0</v>
      </c>
      <c r="K15" s="148"/>
      <c r="L15" s="149"/>
      <c r="M15" s="150"/>
    </row>
    <row r="16" spans="1:18">
      <c r="A16" s="10"/>
      <c r="B16" s="6"/>
      <c r="C16" s="134"/>
      <c r="D16" s="135"/>
      <c r="E16" s="129" t="s">
        <v>31</v>
      </c>
      <c r="F16" s="130"/>
      <c r="G16" s="131"/>
      <c r="H16" s="91">
        <f>SUM(H17,H22,H26,H29)</f>
        <v>20648</v>
      </c>
      <c r="I16" s="91">
        <v>20648</v>
      </c>
      <c r="J16" s="92">
        <f t="shared" si="0"/>
        <v>0</v>
      </c>
      <c r="K16" s="355"/>
      <c r="L16" s="396"/>
      <c r="M16" s="397"/>
    </row>
    <row r="17" spans="1:18">
      <c r="A17" s="63"/>
      <c r="B17" s="65"/>
      <c r="C17" s="65"/>
      <c r="D17" s="65"/>
      <c r="E17" s="65"/>
      <c r="F17" s="136" t="s">
        <v>35</v>
      </c>
      <c r="G17" s="140"/>
      <c r="H17" s="72">
        <f>SUM(H18,H20)</f>
        <v>8048</v>
      </c>
      <c r="I17" s="72">
        <v>8048</v>
      </c>
      <c r="J17" s="98">
        <f t="shared" si="0"/>
        <v>0</v>
      </c>
      <c r="K17" s="388"/>
      <c r="L17" s="389"/>
      <c r="M17" s="403"/>
    </row>
    <row r="18" spans="1:18">
      <c r="A18" s="55"/>
      <c r="B18" s="57"/>
      <c r="C18" s="65"/>
      <c r="D18" s="65"/>
      <c r="E18" s="65"/>
      <c r="F18" s="192"/>
      <c r="G18" s="206" t="s">
        <v>36</v>
      </c>
      <c r="H18" s="207">
        <f>M18</f>
        <v>2000</v>
      </c>
      <c r="I18" s="207">
        <v>2000</v>
      </c>
      <c r="J18" s="41">
        <f t="shared" si="0"/>
        <v>0</v>
      </c>
      <c r="K18" s="391" t="s">
        <v>47</v>
      </c>
      <c r="L18" s="418"/>
      <c r="M18" s="393">
        <f>SUM(M19:M19)</f>
        <v>2000</v>
      </c>
    </row>
    <row r="19" spans="1:18">
      <c r="A19" s="55"/>
      <c r="B19" s="57"/>
      <c r="C19" s="65"/>
      <c r="D19" s="65"/>
      <c r="E19" s="65"/>
      <c r="F19" s="56"/>
      <c r="G19" s="56"/>
      <c r="H19" s="100"/>
      <c r="I19" s="100"/>
      <c r="J19" s="102"/>
      <c r="K19" s="602" t="s">
        <v>613</v>
      </c>
      <c r="L19" s="383" t="s">
        <v>37</v>
      </c>
      <c r="M19" s="379">
        <v>2000</v>
      </c>
    </row>
    <row r="20" spans="1:18">
      <c r="A20" s="55"/>
      <c r="B20" s="57"/>
      <c r="C20" s="65"/>
      <c r="D20" s="65"/>
      <c r="E20" s="65"/>
      <c r="F20" s="56"/>
      <c r="G20" s="206" t="s">
        <v>309</v>
      </c>
      <c r="H20" s="207">
        <f>M20</f>
        <v>6048</v>
      </c>
      <c r="I20" s="207">
        <v>6048</v>
      </c>
      <c r="J20" s="208">
        <f>H20-I20</f>
        <v>0</v>
      </c>
      <c r="K20" s="391" t="s">
        <v>310</v>
      </c>
      <c r="L20" s="530"/>
      <c r="M20" s="393">
        <f>M21</f>
        <v>6048</v>
      </c>
    </row>
    <row r="21" spans="1:18">
      <c r="A21" s="63"/>
      <c r="B21" s="65"/>
      <c r="C21" s="65"/>
      <c r="D21" s="65"/>
      <c r="E21" s="65"/>
      <c r="F21" s="56"/>
      <c r="G21" s="56"/>
      <c r="H21" s="100"/>
      <c r="I21" s="100"/>
      <c r="J21" s="102"/>
      <c r="K21" s="385" t="s">
        <v>386</v>
      </c>
      <c r="L21" s="378" t="s">
        <v>37</v>
      </c>
      <c r="M21" s="379">
        <v>6048</v>
      </c>
    </row>
    <row r="22" spans="1:18">
      <c r="A22" s="63"/>
      <c r="B22" s="65"/>
      <c r="C22" s="65"/>
      <c r="D22" s="65"/>
      <c r="E22" s="65"/>
      <c r="F22" s="713" t="s">
        <v>40</v>
      </c>
      <c r="G22" s="714"/>
      <c r="H22" s="152">
        <f>H23</f>
        <v>9000</v>
      </c>
      <c r="I22" s="152">
        <v>9000</v>
      </c>
      <c r="J22" s="153">
        <f>H22-I22</f>
        <v>0</v>
      </c>
      <c r="K22" s="603"/>
      <c r="L22" s="604"/>
      <c r="M22" s="390"/>
    </row>
    <row r="23" spans="1:18">
      <c r="A23" s="63"/>
      <c r="B23" s="65"/>
      <c r="C23" s="65"/>
      <c r="D23" s="65"/>
      <c r="E23" s="65"/>
      <c r="F23" s="109"/>
      <c r="G23" s="199" t="s">
        <v>41</v>
      </c>
      <c r="H23" s="210">
        <f>M23</f>
        <v>9000</v>
      </c>
      <c r="I23" s="207">
        <v>9000</v>
      </c>
      <c r="J23" s="202">
        <f>H23-I23</f>
        <v>0</v>
      </c>
      <c r="K23" s="391" t="s">
        <v>49</v>
      </c>
      <c r="L23" s="605"/>
      <c r="M23" s="393">
        <f>SUM(M24:M25)</f>
        <v>9000</v>
      </c>
    </row>
    <row r="24" spans="1:18">
      <c r="A24" s="63"/>
      <c r="B24" s="65"/>
      <c r="C24" s="65"/>
      <c r="D24" s="65"/>
      <c r="E24" s="65"/>
      <c r="F24" s="194"/>
      <c r="G24" s="194"/>
      <c r="H24" s="100"/>
      <c r="I24" s="104"/>
      <c r="J24" s="102"/>
      <c r="K24" s="387" t="s">
        <v>701</v>
      </c>
      <c r="L24" s="424" t="s">
        <v>0</v>
      </c>
      <c r="M24" s="379">
        <v>2400</v>
      </c>
    </row>
    <row r="25" spans="1:18">
      <c r="A25" s="63"/>
      <c r="B25" s="65"/>
      <c r="C25" s="65"/>
      <c r="D25" s="65"/>
      <c r="E25" s="65"/>
      <c r="F25" s="194"/>
      <c r="G25" s="194"/>
      <c r="H25" s="100"/>
      <c r="I25" s="104"/>
      <c r="J25" s="102"/>
      <c r="K25" s="527" t="s">
        <v>702</v>
      </c>
      <c r="L25" s="528" t="s">
        <v>0</v>
      </c>
      <c r="M25" s="379">
        <v>6600</v>
      </c>
    </row>
    <row r="26" spans="1:18">
      <c r="A26" s="63"/>
      <c r="B26" s="65"/>
      <c r="C26" s="65"/>
      <c r="D26" s="65"/>
      <c r="E26" s="65"/>
      <c r="F26" s="713" t="s">
        <v>42</v>
      </c>
      <c r="G26" s="714"/>
      <c r="H26" s="152">
        <f>H27</f>
        <v>1500</v>
      </c>
      <c r="I26" s="152">
        <v>1500</v>
      </c>
      <c r="J26" s="153">
        <f>H26-I26</f>
        <v>0</v>
      </c>
      <c r="K26" s="603"/>
      <c r="L26" s="604"/>
      <c r="M26" s="390"/>
    </row>
    <row r="27" spans="1:18">
      <c r="A27" s="63"/>
      <c r="B27" s="65"/>
      <c r="C27" s="65"/>
      <c r="D27" s="65"/>
      <c r="E27" s="65"/>
      <c r="F27" s="194"/>
      <c r="G27" s="109" t="s">
        <v>43</v>
      </c>
      <c r="H27" s="210">
        <f>M27</f>
        <v>1500</v>
      </c>
      <c r="I27" s="210">
        <v>1500</v>
      </c>
      <c r="J27" s="202">
        <f>H27-I27</f>
        <v>0</v>
      </c>
      <c r="K27" s="391" t="s">
        <v>507</v>
      </c>
      <c r="L27" s="418"/>
      <c r="M27" s="393">
        <f>SUM(M28)</f>
        <v>1500</v>
      </c>
    </row>
    <row r="28" spans="1:18">
      <c r="A28" s="318"/>
      <c r="B28" s="524"/>
      <c r="C28" s="524"/>
      <c r="D28" s="524"/>
      <c r="E28" s="524"/>
      <c r="F28" s="500"/>
      <c r="G28" s="500"/>
      <c r="H28" s="525"/>
      <c r="I28" s="526"/>
      <c r="J28" s="526"/>
      <c r="K28" s="527" t="s">
        <v>703</v>
      </c>
      <c r="L28" s="528" t="s">
        <v>0</v>
      </c>
      <c r="M28" s="386">
        <v>1500</v>
      </c>
    </row>
    <row r="29" spans="1:18">
      <c r="A29" s="63"/>
      <c r="B29" s="363"/>
      <c r="C29" s="363"/>
      <c r="D29" s="363"/>
      <c r="E29" s="363"/>
      <c r="F29" s="519" t="s">
        <v>89</v>
      </c>
      <c r="G29" s="534"/>
      <c r="H29" s="146">
        <f>H30</f>
        <v>2100</v>
      </c>
      <c r="I29" s="146">
        <v>2100</v>
      </c>
      <c r="J29" s="146">
        <f>H29-I29</f>
        <v>0</v>
      </c>
      <c r="K29" s="535"/>
      <c r="L29" s="536"/>
      <c r="M29" s="537"/>
    </row>
    <row r="30" spans="1:18">
      <c r="A30" s="63"/>
      <c r="B30" s="363"/>
      <c r="C30" s="363"/>
      <c r="D30" s="363"/>
      <c r="E30" s="363"/>
      <c r="F30" s="474"/>
      <c r="G30" s="363" t="s">
        <v>93</v>
      </c>
      <c r="H30" s="475">
        <f>M30</f>
        <v>2100</v>
      </c>
      <c r="I30" s="475">
        <v>2100</v>
      </c>
      <c r="J30" s="50">
        <f>H30-I30</f>
        <v>0</v>
      </c>
      <c r="K30" s="391" t="s">
        <v>387</v>
      </c>
      <c r="L30" s="417"/>
      <c r="M30" s="393">
        <f>M31</f>
        <v>2100</v>
      </c>
    </row>
    <row r="31" spans="1:18">
      <c r="A31" s="63"/>
      <c r="B31" s="363"/>
      <c r="C31" s="476"/>
      <c r="D31" s="476"/>
      <c r="E31" s="476"/>
      <c r="F31" s="505"/>
      <c r="G31" s="500"/>
      <c r="H31" s="501"/>
      <c r="I31" s="502"/>
      <c r="J31" s="503"/>
      <c r="K31" s="385" t="s">
        <v>391</v>
      </c>
      <c r="L31" s="378" t="s">
        <v>0</v>
      </c>
      <c r="M31" s="386">
        <v>2100</v>
      </c>
    </row>
    <row r="32" spans="1:18" s="1" customFormat="1" ht="18" customHeight="1">
      <c r="A32" s="10"/>
      <c r="B32" s="462"/>
      <c r="C32" s="179" t="s">
        <v>614</v>
      </c>
      <c r="D32" s="460"/>
      <c r="E32" s="460"/>
      <c r="F32" s="460"/>
      <c r="G32" s="461"/>
      <c r="H32" s="95">
        <f>SUM(H33)</f>
        <v>1745000</v>
      </c>
      <c r="I32" s="95">
        <v>1745000</v>
      </c>
      <c r="J32" s="95">
        <f t="shared" ref="J32" si="2">H32-I32</f>
        <v>0</v>
      </c>
      <c r="K32" s="407"/>
      <c r="L32" s="408"/>
      <c r="M32" s="409"/>
      <c r="N32" s="593"/>
      <c r="O32" s="593"/>
      <c r="P32" s="593"/>
      <c r="Q32" s="593"/>
      <c r="R32" s="593"/>
    </row>
    <row r="33" spans="1:18" s="1" customFormat="1" ht="18" customHeight="1">
      <c r="A33" s="10"/>
      <c r="B33" s="462"/>
      <c r="C33" s="462"/>
      <c r="D33" s="353" t="s">
        <v>615</v>
      </c>
      <c r="E33" s="460"/>
      <c r="F33" s="460"/>
      <c r="G33" s="461"/>
      <c r="H33" s="463">
        <f>H34</f>
        <v>1745000</v>
      </c>
      <c r="I33" s="463">
        <v>1745000</v>
      </c>
      <c r="J33" s="92">
        <f>H33-I33</f>
        <v>0</v>
      </c>
      <c r="K33" s="354"/>
      <c r="L33" s="410"/>
      <c r="M33" s="409"/>
      <c r="N33" s="591"/>
      <c r="O33" s="591"/>
      <c r="P33" s="591"/>
      <c r="Q33" s="591"/>
      <c r="R33" s="591"/>
    </row>
    <row r="34" spans="1:18" s="1" customFormat="1" ht="18" customHeight="1">
      <c r="A34" s="10"/>
      <c r="B34" s="462"/>
      <c r="C34" s="464"/>
      <c r="D34" s="465"/>
      <c r="E34" s="353" t="s">
        <v>606</v>
      </c>
      <c r="F34" s="460"/>
      <c r="G34" s="461"/>
      <c r="H34" s="92">
        <f>H35</f>
        <v>1745000</v>
      </c>
      <c r="I34" s="92">
        <v>1745000</v>
      </c>
      <c r="J34" s="92">
        <f>H34-I34</f>
        <v>0</v>
      </c>
      <c r="K34" s="355"/>
      <c r="L34" s="396"/>
      <c r="M34" s="411"/>
      <c r="N34" s="591"/>
      <c r="O34" s="591"/>
      <c r="P34" s="591"/>
      <c r="Q34" s="591"/>
      <c r="R34" s="591"/>
    </row>
    <row r="35" spans="1:18" s="61" customFormat="1" ht="18" customHeight="1">
      <c r="A35" s="63"/>
      <c r="B35" s="363"/>
      <c r="C35" s="467"/>
      <c r="D35" s="468"/>
      <c r="E35" s="469"/>
      <c r="F35" s="470" t="s">
        <v>367</v>
      </c>
      <c r="G35" s="471"/>
      <c r="H35" s="98">
        <f>H36</f>
        <v>1745000</v>
      </c>
      <c r="I35" s="98">
        <v>1745000</v>
      </c>
      <c r="J35" s="98">
        <f t="shared" ref="J35:J36" si="3">H35-I35</f>
        <v>0</v>
      </c>
      <c r="K35" s="398"/>
      <c r="L35" s="356"/>
      <c r="M35" s="412"/>
      <c r="N35" s="591"/>
      <c r="O35" s="591"/>
      <c r="P35" s="591"/>
      <c r="Q35" s="591"/>
      <c r="R35" s="591"/>
    </row>
    <row r="36" spans="1:18" s="61" customFormat="1" ht="18" customHeight="1">
      <c r="A36" s="63"/>
      <c r="B36" s="363"/>
      <c r="C36" s="363"/>
      <c r="D36" s="364"/>
      <c r="E36" s="365"/>
      <c r="F36" s="365"/>
      <c r="G36" s="472" t="s">
        <v>604</v>
      </c>
      <c r="H36" s="41">
        <f>M36</f>
        <v>1745000</v>
      </c>
      <c r="I36" s="41">
        <v>1745000</v>
      </c>
      <c r="J36" s="41">
        <f t="shared" si="3"/>
        <v>0</v>
      </c>
      <c r="K36" s="391" t="s">
        <v>616</v>
      </c>
      <c r="L36" s="392"/>
      <c r="M36" s="413">
        <f>M37</f>
        <v>1745000</v>
      </c>
      <c r="N36" s="591"/>
      <c r="O36" s="591"/>
      <c r="P36" s="591"/>
      <c r="Q36" s="591"/>
      <c r="R36" s="591"/>
    </row>
    <row r="37" spans="1:18" s="61" customFormat="1" ht="17.25" thickBot="1">
      <c r="A37" s="290"/>
      <c r="B37" s="513"/>
      <c r="C37" s="513"/>
      <c r="D37" s="538"/>
      <c r="E37" s="539"/>
      <c r="F37" s="539"/>
      <c r="G37" s="662" t="s">
        <v>662</v>
      </c>
      <c r="H37" s="230"/>
      <c r="I37" s="230"/>
      <c r="J37" s="230"/>
      <c r="K37" s="585" t="s">
        <v>808</v>
      </c>
      <c r="L37" s="414" t="s">
        <v>0</v>
      </c>
      <c r="M37" s="540">
        <v>1745000</v>
      </c>
      <c r="N37" s="591"/>
      <c r="O37" s="591"/>
      <c r="P37" s="591"/>
      <c r="Q37" s="591"/>
      <c r="R37" s="591"/>
    </row>
    <row r="38" spans="1:18">
      <c r="A38" s="205" t="s">
        <v>492</v>
      </c>
      <c r="B38" s="456"/>
      <c r="C38" s="457"/>
      <c r="D38" s="457"/>
      <c r="E38" s="457"/>
      <c r="F38" s="457"/>
      <c r="G38" s="458"/>
      <c r="H38" s="284">
        <f>SUM(H39,H48,H57)</f>
        <v>3549101</v>
      </c>
      <c r="I38" s="284">
        <v>6233000</v>
      </c>
      <c r="J38" s="284">
        <f t="shared" ref="J38" si="4">H38-I38</f>
        <v>-2683899</v>
      </c>
      <c r="K38" s="581"/>
      <c r="L38" s="582"/>
      <c r="M38" s="583"/>
    </row>
    <row r="39" spans="1:18" s="1" customFormat="1" ht="18" customHeight="1">
      <c r="A39" s="10"/>
      <c r="B39" s="353" t="s">
        <v>498</v>
      </c>
      <c r="C39" s="353"/>
      <c r="D39" s="460"/>
      <c r="E39" s="460"/>
      <c r="F39" s="460"/>
      <c r="G39" s="461"/>
      <c r="H39" s="95">
        <f>SUM(H40,H66)</f>
        <v>3249101</v>
      </c>
      <c r="I39" s="95">
        <v>3233000</v>
      </c>
      <c r="J39" s="95">
        <f>H39-I39</f>
        <v>16101</v>
      </c>
      <c r="K39" s="407"/>
      <c r="L39" s="408"/>
      <c r="M39" s="409"/>
      <c r="N39" s="591"/>
      <c r="O39" s="591"/>
      <c r="P39" s="591"/>
      <c r="Q39" s="591"/>
      <c r="R39" s="591"/>
    </row>
    <row r="40" spans="1:18" s="1" customFormat="1" ht="18" customHeight="1">
      <c r="A40" s="10"/>
      <c r="B40" s="462"/>
      <c r="C40" s="179" t="s">
        <v>486</v>
      </c>
      <c r="D40" s="460"/>
      <c r="E40" s="460"/>
      <c r="F40" s="460"/>
      <c r="G40" s="461"/>
      <c r="H40" s="95">
        <f>SUM(H41)</f>
        <v>3249101</v>
      </c>
      <c r="I40" s="95">
        <v>3233000</v>
      </c>
      <c r="J40" s="95">
        <f t="shared" ref="J40" si="5">H40-I40</f>
        <v>16101</v>
      </c>
      <c r="K40" s="407"/>
      <c r="L40" s="408"/>
      <c r="M40" s="409"/>
      <c r="N40" s="725"/>
      <c r="O40" s="725"/>
      <c r="P40" s="725"/>
      <c r="Q40" s="725"/>
      <c r="R40" s="725"/>
    </row>
    <row r="41" spans="1:18" s="1" customFormat="1" ht="18" customHeight="1">
      <c r="A41" s="10"/>
      <c r="B41" s="462"/>
      <c r="C41" s="462"/>
      <c r="D41" s="353" t="s">
        <v>487</v>
      </c>
      <c r="E41" s="460"/>
      <c r="F41" s="460"/>
      <c r="G41" s="461"/>
      <c r="H41" s="463">
        <f>H42</f>
        <v>3249101</v>
      </c>
      <c r="I41" s="463">
        <v>3233000</v>
      </c>
      <c r="J41" s="92">
        <f>H41-I41</f>
        <v>16101</v>
      </c>
      <c r="K41" s="354"/>
      <c r="L41" s="410"/>
      <c r="M41" s="409"/>
      <c r="N41" s="591"/>
      <c r="O41" s="591"/>
      <c r="P41" s="591"/>
      <c r="Q41" s="591"/>
      <c r="R41" s="591"/>
    </row>
    <row r="42" spans="1:18" s="1" customFormat="1" ht="18" customHeight="1">
      <c r="A42" s="10"/>
      <c r="B42" s="462"/>
      <c r="C42" s="464"/>
      <c r="D42" s="465"/>
      <c r="E42" s="353" t="s">
        <v>488</v>
      </c>
      <c r="F42" s="460"/>
      <c r="G42" s="461"/>
      <c r="H42" s="92">
        <f>H43</f>
        <v>3249101</v>
      </c>
      <c r="I42" s="92">
        <v>3233000</v>
      </c>
      <c r="J42" s="92">
        <f>H42-I42</f>
        <v>16101</v>
      </c>
      <c r="K42" s="355"/>
      <c r="L42" s="396"/>
      <c r="M42" s="411"/>
      <c r="N42" s="591"/>
      <c r="O42" s="591"/>
      <c r="P42" s="591"/>
      <c r="Q42" s="591"/>
      <c r="R42" s="591"/>
    </row>
    <row r="43" spans="1:18" s="61" customFormat="1" ht="18" customHeight="1">
      <c r="A43" s="63"/>
      <c r="B43" s="363"/>
      <c r="C43" s="467"/>
      <c r="D43" s="468"/>
      <c r="E43" s="469"/>
      <c r="F43" s="470" t="s">
        <v>489</v>
      </c>
      <c r="G43" s="471"/>
      <c r="H43" s="98">
        <f>H44</f>
        <v>3249101</v>
      </c>
      <c r="I43" s="98">
        <v>3233000</v>
      </c>
      <c r="J43" s="98">
        <f t="shared" ref="J43:J44" si="6">H43-I43</f>
        <v>16101</v>
      </c>
      <c r="K43" s="398"/>
      <c r="L43" s="356"/>
      <c r="M43" s="412"/>
      <c r="N43" s="591"/>
      <c r="O43" s="591"/>
      <c r="P43" s="591"/>
      <c r="Q43" s="591"/>
      <c r="R43" s="591"/>
    </row>
    <row r="44" spans="1:18" s="61" customFormat="1" ht="18" customHeight="1">
      <c r="A44" s="63"/>
      <c r="B44" s="363"/>
      <c r="C44" s="363"/>
      <c r="D44" s="364"/>
      <c r="E44" s="365"/>
      <c r="F44" s="365"/>
      <c r="G44" s="472" t="s">
        <v>490</v>
      </c>
      <c r="H44" s="41">
        <f>M44</f>
        <v>3249101</v>
      </c>
      <c r="I44" s="41">
        <v>3233000</v>
      </c>
      <c r="J44" s="41">
        <f t="shared" si="6"/>
        <v>16101</v>
      </c>
      <c r="K44" s="391" t="s">
        <v>491</v>
      </c>
      <c r="L44" s="392"/>
      <c r="M44" s="413">
        <f>M47</f>
        <v>3249101</v>
      </c>
      <c r="N44" s="591"/>
      <c r="O44" s="591"/>
      <c r="P44" s="591"/>
      <c r="Q44" s="591"/>
      <c r="R44" s="591"/>
    </row>
    <row r="45" spans="1:18" s="61" customFormat="1">
      <c r="A45" s="63"/>
      <c r="B45" s="363"/>
      <c r="C45" s="363"/>
      <c r="D45" s="364"/>
      <c r="E45" s="365"/>
      <c r="F45" s="365"/>
      <c r="G45" s="365" t="s">
        <v>810</v>
      </c>
      <c r="H45" s="50"/>
      <c r="I45" s="50"/>
      <c r="J45" s="50"/>
      <c r="K45" s="619" t="s">
        <v>809</v>
      </c>
      <c r="L45" s="380" t="s">
        <v>0</v>
      </c>
      <c r="M45" s="666">
        <v>3233000</v>
      </c>
      <c r="N45" s="591"/>
      <c r="O45" s="591"/>
      <c r="P45" s="591"/>
      <c r="Q45" s="591"/>
      <c r="R45" s="591"/>
    </row>
    <row r="46" spans="1:18" s="61" customFormat="1">
      <c r="A46" s="63"/>
      <c r="B46" s="363"/>
      <c r="C46" s="363"/>
      <c r="D46" s="364"/>
      <c r="E46" s="365"/>
      <c r="F46" s="365"/>
      <c r="G46" s="365"/>
      <c r="H46" s="50"/>
      <c r="I46" s="50"/>
      <c r="J46" s="50"/>
      <c r="K46" s="660" t="s">
        <v>796</v>
      </c>
      <c r="L46" s="380"/>
      <c r="M46" s="666"/>
      <c r="N46" s="621"/>
      <c r="O46" s="621"/>
      <c r="P46" s="621"/>
      <c r="Q46" s="621"/>
      <c r="R46" s="621"/>
    </row>
    <row r="47" spans="1:18" s="61" customFormat="1">
      <c r="A47" s="63"/>
      <c r="B47" s="476"/>
      <c r="C47" s="476"/>
      <c r="D47" s="507"/>
      <c r="E47" s="547"/>
      <c r="F47" s="547"/>
      <c r="G47" s="547"/>
      <c r="H47" s="146"/>
      <c r="I47" s="146"/>
      <c r="J47" s="146"/>
      <c r="K47" s="667" t="s">
        <v>855</v>
      </c>
      <c r="L47" s="639" t="s">
        <v>0</v>
      </c>
      <c r="M47" s="668">
        <v>3249101</v>
      </c>
      <c r="N47" s="621"/>
      <c r="O47" s="621"/>
      <c r="P47" s="621"/>
      <c r="Q47" s="621"/>
      <c r="R47" s="621"/>
    </row>
    <row r="48" spans="1:18" s="1" customFormat="1" ht="18" customHeight="1">
      <c r="A48" s="10"/>
      <c r="B48" s="545" t="s">
        <v>622</v>
      </c>
      <c r="C48" s="545"/>
      <c r="D48" s="548"/>
      <c r="E48" s="548"/>
      <c r="F48" s="548"/>
      <c r="G48" s="549"/>
      <c r="H48" s="95">
        <f>SUM(H49,H66)</f>
        <v>0</v>
      </c>
      <c r="I48" s="95">
        <v>1000000</v>
      </c>
      <c r="J48" s="95">
        <f>H48-I48</f>
        <v>-1000000</v>
      </c>
      <c r="K48" s="407"/>
      <c r="L48" s="408"/>
      <c r="M48" s="409"/>
      <c r="N48" s="591"/>
      <c r="O48" s="591"/>
      <c r="P48" s="591"/>
      <c r="Q48" s="591"/>
      <c r="R48" s="591"/>
    </row>
    <row r="49" spans="1:18" s="1" customFormat="1" ht="18" customHeight="1">
      <c r="A49" s="10"/>
      <c r="B49" s="462"/>
      <c r="C49" s="179" t="s">
        <v>618</v>
      </c>
      <c r="D49" s="460"/>
      <c r="E49" s="460"/>
      <c r="F49" s="460"/>
      <c r="G49" s="461"/>
      <c r="H49" s="95">
        <f>SUM(H50)</f>
        <v>0</v>
      </c>
      <c r="I49" s="95">
        <v>1000000</v>
      </c>
      <c r="J49" s="95">
        <f t="shared" ref="J49" si="7">H49-I49</f>
        <v>-1000000</v>
      </c>
      <c r="K49" s="407"/>
      <c r="L49" s="408"/>
      <c r="M49" s="409"/>
      <c r="N49" s="725"/>
      <c r="O49" s="725"/>
      <c r="P49" s="725"/>
      <c r="Q49" s="725"/>
      <c r="R49" s="725"/>
    </row>
    <row r="50" spans="1:18" s="1" customFormat="1" ht="18" customHeight="1">
      <c r="A50" s="10"/>
      <c r="B50" s="462"/>
      <c r="C50" s="462"/>
      <c r="D50" s="353" t="s">
        <v>619</v>
      </c>
      <c r="E50" s="460"/>
      <c r="F50" s="460"/>
      <c r="G50" s="461"/>
      <c r="H50" s="463">
        <f>H51</f>
        <v>0</v>
      </c>
      <c r="I50" s="463">
        <v>1000000</v>
      </c>
      <c r="J50" s="92">
        <f>H50-I50</f>
        <v>-1000000</v>
      </c>
      <c r="K50" s="354"/>
      <c r="L50" s="410"/>
      <c r="M50" s="409"/>
      <c r="N50" s="591"/>
      <c r="O50" s="591"/>
      <c r="P50" s="591"/>
      <c r="Q50" s="591"/>
      <c r="R50" s="591"/>
    </row>
    <row r="51" spans="1:18" s="1" customFormat="1" ht="18" customHeight="1">
      <c r="A51" s="10"/>
      <c r="B51" s="462"/>
      <c r="C51" s="464"/>
      <c r="D51" s="465"/>
      <c r="E51" s="353" t="s">
        <v>488</v>
      </c>
      <c r="F51" s="460"/>
      <c r="G51" s="461"/>
      <c r="H51" s="92">
        <f>H52</f>
        <v>0</v>
      </c>
      <c r="I51" s="92">
        <v>1000000</v>
      </c>
      <c r="J51" s="92">
        <f>H51-I51</f>
        <v>-1000000</v>
      </c>
      <c r="K51" s="355"/>
      <c r="L51" s="396"/>
      <c r="M51" s="411"/>
      <c r="N51" s="591"/>
      <c r="O51" s="591"/>
      <c r="P51" s="591"/>
      <c r="Q51" s="591"/>
      <c r="R51" s="591"/>
    </row>
    <row r="52" spans="1:18" s="61" customFormat="1" ht="18" customHeight="1">
      <c r="A52" s="63"/>
      <c r="B52" s="363"/>
      <c r="C52" s="467"/>
      <c r="D52" s="468"/>
      <c r="E52" s="469"/>
      <c r="F52" s="470" t="s">
        <v>489</v>
      </c>
      <c r="G52" s="471"/>
      <c r="H52" s="98">
        <f>H53</f>
        <v>0</v>
      </c>
      <c r="I52" s="98">
        <v>1000000</v>
      </c>
      <c r="J52" s="98">
        <f t="shared" ref="J52:J53" si="8">H52-I52</f>
        <v>-1000000</v>
      </c>
      <c r="K52" s="398"/>
      <c r="L52" s="356"/>
      <c r="M52" s="412"/>
      <c r="N52" s="591"/>
      <c r="O52" s="591"/>
      <c r="P52" s="591"/>
      <c r="Q52" s="591"/>
      <c r="R52" s="591"/>
    </row>
    <row r="53" spans="1:18" s="61" customFormat="1" ht="18" customHeight="1">
      <c r="A53" s="63"/>
      <c r="B53" s="363"/>
      <c r="C53" s="363"/>
      <c r="D53" s="364"/>
      <c r="E53" s="365"/>
      <c r="F53" s="365"/>
      <c r="G53" s="472" t="s">
        <v>490</v>
      </c>
      <c r="H53" s="41">
        <f>M53</f>
        <v>0</v>
      </c>
      <c r="I53" s="41">
        <v>1000000</v>
      </c>
      <c r="J53" s="41">
        <f t="shared" si="8"/>
        <v>-1000000</v>
      </c>
      <c r="K53" s="391" t="s">
        <v>491</v>
      </c>
      <c r="L53" s="392"/>
      <c r="M53" s="413">
        <f>M56</f>
        <v>0</v>
      </c>
      <c r="N53" s="591"/>
      <c r="O53" s="591"/>
      <c r="P53" s="591"/>
      <c r="Q53" s="591"/>
      <c r="R53" s="591"/>
    </row>
    <row r="54" spans="1:18" s="61" customFormat="1" ht="18" customHeight="1">
      <c r="A54" s="63"/>
      <c r="B54" s="363"/>
      <c r="C54" s="363"/>
      <c r="D54" s="364"/>
      <c r="E54" s="365"/>
      <c r="F54" s="365"/>
      <c r="G54" s="366" t="s">
        <v>812</v>
      </c>
      <c r="H54" s="50"/>
      <c r="I54" s="50"/>
      <c r="J54" s="50"/>
      <c r="K54" s="387" t="s">
        <v>811</v>
      </c>
      <c r="L54" s="380" t="s">
        <v>0</v>
      </c>
      <c r="M54" s="669">
        <v>1000000</v>
      </c>
      <c r="N54" s="621"/>
      <c r="O54" s="621"/>
      <c r="P54" s="621"/>
      <c r="Q54" s="621"/>
      <c r="R54" s="621"/>
    </row>
    <row r="55" spans="1:18" s="61" customFormat="1" ht="18" customHeight="1">
      <c r="A55" s="63"/>
      <c r="B55" s="363"/>
      <c r="C55" s="363"/>
      <c r="D55" s="364"/>
      <c r="E55" s="365"/>
      <c r="F55" s="365"/>
      <c r="G55" s="366"/>
      <c r="H55" s="50"/>
      <c r="I55" s="50"/>
      <c r="J55" s="50"/>
      <c r="K55" s="622" t="s">
        <v>813</v>
      </c>
      <c r="L55" s="380"/>
      <c r="M55" s="669"/>
      <c r="N55" s="621"/>
      <c r="O55" s="621"/>
      <c r="P55" s="621"/>
      <c r="Q55" s="621"/>
      <c r="R55" s="621"/>
    </row>
    <row r="56" spans="1:18" s="61" customFormat="1">
      <c r="A56" s="63"/>
      <c r="B56" s="476"/>
      <c r="C56" s="476"/>
      <c r="D56" s="507"/>
      <c r="E56" s="547"/>
      <c r="F56" s="547"/>
      <c r="G56" s="547"/>
      <c r="H56" s="146"/>
      <c r="I56" s="146"/>
      <c r="J56" s="146"/>
      <c r="K56" s="667" t="s">
        <v>815</v>
      </c>
      <c r="L56" s="639" t="s">
        <v>0</v>
      </c>
      <c r="M56" s="668">
        <v>0</v>
      </c>
      <c r="N56" s="591"/>
      <c r="O56" s="591"/>
      <c r="P56" s="591"/>
      <c r="Q56" s="591"/>
      <c r="R56" s="591"/>
    </row>
    <row r="57" spans="1:18" s="1" customFormat="1" ht="18" customHeight="1">
      <c r="A57" s="10"/>
      <c r="B57" s="545" t="s">
        <v>620</v>
      </c>
      <c r="C57" s="545"/>
      <c r="D57" s="548"/>
      <c r="E57" s="548"/>
      <c r="F57" s="548"/>
      <c r="G57" s="549"/>
      <c r="H57" s="95">
        <f>SUM(H58,H73)</f>
        <v>300000</v>
      </c>
      <c r="I57" s="95">
        <v>2000000</v>
      </c>
      <c r="J57" s="95">
        <f>H57-I57</f>
        <v>-1700000</v>
      </c>
      <c r="K57" s="407"/>
      <c r="L57" s="408"/>
      <c r="M57" s="409"/>
      <c r="N57" s="591"/>
      <c r="O57" s="591"/>
      <c r="P57" s="591"/>
      <c r="Q57" s="591"/>
      <c r="R57" s="591"/>
    </row>
    <row r="58" spans="1:18" s="1" customFormat="1" ht="18" customHeight="1">
      <c r="A58" s="10"/>
      <c r="B58" s="462"/>
      <c r="C58" s="179" t="s">
        <v>621</v>
      </c>
      <c r="D58" s="460"/>
      <c r="E58" s="460"/>
      <c r="F58" s="460"/>
      <c r="G58" s="461"/>
      <c r="H58" s="95">
        <f>SUM(H59)</f>
        <v>300000</v>
      </c>
      <c r="I58" s="95">
        <v>2000000</v>
      </c>
      <c r="J58" s="95">
        <f t="shared" ref="J58" si="9">H58-I58</f>
        <v>-1700000</v>
      </c>
      <c r="K58" s="407"/>
      <c r="L58" s="408"/>
      <c r="M58" s="409"/>
      <c r="N58" s="725"/>
      <c r="O58" s="725"/>
      <c r="P58" s="725"/>
      <c r="Q58" s="725"/>
      <c r="R58" s="725"/>
    </row>
    <row r="59" spans="1:18" s="1" customFormat="1" ht="18" customHeight="1">
      <c r="A59" s="10"/>
      <c r="B59" s="462"/>
      <c r="C59" s="462"/>
      <c r="D59" s="179" t="s">
        <v>621</v>
      </c>
      <c r="E59" s="460"/>
      <c r="F59" s="460"/>
      <c r="G59" s="461"/>
      <c r="H59" s="463">
        <f>H60</f>
        <v>300000</v>
      </c>
      <c r="I59" s="463">
        <v>2000000</v>
      </c>
      <c r="J59" s="92">
        <f>H59-I59</f>
        <v>-1700000</v>
      </c>
      <c r="K59" s="354"/>
      <c r="L59" s="410"/>
      <c r="M59" s="409"/>
      <c r="N59" s="591"/>
      <c r="O59" s="591"/>
      <c r="P59" s="591"/>
      <c r="Q59" s="591"/>
      <c r="R59" s="591"/>
    </row>
    <row r="60" spans="1:18" s="1" customFormat="1" ht="18" customHeight="1">
      <c r="A60" s="10"/>
      <c r="B60" s="462"/>
      <c r="C60" s="464"/>
      <c r="D60" s="465"/>
      <c r="E60" s="353" t="s">
        <v>488</v>
      </c>
      <c r="F60" s="460"/>
      <c r="G60" s="461"/>
      <c r="H60" s="92">
        <f>H61</f>
        <v>300000</v>
      </c>
      <c r="I60" s="92">
        <v>2000000</v>
      </c>
      <c r="J60" s="92">
        <f>H60-I60</f>
        <v>-1700000</v>
      </c>
      <c r="K60" s="355"/>
      <c r="L60" s="396"/>
      <c r="M60" s="411"/>
      <c r="N60" s="591"/>
      <c r="O60" s="591"/>
      <c r="P60" s="591"/>
      <c r="Q60" s="591"/>
      <c r="R60" s="591"/>
    </row>
    <row r="61" spans="1:18" s="61" customFormat="1" ht="18" customHeight="1">
      <c r="A61" s="63"/>
      <c r="B61" s="363"/>
      <c r="C61" s="467"/>
      <c r="D61" s="468"/>
      <c r="E61" s="469"/>
      <c r="F61" s="470" t="s">
        <v>489</v>
      </c>
      <c r="G61" s="471"/>
      <c r="H61" s="98">
        <f>H62</f>
        <v>300000</v>
      </c>
      <c r="I61" s="98">
        <v>2000000</v>
      </c>
      <c r="J61" s="98">
        <f t="shared" ref="J61:J62" si="10">H61-I61</f>
        <v>-1700000</v>
      </c>
      <c r="K61" s="398"/>
      <c r="L61" s="356"/>
      <c r="M61" s="412"/>
      <c r="N61" s="591"/>
      <c r="O61" s="591"/>
      <c r="P61" s="591"/>
      <c r="Q61" s="591"/>
      <c r="R61" s="591"/>
    </row>
    <row r="62" spans="1:18" s="61" customFormat="1" ht="18" customHeight="1">
      <c r="A62" s="63"/>
      <c r="B62" s="363"/>
      <c r="C62" s="363"/>
      <c r="D62" s="364"/>
      <c r="E62" s="365"/>
      <c r="F62" s="365"/>
      <c r="G62" s="472" t="s">
        <v>490</v>
      </c>
      <c r="H62" s="41">
        <f>M62</f>
        <v>300000</v>
      </c>
      <c r="I62" s="41">
        <v>2000000</v>
      </c>
      <c r="J62" s="41">
        <f t="shared" si="10"/>
        <v>-1700000</v>
      </c>
      <c r="K62" s="391" t="s">
        <v>491</v>
      </c>
      <c r="L62" s="392"/>
      <c r="M62" s="413">
        <f>M65</f>
        <v>300000</v>
      </c>
      <c r="N62" s="591"/>
      <c r="O62" s="591"/>
      <c r="P62" s="591"/>
      <c r="Q62" s="591"/>
      <c r="R62" s="591"/>
    </row>
    <row r="63" spans="1:18" s="61" customFormat="1" ht="18" customHeight="1">
      <c r="A63" s="63"/>
      <c r="B63" s="363"/>
      <c r="C63" s="363"/>
      <c r="D63" s="364"/>
      <c r="E63" s="365"/>
      <c r="F63" s="365"/>
      <c r="G63" s="658" t="s">
        <v>816</v>
      </c>
      <c r="H63" s="50"/>
      <c r="I63" s="50"/>
      <c r="J63" s="50"/>
      <c r="K63" s="387" t="s">
        <v>814</v>
      </c>
      <c r="L63" s="380" t="s">
        <v>0</v>
      </c>
      <c r="M63" s="669">
        <v>2000000</v>
      </c>
      <c r="N63" s="621"/>
      <c r="O63" s="621"/>
      <c r="P63" s="621"/>
      <c r="Q63" s="621"/>
      <c r="R63" s="621"/>
    </row>
    <row r="64" spans="1:18" s="61" customFormat="1" ht="18" customHeight="1">
      <c r="A64" s="63"/>
      <c r="B64" s="363"/>
      <c r="C64" s="363"/>
      <c r="D64" s="364"/>
      <c r="E64" s="365"/>
      <c r="F64" s="365"/>
      <c r="G64" s="366"/>
      <c r="H64" s="50"/>
      <c r="I64" s="50"/>
      <c r="J64" s="50"/>
      <c r="K64" s="622" t="s">
        <v>801</v>
      </c>
      <c r="L64" s="380"/>
      <c r="M64" s="663"/>
      <c r="N64" s="621"/>
      <c r="O64" s="621"/>
      <c r="P64" s="621"/>
      <c r="Q64" s="621"/>
      <c r="R64" s="621"/>
    </row>
    <row r="65" spans="1:18" s="61" customFormat="1" ht="17.25" thickBot="1">
      <c r="A65" s="290"/>
      <c r="B65" s="513"/>
      <c r="C65" s="513"/>
      <c r="D65" s="538"/>
      <c r="E65" s="539"/>
      <c r="F65" s="539"/>
      <c r="G65" s="662"/>
      <c r="H65" s="230"/>
      <c r="I65" s="230"/>
      <c r="J65" s="230"/>
      <c r="K65" s="664" t="s">
        <v>817</v>
      </c>
      <c r="L65" s="649" t="s">
        <v>0</v>
      </c>
      <c r="M65" s="665">
        <v>300000</v>
      </c>
      <c r="N65" s="591"/>
      <c r="O65" s="591"/>
      <c r="P65" s="591"/>
      <c r="Q65" s="591"/>
      <c r="R65" s="591"/>
    </row>
    <row r="66" spans="1:18">
      <c r="B66" s="367"/>
      <c r="C66" s="367"/>
      <c r="D66" s="367"/>
      <c r="E66" s="367"/>
      <c r="F66" s="367"/>
      <c r="G66" s="367"/>
    </row>
  </sheetData>
  <protectedRanges>
    <protectedRange password="ECE8" sqref="N39:Z42 N32:Z34 N57:Z60 N48:Z51" name="작성자만수정_2_1_1"/>
  </protectedRanges>
  <autoFilter ref="A3:M31">
    <filterColumn colId="10" showButton="0"/>
    <filterColumn colId="11" showButton="0"/>
  </autoFilter>
  <mergeCells count="13">
    <mergeCell ref="N58:R58"/>
    <mergeCell ref="N49:R49"/>
    <mergeCell ref="N40:R40"/>
    <mergeCell ref="K2:M3"/>
    <mergeCell ref="F26:G26"/>
    <mergeCell ref="J2:J3"/>
    <mergeCell ref="A4:G4"/>
    <mergeCell ref="F22:G22"/>
    <mergeCell ref="A2:A3"/>
    <mergeCell ref="B2:D2"/>
    <mergeCell ref="E2:G2"/>
    <mergeCell ref="H2:H3"/>
    <mergeCell ref="I2:I3"/>
  </mergeCells>
  <phoneticPr fontId="12" type="noConversion"/>
  <conditionalFormatting sqref="J27:J28">
    <cfRule type="containsText" dxfId="563" priority="157" operator="containsText" text="허하나로">
      <formula>NOT(ISERROR(SEARCH("허하나로",H1079)))</formula>
    </cfRule>
    <cfRule type="containsText" dxfId="562" priority="158" operator="containsText" text="한별">
      <formula>NOT(ISERROR(SEARCH("한별",H1079)))</formula>
    </cfRule>
    <cfRule type="containsText" dxfId="561" priority="159" operator="containsText" text="정홍조">
      <formula>NOT(ISERROR(SEARCH("정홍조",H1079)))</formula>
    </cfRule>
    <cfRule type="containsText" dxfId="560" priority="160" operator="containsText" text="김지윤">
      <formula>NOT(ISERROR(SEARCH("김지윤",H1079)))</formula>
    </cfRule>
    <cfRule type="containsText" dxfId="559" priority="161" operator="containsText" text="전준영">
      <formula>NOT(ISERROR(SEARCH("전준영",H1079)))</formula>
    </cfRule>
    <cfRule type="containsText" dxfId="558" priority="162" operator="containsText" text="차재성">
      <formula>NOT(ISERROR(SEARCH("차재성",H1079)))</formula>
    </cfRule>
  </conditionalFormatting>
  <conditionalFormatting sqref="J6">
    <cfRule type="containsText" dxfId="557" priority="169" operator="containsText" text="허하나로">
      <formula>NOT(ISERROR(SEARCH("허하나로",H716)))</formula>
    </cfRule>
    <cfRule type="containsText" dxfId="556" priority="170" operator="containsText" text="한별">
      <formula>NOT(ISERROR(SEARCH("한별",H716)))</formula>
    </cfRule>
    <cfRule type="containsText" dxfId="555" priority="171" operator="containsText" text="정홍조">
      <formula>NOT(ISERROR(SEARCH("정홍조",H716)))</formula>
    </cfRule>
    <cfRule type="containsText" dxfId="554" priority="172" operator="containsText" text="김지윤">
      <formula>NOT(ISERROR(SEARCH("김지윤",H716)))</formula>
    </cfRule>
    <cfRule type="containsText" dxfId="553" priority="173" operator="containsText" text="전준영">
      <formula>NOT(ISERROR(SEARCH("전준영",H716)))</formula>
    </cfRule>
    <cfRule type="containsText" dxfId="552" priority="174" operator="containsText" text="차재성">
      <formula>NOT(ISERROR(SEARCH("차재성",H716)))</formula>
    </cfRule>
  </conditionalFormatting>
  <conditionalFormatting sqref="J14">
    <cfRule type="containsText" dxfId="551" priority="151" operator="containsText" text="허하나로">
      <formula>NOT(ISERROR(SEARCH("허하나로",H849)))</formula>
    </cfRule>
    <cfRule type="containsText" dxfId="550" priority="152" operator="containsText" text="한별">
      <formula>NOT(ISERROR(SEARCH("한별",H849)))</formula>
    </cfRule>
    <cfRule type="containsText" dxfId="549" priority="153" operator="containsText" text="정홍조">
      <formula>NOT(ISERROR(SEARCH("정홍조",H849)))</formula>
    </cfRule>
    <cfRule type="containsText" dxfId="548" priority="154" operator="containsText" text="김지윤">
      <formula>NOT(ISERROR(SEARCH("김지윤",H849)))</formula>
    </cfRule>
    <cfRule type="containsText" dxfId="547" priority="155" operator="containsText" text="전준영">
      <formula>NOT(ISERROR(SEARCH("전준영",H849)))</formula>
    </cfRule>
    <cfRule type="containsText" dxfId="546" priority="156" operator="containsText" text="차재성">
      <formula>NOT(ISERROR(SEARCH("차재성",H849)))</formula>
    </cfRule>
  </conditionalFormatting>
  <conditionalFormatting sqref="J17:J18">
    <cfRule type="containsText" dxfId="545" priority="145" operator="containsText" text="허하나로">
      <formula>NOT(ISERROR(SEARCH("허하나로",H1057)))</formula>
    </cfRule>
    <cfRule type="containsText" dxfId="544" priority="146" operator="containsText" text="한별">
      <formula>NOT(ISERROR(SEARCH("한별",H1057)))</formula>
    </cfRule>
    <cfRule type="containsText" dxfId="543" priority="147" operator="containsText" text="정홍조">
      <formula>NOT(ISERROR(SEARCH("정홍조",H1057)))</formula>
    </cfRule>
    <cfRule type="containsText" dxfId="542" priority="148" operator="containsText" text="김지윤">
      <formula>NOT(ISERROR(SEARCH("김지윤",H1057)))</formula>
    </cfRule>
    <cfRule type="containsText" dxfId="541" priority="149" operator="containsText" text="전준영">
      <formula>NOT(ISERROR(SEARCH("전준영",H1057)))</formula>
    </cfRule>
    <cfRule type="containsText" dxfId="540" priority="150" operator="containsText" text="차재성">
      <formula>NOT(ISERROR(SEARCH("차재성",H1057)))</formula>
    </cfRule>
  </conditionalFormatting>
  <conditionalFormatting sqref="J16">
    <cfRule type="containsText" dxfId="539" priority="187" operator="containsText" text="허하나로">
      <formula>NOT(ISERROR(SEARCH("허하나로",H1046)))</formula>
    </cfRule>
    <cfRule type="containsText" dxfId="538" priority="188" operator="containsText" text="한별">
      <formula>NOT(ISERROR(SEARCH("한별",H1046)))</formula>
    </cfRule>
    <cfRule type="containsText" dxfId="537" priority="189" operator="containsText" text="정홍조">
      <formula>NOT(ISERROR(SEARCH("정홍조",H1046)))</formula>
    </cfRule>
    <cfRule type="containsText" dxfId="536" priority="190" operator="containsText" text="김지윤">
      <formula>NOT(ISERROR(SEARCH("김지윤",H1046)))</formula>
    </cfRule>
    <cfRule type="containsText" dxfId="535" priority="191" operator="containsText" text="전준영">
      <formula>NOT(ISERROR(SEARCH("전준영",H1046)))</formula>
    </cfRule>
    <cfRule type="containsText" dxfId="534" priority="192" operator="containsText" text="차재성">
      <formula>NOT(ISERROR(SEARCH("차재성",H1046)))</formula>
    </cfRule>
  </conditionalFormatting>
  <conditionalFormatting sqref="J22:J25">
    <cfRule type="containsText" dxfId="533" priority="193" operator="containsText" text="허하나로">
      <formula>NOT(ISERROR(SEARCH("허하나로",H1059)))</formula>
    </cfRule>
    <cfRule type="containsText" dxfId="532" priority="194" operator="containsText" text="한별">
      <formula>NOT(ISERROR(SEARCH("한별",H1059)))</formula>
    </cfRule>
    <cfRule type="containsText" dxfId="531" priority="195" operator="containsText" text="정홍조">
      <formula>NOT(ISERROR(SEARCH("정홍조",H1059)))</formula>
    </cfRule>
    <cfRule type="containsText" dxfId="530" priority="196" operator="containsText" text="김지윤">
      <formula>NOT(ISERROR(SEARCH("김지윤",H1059)))</formula>
    </cfRule>
    <cfRule type="containsText" dxfId="529" priority="197" operator="containsText" text="전준영">
      <formula>NOT(ISERROR(SEARCH("전준영",H1059)))</formula>
    </cfRule>
    <cfRule type="containsText" dxfId="528" priority="198" operator="containsText" text="차재성">
      <formula>NOT(ISERROR(SEARCH("차재성",H1059)))</formula>
    </cfRule>
  </conditionalFormatting>
  <conditionalFormatting sqref="J26">
    <cfRule type="containsText" dxfId="527" priority="133" operator="containsText" text="허하나로">
      <formula>NOT(ISERROR(SEARCH("허하나로",H1063)))</formula>
    </cfRule>
    <cfRule type="containsText" dxfId="526" priority="134" operator="containsText" text="한별">
      <formula>NOT(ISERROR(SEARCH("한별",H1063)))</formula>
    </cfRule>
    <cfRule type="containsText" dxfId="525" priority="135" operator="containsText" text="정홍조">
      <formula>NOT(ISERROR(SEARCH("정홍조",H1063)))</formula>
    </cfRule>
    <cfRule type="containsText" dxfId="524" priority="136" operator="containsText" text="김지윤">
      <formula>NOT(ISERROR(SEARCH("김지윤",H1063)))</formula>
    </cfRule>
    <cfRule type="containsText" dxfId="523" priority="137" operator="containsText" text="전준영">
      <formula>NOT(ISERROR(SEARCH("전준영",H1063)))</formula>
    </cfRule>
    <cfRule type="containsText" dxfId="522" priority="138" operator="containsText" text="차재성">
      <formula>NOT(ISERROR(SEARCH("차재성",H1063)))</formula>
    </cfRule>
  </conditionalFormatting>
  <conditionalFormatting sqref="L23">
    <cfRule type="containsText" dxfId="521" priority="127" operator="containsText" text="허하나로">
      <formula>NOT(ISERROR(SEARCH("허하나로",J1194)))</formula>
    </cfRule>
    <cfRule type="containsText" dxfId="520" priority="128" operator="containsText" text="한별">
      <formula>NOT(ISERROR(SEARCH("한별",J1194)))</formula>
    </cfRule>
    <cfRule type="containsText" dxfId="519" priority="129" operator="containsText" text="정홍조">
      <formula>NOT(ISERROR(SEARCH("정홍조",J1194)))</formula>
    </cfRule>
    <cfRule type="containsText" dxfId="518" priority="130" operator="containsText" text="김지윤">
      <formula>NOT(ISERROR(SEARCH("김지윤",J1194)))</formula>
    </cfRule>
    <cfRule type="containsText" dxfId="517" priority="131" operator="containsText" text="전준영">
      <formula>NOT(ISERROR(SEARCH("전준영",J1194)))</formula>
    </cfRule>
    <cfRule type="containsText" dxfId="516" priority="132" operator="containsText" text="차재성">
      <formula>NOT(ISERROR(SEARCH("차재성",J1194)))</formula>
    </cfRule>
  </conditionalFormatting>
  <conditionalFormatting sqref="I28">
    <cfRule type="containsText" dxfId="515" priority="121" operator="containsText" text="허하나로">
      <formula>NOT(ISERROR(SEARCH("허하나로",G1080)))</formula>
    </cfRule>
    <cfRule type="containsText" dxfId="514" priority="122" operator="containsText" text="한별">
      <formula>NOT(ISERROR(SEARCH("한별",G1080)))</formula>
    </cfRule>
    <cfRule type="containsText" dxfId="513" priority="123" operator="containsText" text="정홍조">
      <formula>NOT(ISERROR(SEARCH("정홍조",G1080)))</formula>
    </cfRule>
    <cfRule type="containsText" dxfId="512" priority="124" operator="containsText" text="김지윤">
      <formula>NOT(ISERROR(SEARCH("김지윤",G1080)))</formula>
    </cfRule>
    <cfRule type="containsText" dxfId="511" priority="125" operator="containsText" text="전준영">
      <formula>NOT(ISERROR(SEARCH("전준영",G1080)))</formula>
    </cfRule>
    <cfRule type="containsText" dxfId="510" priority="126" operator="containsText" text="차재성">
      <formula>NOT(ISERROR(SEARCH("차재성",G1080)))</formula>
    </cfRule>
  </conditionalFormatting>
  <conditionalFormatting sqref="J19">
    <cfRule type="containsText" dxfId="509" priority="3835" operator="containsText" text="허하나로">
      <formula>NOT(ISERROR(SEARCH("허하나로",H1048)))</formula>
    </cfRule>
    <cfRule type="containsText" dxfId="508" priority="3836" operator="containsText" text="한별">
      <formula>NOT(ISERROR(SEARCH("한별",H1048)))</formula>
    </cfRule>
    <cfRule type="containsText" dxfId="507" priority="3837" operator="containsText" text="정홍조">
      <formula>NOT(ISERROR(SEARCH("정홍조",H1048)))</formula>
    </cfRule>
    <cfRule type="containsText" dxfId="506" priority="3838" operator="containsText" text="김지윤">
      <formula>NOT(ISERROR(SEARCH("김지윤",H1048)))</formula>
    </cfRule>
    <cfRule type="containsText" dxfId="505" priority="3839" operator="containsText" text="전준영">
      <formula>NOT(ISERROR(SEARCH("전준영",H1048)))</formula>
    </cfRule>
    <cfRule type="containsText" dxfId="504" priority="3840" operator="containsText" text="차재성">
      <formula>NOT(ISERROR(SEARCH("차재성",H1048)))</formula>
    </cfRule>
  </conditionalFormatting>
  <conditionalFormatting sqref="J2:J3">
    <cfRule type="containsText" dxfId="503" priority="85" operator="containsText" text="허하나로">
      <formula>NOT(ISERROR(SEARCH("허하나로",H803)))</formula>
    </cfRule>
    <cfRule type="containsText" dxfId="502" priority="86" operator="containsText" text="한별">
      <formula>NOT(ISERROR(SEARCH("한별",H803)))</formula>
    </cfRule>
    <cfRule type="containsText" dxfId="501" priority="87" operator="containsText" text="정홍조">
      <formula>NOT(ISERROR(SEARCH("정홍조",H803)))</formula>
    </cfRule>
    <cfRule type="containsText" dxfId="500" priority="88" operator="containsText" text="김지윤">
      <formula>NOT(ISERROR(SEARCH("김지윤",H803)))</formula>
    </cfRule>
    <cfRule type="containsText" dxfId="499" priority="89" operator="containsText" text="전준영">
      <formula>NOT(ISERROR(SEARCH("전준영",H803)))</formula>
    </cfRule>
    <cfRule type="containsText" dxfId="498" priority="90" operator="containsText" text="차재성">
      <formula>NOT(ISERROR(SEARCH("차재성",H803)))</formula>
    </cfRule>
  </conditionalFormatting>
  <conditionalFormatting sqref="J41:J42">
    <cfRule type="containsText" dxfId="497" priority="79" operator="containsText" text="허하나로">
      <formula>NOT(ISERROR(SEARCH("허하나로",H1062)))</formula>
    </cfRule>
    <cfRule type="containsText" dxfId="496" priority="80" operator="containsText" text="한별">
      <formula>NOT(ISERROR(SEARCH("한별",H1062)))</formula>
    </cfRule>
    <cfRule type="containsText" dxfId="495" priority="81" operator="containsText" text="정홍조">
      <formula>NOT(ISERROR(SEARCH("정홍조",H1062)))</formula>
    </cfRule>
    <cfRule type="containsText" dxfId="494" priority="82" operator="containsText" text="김지윤">
      <formula>NOT(ISERROR(SEARCH("김지윤",H1062)))</formula>
    </cfRule>
    <cfRule type="containsText" dxfId="493" priority="83" operator="containsText" text="전준영">
      <formula>NOT(ISERROR(SEARCH("전준영",H1062)))</formula>
    </cfRule>
    <cfRule type="containsText" dxfId="492" priority="84" operator="containsText" text="차재성">
      <formula>NOT(ISERROR(SEARCH("차재성",H1062)))</formula>
    </cfRule>
  </conditionalFormatting>
  <conditionalFormatting sqref="J39:J40">
    <cfRule type="containsText" dxfId="491" priority="73" operator="containsText" text="허하나로">
      <formula>NOT(ISERROR(SEARCH("허하나로",H750)))</formula>
    </cfRule>
    <cfRule type="containsText" dxfId="490" priority="74" operator="containsText" text="한별">
      <formula>NOT(ISERROR(SEARCH("한별",H750)))</formula>
    </cfRule>
    <cfRule type="containsText" dxfId="489" priority="75" operator="containsText" text="정홍조">
      <formula>NOT(ISERROR(SEARCH("정홍조",H750)))</formula>
    </cfRule>
    <cfRule type="containsText" dxfId="488" priority="76" operator="containsText" text="김지윤">
      <formula>NOT(ISERROR(SEARCH("김지윤",H750)))</formula>
    </cfRule>
    <cfRule type="containsText" dxfId="487" priority="77" operator="containsText" text="전준영">
      <formula>NOT(ISERROR(SEARCH("전준영",H750)))</formula>
    </cfRule>
    <cfRule type="containsText" dxfId="486" priority="78" operator="containsText" text="차재성">
      <formula>NOT(ISERROR(SEARCH("차재성",H750)))</formula>
    </cfRule>
  </conditionalFormatting>
  <conditionalFormatting sqref="J38">
    <cfRule type="containsText" dxfId="485" priority="67" operator="containsText" text="허하나로">
      <formula>NOT(ISERROR(SEARCH("허하나로",H735)))</formula>
    </cfRule>
    <cfRule type="containsText" dxfId="484" priority="68" operator="containsText" text="한별">
      <formula>NOT(ISERROR(SEARCH("한별",H735)))</formula>
    </cfRule>
    <cfRule type="containsText" dxfId="483" priority="69" operator="containsText" text="정홍조">
      <formula>NOT(ISERROR(SEARCH("정홍조",H735)))</formula>
    </cfRule>
    <cfRule type="containsText" dxfId="482" priority="70" operator="containsText" text="김지윤">
      <formula>NOT(ISERROR(SEARCH("김지윤",H735)))</formula>
    </cfRule>
    <cfRule type="containsText" dxfId="481" priority="71" operator="containsText" text="전준영">
      <formula>NOT(ISERROR(SEARCH("전준영",H735)))</formula>
    </cfRule>
    <cfRule type="containsText" dxfId="480" priority="72" operator="containsText" text="차재성">
      <formula>NOT(ISERROR(SEARCH("차재성",H735)))</formula>
    </cfRule>
  </conditionalFormatting>
  <conditionalFormatting sqref="J33:J34">
    <cfRule type="containsText" dxfId="479" priority="61" operator="containsText" text="허하나로">
      <formula>NOT(ISERROR(SEARCH("허하나로",H1069)))</formula>
    </cfRule>
    <cfRule type="containsText" dxfId="478" priority="62" operator="containsText" text="한별">
      <formula>NOT(ISERROR(SEARCH("한별",H1069)))</formula>
    </cfRule>
    <cfRule type="containsText" dxfId="477" priority="63" operator="containsText" text="정홍조">
      <formula>NOT(ISERROR(SEARCH("정홍조",H1069)))</formula>
    </cfRule>
    <cfRule type="containsText" dxfId="476" priority="64" operator="containsText" text="김지윤">
      <formula>NOT(ISERROR(SEARCH("김지윤",H1069)))</formula>
    </cfRule>
    <cfRule type="containsText" dxfId="475" priority="65" operator="containsText" text="전준영">
      <formula>NOT(ISERROR(SEARCH("전준영",H1069)))</formula>
    </cfRule>
    <cfRule type="containsText" dxfId="474" priority="66" operator="containsText" text="차재성">
      <formula>NOT(ISERROR(SEARCH("차재성",H1069)))</formula>
    </cfRule>
  </conditionalFormatting>
  <conditionalFormatting sqref="J32">
    <cfRule type="containsText" dxfId="473" priority="55" operator="containsText" text="허하나로">
      <formula>NOT(ISERROR(SEARCH("허하나로",H758)))</formula>
    </cfRule>
    <cfRule type="containsText" dxfId="472" priority="56" operator="containsText" text="한별">
      <formula>NOT(ISERROR(SEARCH("한별",H758)))</formula>
    </cfRule>
    <cfRule type="containsText" dxfId="471" priority="57" operator="containsText" text="정홍조">
      <formula>NOT(ISERROR(SEARCH("정홍조",H758)))</formula>
    </cfRule>
    <cfRule type="containsText" dxfId="470" priority="58" operator="containsText" text="김지윤">
      <formula>NOT(ISERROR(SEARCH("김지윤",H758)))</formula>
    </cfRule>
    <cfRule type="containsText" dxfId="469" priority="59" operator="containsText" text="전준영">
      <formula>NOT(ISERROR(SEARCH("전준영",H758)))</formula>
    </cfRule>
    <cfRule type="containsText" dxfId="468" priority="60" operator="containsText" text="차재성">
      <formula>NOT(ISERROR(SEARCH("차재성",H758)))</formula>
    </cfRule>
  </conditionalFormatting>
  <conditionalFormatting sqref="J59:J60">
    <cfRule type="containsText" dxfId="467" priority="49" operator="containsText" text="허하나로">
      <formula>NOT(ISERROR(SEARCH("허하나로",H1069)))</formula>
    </cfRule>
    <cfRule type="containsText" dxfId="466" priority="50" operator="containsText" text="한별">
      <formula>NOT(ISERROR(SEARCH("한별",H1069)))</formula>
    </cfRule>
    <cfRule type="containsText" dxfId="465" priority="51" operator="containsText" text="정홍조">
      <formula>NOT(ISERROR(SEARCH("정홍조",H1069)))</formula>
    </cfRule>
    <cfRule type="containsText" dxfId="464" priority="52" operator="containsText" text="김지윤">
      <formula>NOT(ISERROR(SEARCH("김지윤",H1069)))</formula>
    </cfRule>
    <cfRule type="containsText" dxfId="463" priority="53" operator="containsText" text="전준영">
      <formula>NOT(ISERROR(SEARCH("전준영",H1069)))</formula>
    </cfRule>
    <cfRule type="containsText" dxfId="462" priority="54" operator="containsText" text="차재성">
      <formula>NOT(ISERROR(SEARCH("차재성",H1069)))</formula>
    </cfRule>
  </conditionalFormatting>
  <conditionalFormatting sqref="J57:J58">
    <cfRule type="containsText" dxfId="461" priority="43" operator="containsText" text="허하나로">
      <formula>NOT(ISERROR(SEARCH("허하나로",H757)))</formula>
    </cfRule>
    <cfRule type="containsText" dxfId="460" priority="44" operator="containsText" text="한별">
      <formula>NOT(ISERROR(SEARCH("한별",H757)))</formula>
    </cfRule>
    <cfRule type="containsText" dxfId="459" priority="45" operator="containsText" text="정홍조">
      <formula>NOT(ISERROR(SEARCH("정홍조",H757)))</formula>
    </cfRule>
    <cfRule type="containsText" dxfId="458" priority="46" operator="containsText" text="김지윤">
      <formula>NOT(ISERROR(SEARCH("김지윤",H757)))</formula>
    </cfRule>
    <cfRule type="containsText" dxfId="457" priority="47" operator="containsText" text="전준영">
      <formula>NOT(ISERROR(SEARCH("전준영",H757)))</formula>
    </cfRule>
    <cfRule type="containsText" dxfId="456" priority="48" operator="containsText" text="차재성">
      <formula>NOT(ISERROR(SEARCH("차재성",H757)))</formula>
    </cfRule>
  </conditionalFormatting>
  <conditionalFormatting sqref="J50:J51">
    <cfRule type="containsText" dxfId="455" priority="37" operator="containsText" text="허하나로">
      <formula>NOT(ISERROR(SEARCH("허하나로",H1062)))</formula>
    </cfRule>
    <cfRule type="containsText" dxfId="454" priority="38" operator="containsText" text="한별">
      <formula>NOT(ISERROR(SEARCH("한별",H1062)))</formula>
    </cfRule>
    <cfRule type="containsText" dxfId="453" priority="39" operator="containsText" text="정홍조">
      <formula>NOT(ISERROR(SEARCH("정홍조",H1062)))</formula>
    </cfRule>
    <cfRule type="containsText" dxfId="452" priority="40" operator="containsText" text="김지윤">
      <formula>NOT(ISERROR(SEARCH("김지윤",H1062)))</formula>
    </cfRule>
    <cfRule type="containsText" dxfId="451" priority="41" operator="containsText" text="전준영">
      <formula>NOT(ISERROR(SEARCH("전준영",H1062)))</formula>
    </cfRule>
    <cfRule type="containsText" dxfId="450" priority="42" operator="containsText" text="차재성">
      <formula>NOT(ISERROR(SEARCH("차재성",H1062)))</formula>
    </cfRule>
  </conditionalFormatting>
  <conditionalFormatting sqref="J48:J49">
    <cfRule type="containsText" dxfId="449" priority="31" operator="containsText" text="허하나로">
      <formula>NOT(ISERROR(SEARCH("허하나로",H750)))</formula>
    </cfRule>
    <cfRule type="containsText" dxfId="448" priority="32" operator="containsText" text="한별">
      <formula>NOT(ISERROR(SEARCH("한별",H750)))</formula>
    </cfRule>
    <cfRule type="containsText" dxfId="447" priority="33" operator="containsText" text="정홍조">
      <formula>NOT(ISERROR(SEARCH("정홍조",H750)))</formula>
    </cfRule>
    <cfRule type="containsText" dxfId="446" priority="34" operator="containsText" text="김지윤">
      <formula>NOT(ISERROR(SEARCH("김지윤",H750)))</formula>
    </cfRule>
    <cfRule type="containsText" dxfId="445" priority="35" operator="containsText" text="전준영">
      <formula>NOT(ISERROR(SEARCH("전준영",H750)))</formula>
    </cfRule>
    <cfRule type="containsText" dxfId="444" priority="36" operator="containsText" text="차재성">
      <formula>NOT(ISERROR(SEARCH("차재성",H750)))</formula>
    </cfRule>
  </conditionalFormatting>
  <conditionalFormatting sqref="J5">
    <cfRule type="containsText" dxfId="443" priority="25" operator="containsText" text="허하나로">
      <formula>NOT(ISERROR(SEARCH("허하나로",H715)))</formula>
    </cfRule>
    <cfRule type="containsText" dxfId="442" priority="26" operator="containsText" text="한별">
      <formula>NOT(ISERROR(SEARCH("한별",H715)))</formula>
    </cfRule>
    <cfRule type="containsText" dxfId="441" priority="27" operator="containsText" text="정홍조">
      <formula>NOT(ISERROR(SEARCH("정홍조",H715)))</formula>
    </cfRule>
    <cfRule type="containsText" dxfId="440" priority="28" operator="containsText" text="김지윤">
      <formula>NOT(ISERROR(SEARCH("김지윤",H715)))</formula>
    </cfRule>
    <cfRule type="containsText" dxfId="439" priority="29" operator="containsText" text="전준영">
      <formula>NOT(ISERROR(SEARCH("전준영",H715)))</formula>
    </cfRule>
    <cfRule type="containsText" dxfId="438" priority="30" operator="containsText" text="차재성">
      <formula>NOT(ISERROR(SEARCH("차재성",H715)))</formula>
    </cfRule>
  </conditionalFormatting>
  <conditionalFormatting sqref="J7">
    <cfRule type="containsText" dxfId="437" priority="7" operator="containsText" text="허하나로">
      <formula>NOT(ISERROR(SEARCH("허하나로",H843)))</formula>
    </cfRule>
    <cfRule type="containsText" dxfId="436" priority="8" operator="containsText" text="한별">
      <formula>NOT(ISERROR(SEARCH("한별",H843)))</formula>
    </cfRule>
    <cfRule type="containsText" dxfId="435" priority="9" operator="containsText" text="정홍조">
      <formula>NOT(ISERROR(SEARCH("정홍조",H843)))</formula>
    </cfRule>
    <cfRule type="containsText" dxfId="434" priority="10" operator="containsText" text="김지윤">
      <formula>NOT(ISERROR(SEARCH("김지윤",H843)))</formula>
    </cfRule>
    <cfRule type="containsText" dxfId="433" priority="11" operator="containsText" text="전준영">
      <formula>NOT(ISERROR(SEARCH("전준영",H843)))</formula>
    </cfRule>
    <cfRule type="containsText" dxfId="432" priority="12" operator="containsText" text="차재성">
      <formula>NOT(ISERROR(SEARCH("차재성",H843)))</formula>
    </cfRule>
  </conditionalFormatting>
  <conditionalFormatting sqref="J10:J12">
    <cfRule type="containsText" dxfId="431" priority="1" operator="containsText" text="허하나로">
      <formula>NOT(ISERROR(SEARCH("허하나로",H1051)))</formula>
    </cfRule>
    <cfRule type="containsText" dxfId="430" priority="2" operator="containsText" text="한별">
      <formula>NOT(ISERROR(SEARCH("한별",H1051)))</formula>
    </cfRule>
    <cfRule type="containsText" dxfId="429" priority="3" operator="containsText" text="정홍조">
      <formula>NOT(ISERROR(SEARCH("정홍조",H1051)))</formula>
    </cfRule>
    <cfRule type="containsText" dxfId="428" priority="4" operator="containsText" text="김지윤">
      <formula>NOT(ISERROR(SEARCH("김지윤",H1051)))</formula>
    </cfRule>
    <cfRule type="containsText" dxfId="427" priority="5" operator="containsText" text="전준영">
      <formula>NOT(ISERROR(SEARCH("전준영",H1051)))</formula>
    </cfRule>
    <cfRule type="containsText" dxfId="426" priority="6" operator="containsText" text="차재성">
      <formula>NOT(ISERROR(SEARCH("차재성",H1051)))</formula>
    </cfRule>
  </conditionalFormatting>
  <conditionalFormatting sqref="J9">
    <cfRule type="containsText" dxfId="425" priority="13" operator="containsText" text="허하나로">
      <formula>NOT(ISERROR(SEARCH("허하나로",H1040)))</formula>
    </cfRule>
    <cfRule type="containsText" dxfId="424" priority="14" operator="containsText" text="한별">
      <formula>NOT(ISERROR(SEARCH("한별",H1040)))</formula>
    </cfRule>
    <cfRule type="containsText" dxfId="423" priority="15" operator="containsText" text="정홍조">
      <formula>NOT(ISERROR(SEARCH("정홍조",H1040)))</formula>
    </cfRule>
    <cfRule type="containsText" dxfId="422" priority="16" operator="containsText" text="김지윤">
      <formula>NOT(ISERROR(SEARCH("김지윤",H1040)))</formula>
    </cfRule>
    <cfRule type="containsText" dxfId="421" priority="17" operator="containsText" text="전준영">
      <formula>NOT(ISERROR(SEARCH("전준영",H1040)))</formula>
    </cfRule>
    <cfRule type="containsText" dxfId="420" priority="18" operator="containsText" text="차재성">
      <formula>NOT(ISERROR(SEARCH("차재성",H1040)))</formula>
    </cfRule>
  </conditionalFormatting>
  <conditionalFormatting sqref="J13">
    <cfRule type="containsText" dxfId="419" priority="19" operator="containsText" text="허하나로">
      <formula>NOT(ISERROR(SEARCH("허하나로",H1042)))</formula>
    </cfRule>
    <cfRule type="containsText" dxfId="418" priority="20" operator="containsText" text="한별">
      <formula>NOT(ISERROR(SEARCH("한별",H1042)))</formula>
    </cfRule>
    <cfRule type="containsText" dxfId="417" priority="21" operator="containsText" text="정홍조">
      <formula>NOT(ISERROR(SEARCH("정홍조",H1042)))</formula>
    </cfRule>
    <cfRule type="containsText" dxfId="416" priority="22" operator="containsText" text="김지윤">
      <formula>NOT(ISERROR(SEARCH("김지윤",H1042)))</formula>
    </cfRule>
    <cfRule type="containsText" dxfId="415" priority="23" operator="containsText" text="전준영">
      <formula>NOT(ISERROR(SEARCH("전준영",H1042)))</formula>
    </cfRule>
    <cfRule type="containsText" dxfId="414" priority="24" operator="containsText" text="차재성">
      <formula>NOT(ISERROR(SEARCH("차재성",H1042)))</formula>
    </cfRule>
  </conditionalFormatting>
  <pageMargins left="0.25" right="0.25" top="0.75" bottom="0.75" header="0.3" footer="0.3"/>
  <pageSetup paperSize="9" scale="72" fitToHeight="0" orientation="landscape" r:id="rId1"/>
  <rowBreaks count="1" manualBreakCount="1">
    <brk id="37" max="12" man="1"/>
  </rowBreaks>
  <colBreaks count="1" manualBreakCount="1">
    <brk id="13" max="3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3" operator="containsText" text="허하나로" id="{84904E4D-5B15-4B62-AA9C-8EB1E5502C8B}">
            <xm:f>NOT(ISERROR(SEARCH("허하나로",행사부!H1029)))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3AE28599-61A9-40FF-910A-ED8FEC8BB27B}">
            <xm:f>NOT(ISERROR(SEARCH("한별",행사부!H1029)))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2121DB8C-F976-45F3-8569-4B4FACF40458}">
            <xm:f>NOT(ISERROR(SEARCH("정홍조",행사부!H1029)))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CC22703E-A09D-41E3-854D-D4FA6F2E1DCE}">
            <xm:f>NOT(ISERROR(SEARCH("김지윤",행사부!H1029)))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211100FC-96EF-4F21-B3AA-EAB7669CDF51}">
            <xm:f>NOT(ISERROR(SEARCH("전준영",행사부!H1029)))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D5343758-1DA8-4C58-AC02-3AE3F9CAD79A}">
            <xm:f>NOT(ISERROR(SEARCH("차재성",행사부!H1029)))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J20:J21</xm:sqref>
        </x14:conditionalFormatting>
        <x14:conditionalFormatting xmlns:xm="http://schemas.microsoft.com/office/excel/2006/main">
          <x14:cfRule type="containsText" priority="97" operator="containsText" text="허하나로" id="{73EEA989-06D8-43D8-97E0-C9877023C63C}">
            <xm:f>NOT(ISERROR(SEARCH("허하나로",행정관리부!H1063)))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8" operator="containsText" text="한별" id="{C16141EF-4399-46BB-812F-F1F5F5C8F599}">
            <xm:f>NOT(ISERROR(SEARCH("한별",행정관리부!H1063)))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9" operator="containsText" text="정홍조" id="{32A3A687-A26F-4881-8BE8-098DB7C7C929}">
            <xm:f>NOT(ISERROR(SEARCH("정홍조",행정관리부!H1063)))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0" operator="containsText" text="김지윤" id="{75BD8FE2-8F17-4E0F-AF68-57AD6388DF06}">
            <xm:f>NOT(ISERROR(SEARCH("김지윤",행정관리부!H1063)))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1" operator="containsText" text="전준영" id="{D5FE593C-1B16-48A5-9411-143133F13B5D}">
            <xm:f>NOT(ISERROR(SEARCH("전준영",행정관리부!H1063)))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2" operator="containsText" text="차재성" id="{BFFD7824-8657-4D20-ADF4-0A510F7278D6}">
            <xm:f>NOT(ISERROR(SEARCH("차재성",행정관리부!H1063)))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91" operator="containsText" text="허하나로" id="{05D302D0-1596-4FFA-9E67-35D13F14893F}">
            <xm:f>NOT(ISERROR(SEARCH("허하나로",행정관리부!H1119)))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2" operator="containsText" text="한별" id="{59E41D1D-434E-49CE-875B-7F9D602DB4C5}">
            <xm:f>NOT(ISERROR(SEARCH("한별",행정관리부!H1119)))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3" operator="containsText" text="정홍조" id="{314939BA-B48C-4E1B-BB16-261B18A7D298}">
            <xm:f>NOT(ISERROR(SEARCH("정홍조",행정관리부!H1119)))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94" operator="containsText" text="김지윤" id="{F7B68215-819D-44FE-8EA7-3057AB7CDE8B}">
            <xm:f>NOT(ISERROR(SEARCH("김지윤",행정관리부!H1119)))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" operator="containsText" text="전준영" id="{A35168AE-39FE-4977-B984-4C61F6F4B286}">
            <xm:f>NOT(ISERROR(SEARCH("전준영",행정관리부!H1119)))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text="차재성" id="{FBFB1745-6FD6-4FB0-829C-839E13FAD414}">
            <xm:f>NOT(ISERROR(SEARCH("차재성",행정관리부!H1119)))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J29:J30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P48"/>
  <sheetViews>
    <sheetView zoomScale="85" zoomScaleNormal="85" workbookViewId="0">
      <selection activeCell="H16" sqref="H16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625" customWidth="1"/>
    <col min="10" max="10" width="14.625" customWidth="1"/>
    <col min="11" max="11" width="60.625" customWidth="1"/>
    <col min="12" max="12" width="3.875" customWidth="1"/>
    <col min="13" max="13" width="14.625" customWidth="1"/>
    <col min="14" max="14" width="11.5" style="591" bestFit="1" customWidth="1"/>
    <col min="16" max="16" width="11.5" bestFit="1" customWidth="1"/>
  </cols>
  <sheetData>
    <row r="1" spans="1:16" ht="17.25" thickBot="1">
      <c r="A1" s="88" t="s">
        <v>465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182" t="s">
        <v>32</v>
      </c>
    </row>
    <row r="2" spans="1:16" ht="16.5" customHeight="1">
      <c r="A2" s="715" t="s">
        <v>21</v>
      </c>
      <c r="B2" s="717" t="s">
        <v>22</v>
      </c>
      <c r="C2" s="718"/>
      <c r="D2" s="719"/>
      <c r="E2" s="717" t="s">
        <v>23</v>
      </c>
      <c r="F2" s="718"/>
      <c r="G2" s="719"/>
      <c r="H2" s="693" t="s">
        <v>728</v>
      </c>
      <c r="I2" s="693" t="s">
        <v>729</v>
      </c>
      <c r="J2" s="720" t="s">
        <v>467</v>
      </c>
      <c r="K2" s="704" t="s">
        <v>1</v>
      </c>
      <c r="L2" s="705"/>
      <c r="M2" s="706"/>
    </row>
    <row r="3" spans="1:16" ht="17.25" thickBot="1">
      <c r="A3" s="716"/>
      <c r="B3" s="119" t="s">
        <v>24</v>
      </c>
      <c r="C3" s="119" t="s">
        <v>25</v>
      </c>
      <c r="D3" s="119" t="s">
        <v>26</v>
      </c>
      <c r="E3" s="119" t="s">
        <v>27</v>
      </c>
      <c r="F3" s="119" t="s">
        <v>28</v>
      </c>
      <c r="G3" s="119" t="s">
        <v>29</v>
      </c>
      <c r="H3" s="694"/>
      <c r="I3" s="694"/>
      <c r="J3" s="721"/>
      <c r="K3" s="707"/>
      <c r="L3" s="708"/>
      <c r="M3" s="709"/>
    </row>
    <row r="4" spans="1:16" ht="17.25" thickBot="1">
      <c r="A4" s="710" t="s">
        <v>30</v>
      </c>
      <c r="B4" s="711"/>
      <c r="C4" s="711"/>
      <c r="D4" s="711"/>
      <c r="E4" s="711"/>
      <c r="F4" s="711"/>
      <c r="G4" s="712"/>
      <c r="H4" s="185">
        <f>H5</f>
        <v>2121344</v>
      </c>
      <c r="I4" s="185">
        <v>2121344</v>
      </c>
      <c r="J4" s="120">
        <f t="shared" ref="J4:J35" si="0">H4-I4</f>
        <v>0</v>
      </c>
      <c r="K4" s="89"/>
      <c r="L4" s="90"/>
      <c r="M4" s="121"/>
    </row>
    <row r="5" spans="1:16">
      <c r="A5" s="205" t="s">
        <v>2</v>
      </c>
      <c r="B5" s="122"/>
      <c r="C5" s="123"/>
      <c r="D5" s="123"/>
      <c r="E5" s="123"/>
      <c r="F5" s="123"/>
      <c r="G5" s="124"/>
      <c r="H5" s="94">
        <f>H6</f>
        <v>2121344</v>
      </c>
      <c r="I5" s="94">
        <v>2121344</v>
      </c>
      <c r="J5" s="95">
        <f t="shared" si="0"/>
        <v>0</v>
      </c>
      <c r="K5" s="78"/>
      <c r="L5" s="79"/>
      <c r="M5" s="80"/>
    </row>
    <row r="6" spans="1:16">
      <c r="A6" s="10"/>
      <c r="B6" s="129" t="s">
        <v>287</v>
      </c>
      <c r="C6" s="129"/>
      <c r="D6" s="130"/>
      <c r="E6" s="130"/>
      <c r="F6" s="130"/>
      <c r="G6" s="131"/>
      <c r="H6" s="94">
        <f>SUM(H7,H31)</f>
        <v>2121344</v>
      </c>
      <c r="I6" s="94">
        <v>2121344</v>
      </c>
      <c r="J6" s="95">
        <f t="shared" si="0"/>
        <v>0</v>
      </c>
      <c r="K6" s="78"/>
      <c r="L6" s="79"/>
      <c r="M6" s="80"/>
    </row>
    <row r="7" spans="1:16">
      <c r="A7" s="10"/>
      <c r="B7" s="6"/>
      <c r="C7" s="179" t="s">
        <v>470</v>
      </c>
      <c r="D7" s="130"/>
      <c r="E7" s="130"/>
      <c r="F7" s="130"/>
      <c r="G7" s="131"/>
      <c r="H7" s="91">
        <f>SUM(H8,H21,H26)</f>
        <v>2101200</v>
      </c>
      <c r="I7" s="91">
        <v>2101200</v>
      </c>
      <c r="J7" s="92">
        <f t="shared" ref="J7:J23" si="1">H7-I7</f>
        <v>0</v>
      </c>
      <c r="K7" s="159"/>
      <c r="L7" s="149"/>
      <c r="M7" s="150"/>
    </row>
    <row r="8" spans="1:16">
      <c r="A8" s="10"/>
      <c r="B8" s="6"/>
      <c r="C8" s="147"/>
      <c r="D8" s="129" t="s">
        <v>624</v>
      </c>
      <c r="E8" s="130"/>
      <c r="F8" s="130"/>
      <c r="G8" s="131"/>
      <c r="H8" s="132">
        <f>H9</f>
        <v>2098000</v>
      </c>
      <c r="I8" s="132">
        <v>2098000</v>
      </c>
      <c r="J8" s="9">
        <f t="shared" ref="J8:J17" si="2">H8-I8</f>
        <v>0</v>
      </c>
      <c r="K8" s="394"/>
      <c r="L8" s="395"/>
      <c r="M8" s="402"/>
    </row>
    <row r="9" spans="1:16">
      <c r="A9" s="10"/>
      <c r="B9" s="6"/>
      <c r="C9" s="134"/>
      <c r="D9" s="135"/>
      <c r="E9" s="129" t="s">
        <v>31</v>
      </c>
      <c r="F9" s="130"/>
      <c r="G9" s="131"/>
      <c r="H9" s="91">
        <f>H10</f>
        <v>2098000</v>
      </c>
      <c r="I9" s="91">
        <v>2098000</v>
      </c>
      <c r="J9" s="92">
        <f t="shared" si="2"/>
        <v>0</v>
      </c>
      <c r="K9" s="355"/>
      <c r="L9" s="396"/>
      <c r="M9" s="397"/>
    </row>
    <row r="10" spans="1:16">
      <c r="A10" s="63"/>
      <c r="B10" s="65"/>
      <c r="C10" s="65"/>
      <c r="D10" s="65"/>
      <c r="E10" s="65"/>
      <c r="F10" s="136" t="s">
        <v>35</v>
      </c>
      <c r="G10" s="140"/>
      <c r="H10" s="72">
        <f>SUM(H11,H17)</f>
        <v>2098000</v>
      </c>
      <c r="I10" s="72">
        <v>2098000</v>
      </c>
      <c r="J10" s="98">
        <f t="shared" si="2"/>
        <v>0</v>
      </c>
      <c r="K10" s="388"/>
      <c r="L10" s="389"/>
      <c r="M10" s="403"/>
    </row>
    <row r="11" spans="1:16">
      <c r="A11" s="55"/>
      <c r="B11" s="57"/>
      <c r="C11" s="65"/>
      <c r="D11" s="65"/>
      <c r="E11" s="65"/>
      <c r="F11" s="56"/>
      <c r="G11" s="56" t="s">
        <v>36</v>
      </c>
      <c r="H11" s="100">
        <f>SUM(M12,M16)</f>
        <v>5600</v>
      </c>
      <c r="I11" s="100">
        <v>5600</v>
      </c>
      <c r="J11" s="102">
        <f>H11-I11</f>
        <v>0</v>
      </c>
      <c r="K11" s="672" t="s">
        <v>720</v>
      </c>
      <c r="L11" s="673"/>
      <c r="M11" s="674"/>
      <c r="N11" s="612"/>
    </row>
    <row r="12" spans="1:16">
      <c r="A12" s="63"/>
      <c r="B12" s="65"/>
      <c r="C12" s="65"/>
      <c r="D12" s="145"/>
      <c r="E12" s="190"/>
      <c r="F12" s="190"/>
      <c r="G12" s="65"/>
      <c r="H12" s="74"/>
      <c r="I12" s="74"/>
      <c r="J12" s="74"/>
      <c r="K12" s="361" t="s">
        <v>62</v>
      </c>
      <c r="L12" s="380"/>
      <c r="M12" s="415">
        <f>SUM(M13:M14)</f>
        <v>4000</v>
      </c>
      <c r="N12" s="612"/>
    </row>
    <row r="13" spans="1:16">
      <c r="A13" s="63"/>
      <c r="B13" s="65"/>
      <c r="C13" s="65"/>
      <c r="D13" s="145"/>
      <c r="E13" s="190"/>
      <c r="F13" s="190"/>
      <c r="G13" s="68"/>
      <c r="H13" s="74"/>
      <c r="I13" s="74"/>
      <c r="J13" s="74"/>
      <c r="K13" s="387" t="s">
        <v>718</v>
      </c>
      <c r="L13" s="380" t="s">
        <v>37</v>
      </c>
      <c r="M13" s="404">
        <v>3000</v>
      </c>
      <c r="N13" s="612"/>
    </row>
    <row r="14" spans="1:16">
      <c r="A14" s="63"/>
      <c r="B14" s="65"/>
      <c r="C14" s="65"/>
      <c r="D14" s="145"/>
      <c r="E14" s="190"/>
      <c r="F14" s="190"/>
      <c r="G14" s="68"/>
      <c r="H14" s="74"/>
      <c r="I14" s="74"/>
      <c r="J14" s="74"/>
      <c r="K14" s="387" t="s">
        <v>719</v>
      </c>
      <c r="L14" s="380"/>
      <c r="M14" s="404">
        <v>1000</v>
      </c>
      <c r="N14" s="612"/>
    </row>
    <row r="15" spans="1:16">
      <c r="A15" s="55"/>
      <c r="B15" s="57"/>
      <c r="C15" s="65"/>
      <c r="D15" s="65"/>
      <c r="E15" s="65"/>
      <c r="F15" s="56"/>
      <c r="G15" s="56"/>
      <c r="H15" s="100"/>
      <c r="I15" s="100"/>
      <c r="J15" s="102"/>
      <c r="K15" s="361" t="s">
        <v>717</v>
      </c>
      <c r="L15" s="383"/>
      <c r="M15" s="384"/>
      <c r="N15" s="612"/>
    </row>
    <row r="16" spans="1:16">
      <c r="A16" s="63"/>
      <c r="B16" s="65"/>
      <c r="C16" s="65"/>
      <c r="D16" s="65"/>
      <c r="E16" s="65"/>
      <c r="F16" s="56"/>
      <c r="G16" s="56"/>
      <c r="H16" s="100"/>
      <c r="I16" s="100"/>
      <c r="J16" s="102"/>
      <c r="K16" s="385" t="s">
        <v>640</v>
      </c>
      <c r="L16" s="378" t="s">
        <v>37</v>
      </c>
      <c r="M16" s="379">
        <v>1600</v>
      </c>
      <c r="N16" s="612"/>
      <c r="P16" s="590"/>
    </row>
    <row r="17" spans="1:16">
      <c r="A17" s="55"/>
      <c r="B17" s="57"/>
      <c r="C17" s="65"/>
      <c r="D17" s="65"/>
      <c r="E17" s="65"/>
      <c r="F17" s="222"/>
      <c r="G17" s="206" t="s">
        <v>625</v>
      </c>
      <c r="H17" s="207">
        <f>M17</f>
        <v>2092400</v>
      </c>
      <c r="I17" s="207">
        <v>2092400</v>
      </c>
      <c r="J17" s="41">
        <f t="shared" si="2"/>
        <v>0</v>
      </c>
      <c r="K17" s="391" t="s">
        <v>626</v>
      </c>
      <c r="L17" s="418"/>
      <c r="M17" s="393">
        <f>M20</f>
        <v>2092400</v>
      </c>
    </row>
    <row r="18" spans="1:16">
      <c r="A18" s="55"/>
      <c r="B18" s="57"/>
      <c r="C18" s="65"/>
      <c r="D18" s="65"/>
      <c r="E18" s="65"/>
      <c r="F18" s="56"/>
      <c r="G18" s="56"/>
      <c r="H18" s="100"/>
      <c r="I18" s="100"/>
      <c r="J18" s="102"/>
      <c r="K18" s="602" t="s">
        <v>627</v>
      </c>
      <c r="L18" s="383" t="s">
        <v>37</v>
      </c>
      <c r="M18" s="379">
        <v>2098000</v>
      </c>
      <c r="O18" s="252"/>
      <c r="P18" s="590"/>
    </row>
    <row r="19" spans="1:16">
      <c r="A19" s="55"/>
      <c r="B19" s="57"/>
      <c r="C19" s="65"/>
      <c r="D19" s="65"/>
      <c r="E19" s="65"/>
      <c r="F19" s="56"/>
      <c r="G19" s="613"/>
      <c r="H19" s="100"/>
      <c r="I19" s="100"/>
      <c r="J19" s="102"/>
      <c r="K19" s="672" t="s">
        <v>721</v>
      </c>
      <c r="L19" s="673"/>
      <c r="M19" s="674"/>
      <c r="N19" s="612"/>
      <c r="O19" s="252"/>
      <c r="P19" s="590"/>
    </row>
    <row r="20" spans="1:16">
      <c r="A20" s="55"/>
      <c r="B20" s="57"/>
      <c r="C20" s="65"/>
      <c r="D20" s="65"/>
      <c r="E20" s="65"/>
      <c r="F20" s="56"/>
      <c r="G20" s="613"/>
      <c r="H20" s="100"/>
      <c r="I20" s="100"/>
      <c r="J20" s="102"/>
      <c r="K20" s="620" t="s">
        <v>716</v>
      </c>
      <c r="L20" s="383" t="s">
        <v>0</v>
      </c>
      <c r="M20" s="379">
        <v>2092400</v>
      </c>
      <c r="N20" s="612"/>
      <c r="O20" s="252"/>
      <c r="P20" s="590"/>
    </row>
    <row r="21" spans="1:16">
      <c r="A21" s="10"/>
      <c r="B21" s="6"/>
      <c r="C21" s="147"/>
      <c r="D21" s="129" t="s">
        <v>471</v>
      </c>
      <c r="E21" s="130"/>
      <c r="F21" s="130"/>
      <c r="G21" s="131"/>
      <c r="H21" s="132">
        <f>H22</f>
        <v>1600</v>
      </c>
      <c r="I21" s="132">
        <v>1600</v>
      </c>
      <c r="J21" s="9">
        <f t="shared" si="1"/>
        <v>0</v>
      </c>
      <c r="K21" s="394"/>
      <c r="L21" s="395"/>
      <c r="M21" s="402"/>
    </row>
    <row r="22" spans="1:16">
      <c r="A22" s="10"/>
      <c r="B22" s="6"/>
      <c r="C22" s="134"/>
      <c r="D22" s="135"/>
      <c r="E22" s="129" t="s">
        <v>31</v>
      </c>
      <c r="F22" s="130"/>
      <c r="G22" s="131"/>
      <c r="H22" s="91">
        <f>H23</f>
        <v>1600</v>
      </c>
      <c r="I22" s="91">
        <v>1600</v>
      </c>
      <c r="J22" s="92">
        <f t="shared" si="1"/>
        <v>0</v>
      </c>
      <c r="K22" s="355"/>
      <c r="L22" s="396"/>
      <c r="M22" s="397"/>
    </row>
    <row r="23" spans="1:16">
      <c r="A23" s="63"/>
      <c r="B23" s="65"/>
      <c r="C23" s="65"/>
      <c r="D23" s="65"/>
      <c r="E23" s="65"/>
      <c r="F23" s="136" t="s">
        <v>35</v>
      </c>
      <c r="G23" s="140"/>
      <c r="H23" s="72">
        <f>SUM(H24)</f>
        <v>1600</v>
      </c>
      <c r="I23" s="72">
        <v>1600</v>
      </c>
      <c r="J23" s="98">
        <f t="shared" si="1"/>
        <v>0</v>
      </c>
      <c r="K23" s="388"/>
      <c r="L23" s="389"/>
      <c r="M23" s="403"/>
    </row>
    <row r="24" spans="1:16">
      <c r="A24" s="55"/>
      <c r="B24" s="57"/>
      <c r="C24" s="65"/>
      <c r="D24" s="65"/>
      <c r="E24" s="65"/>
      <c r="F24" s="56"/>
      <c r="G24" s="56" t="s">
        <v>628</v>
      </c>
      <c r="H24" s="100">
        <f>M24</f>
        <v>1600</v>
      </c>
      <c r="I24" s="100">
        <v>1600</v>
      </c>
      <c r="J24" s="102">
        <f>H24-I24</f>
        <v>0</v>
      </c>
      <c r="K24" s="361" t="s">
        <v>472</v>
      </c>
      <c r="L24" s="383"/>
      <c r="M24" s="384">
        <f>SUM(M25)</f>
        <v>1600</v>
      </c>
    </row>
    <row r="25" spans="1:16">
      <c r="A25" s="63"/>
      <c r="B25" s="65"/>
      <c r="C25" s="65"/>
      <c r="D25" s="65"/>
      <c r="E25" s="65"/>
      <c r="F25" s="56"/>
      <c r="G25" s="56"/>
      <c r="H25" s="100"/>
      <c r="I25" s="100"/>
      <c r="J25" s="102"/>
      <c r="K25" s="385" t="s">
        <v>641</v>
      </c>
      <c r="L25" s="378" t="s">
        <v>37</v>
      </c>
      <c r="M25" s="379">
        <v>1600</v>
      </c>
      <c r="P25" s="590"/>
    </row>
    <row r="26" spans="1:16">
      <c r="A26" s="10"/>
      <c r="B26" s="6"/>
      <c r="C26" s="147"/>
      <c r="D26" s="129" t="s">
        <v>473</v>
      </c>
      <c r="E26" s="130"/>
      <c r="F26" s="130"/>
      <c r="G26" s="131"/>
      <c r="H26" s="132">
        <f>H27</f>
        <v>1600</v>
      </c>
      <c r="I26" s="132">
        <v>1600</v>
      </c>
      <c r="J26" s="9">
        <f t="shared" ref="J26:J28" si="3">H26-I26</f>
        <v>0</v>
      </c>
      <c r="K26" s="394"/>
      <c r="L26" s="395"/>
      <c r="M26" s="402"/>
    </row>
    <row r="27" spans="1:16">
      <c r="A27" s="10"/>
      <c r="B27" s="6"/>
      <c r="C27" s="134"/>
      <c r="D27" s="135"/>
      <c r="E27" s="129" t="s">
        <v>31</v>
      </c>
      <c r="F27" s="130"/>
      <c r="G27" s="131"/>
      <c r="H27" s="91">
        <f>H28</f>
        <v>1600</v>
      </c>
      <c r="I27" s="91">
        <v>1600</v>
      </c>
      <c r="J27" s="92">
        <f t="shared" si="3"/>
        <v>0</v>
      </c>
      <c r="K27" s="355"/>
      <c r="L27" s="396"/>
      <c r="M27" s="397"/>
    </row>
    <row r="28" spans="1:16">
      <c r="A28" s="63"/>
      <c r="B28" s="65"/>
      <c r="C28" s="65"/>
      <c r="D28" s="65"/>
      <c r="E28" s="65"/>
      <c r="F28" s="136" t="s">
        <v>35</v>
      </c>
      <c r="G28" s="140"/>
      <c r="H28" s="72">
        <f>SUM(H29)</f>
        <v>1600</v>
      </c>
      <c r="I28" s="72">
        <v>1600</v>
      </c>
      <c r="J28" s="98">
        <f t="shared" si="3"/>
        <v>0</v>
      </c>
      <c r="K28" s="388"/>
      <c r="L28" s="389"/>
      <c r="M28" s="403"/>
    </row>
    <row r="29" spans="1:16">
      <c r="A29" s="55"/>
      <c r="B29" s="57"/>
      <c r="C29" s="65"/>
      <c r="D29" s="65"/>
      <c r="E29" s="65"/>
      <c r="F29" s="56"/>
      <c r="G29" s="56" t="s">
        <v>628</v>
      </c>
      <c r="H29" s="100">
        <f>M29</f>
        <v>1600</v>
      </c>
      <c r="I29" s="100">
        <v>1600</v>
      </c>
      <c r="J29" s="102">
        <f>H29-I29</f>
        <v>0</v>
      </c>
      <c r="K29" s="361" t="s">
        <v>472</v>
      </c>
      <c r="L29" s="383"/>
      <c r="M29" s="384">
        <f>SUM(M30)</f>
        <v>1600</v>
      </c>
    </row>
    <row r="30" spans="1:16">
      <c r="A30" s="63"/>
      <c r="B30" s="65"/>
      <c r="C30" s="65"/>
      <c r="D30" s="65"/>
      <c r="E30" s="65"/>
      <c r="F30" s="56"/>
      <c r="G30" s="56"/>
      <c r="H30" s="100"/>
      <c r="I30" s="100"/>
      <c r="J30" s="102"/>
      <c r="K30" s="385" t="s">
        <v>640</v>
      </c>
      <c r="L30" s="378" t="s">
        <v>37</v>
      </c>
      <c r="M30" s="379">
        <v>1600</v>
      </c>
      <c r="P30" s="590"/>
    </row>
    <row r="31" spans="1:16">
      <c r="A31" s="10"/>
      <c r="B31" s="6"/>
      <c r="C31" s="179" t="s">
        <v>244</v>
      </c>
      <c r="D31" s="130"/>
      <c r="E31" s="130"/>
      <c r="F31" s="130"/>
      <c r="G31" s="131"/>
      <c r="H31" s="91">
        <f>H32</f>
        <v>20144</v>
      </c>
      <c r="I31" s="91">
        <v>20144</v>
      </c>
      <c r="J31" s="92">
        <f t="shared" si="0"/>
        <v>0</v>
      </c>
      <c r="K31" s="401"/>
      <c r="L31" s="395"/>
      <c r="M31" s="402"/>
    </row>
    <row r="32" spans="1:16">
      <c r="A32" s="10"/>
      <c r="B32" s="6"/>
      <c r="C32" s="147"/>
      <c r="D32" s="129" t="s">
        <v>34</v>
      </c>
      <c r="E32" s="130"/>
      <c r="F32" s="130"/>
      <c r="G32" s="131"/>
      <c r="H32" s="132">
        <f>H33</f>
        <v>20144</v>
      </c>
      <c r="I32" s="132">
        <v>20144</v>
      </c>
      <c r="J32" s="9">
        <f t="shared" si="0"/>
        <v>0</v>
      </c>
      <c r="K32" s="394"/>
      <c r="L32" s="395"/>
      <c r="M32" s="402"/>
    </row>
    <row r="33" spans="1:16">
      <c r="A33" s="10"/>
      <c r="B33" s="6"/>
      <c r="C33" s="134"/>
      <c r="D33" s="135"/>
      <c r="E33" s="129" t="s">
        <v>31</v>
      </c>
      <c r="F33" s="130"/>
      <c r="G33" s="131"/>
      <c r="H33" s="91">
        <f>SUM(H34,H39,H43,H46)</f>
        <v>20144</v>
      </c>
      <c r="I33" s="91">
        <v>20144</v>
      </c>
      <c r="J33" s="92">
        <f t="shared" si="0"/>
        <v>0</v>
      </c>
      <c r="K33" s="355"/>
      <c r="L33" s="396"/>
      <c r="M33" s="397"/>
    </row>
    <row r="34" spans="1:16">
      <c r="A34" s="63"/>
      <c r="B34" s="65"/>
      <c r="C34" s="65"/>
      <c r="D34" s="65"/>
      <c r="E34" s="65"/>
      <c r="F34" s="136" t="s">
        <v>35</v>
      </c>
      <c r="G34" s="140"/>
      <c r="H34" s="72">
        <f>SUM(H35,H37)</f>
        <v>7544</v>
      </c>
      <c r="I34" s="72">
        <v>7544</v>
      </c>
      <c r="J34" s="98">
        <f t="shared" si="0"/>
        <v>0</v>
      </c>
      <c r="K34" s="388"/>
      <c r="L34" s="389"/>
      <c r="M34" s="403"/>
    </row>
    <row r="35" spans="1:16">
      <c r="A35" s="55"/>
      <c r="B35" s="57"/>
      <c r="C35" s="65"/>
      <c r="D35" s="65"/>
      <c r="E35" s="65"/>
      <c r="F35" s="192"/>
      <c r="G35" s="206" t="s">
        <v>36</v>
      </c>
      <c r="H35" s="207">
        <f>M35</f>
        <v>2000</v>
      </c>
      <c r="I35" s="207">
        <v>2000</v>
      </c>
      <c r="J35" s="41">
        <f t="shared" si="0"/>
        <v>0</v>
      </c>
      <c r="K35" s="391" t="s">
        <v>47</v>
      </c>
      <c r="L35" s="418"/>
      <c r="M35" s="393">
        <f>SUM(M36:M36)</f>
        <v>2000</v>
      </c>
    </row>
    <row r="36" spans="1:16">
      <c r="A36" s="55"/>
      <c r="B36" s="57"/>
      <c r="C36" s="65"/>
      <c r="D36" s="65"/>
      <c r="E36" s="65"/>
      <c r="F36" s="56"/>
      <c r="G36" s="56"/>
      <c r="H36" s="100"/>
      <c r="I36" s="100"/>
      <c r="J36" s="102"/>
      <c r="K36" s="602" t="s">
        <v>704</v>
      </c>
      <c r="L36" s="383" t="s">
        <v>37</v>
      </c>
      <c r="M36" s="379">
        <v>2000</v>
      </c>
    </row>
    <row r="37" spans="1:16">
      <c r="A37" s="55"/>
      <c r="B37" s="57"/>
      <c r="C37" s="65"/>
      <c r="D37" s="65"/>
      <c r="E37" s="65"/>
      <c r="F37" s="56"/>
      <c r="G37" s="206" t="s">
        <v>309</v>
      </c>
      <c r="H37" s="207">
        <f>M37</f>
        <v>5544</v>
      </c>
      <c r="I37" s="207">
        <v>5544</v>
      </c>
      <c r="J37" s="208">
        <f>H37-I37</f>
        <v>0</v>
      </c>
      <c r="K37" s="391" t="s">
        <v>310</v>
      </c>
      <c r="L37" s="530"/>
      <c r="M37" s="393">
        <f>SUM(M38)</f>
        <v>5544</v>
      </c>
    </row>
    <row r="38" spans="1:16">
      <c r="A38" s="63"/>
      <c r="B38" s="65"/>
      <c r="C38" s="65"/>
      <c r="D38" s="65"/>
      <c r="E38" s="65"/>
      <c r="F38" s="56"/>
      <c r="G38" s="56"/>
      <c r="H38" s="100"/>
      <c r="I38" s="100"/>
      <c r="J38" s="102"/>
      <c r="K38" s="385" t="s">
        <v>629</v>
      </c>
      <c r="L38" s="378" t="s">
        <v>37</v>
      </c>
      <c r="M38" s="379">
        <v>5544</v>
      </c>
    </row>
    <row r="39" spans="1:16">
      <c r="A39" s="63"/>
      <c r="B39" s="65"/>
      <c r="C39" s="65"/>
      <c r="D39" s="65"/>
      <c r="E39" s="65"/>
      <c r="F39" s="713" t="s">
        <v>40</v>
      </c>
      <c r="G39" s="714"/>
      <c r="H39" s="152">
        <f>H40</f>
        <v>9000</v>
      </c>
      <c r="I39" s="152">
        <v>9000</v>
      </c>
      <c r="J39" s="153">
        <f>H39-I39</f>
        <v>0</v>
      </c>
      <c r="K39" s="603"/>
      <c r="L39" s="604"/>
      <c r="M39" s="390"/>
    </row>
    <row r="40" spans="1:16">
      <c r="A40" s="63"/>
      <c r="B40" s="65"/>
      <c r="C40" s="65"/>
      <c r="D40" s="65"/>
      <c r="E40" s="65"/>
      <c r="F40" s="109"/>
      <c r="G40" s="199" t="s">
        <v>41</v>
      </c>
      <c r="H40" s="210">
        <f>M40</f>
        <v>9000</v>
      </c>
      <c r="I40" s="207">
        <v>9000</v>
      </c>
      <c r="J40" s="202">
        <f>H40-I40</f>
        <v>0</v>
      </c>
      <c r="K40" s="391" t="s">
        <v>49</v>
      </c>
      <c r="L40" s="605"/>
      <c r="M40" s="393">
        <f>SUM(M41:M42)</f>
        <v>9000</v>
      </c>
    </row>
    <row r="41" spans="1:16">
      <c r="A41" s="63"/>
      <c r="B41" s="65"/>
      <c r="C41" s="65"/>
      <c r="D41" s="65"/>
      <c r="E41" s="65"/>
      <c r="F41" s="194"/>
      <c r="G41" s="194"/>
      <c r="H41" s="100"/>
      <c r="I41" s="104"/>
      <c r="J41" s="102"/>
      <c r="K41" s="387" t="s">
        <v>705</v>
      </c>
      <c r="L41" s="424" t="s">
        <v>0</v>
      </c>
      <c r="M41" s="379">
        <v>2400</v>
      </c>
    </row>
    <row r="42" spans="1:16">
      <c r="A42" s="63"/>
      <c r="B42" s="65"/>
      <c r="C42" s="65"/>
      <c r="D42" s="65"/>
      <c r="E42" s="65"/>
      <c r="F42" s="194"/>
      <c r="G42" s="194"/>
      <c r="H42" s="100"/>
      <c r="I42" s="104"/>
      <c r="J42" s="102"/>
      <c r="K42" s="527" t="s">
        <v>706</v>
      </c>
      <c r="L42" s="528" t="s">
        <v>0</v>
      </c>
      <c r="M42" s="379">
        <v>6600</v>
      </c>
    </row>
    <row r="43" spans="1:16">
      <c r="A43" s="63"/>
      <c r="B43" s="65"/>
      <c r="C43" s="65"/>
      <c r="D43" s="65"/>
      <c r="E43" s="65"/>
      <c r="F43" s="713" t="s">
        <v>42</v>
      </c>
      <c r="G43" s="714"/>
      <c r="H43" s="152">
        <f>H44</f>
        <v>1500</v>
      </c>
      <c r="I43" s="152">
        <v>1500</v>
      </c>
      <c r="J43" s="153">
        <f>H43-I43</f>
        <v>0</v>
      </c>
      <c r="K43" s="603"/>
      <c r="L43" s="604"/>
      <c r="M43" s="390"/>
    </row>
    <row r="44" spans="1:16">
      <c r="A44" s="63"/>
      <c r="B44" s="65"/>
      <c r="C44" s="65"/>
      <c r="D44" s="65"/>
      <c r="E44" s="65"/>
      <c r="F44" s="194"/>
      <c r="G44" s="109" t="s">
        <v>43</v>
      </c>
      <c r="H44" s="210">
        <f>M44</f>
        <v>1500</v>
      </c>
      <c r="I44" s="210">
        <v>1500</v>
      </c>
      <c r="J44" s="202">
        <f>H44-I44</f>
        <v>0</v>
      </c>
      <c r="K44" s="391" t="s">
        <v>507</v>
      </c>
      <c r="L44" s="418"/>
      <c r="M44" s="393">
        <f>SUM(M45)</f>
        <v>1500</v>
      </c>
    </row>
    <row r="45" spans="1:16">
      <c r="A45" s="318"/>
      <c r="B45" s="319"/>
      <c r="C45" s="319"/>
      <c r="D45" s="319"/>
      <c r="E45" s="319"/>
      <c r="F45" s="195"/>
      <c r="G45" s="195"/>
      <c r="H45" s="103"/>
      <c r="I45" s="155"/>
      <c r="J45" s="155"/>
      <c r="K45" s="527" t="s">
        <v>630</v>
      </c>
      <c r="L45" s="528" t="s">
        <v>0</v>
      </c>
      <c r="M45" s="386">
        <v>1500</v>
      </c>
    </row>
    <row r="46" spans="1:16">
      <c r="A46" s="63"/>
      <c r="B46" s="65"/>
      <c r="C46" s="65"/>
      <c r="D46" s="65"/>
      <c r="E46" s="65"/>
      <c r="F46" s="334" t="s">
        <v>89</v>
      </c>
      <c r="G46" s="70"/>
      <c r="H46" s="71">
        <f>H47</f>
        <v>2100</v>
      </c>
      <c r="I46" s="71">
        <v>2100</v>
      </c>
      <c r="J46" s="146">
        <f>H46-I46</f>
        <v>0</v>
      </c>
      <c r="K46" s="535"/>
      <c r="L46" s="536"/>
      <c r="M46" s="537"/>
    </row>
    <row r="47" spans="1:16">
      <c r="A47" s="63"/>
      <c r="B47" s="65"/>
      <c r="C47" s="65"/>
      <c r="D47" s="65"/>
      <c r="E47" s="65"/>
      <c r="F47" s="143"/>
      <c r="G47" s="65" t="s">
        <v>93</v>
      </c>
      <c r="H47" s="75">
        <f>M47</f>
        <v>2100</v>
      </c>
      <c r="I47" s="75">
        <v>2100</v>
      </c>
      <c r="J47" s="48">
        <f>H47-I47</f>
        <v>0</v>
      </c>
      <c r="K47" s="36" t="s">
        <v>387</v>
      </c>
      <c r="L47" s="39"/>
      <c r="M47" s="218">
        <f>M48</f>
        <v>2100</v>
      </c>
    </row>
    <row r="48" spans="1:16" ht="17.25" thickBot="1">
      <c r="A48" s="290"/>
      <c r="B48" s="69"/>
      <c r="C48" s="69"/>
      <c r="D48" s="69"/>
      <c r="E48" s="69"/>
      <c r="F48" s="336"/>
      <c r="G48" s="200"/>
      <c r="H48" s="337"/>
      <c r="I48" s="338"/>
      <c r="J48" s="339"/>
      <c r="K48" s="231" t="s">
        <v>392</v>
      </c>
      <c r="L48" s="232" t="s">
        <v>0</v>
      </c>
      <c r="M48" s="242">
        <v>2100</v>
      </c>
      <c r="P48" s="590"/>
    </row>
  </sheetData>
  <autoFilter ref="A3:M48">
    <filterColumn colId="10" showButton="0"/>
    <filterColumn colId="11" showButton="0"/>
  </autoFilter>
  <mergeCells count="10">
    <mergeCell ref="K2:M3"/>
    <mergeCell ref="A4:G4"/>
    <mergeCell ref="F39:G39"/>
    <mergeCell ref="F43:G43"/>
    <mergeCell ref="A2:A3"/>
    <mergeCell ref="B2:D2"/>
    <mergeCell ref="E2:G2"/>
    <mergeCell ref="H2:H3"/>
    <mergeCell ref="I2:I3"/>
    <mergeCell ref="J2:J3"/>
  </mergeCells>
  <phoneticPr fontId="12" type="noConversion"/>
  <conditionalFormatting sqref="J44:J45">
    <cfRule type="containsText" dxfId="395" priority="199" operator="containsText" text="허하나로">
      <formula>NOT(ISERROR(SEARCH("허하나로",H1070)))</formula>
    </cfRule>
    <cfRule type="containsText" dxfId="394" priority="200" operator="containsText" text="한별">
      <formula>NOT(ISERROR(SEARCH("한별",H1070)))</formula>
    </cfRule>
    <cfRule type="containsText" dxfId="393" priority="201" operator="containsText" text="정홍조">
      <formula>NOT(ISERROR(SEARCH("정홍조",H1070)))</formula>
    </cfRule>
    <cfRule type="containsText" dxfId="392" priority="202" operator="containsText" text="김지윤">
      <formula>NOT(ISERROR(SEARCH("김지윤",H1070)))</formula>
    </cfRule>
    <cfRule type="containsText" dxfId="391" priority="203" operator="containsText" text="전준영">
      <formula>NOT(ISERROR(SEARCH("전준영",H1070)))</formula>
    </cfRule>
    <cfRule type="containsText" dxfId="390" priority="204" operator="containsText" text="차재성">
      <formula>NOT(ISERROR(SEARCH("차재성",H1070)))</formula>
    </cfRule>
  </conditionalFormatting>
  <conditionalFormatting sqref="J6">
    <cfRule type="containsText" dxfId="389" priority="211" operator="containsText" text="허하나로">
      <formula>NOT(ISERROR(SEARCH("허하나로",H707)))</formula>
    </cfRule>
    <cfRule type="containsText" dxfId="388" priority="212" operator="containsText" text="한별">
      <formula>NOT(ISERROR(SEARCH("한별",H707)))</formula>
    </cfRule>
    <cfRule type="containsText" dxfId="387" priority="213" operator="containsText" text="정홍조">
      <formula>NOT(ISERROR(SEARCH("정홍조",H707)))</formula>
    </cfRule>
    <cfRule type="containsText" dxfId="386" priority="214" operator="containsText" text="김지윤">
      <formula>NOT(ISERROR(SEARCH("김지윤",H707)))</formula>
    </cfRule>
    <cfRule type="containsText" dxfId="385" priority="215" operator="containsText" text="전준영">
      <formula>NOT(ISERROR(SEARCH("전준영",H707)))</formula>
    </cfRule>
    <cfRule type="containsText" dxfId="384" priority="216" operator="containsText" text="차재성">
      <formula>NOT(ISERROR(SEARCH("차재성",H707)))</formula>
    </cfRule>
  </conditionalFormatting>
  <conditionalFormatting sqref="J5">
    <cfRule type="containsText" dxfId="383" priority="205" operator="containsText" text="허하나로">
      <formula>NOT(ISERROR(SEARCH("허하나로",H706)))</formula>
    </cfRule>
    <cfRule type="containsText" dxfId="382" priority="206" operator="containsText" text="한별">
      <formula>NOT(ISERROR(SEARCH("한별",H706)))</formula>
    </cfRule>
    <cfRule type="containsText" dxfId="381" priority="207" operator="containsText" text="정홍조">
      <formula>NOT(ISERROR(SEARCH("정홍조",H706)))</formula>
    </cfRule>
    <cfRule type="containsText" dxfId="380" priority="208" operator="containsText" text="김지윤">
      <formula>NOT(ISERROR(SEARCH("김지윤",H706)))</formula>
    </cfRule>
    <cfRule type="containsText" dxfId="379" priority="209" operator="containsText" text="전준영">
      <formula>NOT(ISERROR(SEARCH("전준영",H706)))</formula>
    </cfRule>
    <cfRule type="containsText" dxfId="378" priority="210" operator="containsText" text="차재성">
      <formula>NOT(ISERROR(SEARCH("차재성",H706)))</formula>
    </cfRule>
  </conditionalFormatting>
  <conditionalFormatting sqref="J31">
    <cfRule type="containsText" dxfId="377" priority="193" operator="containsText" text="허하나로">
      <formula>NOT(ISERROR(SEARCH("허하나로",H840)))</formula>
    </cfRule>
    <cfRule type="containsText" dxfId="376" priority="194" operator="containsText" text="한별">
      <formula>NOT(ISERROR(SEARCH("한별",H840)))</formula>
    </cfRule>
    <cfRule type="containsText" dxfId="375" priority="195" operator="containsText" text="정홍조">
      <formula>NOT(ISERROR(SEARCH("정홍조",H840)))</formula>
    </cfRule>
    <cfRule type="containsText" dxfId="374" priority="196" operator="containsText" text="김지윤">
      <formula>NOT(ISERROR(SEARCH("김지윤",H840)))</formula>
    </cfRule>
    <cfRule type="containsText" dxfId="373" priority="197" operator="containsText" text="전준영">
      <formula>NOT(ISERROR(SEARCH("전준영",H840)))</formula>
    </cfRule>
    <cfRule type="containsText" dxfId="372" priority="198" operator="containsText" text="차재성">
      <formula>NOT(ISERROR(SEARCH("차재성",H840)))</formula>
    </cfRule>
  </conditionalFormatting>
  <conditionalFormatting sqref="J34:J35">
    <cfRule type="containsText" dxfId="371" priority="187" operator="containsText" text="허하나로">
      <formula>NOT(ISERROR(SEARCH("허하나로",H1048)))</formula>
    </cfRule>
    <cfRule type="containsText" dxfId="370" priority="188" operator="containsText" text="한별">
      <formula>NOT(ISERROR(SEARCH("한별",H1048)))</formula>
    </cfRule>
    <cfRule type="containsText" dxfId="369" priority="189" operator="containsText" text="정홍조">
      <formula>NOT(ISERROR(SEARCH("정홍조",H1048)))</formula>
    </cfRule>
    <cfRule type="containsText" dxfId="368" priority="190" operator="containsText" text="김지윤">
      <formula>NOT(ISERROR(SEARCH("김지윤",H1048)))</formula>
    </cfRule>
    <cfRule type="containsText" dxfId="367" priority="191" operator="containsText" text="전준영">
      <formula>NOT(ISERROR(SEARCH("전준영",H1048)))</formula>
    </cfRule>
    <cfRule type="containsText" dxfId="366" priority="192" operator="containsText" text="차재성">
      <formula>NOT(ISERROR(SEARCH("차재성",H1048)))</formula>
    </cfRule>
  </conditionalFormatting>
  <conditionalFormatting sqref="J33 J18:J19">
    <cfRule type="containsText" dxfId="365" priority="229" operator="containsText" text="허하나로">
      <formula>NOT(ISERROR(SEARCH("허하나로",H1022)))</formula>
    </cfRule>
    <cfRule type="containsText" dxfId="364" priority="230" operator="containsText" text="한별">
      <formula>NOT(ISERROR(SEARCH("한별",H1022)))</formula>
    </cfRule>
    <cfRule type="containsText" dxfId="363" priority="231" operator="containsText" text="정홍조">
      <formula>NOT(ISERROR(SEARCH("정홍조",H1022)))</formula>
    </cfRule>
    <cfRule type="containsText" dxfId="362" priority="232" operator="containsText" text="김지윤">
      <formula>NOT(ISERROR(SEARCH("김지윤",H1022)))</formula>
    </cfRule>
    <cfRule type="containsText" dxfId="361" priority="233" operator="containsText" text="전준영">
      <formula>NOT(ISERROR(SEARCH("전준영",H1022)))</formula>
    </cfRule>
    <cfRule type="containsText" dxfId="360" priority="234" operator="containsText" text="차재성">
      <formula>NOT(ISERROR(SEARCH("차재성",H1022)))</formula>
    </cfRule>
  </conditionalFormatting>
  <conditionalFormatting sqref="J39:J42">
    <cfRule type="containsText" dxfId="359" priority="235" operator="containsText" text="허하나로">
      <formula>NOT(ISERROR(SEARCH("허하나로",H1050)))</formula>
    </cfRule>
    <cfRule type="containsText" dxfId="358" priority="236" operator="containsText" text="한별">
      <formula>NOT(ISERROR(SEARCH("한별",H1050)))</formula>
    </cfRule>
    <cfRule type="containsText" dxfId="357" priority="237" operator="containsText" text="정홍조">
      <formula>NOT(ISERROR(SEARCH("정홍조",H1050)))</formula>
    </cfRule>
    <cfRule type="containsText" dxfId="356" priority="238" operator="containsText" text="김지윤">
      <formula>NOT(ISERROR(SEARCH("김지윤",H1050)))</formula>
    </cfRule>
    <cfRule type="containsText" dxfId="355" priority="239" operator="containsText" text="전준영">
      <formula>NOT(ISERROR(SEARCH("전준영",H1050)))</formula>
    </cfRule>
    <cfRule type="containsText" dxfId="354" priority="240" operator="containsText" text="차재성">
      <formula>NOT(ISERROR(SEARCH("차재성",H1050)))</formula>
    </cfRule>
  </conditionalFormatting>
  <conditionalFormatting sqref="J43">
    <cfRule type="containsText" dxfId="353" priority="175" operator="containsText" text="허하나로">
      <formula>NOT(ISERROR(SEARCH("허하나로",H1054)))</formula>
    </cfRule>
    <cfRule type="containsText" dxfId="352" priority="176" operator="containsText" text="한별">
      <formula>NOT(ISERROR(SEARCH("한별",H1054)))</formula>
    </cfRule>
    <cfRule type="containsText" dxfId="351" priority="177" operator="containsText" text="정홍조">
      <formula>NOT(ISERROR(SEARCH("정홍조",H1054)))</formula>
    </cfRule>
    <cfRule type="containsText" dxfId="350" priority="178" operator="containsText" text="김지윤">
      <formula>NOT(ISERROR(SEARCH("김지윤",H1054)))</formula>
    </cfRule>
    <cfRule type="containsText" dxfId="349" priority="179" operator="containsText" text="전준영">
      <formula>NOT(ISERROR(SEARCH("전준영",H1054)))</formula>
    </cfRule>
    <cfRule type="containsText" dxfId="348" priority="180" operator="containsText" text="차재성">
      <formula>NOT(ISERROR(SEARCH("차재성",H1054)))</formula>
    </cfRule>
  </conditionalFormatting>
  <conditionalFormatting sqref="L40">
    <cfRule type="containsText" dxfId="347" priority="169" operator="containsText" text="허하나로">
      <formula>NOT(ISERROR(SEARCH("허하나로",J1185)))</formula>
    </cfRule>
    <cfRule type="containsText" dxfId="346" priority="170" operator="containsText" text="한별">
      <formula>NOT(ISERROR(SEARCH("한별",J1185)))</formula>
    </cfRule>
    <cfRule type="containsText" dxfId="345" priority="171" operator="containsText" text="정홍조">
      <formula>NOT(ISERROR(SEARCH("정홍조",J1185)))</formula>
    </cfRule>
    <cfRule type="containsText" dxfId="344" priority="172" operator="containsText" text="김지윤">
      <formula>NOT(ISERROR(SEARCH("김지윤",J1185)))</formula>
    </cfRule>
    <cfRule type="containsText" dxfId="343" priority="173" operator="containsText" text="전준영">
      <formula>NOT(ISERROR(SEARCH("전준영",J1185)))</formula>
    </cfRule>
    <cfRule type="containsText" dxfId="342" priority="174" operator="containsText" text="차재성">
      <formula>NOT(ISERROR(SEARCH("차재성",J1185)))</formula>
    </cfRule>
  </conditionalFormatting>
  <conditionalFormatting sqref="I45">
    <cfRule type="containsText" dxfId="341" priority="163" operator="containsText" text="허하나로">
      <formula>NOT(ISERROR(SEARCH("허하나로",G1071)))</formula>
    </cfRule>
    <cfRule type="containsText" dxfId="340" priority="164" operator="containsText" text="한별">
      <formula>NOT(ISERROR(SEARCH("한별",G1071)))</formula>
    </cfRule>
    <cfRule type="containsText" dxfId="339" priority="165" operator="containsText" text="정홍조">
      <formula>NOT(ISERROR(SEARCH("정홍조",G1071)))</formula>
    </cfRule>
    <cfRule type="containsText" dxfId="338" priority="166" operator="containsText" text="김지윤">
      <formula>NOT(ISERROR(SEARCH("김지윤",G1071)))</formula>
    </cfRule>
    <cfRule type="containsText" dxfId="337" priority="167" operator="containsText" text="전준영">
      <formula>NOT(ISERROR(SEARCH("전준영",G1071)))</formula>
    </cfRule>
    <cfRule type="containsText" dxfId="336" priority="168" operator="containsText" text="차재성">
      <formula>NOT(ISERROR(SEARCH("차재성",G1071)))</formula>
    </cfRule>
  </conditionalFormatting>
  <conditionalFormatting sqref="J36 J20">
    <cfRule type="containsText" dxfId="335" priority="4009" operator="containsText" text="허하나로">
      <formula>NOT(ISERROR(SEARCH("허하나로",H1023)))</formula>
    </cfRule>
    <cfRule type="containsText" dxfId="334" priority="4010" operator="containsText" text="한별">
      <formula>NOT(ISERROR(SEARCH("한별",H1023)))</formula>
    </cfRule>
    <cfRule type="containsText" dxfId="333" priority="4011" operator="containsText" text="정홍조">
      <formula>NOT(ISERROR(SEARCH("정홍조",H1023)))</formula>
    </cfRule>
    <cfRule type="containsText" dxfId="332" priority="4012" operator="containsText" text="김지윤">
      <formula>NOT(ISERROR(SEARCH("김지윤",H1023)))</formula>
    </cfRule>
    <cfRule type="containsText" dxfId="331" priority="4013" operator="containsText" text="전준영">
      <formula>NOT(ISERROR(SEARCH("전준영",H1023)))</formula>
    </cfRule>
    <cfRule type="containsText" dxfId="330" priority="4014" operator="containsText" text="차재성">
      <formula>NOT(ISERROR(SEARCH("차재성",H1023)))</formula>
    </cfRule>
  </conditionalFormatting>
  <conditionalFormatting sqref="J2:J3">
    <cfRule type="containsText" dxfId="329" priority="139" operator="containsText" text="허하나로">
      <formula>NOT(ISERROR(SEARCH("허하나로",H786)))</formula>
    </cfRule>
    <cfRule type="containsText" dxfId="328" priority="140" operator="containsText" text="한별">
      <formula>NOT(ISERROR(SEARCH("한별",H786)))</formula>
    </cfRule>
    <cfRule type="containsText" dxfId="327" priority="141" operator="containsText" text="정홍조">
      <formula>NOT(ISERROR(SEARCH("정홍조",H786)))</formula>
    </cfRule>
    <cfRule type="containsText" dxfId="326" priority="142" operator="containsText" text="김지윤">
      <formula>NOT(ISERROR(SEARCH("김지윤",H786)))</formula>
    </cfRule>
    <cfRule type="containsText" dxfId="325" priority="143" operator="containsText" text="전준영">
      <formula>NOT(ISERROR(SEARCH("전준영",H786)))</formula>
    </cfRule>
    <cfRule type="containsText" dxfId="324" priority="144" operator="containsText" text="차재성">
      <formula>NOT(ISERROR(SEARCH("차재성",H786)))</formula>
    </cfRule>
  </conditionalFormatting>
  <conditionalFormatting sqref="J7">
    <cfRule type="containsText" dxfId="323" priority="121" operator="containsText" text="허하나로">
      <formula>NOT(ISERROR(SEARCH("허하나로",H832)))</formula>
    </cfRule>
    <cfRule type="containsText" dxfId="322" priority="122" operator="containsText" text="한별">
      <formula>NOT(ISERROR(SEARCH("한별",H832)))</formula>
    </cfRule>
    <cfRule type="containsText" dxfId="321" priority="123" operator="containsText" text="정홍조">
      <formula>NOT(ISERROR(SEARCH("정홍조",H832)))</formula>
    </cfRule>
    <cfRule type="containsText" dxfId="320" priority="124" operator="containsText" text="김지윤">
      <formula>NOT(ISERROR(SEARCH("김지윤",H832)))</formula>
    </cfRule>
    <cfRule type="containsText" dxfId="319" priority="125" operator="containsText" text="전준영">
      <formula>NOT(ISERROR(SEARCH("전준영",H832)))</formula>
    </cfRule>
    <cfRule type="containsText" dxfId="318" priority="126" operator="containsText" text="차재성">
      <formula>NOT(ISERROR(SEARCH("차재성",H832)))</formula>
    </cfRule>
  </conditionalFormatting>
  <conditionalFormatting sqref="J23">
    <cfRule type="containsText" dxfId="317" priority="115" operator="containsText" text="허하나로">
      <formula>NOT(ISERROR(SEARCH("허하나로",H1040)))</formula>
    </cfRule>
    <cfRule type="containsText" dxfId="316" priority="116" operator="containsText" text="한별">
      <formula>NOT(ISERROR(SEARCH("한별",H1040)))</formula>
    </cfRule>
    <cfRule type="containsText" dxfId="315" priority="117" operator="containsText" text="정홍조">
      <formula>NOT(ISERROR(SEARCH("정홍조",H1040)))</formula>
    </cfRule>
    <cfRule type="containsText" dxfId="314" priority="118" operator="containsText" text="김지윤">
      <formula>NOT(ISERROR(SEARCH("김지윤",H1040)))</formula>
    </cfRule>
    <cfRule type="containsText" dxfId="313" priority="119" operator="containsText" text="전준영">
      <formula>NOT(ISERROR(SEARCH("전준영",H1040)))</formula>
    </cfRule>
    <cfRule type="containsText" dxfId="312" priority="120" operator="containsText" text="차재성">
      <formula>NOT(ISERROR(SEARCH("차재성",H1040)))</formula>
    </cfRule>
  </conditionalFormatting>
  <conditionalFormatting sqref="J22">
    <cfRule type="containsText" dxfId="311" priority="127" operator="containsText" text="허하나로">
      <formula>NOT(ISERROR(SEARCH("허하나로",H1029)))</formula>
    </cfRule>
    <cfRule type="containsText" dxfId="310" priority="128" operator="containsText" text="한별">
      <formula>NOT(ISERROR(SEARCH("한별",H1029)))</formula>
    </cfRule>
    <cfRule type="containsText" dxfId="309" priority="129" operator="containsText" text="정홍조">
      <formula>NOT(ISERROR(SEARCH("정홍조",H1029)))</formula>
    </cfRule>
    <cfRule type="containsText" dxfId="308" priority="130" operator="containsText" text="김지윤">
      <formula>NOT(ISERROR(SEARCH("김지윤",H1029)))</formula>
    </cfRule>
    <cfRule type="containsText" dxfId="307" priority="131" operator="containsText" text="전준영">
      <formula>NOT(ISERROR(SEARCH("전준영",H1029)))</formula>
    </cfRule>
    <cfRule type="containsText" dxfId="306" priority="132" operator="containsText" text="차재성">
      <formula>NOT(ISERROR(SEARCH("차재성",H1029)))</formula>
    </cfRule>
  </conditionalFormatting>
  <conditionalFormatting sqref="J28">
    <cfRule type="containsText" dxfId="305" priority="79" operator="containsText" text="허하나로">
      <formula>NOT(ISERROR(SEARCH("허하나로",H1050)))</formula>
    </cfRule>
    <cfRule type="containsText" dxfId="304" priority="80" operator="containsText" text="한별">
      <formula>NOT(ISERROR(SEARCH("한별",H1050)))</formula>
    </cfRule>
    <cfRule type="containsText" dxfId="303" priority="81" operator="containsText" text="정홍조">
      <formula>NOT(ISERROR(SEARCH("정홍조",H1050)))</formula>
    </cfRule>
    <cfRule type="containsText" dxfId="302" priority="82" operator="containsText" text="김지윤">
      <formula>NOT(ISERROR(SEARCH("김지윤",H1050)))</formula>
    </cfRule>
    <cfRule type="containsText" dxfId="301" priority="83" operator="containsText" text="전준영">
      <formula>NOT(ISERROR(SEARCH("전준영",H1050)))</formula>
    </cfRule>
    <cfRule type="containsText" dxfId="300" priority="84" operator="containsText" text="차재성">
      <formula>NOT(ISERROR(SEARCH("차재성",H1050)))</formula>
    </cfRule>
  </conditionalFormatting>
  <conditionalFormatting sqref="J27">
    <cfRule type="containsText" dxfId="299" priority="85" operator="containsText" text="허하나로">
      <formula>NOT(ISERROR(SEARCH("허하나로",H1039)))</formula>
    </cfRule>
    <cfRule type="containsText" dxfId="298" priority="86" operator="containsText" text="한별">
      <formula>NOT(ISERROR(SEARCH("한별",H1039)))</formula>
    </cfRule>
    <cfRule type="containsText" dxfId="297" priority="87" operator="containsText" text="정홍조">
      <formula>NOT(ISERROR(SEARCH("정홍조",H1039)))</formula>
    </cfRule>
    <cfRule type="containsText" dxfId="296" priority="88" operator="containsText" text="김지윤">
      <formula>NOT(ISERROR(SEARCH("김지윤",H1039)))</formula>
    </cfRule>
    <cfRule type="containsText" dxfId="295" priority="89" operator="containsText" text="전준영">
      <formula>NOT(ISERROR(SEARCH("전준영",H1039)))</formula>
    </cfRule>
    <cfRule type="containsText" dxfId="294" priority="90" operator="containsText" text="차재성">
      <formula>NOT(ISERROR(SEARCH("차재성",H1039)))</formula>
    </cfRule>
  </conditionalFormatting>
  <conditionalFormatting sqref="J17">
    <cfRule type="containsText" dxfId="293" priority="13" operator="containsText" text="허하나로">
      <formula>NOT(ISERROR(SEARCH("허하나로",H1033)))</formula>
    </cfRule>
    <cfRule type="containsText" dxfId="292" priority="14" operator="containsText" text="한별">
      <formula>NOT(ISERROR(SEARCH("한별",H1033)))</formula>
    </cfRule>
    <cfRule type="containsText" dxfId="291" priority="15" operator="containsText" text="정홍조">
      <formula>NOT(ISERROR(SEARCH("정홍조",H1033)))</formula>
    </cfRule>
    <cfRule type="containsText" dxfId="290" priority="16" operator="containsText" text="김지윤">
      <formula>NOT(ISERROR(SEARCH("김지윤",H1033)))</formula>
    </cfRule>
    <cfRule type="containsText" dxfId="289" priority="17" operator="containsText" text="전준영">
      <formula>NOT(ISERROR(SEARCH("전준영",H1033)))</formula>
    </cfRule>
    <cfRule type="containsText" dxfId="288" priority="18" operator="containsText" text="차재성">
      <formula>NOT(ISERROR(SEARCH("차재성",H1033)))</formula>
    </cfRule>
  </conditionalFormatting>
  <conditionalFormatting sqref="J9">
    <cfRule type="containsText" dxfId="287" priority="19" operator="containsText" text="허하나로">
      <formula>NOT(ISERROR(SEARCH("허하나로",H1021)))</formula>
    </cfRule>
    <cfRule type="containsText" dxfId="286" priority="20" operator="containsText" text="한별">
      <formula>NOT(ISERROR(SEARCH("한별",H1021)))</formula>
    </cfRule>
    <cfRule type="containsText" dxfId="285" priority="21" operator="containsText" text="정홍조">
      <formula>NOT(ISERROR(SEARCH("정홍조",H1021)))</formula>
    </cfRule>
    <cfRule type="containsText" dxfId="284" priority="22" operator="containsText" text="김지윤">
      <formula>NOT(ISERROR(SEARCH("김지윤",H1021)))</formula>
    </cfRule>
    <cfRule type="containsText" dxfId="283" priority="23" operator="containsText" text="전준영">
      <formula>NOT(ISERROR(SEARCH("전준영",H1021)))</formula>
    </cfRule>
    <cfRule type="containsText" dxfId="282" priority="24" operator="containsText" text="차재성">
      <formula>NOT(ISERROR(SEARCH("차재성",H1021)))</formula>
    </cfRule>
  </conditionalFormatting>
  <conditionalFormatting sqref="J10">
    <cfRule type="containsText" dxfId="281" priority="4759" operator="containsText" text="허하나로">
      <formula>NOT(ISERROR(SEARCH("허하나로",H1032)))</formula>
    </cfRule>
    <cfRule type="containsText" dxfId="280" priority="4760" operator="containsText" text="한별">
      <formula>NOT(ISERROR(SEARCH("한별",H1032)))</formula>
    </cfRule>
    <cfRule type="containsText" dxfId="279" priority="4761" operator="containsText" text="정홍조">
      <formula>NOT(ISERROR(SEARCH("정홍조",H1032)))</formula>
    </cfRule>
    <cfRule type="containsText" dxfId="278" priority="4762" operator="containsText" text="김지윤">
      <formula>NOT(ISERROR(SEARCH("김지윤",H1032)))</formula>
    </cfRule>
    <cfRule type="containsText" dxfId="277" priority="4763" operator="containsText" text="전준영">
      <formula>NOT(ISERROR(SEARCH("전준영",H1032)))</formula>
    </cfRule>
    <cfRule type="containsText" dxfId="276" priority="4764" operator="containsText" text="차재성">
      <formula>NOT(ISERROR(SEARCH("차재성",H1032)))</formula>
    </cfRule>
  </conditionalFormatting>
  <pageMargins left="0.25" right="0.25" top="0.75" bottom="0.75" header="0.3" footer="0.3"/>
  <pageSetup paperSize="9" scale="72" fitToHeight="0" orientation="landscape" r:id="rId1"/>
  <rowBreaks count="1" manualBreakCount="1">
    <brk id="38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7" operator="containsText" text="허하나로" id="{D4F1B340-9C03-4E6A-BE9E-DFA9AB5F94E6}">
            <xm:f>NOT(ISERROR(SEARCH("허하나로",행사부!H1029)))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58" operator="containsText" text="한별" id="{291BA884-72D9-4A87-A9F5-25F0134A8A67}">
            <xm:f>NOT(ISERROR(SEARCH("한별",행사부!H1029)))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9" operator="containsText" text="정홍조" id="{55D94AC0-892C-43D4-9640-18C22F0C2334}">
            <xm:f>NOT(ISERROR(SEARCH("정홍조",행사부!H1029)))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0" operator="containsText" text="김지윤" id="{7E5389D4-36EF-4A60-8902-BDA87421C2ED}">
            <xm:f>NOT(ISERROR(SEARCH("김지윤",행사부!H1029)))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61" operator="containsText" text="전준영" id="{8EDA7C65-C9BF-42D2-8A10-21524ACED8AD}">
            <xm:f>NOT(ISERROR(SEARCH("전준영",행사부!H1029)))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62" operator="containsText" text="차재성" id="{6DF20D16-BED0-4A88-A7F7-D70E33695715}">
            <xm:f>NOT(ISERROR(SEARCH("차재성",행사부!H1029)))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J37:J38</xm:sqref>
        </x14:conditionalFormatting>
        <x14:conditionalFormatting xmlns:xm="http://schemas.microsoft.com/office/excel/2006/main">
          <x14:cfRule type="containsText" priority="151" operator="containsText" text="허하나로" id="{44ABCAAE-FD13-4CD0-8745-3C553C1D49ED}">
            <xm:f>NOT(ISERROR(SEARCH("허하나로",행정관리부!H1063)))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52" operator="containsText" text="한별" id="{567FF576-02E6-41A6-8EFA-DB1A550BDFF9}">
            <xm:f>NOT(ISERROR(SEARCH("한별",행정관리부!H1063)))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3" operator="containsText" text="정홍조" id="{BC446C9A-2410-4254-AB0A-76B62E0F0646}">
            <xm:f>NOT(ISERROR(SEARCH("정홍조",행정관리부!H1063)))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54" operator="containsText" text="김지윤" id="{91B59D70-3F25-46A4-A7BE-108593C50DB0}">
            <xm:f>NOT(ISERROR(SEARCH("김지윤",행정관리부!H1063)))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55" operator="containsText" text="전준영" id="{6567DED1-0EBA-4B25-ABE3-78888AA0C63A}">
            <xm:f>NOT(ISERROR(SEARCH("전준영",행정관리부!H1063)))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56" operator="containsText" text="차재성" id="{E386A293-EC8F-45C3-9C71-09E8B8481C93}">
            <xm:f>NOT(ISERROR(SEARCH("차재성",행정관리부!H1063)))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J48</xm:sqref>
        </x14:conditionalFormatting>
        <x14:conditionalFormatting xmlns:xm="http://schemas.microsoft.com/office/excel/2006/main">
          <x14:cfRule type="containsText" priority="145" operator="containsText" text="허하나로" id="{7F42C816-3B68-4AA1-98DD-E01F9BF01D92}">
            <xm:f>NOT(ISERROR(SEARCH("허하나로",행정관리부!H1119)))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6" operator="containsText" text="한별" id="{73F65376-9009-4C9C-B73B-674676DF81DF}">
            <xm:f>NOT(ISERROR(SEARCH("한별",행정관리부!H1119)))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47" operator="containsText" text="정홍조" id="{BE04AB81-523C-4785-ACC9-EEE56E83D6F1}">
            <xm:f>NOT(ISERROR(SEARCH("정홍조",행정관리부!H1119)))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48" operator="containsText" text="김지윤" id="{BDFA5262-5958-4B6B-BFA9-4D9B125D1851}">
            <xm:f>NOT(ISERROR(SEARCH("김지윤",행정관리부!H1119)))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49" operator="containsText" text="전준영" id="{A5209C69-0940-456C-9768-734EA83A0B18}">
            <xm:f>NOT(ISERROR(SEARCH("전준영",행정관리부!H1119)))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50" operator="containsText" text="차재성" id="{DB6E879D-7275-48FD-8FE2-5404B5774B5B}">
            <xm:f>NOT(ISERROR(SEARCH("차재성",행정관리부!H1119)))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J46:J47</xm:sqref>
        </x14:conditionalFormatting>
        <x14:conditionalFormatting xmlns:xm="http://schemas.microsoft.com/office/excel/2006/main">
          <x14:cfRule type="containsText" priority="109" operator="containsText" text="허하나로" id="{11582A01-9626-445B-A318-40668500A542}">
            <xm:f>NOT(ISERROR(SEARCH("허하나로",행사부!H1031)))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24B885A3-60B6-4536-AE4B-F369A664F7F9}">
            <xm:f>NOT(ISERROR(SEARCH("한별",행사부!H1031)))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CC64407C-5D98-435F-A187-EECF7830E463}">
            <xm:f>NOT(ISERROR(SEARCH("정홍조",행사부!H1031)))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3BE3C782-E7A0-4173-99CE-E7FE06DE5445}">
            <xm:f>NOT(ISERROR(SEARCH("김지윤",행사부!H1031)))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DF5F4926-E1A0-4CB5-A4A9-D4A2131C4BB1}">
            <xm:f>NOT(ISERROR(SEARCH("전준영",행사부!H1031)))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583AA59E-B51A-4436-A394-C05D92E2B766}">
            <xm:f>NOT(ISERROR(SEARCH("차재성",행사부!H1031)))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containsText" priority="4561" operator="containsText" text="허하나로" id="{11582A01-9626-445B-A318-40668500A542}">
            <xm:f>NOT(ISERROR(SEARCH("허하나로",행사부!H1013)))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562" operator="containsText" text="한별" id="{24B885A3-60B6-4536-AE4B-F369A664F7F9}">
            <xm:f>NOT(ISERROR(SEARCH("한별",행사부!H1013)))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63" operator="containsText" text="정홍조" id="{CC64407C-5D98-435F-A187-EECF7830E463}">
            <xm:f>NOT(ISERROR(SEARCH("정홍조",행사부!H1013)))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564" operator="containsText" text="김지윤" id="{3BE3C782-E7A0-4173-99CE-E7FE06DE5445}">
            <xm:f>NOT(ISERROR(SEARCH("김지윤",행사부!H1013)))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565" operator="containsText" text="전준영" id="{DF5F4926-E1A0-4CB5-A4A9-D4A2131C4BB1}">
            <xm:f>NOT(ISERROR(SEARCH("전준영",행사부!H1013)))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566" operator="containsText" text="차재성" id="{583AA59E-B51A-4436-A394-C05D92E2B766}">
            <xm:f>NOT(ISERROR(SEARCH("차재성",행사부!H1013)))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J24:J25 J16</xm:sqref>
        </x14:conditionalFormatting>
        <x14:conditionalFormatting xmlns:xm="http://schemas.microsoft.com/office/excel/2006/main">
          <x14:cfRule type="containsText" priority="1" operator="containsText" text="허하나로" id="{3677A4B5-4B08-4455-8EB8-3061FDB77D97}">
            <xm:f>NOT(ISERROR(SEARCH("허하나로",행사부!H1012)))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BA17CB7F-6C23-4B16-AB7C-D9F18CC6235E}">
            <xm:f>NOT(ISERROR(SEARCH("한별",행사부!H1012)))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FF377EC0-02AF-4AC9-975F-D0994092A43A}">
            <xm:f>NOT(ISERROR(SEARCH("정홍조",행사부!H1012)))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A6BF84C2-9EE2-4B85-A66F-B33403455BA8}">
            <xm:f>NOT(ISERROR(SEARCH("김지윤",행사부!H1012)))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C1C4C4EA-187F-4F71-8ED3-66698F70B05D}">
            <xm:f>NOT(ISERROR(SEARCH("전준영",행사부!H1012)))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528459DA-8397-4F19-B590-F75A38A6D941}">
            <xm:f>NOT(ISERROR(SEARCH("차재성",행사부!H1012)))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J11</xm:sqref>
        </x14:conditionalFormatting>
        <x14:conditionalFormatting xmlns:xm="http://schemas.microsoft.com/office/excel/2006/main">
          <x14:cfRule type="containsText" priority="4909" operator="containsText" text="허하나로" id="{3677A4B5-4B08-4455-8EB8-3061FDB77D97}">
            <xm:f>NOT(ISERROR(SEARCH("허하나로",행사부!H1013)))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910" operator="containsText" text="한별" id="{BA17CB7F-6C23-4B16-AB7C-D9F18CC6235E}">
            <xm:f>NOT(ISERROR(SEARCH("한별",행사부!H1013)))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911" operator="containsText" text="정홍조" id="{FF377EC0-02AF-4AC9-975F-D0994092A43A}">
            <xm:f>NOT(ISERROR(SEARCH("정홍조",행사부!H1013)))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912" operator="containsText" text="김지윤" id="{A6BF84C2-9EE2-4B85-A66F-B33403455BA8}">
            <xm:f>NOT(ISERROR(SEARCH("김지윤",행사부!H1013)))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913" operator="containsText" text="전준영" id="{C1C4C4EA-187F-4F71-8ED3-66698F70B05D}">
            <xm:f>NOT(ISERROR(SEARCH("전준영",행사부!H1013)))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914" operator="containsText" text="차재성" id="{528459DA-8397-4F19-B590-F75A38A6D941}">
            <xm:f>NOT(ISERROR(SEARCH("차재성",행사부!H1013)))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M42"/>
  <sheetViews>
    <sheetView zoomScale="85" zoomScaleNormal="85" workbookViewId="0">
      <selection activeCell="G10" sqref="G10"/>
    </sheetView>
  </sheetViews>
  <sheetFormatPr defaultRowHeight="16.5"/>
  <cols>
    <col min="1" max="6" width="3.875" customWidth="1"/>
    <col min="7" max="7" width="44.375" customWidth="1"/>
    <col min="8" max="8" width="12.25" customWidth="1"/>
    <col min="9" max="10" width="14.625" customWidth="1"/>
    <col min="11" max="11" width="64.375" customWidth="1"/>
    <col min="12" max="12" width="3.875" customWidth="1"/>
    <col min="13" max="13" width="12.625" style="279" customWidth="1"/>
    <col min="15" max="15" width="12.75" bestFit="1" customWidth="1"/>
  </cols>
  <sheetData>
    <row r="1" spans="1:13" ht="17.25" thickBot="1">
      <c r="A1" s="88" t="s">
        <v>175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266" t="s">
        <v>176</v>
      </c>
    </row>
    <row r="2" spans="1:13" ht="16.5" customHeight="1">
      <c r="A2" s="715" t="s">
        <v>177</v>
      </c>
      <c r="B2" s="717" t="s">
        <v>22</v>
      </c>
      <c r="C2" s="718"/>
      <c r="D2" s="719"/>
      <c r="E2" s="717" t="s">
        <v>178</v>
      </c>
      <c r="F2" s="718"/>
      <c r="G2" s="719"/>
      <c r="H2" s="693" t="s">
        <v>728</v>
      </c>
      <c r="I2" s="693" t="s">
        <v>729</v>
      </c>
      <c r="J2" s="720" t="s">
        <v>467</v>
      </c>
      <c r="K2" s="704" t="s">
        <v>1</v>
      </c>
      <c r="L2" s="705"/>
      <c r="M2" s="706"/>
    </row>
    <row r="3" spans="1:13" ht="17.25" thickBot="1">
      <c r="A3" s="716"/>
      <c r="B3" s="119" t="s">
        <v>179</v>
      </c>
      <c r="C3" s="119" t="s">
        <v>25</v>
      </c>
      <c r="D3" s="119" t="s">
        <v>180</v>
      </c>
      <c r="E3" s="119" t="s">
        <v>181</v>
      </c>
      <c r="F3" s="119" t="s">
        <v>28</v>
      </c>
      <c r="G3" s="119" t="s">
        <v>182</v>
      </c>
      <c r="H3" s="694"/>
      <c r="I3" s="694"/>
      <c r="J3" s="721"/>
      <c r="K3" s="707"/>
      <c r="L3" s="708"/>
      <c r="M3" s="709"/>
    </row>
    <row r="4" spans="1:13" ht="17.25" thickBot="1">
      <c r="A4" s="710" t="s">
        <v>183</v>
      </c>
      <c r="B4" s="711"/>
      <c r="C4" s="711"/>
      <c r="D4" s="711"/>
      <c r="E4" s="711"/>
      <c r="F4" s="711"/>
      <c r="G4" s="712"/>
      <c r="H4" s="185">
        <f>H5+H21</f>
        <v>3189846</v>
      </c>
      <c r="I4" s="185">
        <v>596200</v>
      </c>
      <c r="J4" s="120">
        <f t="shared" ref="J4:J10" si="0">H4-I4</f>
        <v>2593646</v>
      </c>
      <c r="K4" s="89"/>
      <c r="L4" s="90"/>
      <c r="M4" s="267"/>
    </row>
    <row r="5" spans="1:13">
      <c r="A5" s="205" t="s">
        <v>2</v>
      </c>
      <c r="B5" s="122"/>
      <c r="C5" s="123"/>
      <c r="D5" s="123"/>
      <c r="E5" s="123"/>
      <c r="F5" s="123"/>
      <c r="G5" s="124"/>
      <c r="H5" s="94">
        <f t="shared" ref="H5:H10" si="1">H6</f>
        <v>3189846</v>
      </c>
      <c r="I5" s="94">
        <v>596200</v>
      </c>
      <c r="J5" s="95">
        <f t="shared" si="0"/>
        <v>2593646</v>
      </c>
      <c r="K5" s="78"/>
      <c r="L5" s="79"/>
      <c r="M5" s="268"/>
    </row>
    <row r="6" spans="1:13">
      <c r="A6" s="10"/>
      <c r="B6" s="129" t="s">
        <v>184</v>
      </c>
      <c r="C6" s="353"/>
      <c r="D6" s="460"/>
      <c r="E6" s="460"/>
      <c r="F6" s="460"/>
      <c r="G6" s="461"/>
      <c r="H6" s="95">
        <f t="shared" si="1"/>
        <v>3189846</v>
      </c>
      <c r="I6" s="95">
        <v>596200</v>
      </c>
      <c r="J6" s="95">
        <f t="shared" si="0"/>
        <v>2593646</v>
      </c>
      <c r="K6" s="541"/>
      <c r="L6" s="395"/>
      <c r="M6" s="542"/>
    </row>
    <row r="7" spans="1:13">
      <c r="A7" s="10"/>
      <c r="B7" s="6"/>
      <c r="C7" s="179" t="s">
        <v>185</v>
      </c>
      <c r="D7" s="460"/>
      <c r="E7" s="460"/>
      <c r="F7" s="460"/>
      <c r="G7" s="461"/>
      <c r="H7" s="92">
        <f>SUM(H8,H15)</f>
        <v>3189846</v>
      </c>
      <c r="I7" s="92">
        <v>596200</v>
      </c>
      <c r="J7" s="95">
        <f t="shared" si="0"/>
        <v>2593646</v>
      </c>
      <c r="K7" s="401"/>
      <c r="L7" s="395"/>
      <c r="M7" s="542"/>
    </row>
    <row r="8" spans="1:13">
      <c r="A8" s="10"/>
      <c r="B8" s="6"/>
      <c r="C8" s="480"/>
      <c r="D8" s="353" t="s">
        <v>186</v>
      </c>
      <c r="E8" s="460"/>
      <c r="F8" s="460"/>
      <c r="G8" s="461"/>
      <c r="H8" s="463">
        <f t="shared" si="1"/>
        <v>3119546</v>
      </c>
      <c r="I8" s="463">
        <v>596200</v>
      </c>
      <c r="J8" s="95">
        <f t="shared" si="0"/>
        <v>2523346</v>
      </c>
      <c r="K8" s="394"/>
      <c r="L8" s="395"/>
      <c r="M8" s="542"/>
    </row>
    <row r="9" spans="1:13">
      <c r="A9" s="10"/>
      <c r="B9" s="6"/>
      <c r="C9" s="464"/>
      <c r="D9" s="465"/>
      <c r="E9" s="353" t="s">
        <v>187</v>
      </c>
      <c r="F9" s="460"/>
      <c r="G9" s="461"/>
      <c r="H9" s="92">
        <f t="shared" si="1"/>
        <v>3119546</v>
      </c>
      <c r="I9" s="92">
        <v>596200</v>
      </c>
      <c r="J9" s="95">
        <f t="shared" si="0"/>
        <v>2523346</v>
      </c>
      <c r="K9" s="355"/>
      <c r="L9" s="396"/>
      <c r="M9" s="543"/>
    </row>
    <row r="10" spans="1:13">
      <c r="A10" s="63"/>
      <c r="B10" s="65"/>
      <c r="C10" s="363"/>
      <c r="D10" s="363"/>
      <c r="E10" s="363"/>
      <c r="F10" s="470" t="s">
        <v>188</v>
      </c>
      <c r="G10" s="473"/>
      <c r="H10" s="98">
        <f t="shared" si="1"/>
        <v>3119546</v>
      </c>
      <c r="I10" s="98">
        <v>596200</v>
      </c>
      <c r="J10" s="270">
        <f t="shared" si="0"/>
        <v>2523346</v>
      </c>
      <c r="K10" s="388"/>
      <c r="L10" s="389"/>
      <c r="M10" s="544"/>
    </row>
    <row r="11" spans="1:13">
      <c r="A11" s="55"/>
      <c r="B11" s="57"/>
      <c r="C11" s="363"/>
      <c r="D11" s="363"/>
      <c r="E11" s="363"/>
      <c r="F11" s="483"/>
      <c r="G11" s="484" t="s">
        <v>189</v>
      </c>
      <c r="H11" s="475">
        <f>M11</f>
        <v>3119546</v>
      </c>
      <c r="I11" s="475">
        <v>596200</v>
      </c>
      <c r="J11" s="271">
        <f>H11-I11</f>
        <v>2523346</v>
      </c>
      <c r="K11" s="391" t="s">
        <v>190</v>
      </c>
      <c r="L11" s="418"/>
      <c r="M11" s="413">
        <f>M14</f>
        <v>3119546</v>
      </c>
    </row>
    <row r="12" spans="1:13">
      <c r="A12" s="55"/>
      <c r="B12" s="57"/>
      <c r="C12" s="363"/>
      <c r="D12" s="363"/>
      <c r="E12" s="363"/>
      <c r="F12" s="486"/>
      <c r="G12" s="685" t="s">
        <v>880</v>
      </c>
      <c r="H12" s="488"/>
      <c r="I12" s="488"/>
      <c r="J12" s="50"/>
      <c r="K12" s="619" t="s">
        <v>852</v>
      </c>
      <c r="L12" s="383" t="s">
        <v>0</v>
      </c>
      <c r="M12" s="379">
        <v>596200</v>
      </c>
    </row>
    <row r="13" spans="1:13">
      <c r="A13" s="55"/>
      <c r="B13" s="57"/>
      <c r="C13" s="363"/>
      <c r="D13" s="363"/>
      <c r="E13" s="363"/>
      <c r="F13" s="486"/>
      <c r="G13" s="676"/>
      <c r="H13" s="488"/>
      <c r="I13" s="488"/>
      <c r="J13" s="50"/>
      <c r="K13" s="622" t="s">
        <v>727</v>
      </c>
      <c r="L13" s="380"/>
      <c r="M13" s="669"/>
    </row>
    <row r="14" spans="1:13">
      <c r="A14" s="55"/>
      <c r="B14" s="57"/>
      <c r="C14" s="363"/>
      <c r="D14" s="476"/>
      <c r="E14" s="476"/>
      <c r="F14" s="677"/>
      <c r="G14" s="676"/>
      <c r="H14" s="488"/>
      <c r="I14" s="488"/>
      <c r="J14" s="50"/>
      <c r="K14" s="667" t="s">
        <v>881</v>
      </c>
      <c r="L14" s="639" t="s">
        <v>0</v>
      </c>
      <c r="M14" s="668">
        <v>3119546</v>
      </c>
    </row>
    <row r="15" spans="1:13">
      <c r="A15" s="10"/>
      <c r="B15" s="6"/>
      <c r="C15" s="462"/>
      <c r="D15" s="353" t="s">
        <v>882</v>
      </c>
      <c r="E15" s="460"/>
      <c r="F15" s="460"/>
      <c r="G15" s="461"/>
      <c r="H15" s="463">
        <f t="shared" ref="H15:H17" si="2">H16</f>
        <v>70300</v>
      </c>
      <c r="I15" s="463">
        <v>0</v>
      </c>
      <c r="J15" s="92">
        <f t="shared" ref="J15:J18" si="3">H15-I15</f>
        <v>70300</v>
      </c>
      <c r="K15" s="394"/>
      <c r="L15" s="395"/>
      <c r="M15" s="542"/>
    </row>
    <row r="16" spans="1:13">
      <c r="A16" s="10"/>
      <c r="B16" s="6"/>
      <c r="C16" s="489"/>
      <c r="D16" s="465"/>
      <c r="E16" s="353" t="s">
        <v>187</v>
      </c>
      <c r="F16" s="460"/>
      <c r="G16" s="461"/>
      <c r="H16" s="92">
        <f t="shared" si="2"/>
        <v>70300</v>
      </c>
      <c r="I16" s="92">
        <v>0</v>
      </c>
      <c r="J16" s="95">
        <f t="shared" si="3"/>
        <v>70300</v>
      </c>
      <c r="K16" s="355"/>
      <c r="L16" s="396"/>
      <c r="M16" s="543"/>
    </row>
    <row r="17" spans="1:13">
      <c r="A17" s="63"/>
      <c r="B17" s="65"/>
      <c r="C17" s="363"/>
      <c r="D17" s="363"/>
      <c r="E17" s="363"/>
      <c r="F17" s="470" t="s">
        <v>188</v>
      </c>
      <c r="G17" s="473"/>
      <c r="H17" s="98">
        <f t="shared" si="2"/>
        <v>70300</v>
      </c>
      <c r="I17" s="98">
        <v>0</v>
      </c>
      <c r="J17" s="270">
        <f t="shared" si="3"/>
        <v>70300</v>
      </c>
      <c r="K17" s="388"/>
      <c r="L17" s="389"/>
      <c r="M17" s="544"/>
    </row>
    <row r="18" spans="1:13">
      <c r="A18" s="55"/>
      <c r="B18" s="57"/>
      <c r="C18" s="363"/>
      <c r="D18" s="363"/>
      <c r="E18" s="363"/>
      <c r="F18" s="483"/>
      <c r="G18" s="484" t="s">
        <v>853</v>
      </c>
      <c r="H18" s="475">
        <f>M18</f>
        <v>70300</v>
      </c>
      <c r="I18" s="475">
        <v>0</v>
      </c>
      <c r="J18" s="271">
        <f t="shared" si="3"/>
        <v>70300</v>
      </c>
      <c r="K18" s="391" t="s">
        <v>190</v>
      </c>
      <c r="L18" s="418"/>
      <c r="M18" s="413">
        <f>M20</f>
        <v>70300</v>
      </c>
    </row>
    <row r="19" spans="1:13">
      <c r="A19" s="55"/>
      <c r="B19" s="57"/>
      <c r="C19" s="363"/>
      <c r="D19" s="363"/>
      <c r="E19" s="363"/>
      <c r="F19" s="486"/>
      <c r="G19" s="684" t="s">
        <v>878</v>
      </c>
      <c r="H19" s="475"/>
      <c r="I19" s="475"/>
      <c r="J19" s="271"/>
      <c r="K19" s="622" t="s">
        <v>851</v>
      </c>
      <c r="L19" s="424"/>
      <c r="M19" s="663"/>
    </row>
    <row r="20" spans="1:13" ht="17.25" thickBot="1">
      <c r="A20" s="226"/>
      <c r="B20" s="227"/>
      <c r="C20" s="513"/>
      <c r="D20" s="513"/>
      <c r="E20" s="513"/>
      <c r="F20" s="514"/>
      <c r="G20" s="678"/>
      <c r="H20" s="516"/>
      <c r="I20" s="516"/>
      <c r="J20" s="230"/>
      <c r="K20" s="664" t="s">
        <v>883</v>
      </c>
      <c r="L20" s="679" t="s">
        <v>0</v>
      </c>
      <c r="M20" s="650">
        <v>70300</v>
      </c>
    </row>
    <row r="21" spans="1:13">
      <c r="A21" s="566" t="s">
        <v>192</v>
      </c>
      <c r="B21" s="262"/>
      <c r="C21" s="548"/>
      <c r="D21" s="548"/>
      <c r="E21" s="548"/>
      <c r="F21" s="548"/>
      <c r="G21" s="549"/>
      <c r="H21" s="95">
        <f>SUM(H22,H35)</f>
        <v>0</v>
      </c>
      <c r="I21" s="95">
        <v>0</v>
      </c>
      <c r="J21" s="95">
        <f>H21-I21</f>
        <v>0</v>
      </c>
      <c r="K21" s="407"/>
      <c r="L21" s="408"/>
      <c r="M21" s="409"/>
    </row>
    <row r="22" spans="1:13">
      <c r="A22" s="10"/>
      <c r="B22" s="179" t="s">
        <v>194</v>
      </c>
      <c r="C22" s="353"/>
      <c r="D22" s="460"/>
      <c r="E22" s="460"/>
      <c r="F22" s="460"/>
      <c r="G22" s="461"/>
      <c r="H22" s="95">
        <f>SUM(H23,H63)</f>
        <v>0</v>
      </c>
      <c r="I22" s="95">
        <v>0</v>
      </c>
      <c r="J22" s="95">
        <f t="shared" ref="J22:J27" si="4">H22-I22</f>
        <v>0</v>
      </c>
      <c r="K22" s="541"/>
      <c r="L22" s="395"/>
      <c r="M22" s="542"/>
    </row>
    <row r="23" spans="1:13">
      <c r="A23" s="10"/>
      <c r="B23" s="6"/>
      <c r="C23" s="179" t="s">
        <v>194</v>
      </c>
      <c r="D23" s="460"/>
      <c r="E23" s="460"/>
      <c r="F23" s="460"/>
      <c r="G23" s="461"/>
      <c r="H23" s="92">
        <f>H24</f>
        <v>0</v>
      </c>
      <c r="I23" s="92">
        <v>0</v>
      </c>
      <c r="J23" s="92">
        <f t="shared" si="4"/>
        <v>0</v>
      </c>
      <c r="K23" s="401"/>
      <c r="L23" s="395"/>
      <c r="M23" s="542"/>
    </row>
    <row r="24" spans="1:13">
      <c r="A24" s="10"/>
      <c r="B24" s="6"/>
      <c r="C24" s="480"/>
      <c r="D24" s="353" t="s">
        <v>195</v>
      </c>
      <c r="E24" s="460"/>
      <c r="F24" s="460"/>
      <c r="G24" s="461"/>
      <c r="H24" s="463">
        <f>H25</f>
        <v>0</v>
      </c>
      <c r="I24" s="463">
        <v>0</v>
      </c>
      <c r="J24" s="92">
        <f t="shared" si="4"/>
        <v>0</v>
      </c>
      <c r="K24" s="394"/>
      <c r="L24" s="395"/>
      <c r="M24" s="542"/>
    </row>
    <row r="25" spans="1:13">
      <c r="A25" s="10"/>
      <c r="B25" s="6"/>
      <c r="C25" s="464"/>
      <c r="D25" s="465"/>
      <c r="E25" s="353" t="s">
        <v>196</v>
      </c>
      <c r="F25" s="460"/>
      <c r="G25" s="461"/>
      <c r="H25" s="92">
        <f>H26</f>
        <v>0</v>
      </c>
      <c r="I25" s="92">
        <v>0</v>
      </c>
      <c r="J25" s="92">
        <f t="shared" si="4"/>
        <v>0</v>
      </c>
      <c r="K25" s="355"/>
      <c r="L25" s="396"/>
      <c r="M25" s="543"/>
    </row>
    <row r="26" spans="1:13">
      <c r="A26" s="63"/>
      <c r="B26" s="65"/>
      <c r="C26" s="65"/>
      <c r="D26" s="65"/>
      <c r="E26" s="65"/>
      <c r="F26" s="136" t="s">
        <v>188</v>
      </c>
      <c r="G26" s="70"/>
      <c r="H26" s="71">
        <f>H27</f>
        <v>0</v>
      </c>
      <c r="I26" s="71">
        <v>0</v>
      </c>
      <c r="J26" s="146">
        <f t="shared" si="4"/>
        <v>0</v>
      </c>
      <c r="K26" s="274"/>
      <c r="L26" s="275"/>
      <c r="M26" s="276"/>
    </row>
    <row r="27" spans="1:13">
      <c r="A27" s="55"/>
      <c r="B27" s="57"/>
      <c r="C27" s="65"/>
      <c r="D27" s="65"/>
      <c r="E27" s="65"/>
      <c r="F27" s="192"/>
      <c r="G27" s="206" t="s">
        <v>197</v>
      </c>
      <c r="H27" s="75">
        <f>M27</f>
        <v>0</v>
      </c>
      <c r="I27" s="75">
        <v>0</v>
      </c>
      <c r="J27" s="41">
        <f t="shared" si="4"/>
        <v>0</v>
      </c>
      <c r="K27" s="36" t="s">
        <v>198</v>
      </c>
      <c r="L27" s="209"/>
      <c r="M27" s="272">
        <f>M28</f>
        <v>0</v>
      </c>
    </row>
    <row r="28" spans="1:13" ht="17.25" thickBot="1">
      <c r="A28" s="226"/>
      <c r="B28" s="227"/>
      <c r="C28" s="69"/>
      <c r="D28" s="69"/>
      <c r="E28" s="69"/>
      <c r="F28" s="228"/>
      <c r="G28" s="229"/>
      <c r="H28" s="277"/>
      <c r="I28" s="213"/>
      <c r="J28" s="230"/>
      <c r="K28" s="231" t="s">
        <v>400</v>
      </c>
      <c r="L28" s="214" t="s">
        <v>199</v>
      </c>
      <c r="M28" s="273">
        <v>0</v>
      </c>
    </row>
    <row r="29" spans="1:13">
      <c r="L29" s="237"/>
      <c r="M29" s="278"/>
    </row>
    <row r="30" spans="1:13">
      <c r="L30" s="237"/>
      <c r="M30" s="278"/>
    </row>
    <row r="31" spans="1:13">
      <c r="L31" s="237"/>
      <c r="M31" s="278"/>
    </row>
    <row r="32" spans="1:13">
      <c r="L32" s="237"/>
      <c r="M32" s="278"/>
    </row>
    <row r="33" spans="12:13">
      <c r="L33" s="237"/>
      <c r="M33" s="278"/>
    </row>
    <row r="34" spans="12:13">
      <c r="L34" s="237"/>
      <c r="M34" s="278"/>
    </row>
    <row r="35" spans="12:13">
      <c r="L35" s="237"/>
      <c r="M35" s="278"/>
    </row>
    <row r="36" spans="12:13">
      <c r="L36" s="237"/>
      <c r="M36" s="278"/>
    </row>
    <row r="37" spans="12:13">
      <c r="L37" s="237"/>
      <c r="M37" s="278"/>
    </row>
    <row r="38" spans="12:13">
      <c r="L38" s="237"/>
      <c r="M38" s="278"/>
    </row>
    <row r="39" spans="12:13">
      <c r="L39" s="237"/>
      <c r="M39" s="278"/>
    </row>
    <row r="40" spans="12:13">
      <c r="L40" s="237"/>
      <c r="M40" s="278"/>
    </row>
    <row r="41" spans="12:13">
      <c r="L41" s="237"/>
      <c r="M41" s="278"/>
    </row>
    <row r="42" spans="12:13">
      <c r="L42" s="237"/>
      <c r="M42" s="278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1:J22">
    <cfRule type="containsText" dxfId="233" priority="49" operator="containsText" text="허하나로">
      <formula>NOT(ISERROR(SEARCH("허하나로",H840)))</formula>
    </cfRule>
    <cfRule type="containsText" dxfId="232" priority="50" operator="containsText" text="한별">
      <formula>NOT(ISERROR(SEARCH("한별",H840)))</formula>
    </cfRule>
    <cfRule type="containsText" dxfId="231" priority="51" operator="containsText" text="정홍조">
      <formula>NOT(ISERROR(SEARCH("정홍조",H840)))</formula>
    </cfRule>
    <cfRule type="containsText" dxfId="230" priority="52" operator="containsText" text="김지윤">
      <formula>NOT(ISERROR(SEARCH("김지윤",H840)))</formula>
    </cfRule>
    <cfRule type="containsText" dxfId="229" priority="53" operator="containsText" text="전준영">
      <formula>NOT(ISERROR(SEARCH("전준영",H840)))</formula>
    </cfRule>
    <cfRule type="containsText" dxfId="228" priority="54" operator="containsText" text="차재성">
      <formula>NOT(ISERROR(SEARCH("차재성",H840)))</formula>
    </cfRule>
  </conditionalFormatting>
  <conditionalFormatting sqref="J6:J11">
    <cfRule type="containsText" dxfId="227" priority="85" operator="containsText" text="허하나로">
      <formula>NOT(ISERROR(SEARCH("허하나로",H828)))</formula>
    </cfRule>
    <cfRule type="containsText" dxfId="226" priority="86" operator="containsText" text="한별">
      <formula>NOT(ISERROR(SEARCH("한별",H828)))</formula>
    </cfRule>
    <cfRule type="containsText" dxfId="225" priority="87" operator="containsText" text="정홍조">
      <formula>NOT(ISERROR(SEARCH("정홍조",H828)))</formula>
    </cfRule>
    <cfRule type="containsText" dxfId="224" priority="88" operator="containsText" text="김지윤">
      <formula>NOT(ISERROR(SEARCH("김지윤",H828)))</formula>
    </cfRule>
    <cfRule type="containsText" dxfId="223" priority="89" operator="containsText" text="전준영">
      <formula>NOT(ISERROR(SEARCH("전준영",H828)))</formula>
    </cfRule>
    <cfRule type="containsText" dxfId="222" priority="90" operator="containsText" text="차재성">
      <formula>NOT(ISERROR(SEARCH("차재성",H828)))</formula>
    </cfRule>
  </conditionalFormatting>
  <conditionalFormatting sqref="J26:J27">
    <cfRule type="containsText" dxfId="221" priority="67" operator="containsText" text="허하나로">
      <formula>NOT(ISERROR(SEARCH("허하나로",H1075)))</formula>
    </cfRule>
    <cfRule type="containsText" dxfId="220" priority="68" operator="containsText" text="한별">
      <formula>NOT(ISERROR(SEARCH("한별",H1075)))</formula>
    </cfRule>
    <cfRule type="containsText" dxfId="219" priority="69" operator="containsText" text="정홍조">
      <formula>NOT(ISERROR(SEARCH("정홍조",H1075)))</formula>
    </cfRule>
    <cfRule type="containsText" dxfId="218" priority="70" operator="containsText" text="김지윤">
      <formula>NOT(ISERROR(SEARCH("김지윤",H1075)))</formula>
    </cfRule>
    <cfRule type="containsText" dxfId="217" priority="71" operator="containsText" text="전준영">
      <formula>NOT(ISERROR(SEARCH("전준영",H1075)))</formula>
    </cfRule>
    <cfRule type="containsText" dxfId="216" priority="72" operator="containsText" text="차재성">
      <formula>NOT(ISERROR(SEARCH("차재성",H1075)))</formula>
    </cfRule>
  </conditionalFormatting>
  <conditionalFormatting sqref="J28">
    <cfRule type="containsText" dxfId="215" priority="73" operator="containsText" text="허하나로">
      <formula>NOT(ISERROR(SEARCH("허하나로",H1077)))</formula>
    </cfRule>
    <cfRule type="containsText" dxfId="214" priority="74" operator="containsText" text="한별">
      <formula>NOT(ISERROR(SEARCH("한별",H1077)))</formula>
    </cfRule>
    <cfRule type="containsText" dxfId="213" priority="75" operator="containsText" text="정홍조">
      <formula>NOT(ISERROR(SEARCH("정홍조",H1077)))</formula>
    </cfRule>
    <cfRule type="containsText" dxfId="212" priority="76" operator="containsText" text="김지윤">
      <formula>NOT(ISERROR(SEARCH("김지윤",H1077)))</formula>
    </cfRule>
    <cfRule type="containsText" dxfId="211" priority="77" operator="containsText" text="전준영">
      <formula>NOT(ISERROR(SEARCH("전준영",H1077)))</formula>
    </cfRule>
    <cfRule type="containsText" dxfId="210" priority="78" operator="containsText" text="차재성">
      <formula>NOT(ISERROR(SEARCH("차재성",H1077)))</formula>
    </cfRule>
  </conditionalFormatting>
  <conditionalFormatting sqref="J23">
    <cfRule type="containsText" dxfId="209" priority="55" operator="containsText" text="허하나로">
      <formula>NOT(ISERROR(SEARCH("허하나로",H870)))</formula>
    </cfRule>
    <cfRule type="containsText" dxfId="208" priority="56" operator="containsText" text="한별">
      <formula>NOT(ISERROR(SEARCH("한별",H870)))</formula>
    </cfRule>
    <cfRule type="containsText" dxfId="207" priority="57" operator="containsText" text="정홍조">
      <formula>NOT(ISERROR(SEARCH("정홍조",H870)))</formula>
    </cfRule>
    <cfRule type="containsText" dxfId="206" priority="58" operator="containsText" text="김지윤">
      <formula>NOT(ISERROR(SEARCH("김지윤",H870)))</formula>
    </cfRule>
    <cfRule type="containsText" dxfId="205" priority="59" operator="containsText" text="전준영">
      <formula>NOT(ISERROR(SEARCH("전준영",H870)))</formula>
    </cfRule>
    <cfRule type="containsText" dxfId="204" priority="60" operator="containsText" text="차재성">
      <formula>NOT(ISERROR(SEARCH("차재성",H870)))</formula>
    </cfRule>
  </conditionalFormatting>
  <conditionalFormatting sqref="J25">
    <cfRule type="containsText" dxfId="203" priority="61" operator="containsText" text="허하나로">
      <formula>NOT(ISERROR(SEARCH("허하나로",H1067)))</formula>
    </cfRule>
    <cfRule type="containsText" dxfId="202" priority="62" operator="containsText" text="한별">
      <formula>NOT(ISERROR(SEARCH("한별",H1067)))</formula>
    </cfRule>
    <cfRule type="containsText" dxfId="201" priority="63" operator="containsText" text="정홍조">
      <formula>NOT(ISERROR(SEARCH("정홍조",H1067)))</formula>
    </cfRule>
    <cfRule type="containsText" dxfId="200" priority="64" operator="containsText" text="김지윤">
      <formula>NOT(ISERROR(SEARCH("김지윤",H1067)))</formula>
    </cfRule>
    <cfRule type="containsText" dxfId="199" priority="65" operator="containsText" text="전준영">
      <formula>NOT(ISERROR(SEARCH("전준영",H1067)))</formula>
    </cfRule>
    <cfRule type="containsText" dxfId="198" priority="66" operator="containsText" text="차재성">
      <formula>NOT(ISERROR(SEARCH("차재성",H1067)))</formula>
    </cfRule>
  </conditionalFormatting>
  <conditionalFormatting sqref="J5">
    <cfRule type="containsText" dxfId="197" priority="121" operator="containsText" text="허하나로">
      <formula>NOT(ISERROR(SEARCH("허하나로",H658)))</formula>
    </cfRule>
    <cfRule type="containsText" dxfId="196" priority="122" operator="containsText" text="한별">
      <formula>NOT(ISERROR(SEARCH("한별",H658)))</formula>
    </cfRule>
    <cfRule type="containsText" dxfId="195" priority="123" operator="containsText" text="정홍조">
      <formula>NOT(ISERROR(SEARCH("정홍조",H658)))</formula>
    </cfRule>
    <cfRule type="containsText" dxfId="194" priority="124" operator="containsText" text="김지윤">
      <formula>NOT(ISERROR(SEARCH("김지윤",H658)))</formula>
    </cfRule>
    <cfRule type="containsText" dxfId="193" priority="125" operator="containsText" text="전준영">
      <formula>NOT(ISERROR(SEARCH("전준영",H658)))</formula>
    </cfRule>
    <cfRule type="containsText" dxfId="192" priority="126" operator="containsText" text="차재성">
      <formula>NOT(ISERROR(SEARCH("차재성",H658)))</formula>
    </cfRule>
  </conditionalFormatting>
  <conditionalFormatting sqref="J2:J3">
    <cfRule type="containsText" dxfId="191" priority="43" operator="containsText" text="허하나로">
      <formula>NOT(ISERROR(SEARCH("허하나로",H770)))</formula>
    </cfRule>
    <cfRule type="containsText" dxfId="190" priority="44" operator="containsText" text="한별">
      <formula>NOT(ISERROR(SEARCH("한별",H770)))</formula>
    </cfRule>
    <cfRule type="containsText" dxfId="189" priority="45" operator="containsText" text="정홍조">
      <formula>NOT(ISERROR(SEARCH("정홍조",H770)))</formula>
    </cfRule>
    <cfRule type="containsText" dxfId="188" priority="46" operator="containsText" text="김지윤">
      <formula>NOT(ISERROR(SEARCH("김지윤",H770)))</formula>
    </cfRule>
    <cfRule type="containsText" dxfId="187" priority="47" operator="containsText" text="전준영">
      <formula>NOT(ISERROR(SEARCH("전준영",H770)))</formula>
    </cfRule>
    <cfRule type="containsText" dxfId="186" priority="48" operator="containsText" text="차재성">
      <formula>NOT(ISERROR(SEARCH("차재성",H770)))</formula>
    </cfRule>
  </conditionalFormatting>
  <conditionalFormatting sqref="J14">
    <cfRule type="containsText" dxfId="185" priority="37" operator="containsText" text="허하나로">
      <formula>NOT(ISERROR(SEARCH("허하나로",H1070)))</formula>
    </cfRule>
    <cfRule type="containsText" dxfId="184" priority="38" operator="containsText" text="한별">
      <formula>NOT(ISERROR(SEARCH("한별",H1070)))</formula>
    </cfRule>
    <cfRule type="containsText" dxfId="183" priority="39" operator="containsText" text="정홍조">
      <formula>NOT(ISERROR(SEARCH("정홍조",H1070)))</formula>
    </cfRule>
    <cfRule type="containsText" dxfId="182" priority="40" operator="containsText" text="김지윤">
      <formula>NOT(ISERROR(SEARCH("김지윤",H1070)))</formula>
    </cfRule>
    <cfRule type="containsText" dxfId="181" priority="41" operator="containsText" text="전준영">
      <formula>NOT(ISERROR(SEARCH("전준영",H1070)))</formula>
    </cfRule>
    <cfRule type="containsText" dxfId="180" priority="42" operator="containsText" text="차재성">
      <formula>NOT(ISERROR(SEARCH("차재성",H1070)))</formula>
    </cfRule>
  </conditionalFormatting>
  <conditionalFormatting sqref="J15:J19">
    <cfRule type="containsText" dxfId="179" priority="7" operator="containsText" text="허하나로">
      <formula>NOT(ISERROR(SEARCH("허하나로",H835)))</formula>
    </cfRule>
    <cfRule type="containsText" dxfId="178" priority="8" operator="containsText" text="한별">
      <formula>NOT(ISERROR(SEARCH("한별",H835)))</formula>
    </cfRule>
    <cfRule type="containsText" dxfId="177" priority="9" operator="containsText" text="정홍조">
      <formula>NOT(ISERROR(SEARCH("정홍조",H835)))</formula>
    </cfRule>
    <cfRule type="containsText" dxfId="176" priority="10" operator="containsText" text="김지윤">
      <formula>NOT(ISERROR(SEARCH("김지윤",H835)))</formula>
    </cfRule>
    <cfRule type="containsText" dxfId="175" priority="11" operator="containsText" text="전준영">
      <formula>NOT(ISERROR(SEARCH("전준영",H835)))</formula>
    </cfRule>
    <cfRule type="containsText" dxfId="174" priority="12" operator="containsText" text="차재성">
      <formula>NOT(ISERROR(SEARCH("차재성",H835)))</formula>
    </cfRule>
  </conditionalFormatting>
  <conditionalFormatting sqref="J20">
    <cfRule type="containsText" dxfId="173" priority="1" operator="containsText" text="허하나로">
      <formula>NOT(ISERROR(SEARCH("허하나로",H1074)))</formula>
    </cfRule>
    <cfRule type="containsText" dxfId="172" priority="2" operator="containsText" text="한별">
      <formula>NOT(ISERROR(SEARCH("한별",H1074)))</formula>
    </cfRule>
    <cfRule type="containsText" dxfId="171" priority="3" operator="containsText" text="정홍조">
      <formula>NOT(ISERROR(SEARCH("정홍조",H1074)))</formula>
    </cfRule>
    <cfRule type="containsText" dxfId="170" priority="4" operator="containsText" text="김지윤">
      <formula>NOT(ISERROR(SEARCH("김지윤",H1074)))</formula>
    </cfRule>
    <cfRule type="containsText" dxfId="169" priority="5" operator="containsText" text="전준영">
      <formula>NOT(ISERROR(SEARCH("전준영",H1074)))</formula>
    </cfRule>
    <cfRule type="containsText" dxfId="168" priority="6" operator="containsText" text="차재성">
      <formula>NOT(ISERROR(SEARCH("차재성",H1074)))</formula>
    </cfRule>
  </conditionalFormatting>
  <conditionalFormatting sqref="J12:J13">
    <cfRule type="containsText" dxfId="167" priority="5485" operator="containsText" text="허하나로">
      <formula>NOT(ISERROR(SEARCH("허하나로",H1069)))</formula>
    </cfRule>
    <cfRule type="containsText" dxfId="166" priority="5486" operator="containsText" text="한별">
      <formula>NOT(ISERROR(SEARCH("한별",H1069)))</formula>
    </cfRule>
    <cfRule type="containsText" dxfId="165" priority="5487" operator="containsText" text="정홍조">
      <formula>NOT(ISERROR(SEARCH("정홍조",H1069)))</formula>
    </cfRule>
    <cfRule type="containsText" dxfId="164" priority="5488" operator="containsText" text="김지윤">
      <formula>NOT(ISERROR(SEARCH("김지윤",H1069)))</formula>
    </cfRule>
    <cfRule type="containsText" dxfId="163" priority="5489" operator="containsText" text="전준영">
      <formula>NOT(ISERROR(SEARCH("전준영",H1069)))</formula>
    </cfRule>
    <cfRule type="containsText" dxfId="162" priority="5490" operator="containsText" text="차재성">
      <formula>NOT(ISERROR(SEARCH("차재성",H1069)))</formula>
    </cfRule>
  </conditionalFormatting>
  <pageMargins left="0.25" right="0.25" top="0.75" bottom="0.75" header="0.3" footer="0.3"/>
  <pageSetup paperSize="9" scale="6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I77"/>
  <sheetViews>
    <sheetView view="pageBreakPreview" topLeftCell="A10" zoomScale="60" zoomScaleNormal="85" workbookViewId="0">
      <selection activeCell="J68" sqref="J68"/>
    </sheetView>
  </sheetViews>
  <sheetFormatPr defaultRowHeight="16.5"/>
  <cols>
    <col min="1" max="1" width="3.875" customWidth="1"/>
    <col min="2" max="2" width="5" customWidth="1"/>
    <col min="3" max="5" width="3.875" customWidth="1"/>
    <col min="6" max="6" width="32.625" customWidth="1"/>
    <col min="7" max="7" width="14.375" customWidth="1"/>
    <col min="8" max="8" width="16.125" customWidth="1"/>
    <col min="9" max="9" width="12.125" customWidth="1"/>
  </cols>
  <sheetData>
    <row r="1" spans="1:9" ht="18" customHeight="1">
      <c r="A1" s="27" t="s">
        <v>245</v>
      </c>
      <c r="B1" s="28"/>
      <c r="C1" s="28"/>
      <c r="D1" s="28"/>
      <c r="E1" s="28"/>
      <c r="F1" s="28"/>
      <c r="G1" s="29"/>
      <c r="H1" s="29"/>
      <c r="I1" s="29"/>
    </row>
    <row r="2" spans="1:9" ht="17.25" thickBot="1">
      <c r="A2" s="30"/>
      <c r="B2" s="30"/>
      <c r="C2" s="30"/>
      <c r="D2" s="30"/>
      <c r="E2" s="30"/>
      <c r="F2" s="30"/>
      <c r="G2" s="30"/>
      <c r="H2" s="30"/>
      <c r="I2" s="31" t="s">
        <v>149</v>
      </c>
    </row>
    <row r="3" spans="1:9" ht="18" customHeight="1">
      <c r="A3" s="726" t="s">
        <v>5</v>
      </c>
      <c r="B3" s="727"/>
      <c r="C3" s="727"/>
      <c r="D3" s="727"/>
      <c r="E3" s="727"/>
      <c r="F3" s="728"/>
      <c r="G3" s="693" t="s">
        <v>728</v>
      </c>
      <c r="H3" s="693" t="s">
        <v>729</v>
      </c>
      <c r="I3" s="695" t="s">
        <v>467</v>
      </c>
    </row>
    <row r="4" spans="1:9" ht="17.25" thickBot="1">
      <c r="A4" s="85" t="s">
        <v>12</v>
      </c>
      <c r="B4" s="32" t="s">
        <v>13</v>
      </c>
      <c r="C4" s="32" t="s">
        <v>14</v>
      </c>
      <c r="D4" s="32" t="s">
        <v>15</v>
      </c>
      <c r="E4" s="32" t="s">
        <v>6</v>
      </c>
      <c r="F4" s="32" t="s">
        <v>19</v>
      </c>
      <c r="G4" s="694"/>
      <c r="H4" s="694"/>
      <c r="I4" s="696"/>
    </row>
    <row r="5" spans="1:9" ht="17.25" thickBot="1">
      <c r="A5" s="697" t="s">
        <v>154</v>
      </c>
      <c r="B5" s="698"/>
      <c r="C5" s="698"/>
      <c r="D5" s="698"/>
      <c r="E5" s="698"/>
      <c r="F5" s="700"/>
      <c r="G5" s="280">
        <f>G6+G54</f>
        <v>17270000</v>
      </c>
      <c r="H5" s="280">
        <v>14320000</v>
      </c>
      <c r="I5" s="162">
        <f>G5-H5</f>
        <v>2950000</v>
      </c>
    </row>
    <row r="6" spans="1:9" ht="18" customHeight="1">
      <c r="A6" s="247" t="s">
        <v>2</v>
      </c>
      <c r="B6" s="177"/>
      <c r="C6" s="177"/>
      <c r="D6" s="177"/>
      <c r="E6" s="177"/>
      <c r="F6" s="178"/>
      <c r="G6" s="248">
        <f>SUM(G7,G17,G49)</f>
        <v>11000000</v>
      </c>
      <c r="H6" s="248">
        <v>10750000</v>
      </c>
      <c r="I6" s="115">
        <f t="shared" ref="I6:I9" si="0">G6-H6</f>
        <v>250000</v>
      </c>
    </row>
    <row r="7" spans="1:9" ht="18" customHeight="1">
      <c r="A7" s="240"/>
      <c r="B7" s="176" t="s">
        <v>277</v>
      </c>
      <c r="C7" s="177"/>
      <c r="D7" s="177"/>
      <c r="E7" s="177"/>
      <c r="F7" s="178"/>
      <c r="G7" s="113">
        <f>'기획본부(위탁)'!H6</f>
        <v>1000000</v>
      </c>
      <c r="H7" s="113">
        <v>1000000</v>
      </c>
      <c r="I7" s="115">
        <f t="shared" si="0"/>
        <v>0</v>
      </c>
    </row>
    <row r="8" spans="1:9" ht="18" customHeight="1">
      <c r="A8" s="164"/>
      <c r="B8" s="165"/>
      <c r="C8" s="179" t="s">
        <v>200</v>
      </c>
      <c r="D8" s="180"/>
      <c r="E8" s="180"/>
      <c r="F8" s="181"/>
      <c r="G8" s="111">
        <f>'기획본부(위탁)'!H7</f>
        <v>1000000</v>
      </c>
      <c r="H8" s="111">
        <v>1000000</v>
      </c>
      <c r="I8" s="114">
        <f t="shared" si="0"/>
        <v>0</v>
      </c>
    </row>
    <row r="9" spans="1:9" ht="18" customHeight="1">
      <c r="A9" s="164"/>
      <c r="B9" s="166"/>
      <c r="C9" s="167"/>
      <c r="D9" s="179" t="s">
        <v>201</v>
      </c>
      <c r="E9" s="180"/>
      <c r="F9" s="181"/>
      <c r="G9" s="111">
        <f>'기획본부(위탁)'!H8</f>
        <v>1000000</v>
      </c>
      <c r="H9" s="112">
        <v>1000000</v>
      </c>
      <c r="I9" s="114">
        <f t="shared" si="0"/>
        <v>0</v>
      </c>
    </row>
    <row r="10" spans="1:9" ht="18" customHeight="1">
      <c r="A10" s="164"/>
      <c r="B10" s="166"/>
      <c r="C10" s="165"/>
      <c r="D10" s="167"/>
      <c r="E10" s="179" t="s">
        <v>202</v>
      </c>
      <c r="F10" s="181"/>
      <c r="G10" s="111">
        <f>'기획본부(위탁)'!H10</f>
        <v>965000</v>
      </c>
      <c r="H10" s="112">
        <v>965000</v>
      </c>
      <c r="I10" s="114">
        <f t="shared" ref="I10:I14" si="1">G10-H10</f>
        <v>0</v>
      </c>
    </row>
    <row r="11" spans="1:9" ht="18" customHeight="1">
      <c r="A11" s="164"/>
      <c r="B11" s="166"/>
      <c r="C11" s="165"/>
      <c r="D11" s="166"/>
      <c r="E11" s="255"/>
      <c r="F11" s="281" t="s">
        <v>203</v>
      </c>
      <c r="G11" s="329">
        <f>'기획본부(위탁)'!H11</f>
        <v>345000</v>
      </c>
      <c r="H11" s="16">
        <v>345000</v>
      </c>
      <c r="I11" s="116">
        <f t="shared" si="1"/>
        <v>0</v>
      </c>
    </row>
    <row r="12" spans="1:9" ht="18" customHeight="1">
      <c r="A12" s="86"/>
      <c r="B12" s="168"/>
      <c r="C12" s="169"/>
      <c r="D12" s="168"/>
      <c r="E12" s="169"/>
      <c r="F12" s="171" t="s">
        <v>20</v>
      </c>
      <c r="G12" s="329">
        <f>'기획본부(위탁)'!H17</f>
        <v>120000</v>
      </c>
      <c r="H12" s="16">
        <v>120000</v>
      </c>
      <c r="I12" s="116">
        <f t="shared" si="1"/>
        <v>0</v>
      </c>
    </row>
    <row r="13" spans="1:9">
      <c r="A13" s="325"/>
      <c r="B13" s="168"/>
      <c r="C13" s="169"/>
      <c r="D13" s="168"/>
      <c r="E13" s="243"/>
      <c r="F13" s="170" t="s">
        <v>204</v>
      </c>
      <c r="G13" s="329">
        <f>'기획본부(위탁)'!H21</f>
        <v>500000</v>
      </c>
      <c r="H13" s="329">
        <v>500000</v>
      </c>
      <c r="I13" s="116">
        <f t="shared" si="1"/>
        <v>0</v>
      </c>
    </row>
    <row r="14" spans="1:9" ht="18" customHeight="1">
      <c r="A14" s="164"/>
      <c r="B14" s="166"/>
      <c r="C14" s="166"/>
      <c r="D14" s="166"/>
      <c r="E14" s="179" t="s">
        <v>130</v>
      </c>
      <c r="F14" s="181"/>
      <c r="G14" s="111">
        <f>'기획본부(위탁)'!H24</f>
        <v>35000</v>
      </c>
      <c r="H14" s="112">
        <v>35000</v>
      </c>
      <c r="I14" s="114">
        <f t="shared" si="1"/>
        <v>0</v>
      </c>
    </row>
    <row r="15" spans="1:9" ht="18" customHeight="1">
      <c r="A15" s="164"/>
      <c r="B15" s="166"/>
      <c r="C15" s="165"/>
      <c r="D15" s="166"/>
      <c r="E15" s="433"/>
      <c r="F15" s="432" t="s">
        <v>496</v>
      </c>
      <c r="G15" s="111">
        <f>'기획본부(위탁)'!H25</f>
        <v>10000</v>
      </c>
      <c r="H15" s="112">
        <v>10000</v>
      </c>
      <c r="I15" s="114">
        <f t="shared" ref="I15:I16" si="2">G15-H15</f>
        <v>0</v>
      </c>
    </row>
    <row r="16" spans="1:9" ht="18" customHeight="1">
      <c r="A16" s="164"/>
      <c r="B16" s="346"/>
      <c r="C16" s="347"/>
      <c r="D16" s="346"/>
      <c r="E16" s="348"/>
      <c r="F16" s="281" t="s">
        <v>420</v>
      </c>
      <c r="G16" s="329">
        <f>'기획본부(위탁)'!H27</f>
        <v>25000</v>
      </c>
      <c r="H16" s="329">
        <v>25000</v>
      </c>
      <c r="I16" s="116">
        <f t="shared" si="2"/>
        <v>0</v>
      </c>
    </row>
    <row r="17" spans="1:9" ht="18" customHeight="1">
      <c r="A17" s="250"/>
      <c r="B17" s="326" t="s">
        <v>266</v>
      </c>
      <c r="C17" s="258"/>
      <c r="D17" s="258"/>
      <c r="E17" s="258"/>
      <c r="F17" s="327"/>
      <c r="G17" s="248">
        <f>'기획본부(위탁)'!H30</f>
        <v>4500000</v>
      </c>
      <c r="H17" s="248">
        <v>4250000</v>
      </c>
      <c r="I17" s="328">
        <f t="shared" ref="I17:I19" si="3">G17-H17</f>
        <v>250000</v>
      </c>
    </row>
    <row r="18" spans="1:9" ht="18" customHeight="1">
      <c r="A18" s="164"/>
      <c r="B18" s="165"/>
      <c r="C18" s="179" t="s">
        <v>435</v>
      </c>
      <c r="D18" s="180"/>
      <c r="E18" s="180"/>
      <c r="F18" s="181"/>
      <c r="G18" s="111">
        <f>'기획본부(위탁)'!H31</f>
        <v>4250000</v>
      </c>
      <c r="H18" s="111">
        <v>4250000</v>
      </c>
      <c r="I18" s="114">
        <f t="shared" si="3"/>
        <v>0</v>
      </c>
    </row>
    <row r="19" spans="1:9" ht="18" customHeight="1">
      <c r="A19" s="164"/>
      <c r="B19" s="166"/>
      <c r="C19" s="167"/>
      <c r="D19" s="179" t="s">
        <v>466</v>
      </c>
      <c r="E19" s="180"/>
      <c r="F19" s="181"/>
      <c r="G19" s="111">
        <f>'기획본부(위탁)'!H32</f>
        <v>250000</v>
      </c>
      <c r="H19" s="112">
        <v>250000</v>
      </c>
      <c r="I19" s="114">
        <f t="shared" si="3"/>
        <v>0</v>
      </c>
    </row>
    <row r="20" spans="1:9" ht="18" customHeight="1">
      <c r="A20" s="164"/>
      <c r="B20" s="166"/>
      <c r="C20" s="165"/>
      <c r="D20" s="166"/>
      <c r="E20" s="179" t="s">
        <v>433</v>
      </c>
      <c r="F20" s="181"/>
      <c r="G20" s="111">
        <f>'기획본부(위탁)'!H34</f>
        <v>250000</v>
      </c>
      <c r="H20" s="112">
        <v>250000</v>
      </c>
      <c r="I20" s="114">
        <f t="shared" ref="I20:I23" si="4">G20-H20</f>
        <v>0</v>
      </c>
    </row>
    <row r="21" spans="1:9" ht="18" customHeight="1">
      <c r="A21" s="164"/>
      <c r="B21" s="166"/>
      <c r="C21" s="165"/>
      <c r="D21" s="166"/>
      <c r="E21" s="255"/>
      <c r="F21" s="281" t="s">
        <v>420</v>
      </c>
      <c r="G21" s="329">
        <f>'기획본부(위탁)'!H35</f>
        <v>250000</v>
      </c>
      <c r="H21" s="16">
        <v>250000</v>
      </c>
      <c r="I21" s="116">
        <f t="shared" si="4"/>
        <v>0</v>
      </c>
    </row>
    <row r="22" spans="1:9" ht="18" customHeight="1">
      <c r="A22" s="164"/>
      <c r="B22" s="166"/>
      <c r="C22" s="166"/>
      <c r="D22" s="179" t="s">
        <v>599</v>
      </c>
      <c r="E22" s="180"/>
      <c r="F22" s="181"/>
      <c r="G22" s="111">
        <f>'기획본부(위탁)'!H41</f>
        <v>60000</v>
      </c>
      <c r="H22" s="112">
        <v>60000</v>
      </c>
      <c r="I22" s="114">
        <f t="shared" si="4"/>
        <v>0</v>
      </c>
    </row>
    <row r="23" spans="1:9" ht="18" customHeight="1">
      <c r="A23" s="164"/>
      <c r="B23" s="166"/>
      <c r="C23" s="165"/>
      <c r="D23" s="167"/>
      <c r="E23" s="179" t="s">
        <v>202</v>
      </c>
      <c r="F23" s="181"/>
      <c r="G23" s="111">
        <f>'기획본부(위탁)'!H43</f>
        <v>60000</v>
      </c>
      <c r="H23" s="112">
        <v>60000</v>
      </c>
      <c r="I23" s="114">
        <f t="shared" si="4"/>
        <v>0</v>
      </c>
    </row>
    <row r="24" spans="1:9" ht="18" customHeight="1">
      <c r="A24" s="86"/>
      <c r="B24" s="168"/>
      <c r="C24" s="169"/>
      <c r="D24" s="168"/>
      <c r="E24" s="169"/>
      <c r="F24" s="171" t="s">
        <v>20</v>
      </c>
      <c r="G24" s="329">
        <f>'기획본부(위탁)'!H44</f>
        <v>60000</v>
      </c>
      <c r="H24" s="16">
        <v>60000</v>
      </c>
      <c r="I24" s="116">
        <f>G24-H24</f>
        <v>0</v>
      </c>
    </row>
    <row r="25" spans="1:9" ht="18" customHeight="1">
      <c r="A25" s="164"/>
      <c r="B25" s="166"/>
      <c r="C25" s="166"/>
      <c r="D25" s="179" t="s">
        <v>600</v>
      </c>
      <c r="E25" s="180"/>
      <c r="F25" s="181"/>
      <c r="G25" s="111">
        <f>'기획본부(위탁)'!H46</f>
        <v>3070000</v>
      </c>
      <c r="H25" s="112">
        <v>3070000</v>
      </c>
      <c r="I25" s="114">
        <f t="shared" ref="I25:I26" si="5">G25-H25</f>
        <v>0</v>
      </c>
    </row>
    <row r="26" spans="1:9" ht="18" customHeight="1">
      <c r="A26" s="164"/>
      <c r="B26" s="166"/>
      <c r="C26" s="165"/>
      <c r="D26" s="167"/>
      <c r="E26" s="179" t="s">
        <v>202</v>
      </c>
      <c r="F26" s="181"/>
      <c r="G26" s="111">
        <f>'기획본부(위탁)'!H48</f>
        <v>2340000</v>
      </c>
      <c r="H26" s="112">
        <v>2340000</v>
      </c>
      <c r="I26" s="114">
        <f t="shared" si="5"/>
        <v>0</v>
      </c>
    </row>
    <row r="27" spans="1:9" ht="18" customHeight="1">
      <c r="A27" s="86"/>
      <c r="B27" s="168"/>
      <c r="C27" s="169"/>
      <c r="D27" s="168"/>
      <c r="E27" s="169"/>
      <c r="F27" s="171" t="s">
        <v>20</v>
      </c>
      <c r="G27" s="329">
        <f>'기획본부(위탁)'!H49</f>
        <v>2340000</v>
      </c>
      <c r="H27" s="16">
        <v>2340000</v>
      </c>
      <c r="I27" s="116">
        <f>G27-H27</f>
        <v>0</v>
      </c>
    </row>
    <row r="28" spans="1:9" ht="18" customHeight="1">
      <c r="A28" s="164"/>
      <c r="B28" s="166"/>
      <c r="C28" s="165"/>
      <c r="D28" s="166"/>
      <c r="E28" s="179" t="s">
        <v>433</v>
      </c>
      <c r="F28" s="181"/>
      <c r="G28" s="111">
        <f>'기획본부(위탁)'!H52</f>
        <v>730000</v>
      </c>
      <c r="H28" s="112">
        <v>730000</v>
      </c>
      <c r="I28" s="114">
        <f t="shared" ref="I28:I29" si="6">G28-H28</f>
        <v>0</v>
      </c>
    </row>
    <row r="29" spans="1:9" ht="18" customHeight="1">
      <c r="A29" s="164"/>
      <c r="B29" s="166"/>
      <c r="C29" s="165"/>
      <c r="D29" s="166"/>
      <c r="E29" s="255"/>
      <c r="F29" s="350" t="s">
        <v>434</v>
      </c>
      <c r="G29" s="329">
        <f>'기획본부(위탁)'!H53</f>
        <v>730000</v>
      </c>
      <c r="H29" s="16">
        <v>730000</v>
      </c>
      <c r="I29" s="116">
        <f t="shared" si="6"/>
        <v>0</v>
      </c>
    </row>
    <row r="30" spans="1:9" ht="18" customHeight="1">
      <c r="A30" s="164"/>
      <c r="B30" s="166"/>
      <c r="C30" s="166"/>
      <c r="D30" s="179" t="s">
        <v>601</v>
      </c>
      <c r="E30" s="180"/>
      <c r="F30" s="181"/>
      <c r="G30" s="111">
        <f>'기획본부(위탁)'!H55</f>
        <v>270000</v>
      </c>
      <c r="H30" s="112">
        <v>270000</v>
      </c>
      <c r="I30" s="114">
        <f t="shared" ref="I30:I32" si="7">G30-H30</f>
        <v>0</v>
      </c>
    </row>
    <row r="31" spans="1:9" ht="18" customHeight="1">
      <c r="A31" s="164"/>
      <c r="B31" s="166"/>
      <c r="C31" s="165"/>
      <c r="D31" s="167"/>
      <c r="E31" s="179" t="s">
        <v>202</v>
      </c>
      <c r="F31" s="181"/>
      <c r="G31" s="111">
        <f>'기획본부(위탁)'!H57</f>
        <v>224000</v>
      </c>
      <c r="H31" s="112">
        <v>224000</v>
      </c>
      <c r="I31" s="114">
        <f t="shared" si="7"/>
        <v>0</v>
      </c>
    </row>
    <row r="32" spans="1:9" ht="18" customHeight="1">
      <c r="A32" s="164"/>
      <c r="B32" s="166"/>
      <c r="C32" s="165"/>
      <c r="D32" s="166"/>
      <c r="E32" s="255"/>
      <c r="F32" s="281" t="s">
        <v>602</v>
      </c>
      <c r="G32" s="329">
        <f>'기획본부(위탁)'!H58</f>
        <v>4000</v>
      </c>
      <c r="H32" s="16">
        <v>4000</v>
      </c>
      <c r="I32" s="116">
        <f t="shared" si="7"/>
        <v>0</v>
      </c>
    </row>
    <row r="33" spans="1:9" ht="18" customHeight="1">
      <c r="A33" s="86"/>
      <c r="B33" s="168"/>
      <c r="C33" s="169"/>
      <c r="D33" s="168"/>
      <c r="E33" s="169"/>
      <c r="F33" s="171" t="s">
        <v>20</v>
      </c>
      <c r="G33" s="329">
        <f>'기획본부(위탁)'!H61</f>
        <v>220000</v>
      </c>
      <c r="H33" s="16">
        <v>220000</v>
      </c>
      <c r="I33" s="116">
        <f>G33-H33</f>
        <v>0</v>
      </c>
    </row>
    <row r="34" spans="1:9" ht="18" customHeight="1">
      <c r="A34" s="164"/>
      <c r="B34" s="166"/>
      <c r="C34" s="165"/>
      <c r="D34" s="166"/>
      <c r="E34" s="179" t="s">
        <v>433</v>
      </c>
      <c r="F34" s="181"/>
      <c r="G34" s="111">
        <f>'기획본부(위탁)'!H64</f>
        <v>46000</v>
      </c>
      <c r="H34" s="112">
        <v>46000</v>
      </c>
      <c r="I34" s="114">
        <f t="shared" ref="I34:I38" si="8">G34-H34</f>
        <v>0</v>
      </c>
    </row>
    <row r="35" spans="1:9" ht="18" customHeight="1">
      <c r="A35" s="164"/>
      <c r="B35" s="166"/>
      <c r="C35" s="165"/>
      <c r="D35" s="166"/>
      <c r="E35" s="255"/>
      <c r="F35" s="350" t="s">
        <v>434</v>
      </c>
      <c r="G35" s="329">
        <f>'기획본부(위탁)'!H65</f>
        <v>46000</v>
      </c>
      <c r="H35" s="16">
        <v>46000</v>
      </c>
      <c r="I35" s="116">
        <f t="shared" si="8"/>
        <v>0</v>
      </c>
    </row>
    <row r="36" spans="1:9" ht="18" customHeight="1">
      <c r="A36" s="164"/>
      <c r="B36" s="166"/>
      <c r="C36" s="166"/>
      <c r="D36" s="179" t="s">
        <v>603</v>
      </c>
      <c r="E36" s="180"/>
      <c r="F36" s="181"/>
      <c r="G36" s="111">
        <f>'기획본부(위탁)'!H67</f>
        <v>600000</v>
      </c>
      <c r="H36" s="112">
        <v>600000</v>
      </c>
      <c r="I36" s="114">
        <f t="shared" si="8"/>
        <v>0</v>
      </c>
    </row>
    <row r="37" spans="1:9" ht="18" customHeight="1">
      <c r="A37" s="164"/>
      <c r="B37" s="166"/>
      <c r="C37" s="165"/>
      <c r="D37" s="167"/>
      <c r="E37" s="179" t="s">
        <v>202</v>
      </c>
      <c r="F37" s="181"/>
      <c r="G37" s="111">
        <f>'기획본부(위탁)'!H69</f>
        <v>358000</v>
      </c>
      <c r="H37" s="112">
        <v>358000</v>
      </c>
      <c r="I37" s="114">
        <f t="shared" si="8"/>
        <v>0</v>
      </c>
    </row>
    <row r="38" spans="1:9" ht="18" customHeight="1">
      <c r="A38" s="164"/>
      <c r="B38" s="166"/>
      <c r="C38" s="165"/>
      <c r="D38" s="166"/>
      <c r="E38" s="255"/>
      <c r="F38" s="281" t="s">
        <v>602</v>
      </c>
      <c r="G38" s="329">
        <f>'기획본부(위탁)'!H70</f>
        <v>4000</v>
      </c>
      <c r="H38" s="16">
        <v>4000</v>
      </c>
      <c r="I38" s="116">
        <f t="shared" si="8"/>
        <v>0</v>
      </c>
    </row>
    <row r="39" spans="1:9" ht="18" customHeight="1">
      <c r="A39" s="86"/>
      <c r="B39" s="168"/>
      <c r="C39" s="169"/>
      <c r="D39" s="168"/>
      <c r="E39" s="169"/>
      <c r="F39" s="171" t="s">
        <v>20</v>
      </c>
      <c r="G39" s="329">
        <f>'기획본부(위탁)'!H73</f>
        <v>354000</v>
      </c>
      <c r="H39" s="16">
        <v>354000</v>
      </c>
      <c r="I39" s="116">
        <f>G39-H39</f>
        <v>0</v>
      </c>
    </row>
    <row r="40" spans="1:9" ht="18" customHeight="1">
      <c r="A40" s="164"/>
      <c r="B40" s="166"/>
      <c r="C40" s="165"/>
      <c r="D40" s="166"/>
      <c r="E40" s="179" t="s">
        <v>433</v>
      </c>
      <c r="F40" s="181"/>
      <c r="G40" s="111">
        <f>'기획본부(위탁)'!H76</f>
        <v>242000</v>
      </c>
      <c r="H40" s="112">
        <v>242000</v>
      </c>
      <c r="I40" s="114">
        <f t="shared" ref="I40:I45" si="9">G40-H40</f>
        <v>0</v>
      </c>
    </row>
    <row r="41" spans="1:9" ht="18" customHeight="1">
      <c r="A41" s="164"/>
      <c r="B41" s="166"/>
      <c r="C41" s="165"/>
      <c r="D41" s="166"/>
      <c r="E41" s="255"/>
      <c r="F41" s="350" t="s">
        <v>434</v>
      </c>
      <c r="G41" s="329">
        <f>'기획본부(위탁)'!H77</f>
        <v>242000</v>
      </c>
      <c r="H41" s="16">
        <v>242000</v>
      </c>
      <c r="I41" s="116">
        <f t="shared" si="9"/>
        <v>0</v>
      </c>
    </row>
    <row r="42" spans="1:9" ht="18" customHeight="1">
      <c r="A42" s="164"/>
      <c r="B42" s="165"/>
      <c r="C42" s="353" t="s">
        <v>800</v>
      </c>
      <c r="D42" s="180"/>
      <c r="E42" s="180"/>
      <c r="F42" s="181"/>
      <c r="G42" s="111">
        <f>'기획본부(위탁)'!H79</f>
        <v>250000</v>
      </c>
      <c r="H42" s="111">
        <v>0</v>
      </c>
      <c r="I42" s="114">
        <f t="shared" si="9"/>
        <v>250000</v>
      </c>
    </row>
    <row r="43" spans="1:9" ht="18" customHeight="1">
      <c r="A43" s="164"/>
      <c r="B43" s="166"/>
      <c r="C43" s="166"/>
      <c r="D43" s="179" t="s">
        <v>781</v>
      </c>
      <c r="E43" s="180"/>
      <c r="F43" s="181"/>
      <c r="G43" s="111">
        <f>'기획본부(위탁)'!H80</f>
        <v>250000</v>
      </c>
      <c r="H43" s="112">
        <v>0</v>
      </c>
      <c r="I43" s="114">
        <f t="shared" si="9"/>
        <v>250000</v>
      </c>
    </row>
    <row r="44" spans="1:9" ht="18" customHeight="1">
      <c r="A44" s="164"/>
      <c r="B44" s="166"/>
      <c r="C44" s="165"/>
      <c r="D44" s="167"/>
      <c r="E44" s="179" t="s">
        <v>202</v>
      </c>
      <c r="F44" s="181"/>
      <c r="G44" s="111">
        <f>'기획본부(위탁)'!H82</f>
        <v>50000</v>
      </c>
      <c r="H44" s="112">
        <v>0</v>
      </c>
      <c r="I44" s="114">
        <f t="shared" si="9"/>
        <v>50000</v>
      </c>
    </row>
    <row r="45" spans="1:9" ht="18" customHeight="1">
      <c r="A45" s="164"/>
      <c r="B45" s="166"/>
      <c r="C45" s="165"/>
      <c r="D45" s="166"/>
      <c r="E45" s="255"/>
      <c r="F45" s="281" t="s">
        <v>602</v>
      </c>
      <c r="G45" s="329">
        <f>'기획본부(위탁)'!H83</f>
        <v>40000</v>
      </c>
      <c r="H45" s="16">
        <v>0</v>
      </c>
      <c r="I45" s="116">
        <f t="shared" si="9"/>
        <v>40000</v>
      </c>
    </row>
    <row r="46" spans="1:9" ht="18" customHeight="1">
      <c r="A46" s="86"/>
      <c r="B46" s="168"/>
      <c r="C46" s="169"/>
      <c r="D46" s="168"/>
      <c r="E46" s="169"/>
      <c r="F46" s="171" t="s">
        <v>20</v>
      </c>
      <c r="G46" s="329">
        <f>'기획본부(위탁)'!H89</f>
        <v>10000</v>
      </c>
      <c r="H46" s="16">
        <v>0</v>
      </c>
      <c r="I46" s="116">
        <f>G46-H46</f>
        <v>10000</v>
      </c>
    </row>
    <row r="47" spans="1:9" ht="18" customHeight="1">
      <c r="A47" s="164"/>
      <c r="B47" s="166"/>
      <c r="C47" s="165"/>
      <c r="D47" s="166"/>
      <c r="E47" s="179" t="s">
        <v>433</v>
      </c>
      <c r="F47" s="181"/>
      <c r="G47" s="111">
        <f>'기획본부(위탁)'!H93</f>
        <v>200000</v>
      </c>
      <c r="H47" s="112">
        <v>0</v>
      </c>
      <c r="I47" s="114">
        <f t="shared" ref="I47:I48" si="10">G47-H47</f>
        <v>200000</v>
      </c>
    </row>
    <row r="48" spans="1:9" ht="18" customHeight="1">
      <c r="A48" s="164"/>
      <c r="B48" s="166"/>
      <c r="C48" s="165"/>
      <c r="D48" s="166"/>
      <c r="E48" s="255"/>
      <c r="F48" s="350" t="s">
        <v>782</v>
      </c>
      <c r="G48" s="329">
        <f>'기획본부(위탁)'!H94</f>
        <v>200000</v>
      </c>
      <c r="H48" s="16">
        <v>0</v>
      </c>
      <c r="I48" s="116">
        <f t="shared" si="10"/>
        <v>200000</v>
      </c>
    </row>
    <row r="49" spans="1:9" ht="18" customHeight="1">
      <c r="A49" s="250"/>
      <c r="B49" s="176" t="s">
        <v>268</v>
      </c>
      <c r="C49" s="177"/>
      <c r="D49" s="177"/>
      <c r="E49" s="177"/>
      <c r="F49" s="178"/>
      <c r="G49" s="113">
        <f>G50</f>
        <v>5500000</v>
      </c>
      <c r="H49" s="113">
        <v>5500000</v>
      </c>
      <c r="I49" s="328">
        <f t="shared" ref="I49:I50" si="11">G49-H49</f>
        <v>0</v>
      </c>
    </row>
    <row r="50" spans="1:9" ht="18" customHeight="1">
      <c r="A50" s="164"/>
      <c r="B50" s="165"/>
      <c r="C50" s="179" t="s">
        <v>259</v>
      </c>
      <c r="D50" s="180"/>
      <c r="E50" s="180"/>
      <c r="F50" s="181"/>
      <c r="G50" s="111">
        <f>'운영본부(위탁)'!H7</f>
        <v>5500000</v>
      </c>
      <c r="H50" s="111">
        <v>5500000</v>
      </c>
      <c r="I50" s="114">
        <f t="shared" si="11"/>
        <v>0</v>
      </c>
    </row>
    <row r="51" spans="1:9" ht="18" customHeight="1">
      <c r="A51" s="164"/>
      <c r="B51" s="166"/>
      <c r="C51" s="166"/>
      <c r="D51" s="179" t="s">
        <v>421</v>
      </c>
      <c r="E51" s="180"/>
      <c r="F51" s="181"/>
      <c r="G51" s="111">
        <f>'운영본부(위탁)'!H8</f>
        <v>5500000</v>
      </c>
      <c r="H51" s="112">
        <v>5500000</v>
      </c>
      <c r="I51" s="114">
        <f t="shared" ref="I51:I53" si="12">G51-H51</f>
        <v>0</v>
      </c>
    </row>
    <row r="52" spans="1:9" ht="18" customHeight="1">
      <c r="A52" s="164"/>
      <c r="B52" s="166"/>
      <c r="C52" s="165"/>
      <c r="D52" s="167"/>
      <c r="E52" s="179" t="s">
        <v>105</v>
      </c>
      <c r="F52" s="181"/>
      <c r="G52" s="111">
        <f>'운영본부(위탁)'!H10</f>
        <v>5500000</v>
      </c>
      <c r="H52" s="112">
        <v>5500000</v>
      </c>
      <c r="I52" s="114">
        <f t="shared" si="12"/>
        <v>0</v>
      </c>
    </row>
    <row r="53" spans="1:9" ht="18" customHeight="1">
      <c r="A53" s="164"/>
      <c r="B53" s="346"/>
      <c r="C53" s="347"/>
      <c r="D53" s="346"/>
      <c r="E53" s="348"/>
      <c r="F53" s="281" t="s">
        <v>108</v>
      </c>
      <c r="G53" s="329">
        <f>'운영본부(위탁)'!H11</f>
        <v>5500000</v>
      </c>
      <c r="H53" s="329">
        <v>5500000</v>
      </c>
      <c r="I53" s="116">
        <f t="shared" si="12"/>
        <v>0</v>
      </c>
    </row>
    <row r="54" spans="1:9" ht="18" customHeight="1">
      <c r="A54" s="247" t="s">
        <v>275</v>
      </c>
      <c r="B54" s="177"/>
      <c r="C54" s="177"/>
      <c r="D54" s="177"/>
      <c r="E54" s="177"/>
      <c r="F54" s="178"/>
      <c r="G54" s="248">
        <f>SUM(G55,G70)</f>
        <v>6270000</v>
      </c>
      <c r="H54" s="248">
        <v>3570000</v>
      </c>
      <c r="I54" s="115">
        <f t="shared" ref="I54:I59" si="13">G54-H54</f>
        <v>2700000</v>
      </c>
    </row>
    <row r="55" spans="1:9" ht="18" customHeight="1">
      <c r="A55" s="240"/>
      <c r="B55" s="176" t="s">
        <v>271</v>
      </c>
      <c r="C55" s="177"/>
      <c r="D55" s="177"/>
      <c r="E55" s="177"/>
      <c r="F55" s="178"/>
      <c r="G55" s="113">
        <f>G56</f>
        <v>4680000</v>
      </c>
      <c r="H55" s="113">
        <v>1980000</v>
      </c>
      <c r="I55" s="115">
        <f t="shared" si="13"/>
        <v>2700000</v>
      </c>
    </row>
    <row r="56" spans="1:9" ht="18" customHeight="1">
      <c r="A56" s="164"/>
      <c r="B56" s="165"/>
      <c r="C56" s="179" t="s">
        <v>425</v>
      </c>
      <c r="D56" s="180"/>
      <c r="E56" s="180"/>
      <c r="F56" s="181"/>
      <c r="G56" s="111">
        <f>'운영본부(위탁)'!H15</f>
        <v>4680000</v>
      </c>
      <c r="H56" s="111">
        <v>1980000</v>
      </c>
      <c r="I56" s="114">
        <f t="shared" si="13"/>
        <v>2700000</v>
      </c>
    </row>
    <row r="57" spans="1:9" ht="18" customHeight="1">
      <c r="A57" s="164"/>
      <c r="B57" s="166"/>
      <c r="C57" s="167"/>
      <c r="D57" s="179" t="s">
        <v>422</v>
      </c>
      <c r="E57" s="180"/>
      <c r="F57" s="181"/>
      <c r="G57" s="111">
        <f>'운영본부(위탁)'!H16</f>
        <v>2200000</v>
      </c>
      <c r="H57" s="112">
        <v>1200000</v>
      </c>
      <c r="I57" s="114">
        <f t="shared" si="13"/>
        <v>1000000</v>
      </c>
    </row>
    <row r="58" spans="1:9" ht="18" customHeight="1">
      <c r="A58" s="164"/>
      <c r="B58" s="166"/>
      <c r="C58" s="165"/>
      <c r="D58" s="167"/>
      <c r="E58" s="179" t="s">
        <v>423</v>
      </c>
      <c r="F58" s="181"/>
      <c r="G58" s="111">
        <f>'운영본부(위탁)'!H18</f>
        <v>2200000</v>
      </c>
      <c r="H58" s="112">
        <v>1200000</v>
      </c>
      <c r="I58" s="114">
        <f t="shared" si="13"/>
        <v>1000000</v>
      </c>
    </row>
    <row r="59" spans="1:9" ht="18" customHeight="1">
      <c r="A59" s="164"/>
      <c r="B59" s="166"/>
      <c r="C59" s="165"/>
      <c r="D59" s="166"/>
      <c r="E59" s="255"/>
      <c r="F59" s="281" t="s">
        <v>424</v>
      </c>
      <c r="G59" s="329">
        <f>'운영본부(위탁)'!H19</f>
        <v>2200000</v>
      </c>
      <c r="H59" s="16">
        <v>1200000</v>
      </c>
      <c r="I59" s="116">
        <f t="shared" si="13"/>
        <v>1000000</v>
      </c>
    </row>
    <row r="60" spans="1:9" ht="18" customHeight="1">
      <c r="A60" s="164"/>
      <c r="B60" s="166"/>
      <c r="C60" s="166"/>
      <c r="D60" s="353" t="s">
        <v>395</v>
      </c>
      <c r="E60" s="180"/>
      <c r="F60" s="181"/>
      <c r="G60" s="111">
        <f>'운영본부(위탁)'!H23</f>
        <v>2000000</v>
      </c>
      <c r="H60" s="112">
        <v>300000</v>
      </c>
      <c r="I60" s="114">
        <f t="shared" ref="I60:I62" si="14">G60-H60</f>
        <v>1700000</v>
      </c>
    </row>
    <row r="61" spans="1:9" ht="18" customHeight="1">
      <c r="A61" s="164"/>
      <c r="B61" s="166"/>
      <c r="C61" s="165"/>
      <c r="D61" s="167"/>
      <c r="E61" s="179" t="s">
        <v>423</v>
      </c>
      <c r="F61" s="181"/>
      <c r="G61" s="111">
        <f>'운영본부(위탁)'!H25</f>
        <v>2000000</v>
      </c>
      <c r="H61" s="112">
        <v>300000</v>
      </c>
      <c r="I61" s="114">
        <f t="shared" si="14"/>
        <v>1700000</v>
      </c>
    </row>
    <row r="62" spans="1:9" ht="18" customHeight="1">
      <c r="A62" s="164"/>
      <c r="B62" s="166"/>
      <c r="C62" s="165"/>
      <c r="D62" s="166"/>
      <c r="E62" s="255"/>
      <c r="F62" s="281" t="s">
        <v>424</v>
      </c>
      <c r="G62" s="329">
        <f>'운영본부(위탁)'!H26</f>
        <v>1990956</v>
      </c>
      <c r="H62" s="16">
        <v>300000</v>
      </c>
      <c r="I62" s="116">
        <f t="shared" si="14"/>
        <v>1690956</v>
      </c>
    </row>
    <row r="63" spans="1:9" ht="18" customHeight="1">
      <c r="A63" s="164"/>
      <c r="B63" s="166"/>
      <c r="C63" s="165"/>
      <c r="D63" s="166"/>
      <c r="E63" s="255"/>
      <c r="F63" s="281" t="s">
        <v>834</v>
      </c>
      <c r="G63" s="329">
        <f>'운영본부(위탁)'!H30</f>
        <v>9044</v>
      </c>
      <c r="H63" s="16">
        <v>0</v>
      </c>
      <c r="I63" s="116">
        <f t="shared" ref="I63" si="15">G63-H63</f>
        <v>9044</v>
      </c>
    </row>
    <row r="64" spans="1:9" ht="18" customHeight="1">
      <c r="A64" s="164"/>
      <c r="B64" s="166"/>
      <c r="C64" s="166"/>
      <c r="D64" s="353" t="s">
        <v>397</v>
      </c>
      <c r="E64" s="180"/>
      <c r="F64" s="181"/>
      <c r="G64" s="111">
        <f>'운영본부(위탁)'!H33</f>
        <v>90000</v>
      </c>
      <c r="H64" s="112">
        <v>90000</v>
      </c>
      <c r="I64" s="114">
        <f t="shared" ref="I64:I66" si="16">G64-H64</f>
        <v>0</v>
      </c>
    </row>
    <row r="65" spans="1:9" ht="18" customHeight="1">
      <c r="A65" s="164"/>
      <c r="B65" s="166"/>
      <c r="C65" s="165"/>
      <c r="D65" s="167"/>
      <c r="E65" s="179" t="s">
        <v>423</v>
      </c>
      <c r="F65" s="181"/>
      <c r="G65" s="111">
        <f>'운영본부(위탁)'!H35</f>
        <v>90000</v>
      </c>
      <c r="H65" s="112">
        <v>90000</v>
      </c>
      <c r="I65" s="114">
        <f t="shared" si="16"/>
        <v>0</v>
      </c>
    </row>
    <row r="66" spans="1:9" ht="18" customHeight="1">
      <c r="A66" s="164"/>
      <c r="B66" s="166"/>
      <c r="C66" s="165"/>
      <c r="D66" s="166"/>
      <c r="E66" s="255"/>
      <c r="F66" s="281" t="s">
        <v>424</v>
      </c>
      <c r="G66" s="329">
        <f>'운영본부(위탁)'!H36</f>
        <v>90000</v>
      </c>
      <c r="H66" s="16">
        <v>90000</v>
      </c>
      <c r="I66" s="116">
        <f t="shared" si="16"/>
        <v>0</v>
      </c>
    </row>
    <row r="67" spans="1:9" ht="18" customHeight="1">
      <c r="A67" s="164"/>
      <c r="B67" s="166"/>
      <c r="C67" s="166"/>
      <c r="D67" s="545" t="s">
        <v>426</v>
      </c>
      <c r="E67" s="180"/>
      <c r="F67" s="181"/>
      <c r="G67" s="111">
        <f>'운영본부(위탁)'!H38</f>
        <v>390000</v>
      </c>
      <c r="H67" s="112">
        <v>390000</v>
      </c>
      <c r="I67" s="114">
        <f t="shared" ref="I67:I69" si="17">G67-H67</f>
        <v>0</v>
      </c>
    </row>
    <row r="68" spans="1:9" ht="18" customHeight="1">
      <c r="A68" s="164"/>
      <c r="B68" s="166"/>
      <c r="C68" s="165"/>
      <c r="D68" s="167"/>
      <c r="E68" s="179" t="s">
        <v>423</v>
      </c>
      <c r="F68" s="181"/>
      <c r="G68" s="111">
        <f>'운영본부(위탁)'!H40</f>
        <v>390000</v>
      </c>
      <c r="H68" s="112">
        <v>390000</v>
      </c>
      <c r="I68" s="114">
        <f t="shared" si="17"/>
        <v>0</v>
      </c>
    </row>
    <row r="69" spans="1:9" ht="18" customHeight="1">
      <c r="A69" s="164"/>
      <c r="B69" s="166"/>
      <c r="C69" s="165"/>
      <c r="D69" s="166"/>
      <c r="E69" s="255"/>
      <c r="F69" s="281" t="s">
        <v>424</v>
      </c>
      <c r="G69" s="329">
        <f>'운영본부(위탁)'!H41</f>
        <v>390000</v>
      </c>
      <c r="H69" s="329">
        <v>390000</v>
      </c>
      <c r="I69" s="116">
        <f t="shared" si="17"/>
        <v>0</v>
      </c>
    </row>
    <row r="70" spans="1:9" ht="18" customHeight="1">
      <c r="A70" s="250"/>
      <c r="B70" s="326" t="s">
        <v>278</v>
      </c>
      <c r="C70" s="258"/>
      <c r="D70" s="258"/>
      <c r="E70" s="258"/>
      <c r="F70" s="327"/>
      <c r="G70" s="248">
        <f>G71</f>
        <v>1590000</v>
      </c>
      <c r="H70" s="248">
        <v>1590000</v>
      </c>
      <c r="I70" s="328">
        <f t="shared" ref="I70:I74" si="18">G70-H70</f>
        <v>0</v>
      </c>
    </row>
    <row r="71" spans="1:9" ht="18" customHeight="1">
      <c r="A71" s="164"/>
      <c r="B71" s="165"/>
      <c r="C71" s="179" t="s">
        <v>279</v>
      </c>
      <c r="D71" s="180"/>
      <c r="E71" s="180"/>
      <c r="F71" s="181"/>
      <c r="G71" s="111">
        <f>'운영본부(위탁)'!H44</f>
        <v>1590000</v>
      </c>
      <c r="H71" s="111">
        <v>1590000</v>
      </c>
      <c r="I71" s="114">
        <f t="shared" si="18"/>
        <v>0</v>
      </c>
    </row>
    <row r="72" spans="1:9" ht="18" customHeight="1">
      <c r="A72" s="164"/>
      <c r="B72" s="166"/>
      <c r="C72" s="167"/>
      <c r="D72" s="353" t="s">
        <v>499</v>
      </c>
      <c r="E72" s="180"/>
      <c r="F72" s="181"/>
      <c r="G72" s="111">
        <f>'운영본부(위탁)'!H45</f>
        <v>1200000</v>
      </c>
      <c r="H72" s="112">
        <v>1200000</v>
      </c>
      <c r="I72" s="114">
        <f t="shared" si="18"/>
        <v>0</v>
      </c>
    </row>
    <row r="73" spans="1:9" ht="18" customHeight="1">
      <c r="A73" s="164"/>
      <c r="B73" s="166"/>
      <c r="C73" s="165"/>
      <c r="D73" s="167"/>
      <c r="E73" s="179" t="s">
        <v>423</v>
      </c>
      <c r="F73" s="181"/>
      <c r="G73" s="111">
        <f>'운영본부(위탁)'!H47</f>
        <v>1200000</v>
      </c>
      <c r="H73" s="112">
        <v>1200000</v>
      </c>
      <c r="I73" s="114">
        <f t="shared" si="18"/>
        <v>0</v>
      </c>
    </row>
    <row r="74" spans="1:9" ht="18" customHeight="1">
      <c r="A74" s="164"/>
      <c r="B74" s="166"/>
      <c r="C74" s="165"/>
      <c r="D74" s="166"/>
      <c r="E74" s="255"/>
      <c r="F74" s="281" t="s">
        <v>424</v>
      </c>
      <c r="G74" s="329">
        <f>'운영본부(위탁)'!H48</f>
        <v>1178000</v>
      </c>
      <c r="H74" s="16">
        <v>1178000</v>
      </c>
      <c r="I74" s="116">
        <f t="shared" si="18"/>
        <v>0</v>
      </c>
    </row>
    <row r="75" spans="1:9" ht="18" customHeight="1">
      <c r="A75" s="164"/>
      <c r="B75" s="166"/>
      <c r="C75" s="166"/>
      <c r="D75" s="545" t="s">
        <v>427</v>
      </c>
      <c r="E75" s="180"/>
      <c r="F75" s="181"/>
      <c r="G75" s="111">
        <f>'운영본부(위탁)'!H55</f>
        <v>390000</v>
      </c>
      <c r="H75" s="112">
        <v>390000</v>
      </c>
      <c r="I75" s="114">
        <f t="shared" ref="I75:I77" si="19">G75-H75</f>
        <v>0</v>
      </c>
    </row>
    <row r="76" spans="1:9" ht="18" customHeight="1">
      <c r="A76" s="164"/>
      <c r="B76" s="166"/>
      <c r="C76" s="165"/>
      <c r="D76" s="167"/>
      <c r="E76" s="179" t="s">
        <v>423</v>
      </c>
      <c r="F76" s="181"/>
      <c r="G76" s="111">
        <f>'운영본부(위탁)'!H57</f>
        <v>390000</v>
      </c>
      <c r="H76" s="112">
        <v>390000</v>
      </c>
      <c r="I76" s="114">
        <f t="shared" si="19"/>
        <v>0</v>
      </c>
    </row>
    <row r="77" spans="1:9" ht="18" customHeight="1" thickBot="1">
      <c r="A77" s="259"/>
      <c r="B77" s="260"/>
      <c r="C77" s="261"/>
      <c r="D77" s="260"/>
      <c r="E77" s="596"/>
      <c r="F77" s="597" t="s">
        <v>424</v>
      </c>
      <c r="G77" s="87">
        <f>'운영본부(위탁)'!H58</f>
        <v>390000</v>
      </c>
      <c r="H77" s="87">
        <v>390000</v>
      </c>
      <c r="I77" s="118">
        <f t="shared" si="19"/>
        <v>0</v>
      </c>
    </row>
  </sheetData>
  <mergeCells count="5">
    <mergeCell ref="A3:F3"/>
    <mergeCell ref="G3:G4"/>
    <mergeCell ref="H3:H4"/>
    <mergeCell ref="I3:I4"/>
    <mergeCell ref="A5:F5"/>
  </mergeCells>
  <phoneticPr fontId="12" type="noConversion"/>
  <pageMargins left="0.25" right="0.25" top="0.75" bottom="0.75" header="0.3" footer="0.3"/>
  <pageSetup paperSize="9" scale="95" fitToHeight="0" orientation="portrait" r:id="rId1"/>
  <rowBreaks count="1" manualBreakCount="1">
    <brk id="4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M98"/>
  <sheetViews>
    <sheetView zoomScale="85" zoomScaleNormal="85" workbookViewId="0">
      <selection activeCell="G11" sqref="G11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375" customWidth="1"/>
    <col min="10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88" t="s">
        <v>246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282" t="s">
        <v>205</v>
      </c>
    </row>
    <row r="2" spans="1:13" ht="16.5" customHeight="1">
      <c r="A2" s="715" t="s">
        <v>206</v>
      </c>
      <c r="B2" s="717" t="s">
        <v>207</v>
      </c>
      <c r="C2" s="718"/>
      <c r="D2" s="719"/>
      <c r="E2" s="717" t="s">
        <v>208</v>
      </c>
      <c r="F2" s="718"/>
      <c r="G2" s="719"/>
      <c r="H2" s="693" t="s">
        <v>728</v>
      </c>
      <c r="I2" s="693" t="s">
        <v>729</v>
      </c>
      <c r="J2" s="720" t="s">
        <v>467</v>
      </c>
      <c r="K2" s="705" t="s">
        <v>1</v>
      </c>
      <c r="L2" s="705"/>
      <c r="M2" s="706"/>
    </row>
    <row r="3" spans="1:13" ht="17.25" thickBot="1">
      <c r="A3" s="716"/>
      <c r="B3" s="119" t="s">
        <v>209</v>
      </c>
      <c r="C3" s="119" t="s">
        <v>210</v>
      </c>
      <c r="D3" s="119" t="s">
        <v>211</v>
      </c>
      <c r="E3" s="119" t="s">
        <v>212</v>
      </c>
      <c r="F3" s="119" t="s">
        <v>213</v>
      </c>
      <c r="G3" s="119" t="s">
        <v>214</v>
      </c>
      <c r="H3" s="694"/>
      <c r="I3" s="694"/>
      <c r="J3" s="721"/>
      <c r="K3" s="729"/>
      <c r="L3" s="729"/>
      <c r="M3" s="730"/>
    </row>
    <row r="4" spans="1:13" ht="17.25" thickBot="1">
      <c r="A4" s="710" t="s">
        <v>215</v>
      </c>
      <c r="B4" s="711"/>
      <c r="C4" s="711"/>
      <c r="D4" s="711"/>
      <c r="E4" s="711"/>
      <c r="F4" s="711"/>
      <c r="G4" s="712"/>
      <c r="H4" s="324">
        <f>H5</f>
        <v>5500000</v>
      </c>
      <c r="I4" s="283">
        <v>5250000</v>
      </c>
      <c r="J4" s="120">
        <f t="shared" ref="J4:J11" si="0">H4-I4</f>
        <v>250000</v>
      </c>
      <c r="K4" s="89"/>
      <c r="L4" s="90"/>
      <c r="M4" s="121"/>
    </row>
    <row r="5" spans="1:13">
      <c r="A5" s="285" t="s">
        <v>216</v>
      </c>
      <c r="B5" s="286"/>
      <c r="C5" s="263"/>
      <c r="D5" s="263"/>
      <c r="E5" s="263"/>
      <c r="F5" s="263"/>
      <c r="G5" s="264"/>
      <c r="H5" s="320">
        <f>H6+H30</f>
        <v>5500000</v>
      </c>
      <c r="I5" s="284">
        <v>5250000</v>
      </c>
      <c r="J5" s="287">
        <f t="shared" si="0"/>
        <v>250000</v>
      </c>
      <c r="K5" s="78"/>
      <c r="L5" s="79"/>
      <c r="M5" s="80"/>
    </row>
    <row r="6" spans="1:13">
      <c r="A6" s="288"/>
      <c r="B6" s="289" t="s">
        <v>265</v>
      </c>
      <c r="C6" s="129"/>
      <c r="D6" s="130"/>
      <c r="E6" s="130"/>
      <c r="F6" s="130"/>
      <c r="G6" s="131"/>
      <c r="H6" s="91">
        <f>H7</f>
        <v>1000000</v>
      </c>
      <c r="I6" s="91">
        <v>1000000</v>
      </c>
      <c r="J6" s="95">
        <f t="shared" si="0"/>
        <v>0</v>
      </c>
      <c r="K6" s="78"/>
      <c r="L6" s="79"/>
      <c r="M6" s="80"/>
    </row>
    <row r="7" spans="1:13">
      <c r="A7" s="459"/>
      <c r="B7" s="462"/>
      <c r="C7" s="353" t="s">
        <v>217</v>
      </c>
      <c r="D7" s="460"/>
      <c r="E7" s="460"/>
      <c r="F7" s="460"/>
      <c r="G7" s="461"/>
      <c r="H7" s="95">
        <f>H8</f>
        <v>1000000</v>
      </c>
      <c r="I7" s="95">
        <v>1000000</v>
      </c>
      <c r="J7" s="95">
        <f t="shared" si="0"/>
        <v>0</v>
      </c>
      <c r="K7" s="407"/>
      <c r="L7" s="408"/>
      <c r="M7" s="426"/>
    </row>
    <row r="8" spans="1:13">
      <c r="A8" s="459"/>
      <c r="B8" s="462"/>
      <c r="C8" s="546"/>
      <c r="D8" s="353" t="s">
        <v>218</v>
      </c>
      <c r="E8" s="460"/>
      <c r="F8" s="460"/>
      <c r="G8" s="461"/>
      <c r="H8" s="463">
        <f>H9+H23</f>
        <v>1000000</v>
      </c>
      <c r="I8" s="463">
        <v>1000000</v>
      </c>
      <c r="J8" s="95">
        <f t="shared" si="0"/>
        <v>0</v>
      </c>
      <c r="K8" s="354"/>
      <c r="L8" s="410"/>
      <c r="M8" s="426"/>
    </row>
    <row r="9" spans="1:13">
      <c r="A9" s="459"/>
      <c r="B9" s="462"/>
      <c r="C9" s="464"/>
      <c r="D9" s="465"/>
      <c r="E9" s="353" t="s">
        <v>219</v>
      </c>
      <c r="F9" s="460"/>
      <c r="G9" s="461"/>
      <c r="H9" s="92">
        <f>H10</f>
        <v>965000</v>
      </c>
      <c r="I9" s="92">
        <v>965000</v>
      </c>
      <c r="J9" s="95">
        <f t="shared" si="0"/>
        <v>0</v>
      </c>
      <c r="K9" s="355"/>
      <c r="L9" s="396"/>
      <c r="M9" s="397"/>
    </row>
    <row r="10" spans="1:13">
      <c r="A10" s="362"/>
      <c r="B10" s="363"/>
      <c r="C10" s="467"/>
      <c r="D10" s="468"/>
      <c r="E10" s="469"/>
      <c r="F10" s="470" t="s">
        <v>220</v>
      </c>
      <c r="G10" s="471"/>
      <c r="H10" s="98">
        <f>SUM(H11,H17,H21)</f>
        <v>965000</v>
      </c>
      <c r="I10" s="98">
        <v>965000</v>
      </c>
      <c r="J10" s="98">
        <f t="shared" si="0"/>
        <v>0</v>
      </c>
      <c r="K10" s="427"/>
      <c r="L10" s="356"/>
      <c r="M10" s="399"/>
    </row>
    <row r="11" spans="1:13">
      <c r="A11" s="362"/>
      <c r="B11" s="363"/>
      <c r="C11" s="363"/>
      <c r="D11" s="364"/>
      <c r="E11" s="365"/>
      <c r="F11" s="365"/>
      <c r="G11" s="551" t="s">
        <v>221</v>
      </c>
      <c r="H11" s="41">
        <f>M11</f>
        <v>345000</v>
      </c>
      <c r="I11" s="41">
        <v>345000</v>
      </c>
      <c r="J11" s="41">
        <f t="shared" si="0"/>
        <v>0</v>
      </c>
      <c r="K11" s="552" t="s">
        <v>222</v>
      </c>
      <c r="L11" s="392"/>
      <c r="M11" s="393">
        <f>SUM(M12:M16)</f>
        <v>345000</v>
      </c>
    </row>
    <row r="12" spans="1:13">
      <c r="A12" s="362"/>
      <c r="B12" s="363"/>
      <c r="C12" s="363"/>
      <c r="D12" s="364"/>
      <c r="E12" s="365"/>
      <c r="F12" s="365"/>
      <c r="G12" s="363" t="s">
        <v>650</v>
      </c>
      <c r="H12" s="50"/>
      <c r="I12" s="50"/>
      <c r="J12" s="50"/>
      <c r="K12" s="589" t="s">
        <v>548</v>
      </c>
      <c r="L12" s="380" t="s">
        <v>223</v>
      </c>
      <c r="M12" s="379">
        <v>200000</v>
      </c>
    </row>
    <row r="13" spans="1:13">
      <c r="A13" s="362"/>
      <c r="B13" s="363"/>
      <c r="C13" s="363"/>
      <c r="D13" s="364"/>
      <c r="E13" s="365"/>
      <c r="F13" s="365"/>
      <c r="G13" s="363"/>
      <c r="H13" s="50"/>
      <c r="I13" s="50"/>
      <c r="J13" s="50"/>
      <c r="K13" s="429" t="s">
        <v>790</v>
      </c>
      <c r="L13" s="380" t="s">
        <v>37</v>
      </c>
      <c r="M13" s="379">
        <v>100000</v>
      </c>
    </row>
    <row r="14" spans="1:13">
      <c r="A14" s="362"/>
      <c r="B14" s="363"/>
      <c r="C14" s="363"/>
      <c r="D14" s="364"/>
      <c r="E14" s="365"/>
      <c r="F14" s="365"/>
      <c r="G14" s="363"/>
      <c r="H14" s="50"/>
      <c r="I14" s="50"/>
      <c r="J14" s="50"/>
      <c r="K14" s="589" t="s">
        <v>692</v>
      </c>
      <c r="L14" s="380" t="s">
        <v>402</v>
      </c>
      <c r="M14" s="379">
        <v>40000</v>
      </c>
    </row>
    <row r="15" spans="1:13">
      <c r="A15" s="362"/>
      <c r="B15" s="363"/>
      <c r="C15" s="363"/>
      <c r="D15" s="364"/>
      <c r="E15" s="365"/>
      <c r="F15" s="365"/>
      <c r="G15" s="363"/>
      <c r="H15" s="50"/>
      <c r="I15" s="50"/>
      <c r="J15" s="50"/>
      <c r="K15" s="430" t="s">
        <v>791</v>
      </c>
      <c r="L15" s="380" t="s">
        <v>402</v>
      </c>
      <c r="M15" s="379">
        <v>4000</v>
      </c>
    </row>
    <row r="16" spans="1:13">
      <c r="A16" s="362"/>
      <c r="B16" s="363"/>
      <c r="C16" s="363"/>
      <c r="D16" s="364"/>
      <c r="E16" s="365"/>
      <c r="F16" s="365"/>
      <c r="G16" s="363"/>
      <c r="H16" s="50"/>
      <c r="I16" s="50"/>
      <c r="J16" s="50"/>
      <c r="K16" s="430" t="s">
        <v>792</v>
      </c>
      <c r="L16" s="380" t="s">
        <v>402</v>
      </c>
      <c r="M16" s="379">
        <v>1000</v>
      </c>
    </row>
    <row r="17" spans="1:13">
      <c r="A17" s="362"/>
      <c r="B17" s="363"/>
      <c r="C17" s="363"/>
      <c r="D17" s="364"/>
      <c r="E17" s="365"/>
      <c r="F17" s="365"/>
      <c r="G17" s="551" t="s">
        <v>224</v>
      </c>
      <c r="H17" s="41">
        <f>M17</f>
        <v>120000</v>
      </c>
      <c r="I17" s="41">
        <v>120000</v>
      </c>
      <c r="J17" s="41">
        <f>H17-I17</f>
        <v>0</v>
      </c>
      <c r="K17" s="552" t="s">
        <v>225</v>
      </c>
      <c r="L17" s="392"/>
      <c r="M17" s="393">
        <f>SUM(M18:M20)</f>
        <v>120000</v>
      </c>
    </row>
    <row r="18" spans="1:13">
      <c r="A18" s="362"/>
      <c r="B18" s="363"/>
      <c r="C18" s="363"/>
      <c r="D18" s="364"/>
      <c r="E18" s="365"/>
      <c r="F18" s="365"/>
      <c r="G18" s="363" t="s">
        <v>651</v>
      </c>
      <c r="H18" s="50"/>
      <c r="I18" s="50"/>
      <c r="J18" s="50"/>
      <c r="K18" s="429" t="s">
        <v>551</v>
      </c>
      <c r="L18" s="380" t="s">
        <v>403</v>
      </c>
      <c r="M18" s="379">
        <v>50000</v>
      </c>
    </row>
    <row r="19" spans="1:13">
      <c r="A19" s="362"/>
      <c r="B19" s="363"/>
      <c r="C19" s="363"/>
      <c r="D19" s="364"/>
      <c r="E19" s="365"/>
      <c r="F19" s="365"/>
      <c r="G19" s="363"/>
      <c r="H19" s="50"/>
      <c r="I19" s="50"/>
      <c r="J19" s="50"/>
      <c r="K19" s="429" t="s">
        <v>793</v>
      </c>
      <c r="L19" s="380" t="s">
        <v>402</v>
      </c>
      <c r="M19" s="379">
        <v>50000</v>
      </c>
    </row>
    <row r="20" spans="1:13">
      <c r="A20" s="362"/>
      <c r="B20" s="363"/>
      <c r="C20" s="363"/>
      <c r="D20" s="364"/>
      <c r="E20" s="365"/>
      <c r="F20" s="365"/>
      <c r="G20" s="476"/>
      <c r="H20" s="146"/>
      <c r="I20" s="146"/>
      <c r="J20" s="146"/>
      <c r="K20" s="381" t="s">
        <v>404</v>
      </c>
      <c r="L20" s="382" t="s">
        <v>0</v>
      </c>
      <c r="M20" s="386">
        <v>20000</v>
      </c>
    </row>
    <row r="21" spans="1:13">
      <c r="A21" s="362"/>
      <c r="B21" s="363"/>
      <c r="C21" s="363"/>
      <c r="D21" s="364"/>
      <c r="E21" s="364"/>
      <c r="F21" s="365"/>
      <c r="G21" s="366" t="s">
        <v>461</v>
      </c>
      <c r="H21" s="50">
        <f>M21</f>
        <v>500000</v>
      </c>
      <c r="I21" s="50">
        <v>500000</v>
      </c>
      <c r="J21" s="50">
        <f>H21-I21</f>
        <v>0</v>
      </c>
      <c r="K21" s="428" t="s">
        <v>226</v>
      </c>
      <c r="L21" s="380"/>
      <c r="M21" s="384">
        <f>SUM(M22)</f>
        <v>500000</v>
      </c>
    </row>
    <row r="22" spans="1:13">
      <c r="A22" s="362"/>
      <c r="B22" s="363"/>
      <c r="C22" s="363"/>
      <c r="D22" s="364"/>
      <c r="E22" s="507"/>
      <c r="F22" s="547"/>
      <c r="G22" s="476" t="s">
        <v>652</v>
      </c>
      <c r="H22" s="146"/>
      <c r="I22" s="146"/>
      <c r="J22" s="146"/>
      <c r="K22" s="381" t="s">
        <v>493</v>
      </c>
      <c r="L22" s="378" t="s">
        <v>0</v>
      </c>
      <c r="M22" s="386">
        <v>500000</v>
      </c>
    </row>
    <row r="23" spans="1:13">
      <c r="A23" s="459"/>
      <c r="B23" s="462"/>
      <c r="C23" s="489"/>
      <c r="D23" s="489"/>
      <c r="E23" s="545" t="s">
        <v>405</v>
      </c>
      <c r="F23" s="548"/>
      <c r="G23" s="549"/>
      <c r="H23" s="95">
        <f>H24</f>
        <v>35000</v>
      </c>
      <c r="I23" s="95">
        <v>35000</v>
      </c>
      <c r="J23" s="95">
        <f>H23-I23</f>
        <v>0</v>
      </c>
      <c r="K23" s="556"/>
      <c r="L23" s="558"/>
      <c r="M23" s="559"/>
    </row>
    <row r="24" spans="1:13">
      <c r="A24" s="362"/>
      <c r="B24" s="363"/>
      <c r="C24" s="467"/>
      <c r="D24" s="468"/>
      <c r="E24" s="469"/>
      <c r="F24" s="470" t="s">
        <v>59</v>
      </c>
      <c r="G24" s="471"/>
      <c r="H24" s="98">
        <f>SUM(H25,H27)</f>
        <v>35000</v>
      </c>
      <c r="I24" s="98">
        <v>35000</v>
      </c>
      <c r="J24" s="98">
        <f>H24-I24</f>
        <v>0</v>
      </c>
      <c r="K24" s="427"/>
      <c r="L24" s="356"/>
      <c r="M24" s="399"/>
    </row>
    <row r="25" spans="1:13">
      <c r="A25" s="362"/>
      <c r="B25" s="363"/>
      <c r="C25" s="363"/>
      <c r="D25" s="364"/>
      <c r="E25" s="365"/>
      <c r="F25" s="365"/>
      <c r="G25" s="366" t="s">
        <v>494</v>
      </c>
      <c r="H25" s="41">
        <f>M25</f>
        <v>10000</v>
      </c>
      <c r="I25" s="41">
        <v>10000</v>
      </c>
      <c r="J25" s="41">
        <f>H25-I25</f>
        <v>0</v>
      </c>
      <c r="K25" s="428" t="s">
        <v>495</v>
      </c>
      <c r="L25" s="392"/>
      <c r="M25" s="393">
        <f>SUM(M26:M26)</f>
        <v>10000</v>
      </c>
    </row>
    <row r="26" spans="1:13">
      <c r="A26" s="362"/>
      <c r="B26" s="363"/>
      <c r="C26" s="363"/>
      <c r="D26" s="364"/>
      <c r="E26" s="365"/>
      <c r="F26" s="365"/>
      <c r="G26" s="534" t="s">
        <v>712</v>
      </c>
      <c r="H26" s="146"/>
      <c r="I26" s="146"/>
      <c r="J26" s="146"/>
      <c r="K26" s="381" t="s">
        <v>794</v>
      </c>
      <c r="L26" s="382" t="s">
        <v>402</v>
      </c>
      <c r="M26" s="386">
        <v>10000</v>
      </c>
    </row>
    <row r="27" spans="1:13">
      <c r="A27" s="362"/>
      <c r="B27" s="363"/>
      <c r="C27" s="363"/>
      <c r="D27" s="364"/>
      <c r="E27" s="365"/>
      <c r="F27" s="365"/>
      <c r="G27" s="366" t="s">
        <v>432</v>
      </c>
      <c r="H27" s="41">
        <f>M27</f>
        <v>25000</v>
      </c>
      <c r="I27" s="41">
        <v>25000</v>
      </c>
      <c r="J27" s="41">
        <f>H27-I27</f>
        <v>0</v>
      </c>
      <c r="K27" s="428" t="s">
        <v>406</v>
      </c>
      <c r="L27" s="392"/>
      <c r="M27" s="393">
        <f>SUM(M28:M29)</f>
        <v>25000</v>
      </c>
    </row>
    <row r="28" spans="1:13">
      <c r="A28" s="362"/>
      <c r="B28" s="363"/>
      <c r="C28" s="363"/>
      <c r="D28" s="364"/>
      <c r="E28" s="365"/>
      <c r="F28" s="365"/>
      <c r="G28" s="366" t="s">
        <v>653</v>
      </c>
      <c r="H28" s="50"/>
      <c r="I28" s="50"/>
      <c r="J28" s="50"/>
      <c r="K28" s="429" t="s">
        <v>795</v>
      </c>
      <c r="L28" s="380" t="s">
        <v>223</v>
      </c>
      <c r="M28" s="379">
        <v>15000</v>
      </c>
    </row>
    <row r="29" spans="1:13">
      <c r="A29" s="560"/>
      <c r="B29" s="476"/>
      <c r="C29" s="476"/>
      <c r="D29" s="507"/>
      <c r="E29" s="547"/>
      <c r="F29" s="547"/>
      <c r="G29" s="534"/>
      <c r="H29" s="146"/>
      <c r="I29" s="146"/>
      <c r="J29" s="146"/>
      <c r="K29" s="381" t="s">
        <v>555</v>
      </c>
      <c r="L29" s="382" t="s">
        <v>402</v>
      </c>
      <c r="M29" s="386">
        <v>10000</v>
      </c>
    </row>
    <row r="30" spans="1:13">
      <c r="A30" s="459"/>
      <c r="B30" s="545" t="s">
        <v>266</v>
      </c>
      <c r="C30" s="545"/>
      <c r="D30" s="548"/>
      <c r="E30" s="548"/>
      <c r="F30" s="548"/>
      <c r="G30" s="549"/>
      <c r="H30" s="95">
        <f>SUM(H31,H79)</f>
        <v>4500000</v>
      </c>
      <c r="I30" s="95">
        <v>1770000</v>
      </c>
      <c r="J30" s="95">
        <f>H30-I30</f>
        <v>2730000</v>
      </c>
      <c r="K30" s="407"/>
      <c r="L30" s="408"/>
      <c r="M30" s="426"/>
    </row>
    <row r="31" spans="1:13">
      <c r="A31" s="459"/>
      <c r="B31" s="462"/>
      <c r="C31" s="353" t="s">
        <v>267</v>
      </c>
      <c r="D31" s="460"/>
      <c r="E31" s="460"/>
      <c r="F31" s="460"/>
      <c r="G31" s="461"/>
      <c r="H31" s="95">
        <f>SUM(H32,H41,H46,H55,H67)</f>
        <v>4250000</v>
      </c>
      <c r="I31" s="95">
        <v>1520000</v>
      </c>
      <c r="J31" s="95">
        <f>H31-I31</f>
        <v>2730000</v>
      </c>
      <c r="K31" s="407"/>
      <c r="L31" s="408"/>
      <c r="M31" s="426"/>
    </row>
    <row r="32" spans="1:13">
      <c r="A32" s="459"/>
      <c r="B32" s="462"/>
      <c r="C32" s="546"/>
      <c r="D32" s="353" t="s">
        <v>460</v>
      </c>
      <c r="E32" s="460"/>
      <c r="F32" s="460"/>
      <c r="G32" s="461"/>
      <c r="H32" s="463">
        <f>H33</f>
        <v>250000</v>
      </c>
      <c r="I32" s="463">
        <v>250000</v>
      </c>
      <c r="J32" s="95">
        <f t="shared" ref="J32:J35" si="1">H32-I32</f>
        <v>0</v>
      </c>
      <c r="K32" s="354"/>
      <c r="L32" s="410"/>
      <c r="M32" s="426"/>
    </row>
    <row r="33" spans="1:13">
      <c r="A33" s="459"/>
      <c r="B33" s="462"/>
      <c r="C33" s="464"/>
      <c r="D33" s="465"/>
      <c r="E33" s="353" t="s">
        <v>550</v>
      </c>
      <c r="F33" s="460"/>
      <c r="G33" s="461"/>
      <c r="H33" s="92">
        <f>H34</f>
        <v>250000</v>
      </c>
      <c r="I33" s="92">
        <v>250000</v>
      </c>
      <c r="J33" s="95">
        <f t="shared" si="1"/>
        <v>0</v>
      </c>
      <c r="K33" s="355"/>
      <c r="L33" s="396"/>
      <c r="M33" s="397"/>
    </row>
    <row r="34" spans="1:13">
      <c r="A34" s="362"/>
      <c r="B34" s="363"/>
      <c r="C34" s="467"/>
      <c r="D34" s="468"/>
      <c r="E34" s="469"/>
      <c r="F34" s="470" t="s">
        <v>549</v>
      </c>
      <c r="G34" s="471"/>
      <c r="H34" s="98">
        <f>SUM(H35)</f>
        <v>250000</v>
      </c>
      <c r="I34" s="98">
        <v>250000</v>
      </c>
      <c r="J34" s="98">
        <f t="shared" si="1"/>
        <v>0</v>
      </c>
      <c r="K34" s="427"/>
      <c r="L34" s="356"/>
      <c r="M34" s="399"/>
    </row>
    <row r="35" spans="1:13">
      <c r="A35" s="362"/>
      <c r="B35" s="363"/>
      <c r="C35" s="363"/>
      <c r="D35" s="364"/>
      <c r="E35" s="365"/>
      <c r="F35" s="365"/>
      <c r="G35" s="366" t="s">
        <v>553</v>
      </c>
      <c r="H35" s="41">
        <f>SUM(M35)</f>
        <v>250000</v>
      </c>
      <c r="I35" s="41">
        <v>250000</v>
      </c>
      <c r="J35" s="41">
        <f t="shared" si="1"/>
        <v>0</v>
      </c>
      <c r="K35" s="428" t="s">
        <v>554</v>
      </c>
      <c r="L35" s="392"/>
      <c r="M35" s="393">
        <f>SUM(M36:M36)</f>
        <v>250000</v>
      </c>
    </row>
    <row r="36" spans="1:13">
      <c r="A36" s="63"/>
      <c r="B36" s="65"/>
      <c r="C36" s="363"/>
      <c r="D36" s="507"/>
      <c r="E36" s="547"/>
      <c r="F36" s="547"/>
      <c r="G36" s="534" t="s">
        <v>654</v>
      </c>
      <c r="H36" s="71"/>
      <c r="I36" s="71"/>
      <c r="J36" s="146"/>
      <c r="K36" s="381" t="s">
        <v>586</v>
      </c>
      <c r="L36" s="382" t="s">
        <v>223</v>
      </c>
      <c r="M36" s="386">
        <v>250000</v>
      </c>
    </row>
    <row r="37" spans="1:13">
      <c r="A37" s="459"/>
      <c r="B37" s="462"/>
      <c r="C37" s="464"/>
      <c r="D37" s="489"/>
      <c r="E37" s="353" t="s">
        <v>550</v>
      </c>
      <c r="F37" s="460"/>
      <c r="G37" s="461"/>
      <c r="H37" s="92">
        <f t="shared" ref="H37" si="2">H38</f>
        <v>730000</v>
      </c>
      <c r="I37" s="92">
        <v>730000</v>
      </c>
      <c r="J37" s="95">
        <f t="shared" ref="J37:J39" si="3">H37-I37</f>
        <v>0</v>
      </c>
      <c r="K37" s="355"/>
      <c r="L37" s="396"/>
      <c r="M37" s="397"/>
    </row>
    <row r="38" spans="1:13">
      <c r="A38" s="362"/>
      <c r="B38" s="363"/>
      <c r="C38" s="467"/>
      <c r="D38" s="468"/>
      <c r="E38" s="469"/>
      <c r="F38" s="470" t="s">
        <v>549</v>
      </c>
      <c r="G38" s="471"/>
      <c r="H38" s="98">
        <f>SUM(H39)</f>
        <v>730000</v>
      </c>
      <c r="I38" s="98">
        <v>730000</v>
      </c>
      <c r="J38" s="98">
        <f t="shared" si="3"/>
        <v>0</v>
      </c>
      <c r="K38" s="427"/>
      <c r="L38" s="356"/>
      <c r="M38" s="399"/>
    </row>
    <row r="39" spans="1:13">
      <c r="A39" s="362"/>
      <c r="B39" s="363"/>
      <c r="C39" s="363"/>
      <c r="D39" s="364"/>
      <c r="E39" s="365"/>
      <c r="F39" s="365"/>
      <c r="G39" s="366" t="s">
        <v>588</v>
      </c>
      <c r="H39" s="41">
        <f>SUM(M39)</f>
        <v>730000</v>
      </c>
      <c r="I39" s="41">
        <v>730000</v>
      </c>
      <c r="J39" s="41">
        <f t="shared" si="3"/>
        <v>0</v>
      </c>
      <c r="K39" s="428" t="s">
        <v>589</v>
      </c>
      <c r="L39" s="392"/>
      <c r="M39" s="393">
        <f>SUM(M40:M40)</f>
        <v>730000</v>
      </c>
    </row>
    <row r="40" spans="1:13">
      <c r="A40" s="63"/>
      <c r="B40" s="65"/>
      <c r="C40" s="363"/>
      <c r="D40" s="507"/>
      <c r="E40" s="547"/>
      <c r="F40" s="547"/>
      <c r="G40" s="534" t="s">
        <v>655</v>
      </c>
      <c r="H40" s="71"/>
      <c r="I40" s="71"/>
      <c r="J40" s="146"/>
      <c r="K40" s="381" t="s">
        <v>590</v>
      </c>
      <c r="L40" s="382" t="s">
        <v>223</v>
      </c>
      <c r="M40" s="386">
        <v>730000</v>
      </c>
    </row>
    <row r="41" spans="1:13">
      <c r="A41" s="459"/>
      <c r="B41" s="462"/>
      <c r="C41" s="462"/>
      <c r="D41" s="353" t="s">
        <v>842</v>
      </c>
      <c r="E41" s="460"/>
      <c r="F41" s="460"/>
      <c r="G41" s="461"/>
      <c r="H41" s="463">
        <f>H42</f>
        <v>60000</v>
      </c>
      <c r="I41" s="463">
        <v>60000</v>
      </c>
      <c r="J41" s="95">
        <f t="shared" ref="J41:J44" si="4">H41-I41</f>
        <v>0</v>
      </c>
      <c r="K41" s="354"/>
      <c r="L41" s="410"/>
      <c r="M41" s="426"/>
    </row>
    <row r="42" spans="1:13">
      <c r="A42" s="459"/>
      <c r="B42" s="462"/>
      <c r="C42" s="489"/>
      <c r="D42" s="465"/>
      <c r="E42" s="353" t="s">
        <v>843</v>
      </c>
      <c r="F42" s="460"/>
      <c r="G42" s="461"/>
      <c r="H42" s="92">
        <f t="shared" ref="H42" si="5">H43</f>
        <v>60000</v>
      </c>
      <c r="I42" s="92">
        <v>60000</v>
      </c>
      <c r="J42" s="95">
        <f t="shared" si="4"/>
        <v>0</v>
      </c>
      <c r="K42" s="355"/>
      <c r="L42" s="396"/>
      <c r="M42" s="397"/>
    </row>
    <row r="43" spans="1:13">
      <c r="A43" s="362"/>
      <c r="B43" s="363"/>
      <c r="C43" s="467"/>
      <c r="D43" s="468"/>
      <c r="E43" s="469"/>
      <c r="F43" s="470" t="s">
        <v>35</v>
      </c>
      <c r="G43" s="471"/>
      <c r="H43" s="98">
        <f>SUM(H44)</f>
        <v>60000</v>
      </c>
      <c r="I43" s="98">
        <v>60000</v>
      </c>
      <c r="J43" s="98">
        <f t="shared" si="4"/>
        <v>0</v>
      </c>
      <c r="K43" s="427"/>
      <c r="L43" s="356"/>
      <c r="M43" s="399"/>
    </row>
    <row r="44" spans="1:13">
      <c r="A44" s="362"/>
      <c r="B44" s="363"/>
      <c r="C44" s="363"/>
      <c r="D44" s="364"/>
      <c r="E44" s="365"/>
      <c r="F44" s="365"/>
      <c r="G44" s="366" t="s">
        <v>63</v>
      </c>
      <c r="H44" s="41">
        <f>SUM(M44)</f>
        <v>60000</v>
      </c>
      <c r="I44" s="41">
        <v>60000</v>
      </c>
      <c r="J44" s="41">
        <f t="shared" si="4"/>
        <v>0</v>
      </c>
      <c r="K44" s="428" t="s">
        <v>844</v>
      </c>
      <c r="L44" s="392"/>
      <c r="M44" s="393">
        <f>SUM(M45:M45)</f>
        <v>60000</v>
      </c>
    </row>
    <row r="45" spans="1:13">
      <c r="A45" s="63"/>
      <c r="B45" s="65"/>
      <c r="C45" s="363"/>
      <c r="D45" s="507"/>
      <c r="E45" s="547"/>
      <c r="F45" s="547"/>
      <c r="G45" s="534" t="s">
        <v>845</v>
      </c>
      <c r="H45" s="71"/>
      <c r="I45" s="71"/>
      <c r="J45" s="146"/>
      <c r="K45" s="381" t="s">
        <v>846</v>
      </c>
      <c r="L45" s="382" t="s">
        <v>37</v>
      </c>
      <c r="M45" s="386">
        <v>60000</v>
      </c>
    </row>
    <row r="46" spans="1:13">
      <c r="A46" s="459"/>
      <c r="B46" s="462"/>
      <c r="C46" s="462"/>
      <c r="D46" s="353" t="s">
        <v>847</v>
      </c>
      <c r="E46" s="460"/>
      <c r="F46" s="460"/>
      <c r="G46" s="461"/>
      <c r="H46" s="463">
        <f>SUM(H47,H51)</f>
        <v>3070000</v>
      </c>
      <c r="I46" s="463">
        <v>3070000</v>
      </c>
      <c r="J46" s="95">
        <f t="shared" ref="J46:J49" si="6">H46-I46</f>
        <v>0</v>
      </c>
      <c r="K46" s="354"/>
      <c r="L46" s="410"/>
      <c r="M46" s="426"/>
    </row>
    <row r="47" spans="1:13">
      <c r="A47" s="459"/>
      <c r="B47" s="462"/>
      <c r="C47" s="489"/>
      <c r="D47" s="465"/>
      <c r="E47" s="353" t="s">
        <v>31</v>
      </c>
      <c r="F47" s="460"/>
      <c r="G47" s="461"/>
      <c r="H47" s="92">
        <f t="shared" ref="H47" si="7">H48</f>
        <v>2340000</v>
      </c>
      <c r="I47" s="92">
        <v>2340000</v>
      </c>
      <c r="J47" s="95">
        <f t="shared" si="6"/>
        <v>0</v>
      </c>
      <c r="K47" s="355"/>
      <c r="L47" s="396"/>
      <c r="M47" s="397"/>
    </row>
    <row r="48" spans="1:13">
      <c r="A48" s="362"/>
      <c r="B48" s="363"/>
      <c r="C48" s="467"/>
      <c r="D48" s="468"/>
      <c r="E48" s="469"/>
      <c r="F48" s="470" t="s">
        <v>35</v>
      </c>
      <c r="G48" s="471"/>
      <c r="H48" s="98">
        <f>SUM(H49)</f>
        <v>2340000</v>
      </c>
      <c r="I48" s="98">
        <v>2340000</v>
      </c>
      <c r="J48" s="98">
        <f t="shared" si="6"/>
        <v>0</v>
      </c>
      <c r="K48" s="427"/>
      <c r="L48" s="356"/>
      <c r="M48" s="399"/>
    </row>
    <row r="49" spans="1:13">
      <c r="A49" s="362"/>
      <c r="B49" s="363"/>
      <c r="C49" s="363"/>
      <c r="D49" s="364"/>
      <c r="E49" s="365"/>
      <c r="F49" s="365"/>
      <c r="G49" s="366" t="s">
        <v>63</v>
      </c>
      <c r="H49" s="41">
        <f>SUM(M49)</f>
        <v>2340000</v>
      </c>
      <c r="I49" s="41">
        <v>2340000</v>
      </c>
      <c r="J49" s="41">
        <f t="shared" si="6"/>
        <v>0</v>
      </c>
      <c r="K49" s="428" t="s">
        <v>225</v>
      </c>
      <c r="L49" s="392"/>
      <c r="M49" s="393">
        <f>SUM(M50:M50)</f>
        <v>2340000</v>
      </c>
    </row>
    <row r="50" spans="1:13">
      <c r="A50" s="63"/>
      <c r="B50" s="65"/>
      <c r="C50" s="363"/>
      <c r="D50" s="364"/>
      <c r="E50" s="547"/>
      <c r="F50" s="547"/>
      <c r="G50" s="534" t="s">
        <v>848</v>
      </c>
      <c r="H50" s="71"/>
      <c r="I50" s="71"/>
      <c r="J50" s="146"/>
      <c r="K50" s="381" t="s">
        <v>875</v>
      </c>
      <c r="L50" s="382" t="s">
        <v>37</v>
      </c>
      <c r="M50" s="386">
        <v>2340000</v>
      </c>
    </row>
    <row r="51" spans="1:13">
      <c r="A51" s="459"/>
      <c r="B51" s="462"/>
      <c r="C51" s="464"/>
      <c r="D51" s="489"/>
      <c r="E51" s="353" t="s">
        <v>58</v>
      </c>
      <c r="F51" s="460"/>
      <c r="G51" s="461"/>
      <c r="H51" s="92">
        <f t="shared" ref="H51" si="8">H52</f>
        <v>730000</v>
      </c>
      <c r="I51" s="92">
        <v>730000</v>
      </c>
      <c r="J51" s="95">
        <f t="shared" ref="J51:J53" si="9">H51-I51</f>
        <v>0</v>
      </c>
      <c r="K51" s="355"/>
      <c r="L51" s="396"/>
      <c r="M51" s="397"/>
    </row>
    <row r="52" spans="1:13">
      <c r="A52" s="362"/>
      <c r="B52" s="363"/>
      <c r="C52" s="467"/>
      <c r="D52" s="468"/>
      <c r="E52" s="469"/>
      <c r="F52" s="470" t="s">
        <v>849</v>
      </c>
      <c r="G52" s="471"/>
      <c r="H52" s="98">
        <f>SUM(H53)</f>
        <v>730000</v>
      </c>
      <c r="I52" s="98">
        <v>730000</v>
      </c>
      <c r="J52" s="98">
        <f t="shared" si="9"/>
        <v>0</v>
      </c>
      <c r="K52" s="427"/>
      <c r="L52" s="356"/>
      <c r="M52" s="399"/>
    </row>
    <row r="53" spans="1:13">
      <c r="A53" s="362"/>
      <c r="B53" s="363"/>
      <c r="C53" s="363"/>
      <c r="D53" s="364"/>
      <c r="E53" s="365"/>
      <c r="F53" s="365"/>
      <c r="G53" s="366" t="s">
        <v>430</v>
      </c>
      <c r="H53" s="41">
        <f>SUM(M53)</f>
        <v>730000</v>
      </c>
      <c r="I53" s="41">
        <v>730000</v>
      </c>
      <c r="J53" s="41">
        <f t="shared" si="9"/>
        <v>0</v>
      </c>
      <c r="K53" s="428" t="s">
        <v>850</v>
      </c>
      <c r="L53" s="392"/>
      <c r="M53" s="393">
        <f>SUM(M54:M54)</f>
        <v>730000</v>
      </c>
    </row>
    <row r="54" spans="1:13">
      <c r="A54" s="63"/>
      <c r="B54" s="65"/>
      <c r="C54" s="363"/>
      <c r="D54" s="507"/>
      <c r="E54" s="547"/>
      <c r="F54" s="547"/>
      <c r="G54" s="534" t="s">
        <v>655</v>
      </c>
      <c r="H54" s="71"/>
      <c r="I54" s="71"/>
      <c r="J54" s="146"/>
      <c r="K54" s="381" t="s">
        <v>590</v>
      </c>
      <c r="L54" s="382" t="s">
        <v>37</v>
      </c>
      <c r="M54" s="386">
        <v>730000</v>
      </c>
    </row>
    <row r="55" spans="1:13">
      <c r="A55" s="10"/>
      <c r="B55" s="6"/>
      <c r="C55" s="462"/>
      <c r="D55" s="545" t="s">
        <v>591</v>
      </c>
      <c r="E55" s="548"/>
      <c r="F55" s="548"/>
      <c r="G55" s="549"/>
      <c r="H55" s="321">
        <f>H56+H63</f>
        <v>270000</v>
      </c>
      <c r="I55" s="321">
        <v>270000</v>
      </c>
      <c r="J55" s="95">
        <f t="shared" ref="J55:J56" si="10">H55-I55</f>
        <v>0</v>
      </c>
      <c r="K55" s="354"/>
      <c r="L55" s="410"/>
      <c r="M55" s="426"/>
    </row>
    <row r="56" spans="1:13">
      <c r="A56" s="10"/>
      <c r="B56" s="6"/>
      <c r="C56" s="464"/>
      <c r="D56" s="465"/>
      <c r="E56" s="353" t="s">
        <v>219</v>
      </c>
      <c r="F56" s="460"/>
      <c r="G56" s="461"/>
      <c r="H56" s="91">
        <f>H57</f>
        <v>224000</v>
      </c>
      <c r="I56" s="91">
        <v>224000</v>
      </c>
      <c r="J56" s="95">
        <f t="shared" si="10"/>
        <v>0</v>
      </c>
      <c r="K56" s="355"/>
      <c r="L56" s="396"/>
      <c r="M56" s="397"/>
    </row>
    <row r="57" spans="1:13">
      <c r="A57" s="63"/>
      <c r="B57" s="65"/>
      <c r="C57" s="467"/>
      <c r="D57" s="468"/>
      <c r="E57" s="469"/>
      <c r="F57" s="470" t="s">
        <v>220</v>
      </c>
      <c r="G57" s="471"/>
      <c r="H57" s="72">
        <f>SUM(H58,H61)</f>
        <v>224000</v>
      </c>
      <c r="I57" s="72">
        <v>224000</v>
      </c>
      <c r="J57" s="98">
        <f>H57-I57</f>
        <v>0</v>
      </c>
      <c r="K57" s="427"/>
      <c r="L57" s="356"/>
      <c r="M57" s="399"/>
    </row>
    <row r="58" spans="1:13">
      <c r="A58" s="63"/>
      <c r="B58" s="65"/>
      <c r="C58" s="363"/>
      <c r="D58" s="364"/>
      <c r="E58" s="365"/>
      <c r="F58" s="365"/>
      <c r="G58" s="366" t="s">
        <v>36</v>
      </c>
      <c r="H58" s="73">
        <f>M58</f>
        <v>4000</v>
      </c>
      <c r="I58" s="73">
        <v>4000</v>
      </c>
      <c r="J58" s="41">
        <f>H58-I58</f>
        <v>0</v>
      </c>
      <c r="K58" s="428" t="s">
        <v>62</v>
      </c>
      <c r="L58" s="392"/>
      <c r="M58" s="393">
        <f>SUM(M59:M60)</f>
        <v>4000</v>
      </c>
    </row>
    <row r="59" spans="1:13">
      <c r="A59" s="63"/>
      <c r="B59" s="65"/>
      <c r="C59" s="363"/>
      <c r="D59" s="364"/>
      <c r="E59" s="365"/>
      <c r="F59" s="365"/>
      <c r="G59" s="363" t="s">
        <v>656</v>
      </c>
      <c r="H59" s="74"/>
      <c r="I59" s="74"/>
      <c r="J59" s="50"/>
      <c r="K59" s="429" t="s">
        <v>592</v>
      </c>
      <c r="L59" s="380" t="s">
        <v>37</v>
      </c>
      <c r="M59" s="379">
        <v>3000</v>
      </c>
    </row>
    <row r="60" spans="1:13">
      <c r="A60" s="63"/>
      <c r="B60" s="65"/>
      <c r="C60" s="363"/>
      <c r="D60" s="364"/>
      <c r="E60" s="365"/>
      <c r="F60" s="365"/>
      <c r="G60" s="476"/>
      <c r="H60" s="71"/>
      <c r="I60" s="71"/>
      <c r="J60" s="146"/>
      <c r="K60" s="381" t="s">
        <v>593</v>
      </c>
      <c r="L60" s="382" t="s">
        <v>37</v>
      </c>
      <c r="M60" s="386">
        <v>1000</v>
      </c>
    </row>
    <row r="61" spans="1:13">
      <c r="A61" s="63"/>
      <c r="B61" s="65"/>
      <c r="C61" s="363"/>
      <c r="D61" s="364"/>
      <c r="E61" s="365"/>
      <c r="F61" s="365"/>
      <c r="G61" s="366" t="s">
        <v>224</v>
      </c>
      <c r="H61" s="74">
        <f>M61</f>
        <v>220000</v>
      </c>
      <c r="I61" s="74">
        <v>220000</v>
      </c>
      <c r="J61" s="50">
        <f>H61-I61</f>
        <v>0</v>
      </c>
      <c r="K61" s="428" t="s">
        <v>225</v>
      </c>
      <c r="L61" s="380"/>
      <c r="M61" s="384">
        <f>SUM(M62)</f>
        <v>220000</v>
      </c>
    </row>
    <row r="62" spans="1:13">
      <c r="A62" s="63"/>
      <c r="B62" s="65"/>
      <c r="C62" s="363"/>
      <c r="D62" s="364"/>
      <c r="E62" s="365"/>
      <c r="F62" s="365"/>
      <c r="G62" s="366" t="s">
        <v>657</v>
      </c>
      <c r="H62" s="74"/>
      <c r="I62" s="74"/>
      <c r="J62" s="50"/>
      <c r="K62" s="429" t="s">
        <v>594</v>
      </c>
      <c r="L62" s="380" t="s">
        <v>0</v>
      </c>
      <c r="M62" s="379">
        <v>220000</v>
      </c>
    </row>
    <row r="63" spans="1:13">
      <c r="A63" s="10"/>
      <c r="B63" s="6"/>
      <c r="C63" s="464"/>
      <c r="D63" s="489"/>
      <c r="E63" s="353" t="s">
        <v>58</v>
      </c>
      <c r="F63" s="460"/>
      <c r="G63" s="461"/>
      <c r="H63" s="91">
        <f>SUM(H64)</f>
        <v>46000</v>
      </c>
      <c r="I63" s="91">
        <v>46000</v>
      </c>
      <c r="J63" s="92">
        <f>H63-I63</f>
        <v>0</v>
      </c>
      <c r="K63" s="355"/>
      <c r="L63" s="396"/>
      <c r="M63" s="397"/>
    </row>
    <row r="64" spans="1:13">
      <c r="A64" s="63"/>
      <c r="B64" s="65"/>
      <c r="C64" s="467"/>
      <c r="D64" s="468"/>
      <c r="E64" s="611"/>
      <c r="F64" s="470" t="s">
        <v>429</v>
      </c>
      <c r="G64" s="471"/>
      <c r="H64" s="72">
        <f>SUM(H65)</f>
        <v>46000</v>
      </c>
      <c r="I64" s="72">
        <v>46000</v>
      </c>
      <c r="J64" s="98">
        <f t="shared" ref="J64:J65" si="11">H64-I64</f>
        <v>0</v>
      </c>
      <c r="K64" s="427"/>
      <c r="L64" s="356"/>
      <c r="M64" s="399"/>
    </row>
    <row r="65" spans="1:13">
      <c r="A65" s="63"/>
      <c r="B65" s="65"/>
      <c r="C65" s="363"/>
      <c r="D65" s="364"/>
      <c r="E65" s="364"/>
      <c r="F65" s="365"/>
      <c r="G65" s="366" t="s">
        <v>430</v>
      </c>
      <c r="H65" s="73">
        <f>M65</f>
        <v>46000</v>
      </c>
      <c r="I65" s="73">
        <v>46000</v>
      </c>
      <c r="J65" s="41">
        <f t="shared" si="11"/>
        <v>0</v>
      </c>
      <c r="K65" s="428" t="s">
        <v>431</v>
      </c>
      <c r="L65" s="392"/>
      <c r="M65" s="393">
        <f>SUM(M66)</f>
        <v>46000</v>
      </c>
    </row>
    <row r="66" spans="1:13">
      <c r="A66" s="63"/>
      <c r="B66" s="65"/>
      <c r="C66" s="363"/>
      <c r="D66" s="364"/>
      <c r="E66" s="365"/>
      <c r="F66" s="365"/>
      <c r="G66" s="366" t="s">
        <v>658</v>
      </c>
      <c r="H66" s="74"/>
      <c r="I66" s="74"/>
      <c r="J66" s="50"/>
      <c r="K66" s="431" t="s">
        <v>595</v>
      </c>
      <c r="L66" s="380" t="s">
        <v>0</v>
      </c>
      <c r="M66" s="379">
        <v>46000</v>
      </c>
    </row>
    <row r="67" spans="1:13">
      <c r="A67" s="10"/>
      <c r="B67" s="6"/>
      <c r="C67" s="462"/>
      <c r="D67" s="353" t="s">
        <v>596</v>
      </c>
      <c r="E67" s="460"/>
      <c r="F67" s="460"/>
      <c r="G67" s="461"/>
      <c r="H67" s="132">
        <f>H68+H75</f>
        <v>600000</v>
      </c>
      <c r="I67" s="132">
        <v>600000</v>
      </c>
      <c r="J67" s="92">
        <f t="shared" ref="J67:J68" si="12">H67-I67</f>
        <v>0</v>
      </c>
      <c r="K67" s="394"/>
      <c r="L67" s="395"/>
      <c r="M67" s="402"/>
    </row>
    <row r="68" spans="1:13">
      <c r="A68" s="10"/>
      <c r="B68" s="6"/>
      <c r="C68" s="464"/>
      <c r="D68" s="465"/>
      <c r="E68" s="353" t="s">
        <v>219</v>
      </c>
      <c r="F68" s="460"/>
      <c r="G68" s="461"/>
      <c r="H68" s="91">
        <f>H69</f>
        <v>358000</v>
      </c>
      <c r="I68" s="91">
        <v>358000</v>
      </c>
      <c r="J68" s="95">
        <f t="shared" si="12"/>
        <v>0</v>
      </c>
      <c r="K68" s="355"/>
      <c r="L68" s="396"/>
      <c r="M68" s="397"/>
    </row>
    <row r="69" spans="1:13">
      <c r="A69" s="63"/>
      <c r="B69" s="65"/>
      <c r="C69" s="467"/>
      <c r="D69" s="468"/>
      <c r="E69" s="469"/>
      <c r="F69" s="470" t="s">
        <v>220</v>
      </c>
      <c r="G69" s="471"/>
      <c r="H69" s="72">
        <f>SUM(H70,H73)</f>
        <v>358000</v>
      </c>
      <c r="I69" s="72">
        <v>358000</v>
      </c>
      <c r="J69" s="98">
        <f>H69-I69</f>
        <v>0</v>
      </c>
      <c r="K69" s="427"/>
      <c r="L69" s="356"/>
      <c r="M69" s="399"/>
    </row>
    <row r="70" spans="1:13">
      <c r="A70" s="63"/>
      <c r="B70" s="65"/>
      <c r="C70" s="363"/>
      <c r="D70" s="364"/>
      <c r="E70" s="365"/>
      <c r="F70" s="365"/>
      <c r="G70" s="366" t="s">
        <v>36</v>
      </c>
      <c r="H70" s="73">
        <f>M70</f>
        <v>4000</v>
      </c>
      <c r="I70" s="73">
        <v>4000</v>
      </c>
      <c r="J70" s="41">
        <f>H70-I70</f>
        <v>0</v>
      </c>
      <c r="K70" s="428" t="s">
        <v>62</v>
      </c>
      <c r="L70" s="392"/>
      <c r="M70" s="393">
        <f>SUM(M71:M72)</f>
        <v>4000</v>
      </c>
    </row>
    <row r="71" spans="1:13">
      <c r="A71" s="63"/>
      <c r="B71" s="65"/>
      <c r="C71" s="363"/>
      <c r="D71" s="364"/>
      <c r="E71" s="365"/>
      <c r="F71" s="365"/>
      <c r="G71" s="363" t="s">
        <v>659</v>
      </c>
      <c r="H71" s="74"/>
      <c r="I71" s="74"/>
      <c r="J71" s="50"/>
      <c r="K71" s="429" t="s">
        <v>592</v>
      </c>
      <c r="L71" s="380" t="s">
        <v>37</v>
      </c>
      <c r="M71" s="379">
        <v>3000</v>
      </c>
    </row>
    <row r="72" spans="1:13">
      <c r="A72" s="63"/>
      <c r="B72" s="65"/>
      <c r="C72" s="363"/>
      <c r="D72" s="364"/>
      <c r="E72" s="365"/>
      <c r="F72" s="365"/>
      <c r="G72" s="476"/>
      <c r="H72" s="71"/>
      <c r="I72" s="71"/>
      <c r="J72" s="146"/>
      <c r="K72" s="381" t="s">
        <v>593</v>
      </c>
      <c r="L72" s="382" t="s">
        <v>37</v>
      </c>
      <c r="M72" s="386">
        <v>1000</v>
      </c>
    </row>
    <row r="73" spans="1:13">
      <c r="A73" s="63"/>
      <c r="B73" s="65"/>
      <c r="C73" s="363"/>
      <c r="D73" s="364"/>
      <c r="E73" s="365"/>
      <c r="F73" s="365"/>
      <c r="G73" s="366" t="s">
        <v>224</v>
      </c>
      <c r="H73" s="74">
        <f>M73</f>
        <v>354000</v>
      </c>
      <c r="I73" s="74">
        <v>354000</v>
      </c>
      <c r="J73" s="50">
        <f>H73-I73</f>
        <v>0</v>
      </c>
      <c r="K73" s="428" t="s">
        <v>225</v>
      </c>
      <c r="L73" s="380"/>
      <c r="M73" s="384">
        <f>SUM(M74)</f>
        <v>354000</v>
      </c>
    </row>
    <row r="74" spans="1:13">
      <c r="A74" s="63"/>
      <c r="B74" s="65"/>
      <c r="C74" s="363"/>
      <c r="D74" s="364"/>
      <c r="E74" s="507"/>
      <c r="F74" s="547"/>
      <c r="G74" s="534" t="s">
        <v>660</v>
      </c>
      <c r="H74" s="71"/>
      <c r="I74" s="71"/>
      <c r="J74" s="146"/>
      <c r="K74" s="381" t="s">
        <v>597</v>
      </c>
      <c r="L74" s="382" t="s">
        <v>0</v>
      </c>
      <c r="M74" s="386">
        <v>354000</v>
      </c>
    </row>
    <row r="75" spans="1:13">
      <c r="A75" s="10"/>
      <c r="B75" s="6"/>
      <c r="C75" s="464"/>
      <c r="D75" s="489"/>
      <c r="E75" s="545" t="s">
        <v>58</v>
      </c>
      <c r="F75" s="548"/>
      <c r="G75" s="549"/>
      <c r="H75" s="94">
        <f>SUM(H76)</f>
        <v>242000</v>
      </c>
      <c r="I75" s="94">
        <v>242000</v>
      </c>
      <c r="J75" s="95">
        <f>H75-I75</f>
        <v>0</v>
      </c>
      <c r="K75" s="556"/>
      <c r="L75" s="558"/>
      <c r="M75" s="559"/>
    </row>
    <row r="76" spans="1:13">
      <c r="A76" s="63"/>
      <c r="B76" s="65"/>
      <c r="C76" s="467"/>
      <c r="D76" s="468"/>
      <c r="E76" s="469"/>
      <c r="F76" s="470" t="s">
        <v>429</v>
      </c>
      <c r="G76" s="471"/>
      <c r="H76" s="72">
        <f>SUM(H77)</f>
        <v>242000</v>
      </c>
      <c r="I76" s="72">
        <v>242000</v>
      </c>
      <c r="J76" s="98">
        <f t="shared" ref="J76:J77" si="13">H76-I76</f>
        <v>0</v>
      </c>
      <c r="K76" s="427"/>
      <c r="L76" s="356"/>
      <c r="M76" s="399"/>
    </row>
    <row r="77" spans="1:13">
      <c r="A77" s="63"/>
      <c r="B77" s="65"/>
      <c r="C77" s="363"/>
      <c r="D77" s="364"/>
      <c r="E77" s="365"/>
      <c r="F77" s="365"/>
      <c r="G77" s="366" t="s">
        <v>430</v>
      </c>
      <c r="H77" s="73">
        <f>M77</f>
        <v>242000</v>
      </c>
      <c r="I77" s="73">
        <v>242000</v>
      </c>
      <c r="J77" s="41">
        <f t="shared" si="13"/>
        <v>0</v>
      </c>
      <c r="K77" s="428" t="s">
        <v>431</v>
      </c>
      <c r="L77" s="392"/>
      <c r="M77" s="393">
        <f>SUM(M78)</f>
        <v>242000</v>
      </c>
    </row>
    <row r="78" spans="1:13">
      <c r="A78" s="63"/>
      <c r="B78" s="65"/>
      <c r="C78" s="363"/>
      <c r="D78" s="507"/>
      <c r="E78" s="547"/>
      <c r="F78" s="547"/>
      <c r="G78" s="534" t="s">
        <v>661</v>
      </c>
      <c r="H78" s="71"/>
      <c r="I78" s="71"/>
      <c r="J78" s="146"/>
      <c r="K78" s="644" t="s">
        <v>598</v>
      </c>
      <c r="L78" s="382" t="s">
        <v>0</v>
      </c>
      <c r="M78" s="386">
        <v>242000</v>
      </c>
    </row>
    <row r="79" spans="1:13">
      <c r="A79" s="459"/>
      <c r="B79" s="462"/>
      <c r="C79" s="651" t="s">
        <v>800</v>
      </c>
      <c r="D79" s="460"/>
      <c r="E79" s="460"/>
      <c r="F79" s="460"/>
      <c r="G79" s="461"/>
      <c r="H79" s="95">
        <f>H80</f>
        <v>250000</v>
      </c>
      <c r="I79" s="95">
        <v>0</v>
      </c>
      <c r="J79" s="95">
        <f t="shared" ref="J79" si="14">H79-I79</f>
        <v>250000</v>
      </c>
      <c r="K79" s="407"/>
      <c r="L79" s="408"/>
      <c r="M79" s="426"/>
    </row>
    <row r="80" spans="1:13">
      <c r="A80" s="10"/>
      <c r="B80" s="6"/>
      <c r="C80" s="462"/>
      <c r="D80" s="652" t="s">
        <v>783</v>
      </c>
      <c r="E80" s="548"/>
      <c r="F80" s="548"/>
      <c r="G80" s="549"/>
      <c r="H80" s="321">
        <f>H81+H92</f>
        <v>250000</v>
      </c>
      <c r="I80" s="321">
        <v>0</v>
      </c>
      <c r="J80" s="95">
        <f t="shared" ref="J80:J81" si="15">H80-I80</f>
        <v>250000</v>
      </c>
      <c r="K80" s="643"/>
      <c r="L80" s="408"/>
      <c r="M80" s="426"/>
    </row>
    <row r="81" spans="1:13">
      <c r="A81" s="10"/>
      <c r="B81" s="6"/>
      <c r="C81" s="464"/>
      <c r="D81" s="465"/>
      <c r="E81" s="353" t="s">
        <v>33</v>
      </c>
      <c r="F81" s="460"/>
      <c r="G81" s="461"/>
      <c r="H81" s="91">
        <f>H82</f>
        <v>50000</v>
      </c>
      <c r="I81" s="91">
        <v>0</v>
      </c>
      <c r="J81" s="95">
        <f t="shared" si="15"/>
        <v>50000</v>
      </c>
      <c r="K81" s="355"/>
      <c r="L81" s="396"/>
      <c r="M81" s="397"/>
    </row>
    <row r="82" spans="1:13">
      <c r="A82" s="63"/>
      <c r="B82" s="65"/>
      <c r="C82" s="467"/>
      <c r="D82" s="468"/>
      <c r="E82" s="469"/>
      <c r="F82" s="470" t="s">
        <v>60</v>
      </c>
      <c r="G82" s="471"/>
      <c r="H82" s="72">
        <f>SUM(H83,H89)</f>
        <v>50000</v>
      </c>
      <c r="I82" s="72">
        <v>0</v>
      </c>
      <c r="J82" s="98">
        <f>H82-I82</f>
        <v>50000</v>
      </c>
      <c r="K82" s="427"/>
      <c r="L82" s="356"/>
      <c r="M82" s="399"/>
    </row>
    <row r="83" spans="1:13">
      <c r="A83" s="63"/>
      <c r="B83" s="65"/>
      <c r="C83" s="363"/>
      <c r="D83" s="364"/>
      <c r="E83" s="365"/>
      <c r="F83" s="365"/>
      <c r="G83" s="366" t="s">
        <v>36</v>
      </c>
      <c r="H83" s="73">
        <v>40000</v>
      </c>
      <c r="I83" s="73">
        <v>0</v>
      </c>
      <c r="J83" s="41">
        <f>H83-I83</f>
        <v>40000</v>
      </c>
      <c r="K83" s="428" t="s">
        <v>47</v>
      </c>
      <c r="L83" s="392"/>
      <c r="M83" s="393">
        <f>SUM(M85,M88)</f>
        <v>40000</v>
      </c>
    </row>
    <row r="84" spans="1:13">
      <c r="A84" s="63"/>
      <c r="B84" s="65"/>
      <c r="C84" s="363"/>
      <c r="D84" s="364"/>
      <c r="E84" s="365"/>
      <c r="F84" s="365"/>
      <c r="G84" s="658" t="s">
        <v>797</v>
      </c>
      <c r="H84" s="74"/>
      <c r="I84" s="74"/>
      <c r="J84" s="50"/>
      <c r="K84" s="645" t="s">
        <v>786</v>
      </c>
      <c r="L84" s="380"/>
      <c r="M84" s="384"/>
    </row>
    <row r="85" spans="1:13">
      <c r="A85" s="63"/>
      <c r="B85" s="65"/>
      <c r="C85" s="363"/>
      <c r="D85" s="364"/>
      <c r="E85" s="365"/>
      <c r="F85" s="365"/>
      <c r="G85" s="363"/>
      <c r="H85" s="74"/>
      <c r="I85" s="74"/>
      <c r="J85" s="50"/>
      <c r="K85" s="636" t="s">
        <v>856</v>
      </c>
      <c r="L85" s="614" t="s">
        <v>37</v>
      </c>
      <c r="M85" s="615">
        <v>20000</v>
      </c>
    </row>
    <row r="86" spans="1:13">
      <c r="A86" s="63"/>
      <c r="B86" s="65"/>
      <c r="C86" s="363"/>
      <c r="D86" s="364"/>
      <c r="E86" s="365"/>
      <c r="F86" s="365"/>
      <c r="G86" s="366"/>
      <c r="H86" s="74"/>
      <c r="I86" s="74"/>
      <c r="J86" s="50"/>
      <c r="K86" s="428" t="s">
        <v>787</v>
      </c>
      <c r="L86" s="380"/>
      <c r="M86" s="379"/>
    </row>
    <row r="87" spans="1:13">
      <c r="A87" s="63"/>
      <c r="B87" s="65"/>
      <c r="C87" s="363"/>
      <c r="D87" s="364"/>
      <c r="E87" s="365"/>
      <c r="F87" s="365"/>
      <c r="G87" s="366"/>
      <c r="H87" s="74"/>
      <c r="I87" s="74"/>
      <c r="J87" s="50"/>
      <c r="K87" s="645" t="s">
        <v>786</v>
      </c>
      <c r="L87" s="380"/>
      <c r="M87" s="379"/>
    </row>
    <row r="88" spans="1:13">
      <c r="A88" s="63"/>
      <c r="B88" s="65"/>
      <c r="C88" s="363"/>
      <c r="D88" s="364"/>
      <c r="E88" s="365"/>
      <c r="F88" s="365"/>
      <c r="G88" s="366"/>
      <c r="H88" s="74"/>
      <c r="I88" s="74"/>
      <c r="J88" s="50"/>
      <c r="K88" s="646" t="s">
        <v>857</v>
      </c>
      <c r="L88" s="614" t="s">
        <v>37</v>
      </c>
      <c r="M88" s="615">
        <v>20000</v>
      </c>
    </row>
    <row r="89" spans="1:13">
      <c r="A89" s="63"/>
      <c r="B89" s="65"/>
      <c r="C89" s="363"/>
      <c r="D89" s="364"/>
      <c r="E89" s="365"/>
      <c r="F89" s="365"/>
      <c r="G89" s="366" t="s">
        <v>224</v>
      </c>
      <c r="H89" s="74">
        <v>10000</v>
      </c>
      <c r="I89" s="74">
        <v>0</v>
      </c>
      <c r="J89" s="50">
        <f>H89-I89</f>
        <v>10000</v>
      </c>
      <c r="K89" s="428" t="s">
        <v>225</v>
      </c>
      <c r="L89" s="380"/>
      <c r="M89" s="384">
        <f>SUM(M91)</f>
        <v>10000</v>
      </c>
    </row>
    <row r="90" spans="1:13">
      <c r="A90" s="63"/>
      <c r="B90" s="65"/>
      <c r="C90" s="363"/>
      <c r="D90" s="364"/>
      <c r="E90" s="365"/>
      <c r="F90" s="365"/>
      <c r="G90" s="658" t="s">
        <v>798</v>
      </c>
      <c r="H90" s="74"/>
      <c r="I90" s="74"/>
      <c r="J90" s="50"/>
      <c r="K90" s="645" t="s">
        <v>786</v>
      </c>
      <c r="L90" s="380"/>
      <c r="M90" s="379"/>
    </row>
    <row r="91" spans="1:13">
      <c r="A91" s="63"/>
      <c r="B91" s="65"/>
      <c r="C91" s="363"/>
      <c r="D91" s="364"/>
      <c r="E91" s="507"/>
      <c r="F91" s="547"/>
      <c r="G91" s="534"/>
      <c r="H91" s="71"/>
      <c r="I91" s="71"/>
      <c r="J91" s="146"/>
      <c r="K91" s="647" t="s">
        <v>788</v>
      </c>
      <c r="L91" s="639" t="s">
        <v>0</v>
      </c>
      <c r="M91" s="634">
        <v>10000</v>
      </c>
    </row>
    <row r="92" spans="1:13">
      <c r="A92" s="10"/>
      <c r="B92" s="6"/>
      <c r="C92" s="464"/>
      <c r="D92" s="489"/>
      <c r="E92" s="545" t="s">
        <v>58</v>
      </c>
      <c r="F92" s="548"/>
      <c r="G92" s="549"/>
      <c r="H92" s="94">
        <f>SUM(H93)</f>
        <v>200000</v>
      </c>
      <c r="I92" s="94">
        <v>0</v>
      </c>
      <c r="J92" s="95">
        <f>H92-I92</f>
        <v>200000</v>
      </c>
      <c r="K92" s="556"/>
      <c r="L92" s="558"/>
      <c r="M92" s="559"/>
    </row>
    <row r="93" spans="1:13">
      <c r="A93" s="63"/>
      <c r="B93" s="65"/>
      <c r="C93" s="467"/>
      <c r="D93" s="468"/>
      <c r="E93" s="469"/>
      <c r="F93" s="470" t="s">
        <v>784</v>
      </c>
      <c r="G93" s="471"/>
      <c r="H93" s="72">
        <f>SUM(H94)</f>
        <v>200000</v>
      </c>
      <c r="I93" s="72">
        <v>0</v>
      </c>
      <c r="J93" s="98">
        <f t="shared" ref="J93:J94" si="16">H93-I93</f>
        <v>200000</v>
      </c>
      <c r="K93" s="427"/>
      <c r="L93" s="356"/>
      <c r="M93" s="399"/>
    </row>
    <row r="94" spans="1:13">
      <c r="A94" s="63"/>
      <c r="B94" s="65"/>
      <c r="C94" s="363"/>
      <c r="D94" s="364"/>
      <c r="E94" s="365"/>
      <c r="F94" s="365"/>
      <c r="G94" s="366" t="s">
        <v>785</v>
      </c>
      <c r="H94" s="73">
        <v>200000</v>
      </c>
      <c r="I94" s="73">
        <v>0</v>
      </c>
      <c r="J94" s="41">
        <f t="shared" si="16"/>
        <v>200000</v>
      </c>
      <c r="K94" s="645" t="s">
        <v>786</v>
      </c>
      <c r="L94" s="392"/>
      <c r="M94" s="393">
        <f>SUM(M95)</f>
        <v>200000</v>
      </c>
    </row>
    <row r="95" spans="1:13" ht="17.25" thickBot="1">
      <c r="A95" s="290"/>
      <c r="B95" s="69"/>
      <c r="C95" s="513"/>
      <c r="D95" s="538"/>
      <c r="E95" s="539"/>
      <c r="F95" s="539"/>
      <c r="G95" s="659" t="s">
        <v>799</v>
      </c>
      <c r="H95" s="293"/>
      <c r="I95" s="293"/>
      <c r="J95" s="230"/>
      <c r="K95" s="648" t="s">
        <v>789</v>
      </c>
      <c r="L95" s="649" t="s">
        <v>0</v>
      </c>
      <c r="M95" s="650">
        <v>200000</v>
      </c>
    </row>
    <row r="98" spans="7:7">
      <c r="G98" s="349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61" priority="25" operator="containsText" text="허하나로">
      <formula>NOT(ISERROR(SEARCH("허하나로",H797)))</formula>
    </cfRule>
    <cfRule type="containsText" dxfId="160" priority="26" operator="containsText" text="한별">
      <formula>NOT(ISERROR(SEARCH("한별",H797)))</formula>
    </cfRule>
    <cfRule type="containsText" dxfId="159" priority="27" operator="containsText" text="정홍조">
      <formula>NOT(ISERROR(SEARCH("정홍조",H797)))</formula>
    </cfRule>
    <cfRule type="containsText" dxfId="158" priority="28" operator="containsText" text="김지윤">
      <formula>NOT(ISERROR(SEARCH("김지윤",H797)))</formula>
    </cfRule>
    <cfRule type="containsText" dxfId="157" priority="29" operator="containsText" text="전준영">
      <formula>NOT(ISERROR(SEARCH("전준영",H797)))</formula>
    </cfRule>
    <cfRule type="containsText" dxfId="156" priority="30" operator="containsText" text="차재성">
      <formula>NOT(ISERROR(SEARCH("차재성",H797)))</formula>
    </cfRule>
  </conditionalFormatting>
  <pageMargins left="0.25" right="0.25" top="0.75" bottom="0.75" header="0.3" footer="0.3"/>
  <pageSetup paperSize="9" scale="72" fitToHeight="0" orientation="landscape" r:id="rId1"/>
  <rowBreaks count="2" manualBreakCount="2">
    <brk id="29" max="16383" man="1"/>
    <brk id="62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7" operator="containsText" text="허하나로" id="{EAD63AA0-C563-4A68-A405-41D8F11AC68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8" operator="containsText" text="한별" id="{523F99FD-E80E-4C3B-B41E-773E0BE2125B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9" operator="containsText" text="정홍조" id="{6CFB9313-19D9-4A1B-9D52-28B4C4E1438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0" operator="containsText" text="김지윤" id="{C772CDEF-4B49-4CFA-A8A8-3F9A22C4AEA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1" operator="containsText" text="전준영" id="{6FA28620-93BF-403A-89AA-DEF7EFD51B1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2" operator="containsText" text="차재성" id="{5D29B390-D6CD-4A08-9641-C0A4AF232EB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103" operator="containsText" text="허하나로" id="{DCB723A8-B16B-4F55-A142-7E36B3833F0A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307D23A8-BCD0-41A0-879D-52FBDD86F4B2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59DCB63D-60AD-4B3A-AE21-A95812E94686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8BFEAD57-7A92-4AF8-98CD-5FFD139324A5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34BFC8A7-C9CB-4655-A80B-2A6DFFF6B99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B24BF2D4-DB5D-4EB4-8F4B-6D009B95AE1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91" operator="containsText" text="허하나로" id="{274D4AB6-36A7-4A65-877F-2AE74A079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2" operator="containsText" text="한별" id="{BE363504-F5A4-4759-87D3-62329E58084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3" operator="containsText" text="정홍조" id="{29A2C3FC-77F7-457E-93B6-F6C4C819A20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94" operator="containsText" text="김지윤" id="{6578C41D-08D7-43C2-9741-262778BDEBD9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" operator="containsText" text="전준영" id="{CEE9D741-C4E3-4621-ACCC-0A0490076D3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text="차재성" id="{FB47FD5F-3927-4CA0-84D4-306DD6EF16C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J7:J9</xm:sqref>
        </x14:conditionalFormatting>
        <x14:conditionalFormatting xmlns:xm="http://schemas.microsoft.com/office/excel/2006/main">
          <x14:cfRule type="containsText" priority="85" operator="containsText" text="허하나로" id="{8A68CF4B-600A-4514-B1C6-BC99A6F110B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C9BBE1EB-34E5-4D2B-8BEB-595A8929555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FA0A74EB-4106-4917-BA28-B4DCE1C7584E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7735151E-B75C-4FE1-97B1-DA0A5FF54F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2F308FA7-B9C5-41AA-865B-E466B659C76A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34A3E008-6C05-4B27-A478-07F75389ED9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67" operator="containsText" text="허하나로" id="{AF748F91-B999-4B97-A16A-710CAE99A7BF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56B3B6B6-3BE3-4430-9C7D-8585CE22A4B6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E15898C1-AC4B-4521-A18B-7ADD0D0CD7C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73F0802D-7E5E-416D-8B9B-EDD7817575D7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8D0B8406-462F-421E-B786-8B23B0098B8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C3CB3B8F-FBC0-45CE-AA61-C66D78F29CBF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61" operator="containsText" text="허하나로" id="{4757BA95-B130-4817-952E-527895860DD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FC6CF46E-9E86-4364-9CA5-0EE27FF7F17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BE1E2E1A-8E13-49B3-BA1A-9CB4AA6CBF56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DE6C79B6-C280-491E-AABC-F2E6C6F6DD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28057FDF-D15E-4939-BCDB-5CEED1C16B08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2C6F487A-D78C-4C11-987B-07DA04B0CA3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55" operator="containsText" text="허하나로" id="{39A7311B-562A-49B1-9FC2-5CD0E73E7EA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CA90E9DA-87CC-40CA-BCF3-78DAA3FC4EE1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D6B816CE-B40F-4B67-80C5-2D55B957AD20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FE6B0A88-E49F-4FF6-90E1-C368D755ECF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FD5ACCF8-B9E0-4A64-8BFF-083D822140E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445A882D-0E1E-4F43-86F0-9F35BB9AB9BB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J30</xm:sqref>
        </x14:conditionalFormatting>
        <x14:conditionalFormatting xmlns:xm="http://schemas.microsoft.com/office/excel/2006/main">
          <x14:cfRule type="containsText" priority="43" operator="containsText" text="허하나로" id="{7783D2DD-F3E7-4BFD-922D-E976F7EBF1A5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4421D622-DBD2-4D0F-A119-CA7508CE514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01AE0E8B-AA57-4427-AD1C-F7053F68CB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B2E51FD6-FF3C-4225-A5DE-1F6FA3791E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EEA3BD86-3E58-4F35-A765-BEA8C917002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646BBEFE-000A-40F8-A39B-CA1357EC622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J23</xm:sqref>
        </x14:conditionalFormatting>
        <x14:conditionalFormatting xmlns:xm="http://schemas.microsoft.com/office/excel/2006/main">
          <x14:cfRule type="containsText" priority="1" operator="containsText" text="허하나로" id="{FE4C0CD3-EE1F-4A6F-821F-F646FB540B6B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39DB81EC-C4DD-43FE-AEF6-D300D0989D5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C13F8EFD-6553-4100-83F9-A7E5286B026B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34D10E52-00F8-4AE2-B387-9648745DDEA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EEFB477E-9369-417E-B421-7065A2CDDB59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979A528F-F2F8-46E4-8117-CBDA7442474A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M60"/>
  <sheetViews>
    <sheetView zoomScale="85" zoomScaleNormal="85" workbookViewId="0">
      <selection activeCell="H15" sqref="H15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25" bestFit="1" customWidth="1"/>
    <col min="10" max="10" width="14.625" customWidth="1"/>
    <col min="11" max="11" width="62.625" customWidth="1"/>
    <col min="12" max="12" width="3.875" customWidth="1"/>
    <col min="13" max="13" width="14.625" customWidth="1"/>
  </cols>
  <sheetData>
    <row r="1" spans="1:13" ht="17.25" thickBot="1">
      <c r="A1" s="88" t="s">
        <v>247</v>
      </c>
      <c r="B1" s="43"/>
      <c r="C1" s="88"/>
      <c r="D1" s="88"/>
      <c r="E1" s="88"/>
      <c r="F1" s="88"/>
      <c r="G1" s="183"/>
      <c r="H1" s="184"/>
      <c r="I1" s="184"/>
      <c r="J1" s="183"/>
      <c r="K1" s="183"/>
      <c r="L1" s="183"/>
      <c r="M1" s="282" t="s">
        <v>227</v>
      </c>
    </row>
    <row r="2" spans="1:13" ht="16.5" customHeight="1">
      <c r="A2" s="715" t="s">
        <v>228</v>
      </c>
      <c r="B2" s="717" t="s">
        <v>229</v>
      </c>
      <c r="C2" s="718"/>
      <c r="D2" s="719"/>
      <c r="E2" s="717" t="s">
        <v>230</v>
      </c>
      <c r="F2" s="718"/>
      <c r="G2" s="719"/>
      <c r="H2" s="693" t="s">
        <v>728</v>
      </c>
      <c r="I2" s="693" t="s">
        <v>729</v>
      </c>
      <c r="J2" s="720" t="s">
        <v>467</v>
      </c>
      <c r="K2" s="705" t="s">
        <v>1</v>
      </c>
      <c r="L2" s="705"/>
      <c r="M2" s="706"/>
    </row>
    <row r="3" spans="1:13" ht="17.25" thickBot="1">
      <c r="A3" s="716"/>
      <c r="B3" s="119" t="s">
        <v>231</v>
      </c>
      <c r="C3" s="119" t="s">
        <v>232</v>
      </c>
      <c r="D3" s="119" t="s">
        <v>233</v>
      </c>
      <c r="E3" s="119" t="s">
        <v>234</v>
      </c>
      <c r="F3" s="119" t="s">
        <v>235</v>
      </c>
      <c r="G3" s="119" t="s">
        <v>236</v>
      </c>
      <c r="H3" s="694"/>
      <c r="I3" s="694"/>
      <c r="J3" s="721"/>
      <c r="K3" s="729"/>
      <c r="L3" s="729"/>
      <c r="M3" s="730"/>
    </row>
    <row r="4" spans="1:13" ht="17.25" thickBot="1">
      <c r="A4" s="710" t="s">
        <v>237</v>
      </c>
      <c r="B4" s="711"/>
      <c r="C4" s="711"/>
      <c r="D4" s="711"/>
      <c r="E4" s="711"/>
      <c r="F4" s="711"/>
      <c r="G4" s="712"/>
      <c r="H4" s="283">
        <f>H5+H13</f>
        <v>11770000</v>
      </c>
      <c r="I4" s="324">
        <v>9070000</v>
      </c>
      <c r="J4" s="120">
        <f>H4-I4</f>
        <v>2700000</v>
      </c>
      <c r="K4" s="89"/>
      <c r="L4" s="90"/>
      <c r="M4" s="121"/>
    </row>
    <row r="5" spans="1:13">
      <c r="A5" s="572" t="s">
        <v>238</v>
      </c>
      <c r="B5" s="573"/>
      <c r="C5" s="123"/>
      <c r="D5" s="123"/>
      <c r="E5" s="123"/>
      <c r="F5" s="123"/>
      <c r="G5" s="124"/>
      <c r="H5" s="284">
        <f>H6</f>
        <v>5500000</v>
      </c>
      <c r="I5" s="574">
        <v>5500000</v>
      </c>
      <c r="J5" s="575">
        <f t="shared" ref="J5:J7" si="0">H5-I5</f>
        <v>0</v>
      </c>
      <c r="K5" s="576"/>
      <c r="L5" s="577"/>
      <c r="M5" s="578"/>
    </row>
    <row r="6" spans="1:13">
      <c r="A6" s="288"/>
      <c r="B6" s="289" t="s">
        <v>268</v>
      </c>
      <c r="C6" s="129"/>
      <c r="D6" s="130"/>
      <c r="E6" s="130"/>
      <c r="F6" s="130"/>
      <c r="G6" s="131"/>
      <c r="H6" s="91">
        <f t="shared" ref="H6" si="1">H7</f>
        <v>5500000</v>
      </c>
      <c r="I6" s="91">
        <v>5500000</v>
      </c>
      <c r="J6" s="95">
        <f>H6-I6</f>
        <v>0</v>
      </c>
      <c r="K6" s="78"/>
      <c r="L6" s="79"/>
      <c r="M6" s="80"/>
    </row>
    <row r="7" spans="1:13">
      <c r="A7" s="10"/>
      <c r="B7" s="6"/>
      <c r="C7" s="129" t="s">
        <v>269</v>
      </c>
      <c r="D7" s="130"/>
      <c r="E7" s="130"/>
      <c r="F7" s="130"/>
      <c r="G7" s="131"/>
      <c r="H7" s="94">
        <f>H8</f>
        <v>5500000</v>
      </c>
      <c r="I7" s="94">
        <v>5500000</v>
      </c>
      <c r="J7" s="95">
        <f t="shared" si="0"/>
        <v>0</v>
      </c>
      <c r="K7" s="78"/>
      <c r="L7" s="79"/>
      <c r="M7" s="80"/>
    </row>
    <row r="8" spans="1:13">
      <c r="A8" s="10"/>
      <c r="B8" s="6"/>
      <c r="C8" s="6"/>
      <c r="D8" s="129" t="s">
        <v>383</v>
      </c>
      <c r="E8" s="130"/>
      <c r="F8" s="130"/>
      <c r="G8" s="131"/>
      <c r="H8" s="132">
        <f t="shared" ref="H8:H9" si="2">H9</f>
        <v>5500000</v>
      </c>
      <c r="I8" s="132">
        <v>5500000</v>
      </c>
      <c r="J8" s="92">
        <f t="shared" ref="J8:J11" si="3">H8-I8</f>
        <v>0</v>
      </c>
      <c r="K8" s="160"/>
      <c r="L8" s="149"/>
      <c r="M8" s="150"/>
    </row>
    <row r="9" spans="1:13">
      <c r="A9" s="10"/>
      <c r="B9" s="6"/>
      <c r="C9" s="134"/>
      <c r="D9" s="135"/>
      <c r="E9" s="129" t="s">
        <v>239</v>
      </c>
      <c r="F9" s="130"/>
      <c r="G9" s="131"/>
      <c r="H9" s="91">
        <f t="shared" si="2"/>
        <v>5500000</v>
      </c>
      <c r="I9" s="91">
        <v>5500000</v>
      </c>
      <c r="J9" s="95">
        <f t="shared" si="3"/>
        <v>0</v>
      </c>
      <c r="K9" s="84"/>
      <c r="L9" s="93"/>
      <c r="M9" s="82"/>
    </row>
    <row r="10" spans="1:13">
      <c r="A10" s="63"/>
      <c r="B10" s="65"/>
      <c r="C10" s="186"/>
      <c r="D10" s="187"/>
      <c r="E10" s="188"/>
      <c r="F10" s="136" t="s">
        <v>240</v>
      </c>
      <c r="G10" s="189"/>
      <c r="H10" s="72">
        <f>H11</f>
        <v>5500000</v>
      </c>
      <c r="I10" s="72">
        <v>5500000</v>
      </c>
      <c r="J10" s="72">
        <f t="shared" si="3"/>
        <v>0</v>
      </c>
      <c r="K10" s="220"/>
      <c r="L10" s="53"/>
      <c r="M10" s="40"/>
    </row>
    <row r="11" spans="1:13">
      <c r="A11" s="63"/>
      <c r="B11" s="65"/>
      <c r="C11" s="65"/>
      <c r="D11" s="145"/>
      <c r="E11" s="190"/>
      <c r="F11" s="190"/>
      <c r="G11" s="68" t="s">
        <v>362</v>
      </c>
      <c r="H11" s="73">
        <f>M11</f>
        <v>5500000</v>
      </c>
      <c r="I11" s="73">
        <v>5500000</v>
      </c>
      <c r="J11" s="73">
        <f t="shared" si="3"/>
        <v>0</v>
      </c>
      <c r="K11" s="83" t="s">
        <v>384</v>
      </c>
      <c r="L11" s="44"/>
      <c r="M11" s="218">
        <f>M12</f>
        <v>5500000</v>
      </c>
    </row>
    <row r="12" spans="1:13">
      <c r="A12" s="579"/>
      <c r="B12" s="67"/>
      <c r="C12" s="67"/>
      <c r="D12" s="244"/>
      <c r="E12" s="265"/>
      <c r="F12" s="265"/>
      <c r="G12" s="265" t="s">
        <v>646</v>
      </c>
      <c r="H12" s="71"/>
      <c r="I12" s="71"/>
      <c r="J12" s="71"/>
      <c r="K12" s="584" t="s">
        <v>818</v>
      </c>
      <c r="L12" s="142" t="s">
        <v>241</v>
      </c>
      <c r="M12" s="196">
        <v>5500000</v>
      </c>
    </row>
    <row r="13" spans="1:13">
      <c r="A13" s="285" t="s">
        <v>191</v>
      </c>
      <c r="B13" s="545"/>
      <c r="C13" s="548"/>
      <c r="D13" s="548"/>
      <c r="E13" s="548"/>
      <c r="F13" s="548"/>
      <c r="G13" s="549"/>
      <c r="H13" s="320">
        <f>H14+H43</f>
        <v>6270000</v>
      </c>
      <c r="I13" s="320">
        <v>3570000</v>
      </c>
      <c r="J13" s="550">
        <f t="shared" ref="J13" si="4">H13-I13</f>
        <v>2700000</v>
      </c>
      <c r="K13" s="407"/>
      <c r="L13" s="408"/>
      <c r="M13" s="426"/>
    </row>
    <row r="14" spans="1:13">
      <c r="A14" s="288"/>
      <c r="B14" s="353" t="s">
        <v>270</v>
      </c>
      <c r="C14" s="353"/>
      <c r="D14" s="460"/>
      <c r="E14" s="460"/>
      <c r="F14" s="460"/>
      <c r="G14" s="461"/>
      <c r="H14" s="92">
        <f t="shared" ref="H14:H16" si="5">H15</f>
        <v>4680000</v>
      </c>
      <c r="I14" s="92">
        <v>1980000</v>
      </c>
      <c r="J14" s="95">
        <f>H14-I14</f>
        <v>2700000</v>
      </c>
      <c r="K14" s="407"/>
      <c r="L14" s="408"/>
      <c r="M14" s="426"/>
    </row>
    <row r="15" spans="1:13">
      <c r="A15" s="10"/>
      <c r="B15" s="462"/>
      <c r="C15" s="353" t="s">
        <v>272</v>
      </c>
      <c r="D15" s="460"/>
      <c r="E15" s="460"/>
      <c r="F15" s="460"/>
      <c r="G15" s="461"/>
      <c r="H15" s="95">
        <f>SUM(H16,H23,H33,H38)</f>
        <v>4680000</v>
      </c>
      <c r="I15" s="95">
        <v>1980000</v>
      </c>
      <c r="J15" s="95">
        <f t="shared" ref="J15:J19" si="6">H15-I15</f>
        <v>2700000</v>
      </c>
      <c r="K15" s="407"/>
      <c r="L15" s="408"/>
      <c r="M15" s="426"/>
    </row>
    <row r="16" spans="1:13">
      <c r="A16" s="10"/>
      <c r="B16" s="462"/>
      <c r="C16" s="546"/>
      <c r="D16" s="353" t="s">
        <v>396</v>
      </c>
      <c r="E16" s="460"/>
      <c r="F16" s="460"/>
      <c r="G16" s="461"/>
      <c r="H16" s="463">
        <f t="shared" si="5"/>
        <v>2200000</v>
      </c>
      <c r="I16" s="463">
        <v>1200000</v>
      </c>
      <c r="J16" s="95">
        <f t="shared" si="6"/>
        <v>1000000</v>
      </c>
      <c r="K16" s="354"/>
      <c r="L16" s="410"/>
      <c r="M16" s="426"/>
    </row>
    <row r="17" spans="1:13">
      <c r="A17" s="10"/>
      <c r="B17" s="462"/>
      <c r="C17" s="464"/>
      <c r="D17" s="465"/>
      <c r="E17" s="353" t="s">
        <v>413</v>
      </c>
      <c r="F17" s="460"/>
      <c r="G17" s="461"/>
      <c r="H17" s="92">
        <f>H18</f>
        <v>2200000</v>
      </c>
      <c r="I17" s="92">
        <v>1200000</v>
      </c>
      <c r="J17" s="95">
        <f t="shared" si="6"/>
        <v>1000000</v>
      </c>
      <c r="K17" s="355"/>
      <c r="L17" s="396"/>
      <c r="M17" s="397"/>
    </row>
    <row r="18" spans="1:13">
      <c r="A18" s="63"/>
      <c r="B18" s="363"/>
      <c r="C18" s="467"/>
      <c r="D18" s="468"/>
      <c r="E18" s="469"/>
      <c r="F18" s="470" t="s">
        <v>414</v>
      </c>
      <c r="G18" s="471"/>
      <c r="H18" s="98">
        <f>SUM(H19)</f>
        <v>2200000</v>
      </c>
      <c r="I18" s="98">
        <v>1200000</v>
      </c>
      <c r="J18" s="98">
        <f t="shared" si="6"/>
        <v>1000000</v>
      </c>
      <c r="K18" s="427"/>
      <c r="L18" s="356"/>
      <c r="M18" s="399"/>
    </row>
    <row r="19" spans="1:13">
      <c r="A19" s="63"/>
      <c r="B19" s="363"/>
      <c r="C19" s="363"/>
      <c r="D19" s="364"/>
      <c r="E19" s="365"/>
      <c r="F19" s="365"/>
      <c r="G19" s="551" t="s">
        <v>412</v>
      </c>
      <c r="H19" s="41">
        <f>M19</f>
        <v>2200000</v>
      </c>
      <c r="I19" s="41">
        <v>1200000</v>
      </c>
      <c r="J19" s="41">
        <f t="shared" si="6"/>
        <v>1000000</v>
      </c>
      <c r="K19" s="606" t="s">
        <v>415</v>
      </c>
      <c r="L19" s="392"/>
      <c r="M19" s="393">
        <f>SUM(M22)</f>
        <v>2200000</v>
      </c>
    </row>
    <row r="20" spans="1:13">
      <c r="A20" s="63"/>
      <c r="B20" s="363"/>
      <c r="C20" s="363"/>
      <c r="D20" s="364"/>
      <c r="E20" s="365"/>
      <c r="F20" s="365"/>
      <c r="G20" s="657" t="s">
        <v>824</v>
      </c>
      <c r="H20" s="50"/>
      <c r="I20" s="50"/>
      <c r="J20" s="50"/>
      <c r="K20" s="670" t="s">
        <v>829</v>
      </c>
      <c r="L20" s="380" t="s">
        <v>0</v>
      </c>
      <c r="M20" s="379">
        <v>1200000</v>
      </c>
    </row>
    <row r="21" spans="1:13">
      <c r="A21" s="63"/>
      <c r="B21" s="363"/>
      <c r="C21" s="363"/>
      <c r="D21" s="364"/>
      <c r="E21" s="365"/>
      <c r="F21" s="365"/>
      <c r="G21" s="363"/>
      <c r="H21" s="50"/>
      <c r="I21" s="50"/>
      <c r="J21" s="50"/>
      <c r="K21" s="671" t="s">
        <v>796</v>
      </c>
      <c r="L21" s="380"/>
      <c r="M21" s="384"/>
    </row>
    <row r="22" spans="1:13" ht="24">
      <c r="A22" s="63"/>
      <c r="B22" s="363"/>
      <c r="C22" s="363"/>
      <c r="D22" s="507"/>
      <c r="E22" s="547"/>
      <c r="F22" s="547"/>
      <c r="G22" s="507"/>
      <c r="H22" s="146"/>
      <c r="I22" s="146"/>
      <c r="J22" s="146"/>
      <c r="K22" s="667" t="s">
        <v>825</v>
      </c>
      <c r="L22" s="639" t="s">
        <v>241</v>
      </c>
      <c r="M22" s="634">
        <v>2200000</v>
      </c>
    </row>
    <row r="23" spans="1:13">
      <c r="A23" s="10"/>
      <c r="B23" s="462"/>
      <c r="C23" s="480"/>
      <c r="D23" s="545" t="s">
        <v>395</v>
      </c>
      <c r="E23" s="548"/>
      <c r="F23" s="548"/>
      <c r="G23" s="549"/>
      <c r="H23" s="553">
        <f t="shared" ref="H23:H24" si="7">H24</f>
        <v>2000000</v>
      </c>
      <c r="I23" s="553">
        <v>300000</v>
      </c>
      <c r="J23" s="95">
        <f t="shared" ref="J23:J26" si="8">H23-I23</f>
        <v>1700000</v>
      </c>
      <c r="K23" s="580"/>
      <c r="L23" s="410"/>
      <c r="M23" s="426"/>
    </row>
    <row r="24" spans="1:13">
      <c r="A24" s="10"/>
      <c r="B24" s="462"/>
      <c r="C24" s="464"/>
      <c r="D24" s="465"/>
      <c r="E24" s="353" t="s">
        <v>413</v>
      </c>
      <c r="F24" s="460"/>
      <c r="G24" s="461"/>
      <c r="H24" s="92">
        <f t="shared" si="7"/>
        <v>2000000</v>
      </c>
      <c r="I24" s="92">
        <v>300000</v>
      </c>
      <c r="J24" s="95">
        <f t="shared" si="8"/>
        <v>1700000</v>
      </c>
      <c r="K24" s="355"/>
      <c r="L24" s="396"/>
      <c r="M24" s="397"/>
    </row>
    <row r="25" spans="1:13">
      <c r="A25" s="63"/>
      <c r="B25" s="363"/>
      <c r="C25" s="467"/>
      <c r="D25" s="468"/>
      <c r="E25" s="469"/>
      <c r="F25" s="470" t="s">
        <v>414</v>
      </c>
      <c r="G25" s="471"/>
      <c r="H25" s="98">
        <f>SUM(H26,H30)</f>
        <v>2000000</v>
      </c>
      <c r="I25" s="98">
        <v>300000</v>
      </c>
      <c r="J25" s="98">
        <f t="shared" si="8"/>
        <v>1700000</v>
      </c>
      <c r="K25" s="427"/>
      <c r="L25" s="356"/>
      <c r="M25" s="399"/>
    </row>
    <row r="26" spans="1:13">
      <c r="A26" s="63"/>
      <c r="B26" s="363"/>
      <c r="C26" s="363"/>
      <c r="D26" s="364"/>
      <c r="E26" s="365"/>
      <c r="F26" s="365"/>
      <c r="G26" s="551" t="s">
        <v>412</v>
      </c>
      <c r="H26" s="41">
        <f>M26</f>
        <v>1990956</v>
      </c>
      <c r="I26" s="41">
        <v>300000</v>
      </c>
      <c r="J26" s="41">
        <f t="shared" si="8"/>
        <v>1690956</v>
      </c>
      <c r="K26" s="606" t="s">
        <v>415</v>
      </c>
      <c r="L26" s="392"/>
      <c r="M26" s="393">
        <f>SUM(M29)</f>
        <v>1990956</v>
      </c>
    </row>
    <row r="27" spans="1:13">
      <c r="A27" s="63"/>
      <c r="B27" s="363"/>
      <c r="C27" s="363"/>
      <c r="D27" s="364"/>
      <c r="E27" s="365"/>
      <c r="F27" s="365"/>
      <c r="G27" s="657" t="s">
        <v>827</v>
      </c>
      <c r="H27" s="50"/>
      <c r="I27" s="50"/>
      <c r="J27" s="50"/>
      <c r="K27" s="670" t="s">
        <v>828</v>
      </c>
      <c r="L27" s="380" t="s">
        <v>0</v>
      </c>
      <c r="M27" s="379">
        <v>300000</v>
      </c>
    </row>
    <row r="28" spans="1:13">
      <c r="A28" s="63"/>
      <c r="B28" s="363"/>
      <c r="C28" s="363"/>
      <c r="D28" s="364"/>
      <c r="E28" s="365"/>
      <c r="F28" s="365"/>
      <c r="G28" s="363"/>
      <c r="H28" s="50"/>
      <c r="I28" s="50"/>
      <c r="J28" s="50"/>
      <c r="K28" s="671" t="s">
        <v>796</v>
      </c>
      <c r="L28" s="380"/>
      <c r="M28" s="384"/>
    </row>
    <row r="29" spans="1:13" ht="24">
      <c r="A29" s="63"/>
      <c r="B29" s="363"/>
      <c r="C29" s="363"/>
      <c r="D29" s="364"/>
      <c r="E29" s="365"/>
      <c r="F29" s="364"/>
      <c r="G29" s="507"/>
      <c r="H29" s="146"/>
      <c r="I29" s="146"/>
      <c r="J29" s="146"/>
      <c r="K29" s="667" t="s">
        <v>830</v>
      </c>
      <c r="L29" s="639" t="s">
        <v>241</v>
      </c>
      <c r="M29" s="634">
        <v>1990956</v>
      </c>
    </row>
    <row r="30" spans="1:13">
      <c r="A30" s="63"/>
      <c r="B30" s="363"/>
      <c r="C30" s="363"/>
      <c r="D30" s="364"/>
      <c r="E30" s="365"/>
      <c r="F30" s="365"/>
      <c r="G30" s="551" t="s">
        <v>826</v>
      </c>
      <c r="H30" s="41">
        <f>M30</f>
        <v>9044</v>
      </c>
      <c r="I30" s="41">
        <v>0</v>
      </c>
      <c r="J30" s="41">
        <f t="shared" ref="J30" si="9">H30-I30</f>
        <v>9044</v>
      </c>
      <c r="K30" s="606" t="s">
        <v>831</v>
      </c>
      <c r="L30" s="392"/>
      <c r="M30" s="393">
        <f>SUM(M32)</f>
        <v>9044</v>
      </c>
    </row>
    <row r="31" spans="1:13">
      <c r="A31" s="63"/>
      <c r="B31" s="363"/>
      <c r="C31" s="363"/>
      <c r="D31" s="364"/>
      <c r="E31" s="365"/>
      <c r="F31" s="365"/>
      <c r="G31" s="657" t="s">
        <v>833</v>
      </c>
      <c r="H31" s="50"/>
      <c r="I31" s="50"/>
      <c r="J31" s="50"/>
      <c r="K31" s="671" t="s">
        <v>796</v>
      </c>
      <c r="L31" s="380"/>
      <c r="M31" s="384"/>
    </row>
    <row r="32" spans="1:13">
      <c r="A32" s="63"/>
      <c r="B32" s="363"/>
      <c r="C32" s="363"/>
      <c r="D32" s="507"/>
      <c r="E32" s="547"/>
      <c r="F32" s="507"/>
      <c r="G32" s="507"/>
      <c r="H32" s="146"/>
      <c r="I32" s="146"/>
      <c r="J32" s="146"/>
      <c r="K32" s="667" t="s">
        <v>832</v>
      </c>
      <c r="L32" s="639" t="s">
        <v>37</v>
      </c>
      <c r="M32" s="634">
        <v>9044</v>
      </c>
    </row>
    <row r="33" spans="1:13">
      <c r="A33" s="10"/>
      <c r="B33" s="462"/>
      <c r="C33" s="480"/>
      <c r="D33" s="545" t="s">
        <v>397</v>
      </c>
      <c r="E33" s="548"/>
      <c r="F33" s="548"/>
      <c r="G33" s="549"/>
      <c r="H33" s="553">
        <f t="shared" ref="H33:H34" si="10">H34</f>
        <v>90000</v>
      </c>
      <c r="I33" s="553">
        <v>90000</v>
      </c>
      <c r="J33" s="95">
        <f t="shared" ref="J33:J36" si="11">H33-I33</f>
        <v>0</v>
      </c>
      <c r="K33" s="354"/>
      <c r="L33" s="410"/>
      <c r="M33" s="426"/>
    </row>
    <row r="34" spans="1:13">
      <c r="A34" s="10"/>
      <c r="B34" s="462"/>
      <c r="C34" s="464"/>
      <c r="D34" s="465"/>
      <c r="E34" s="353" t="s">
        <v>413</v>
      </c>
      <c r="F34" s="460"/>
      <c r="G34" s="461"/>
      <c r="H34" s="92">
        <f t="shared" si="10"/>
        <v>90000</v>
      </c>
      <c r="I34" s="92">
        <v>90000</v>
      </c>
      <c r="J34" s="95">
        <f t="shared" si="11"/>
        <v>0</v>
      </c>
      <c r="K34" s="355"/>
      <c r="L34" s="396"/>
      <c r="M34" s="397"/>
    </row>
    <row r="35" spans="1:13">
      <c r="A35" s="63"/>
      <c r="B35" s="363"/>
      <c r="C35" s="467"/>
      <c r="D35" s="468"/>
      <c r="E35" s="469"/>
      <c r="F35" s="470" t="s">
        <v>414</v>
      </c>
      <c r="G35" s="471"/>
      <c r="H35" s="98">
        <f>SUM(H36)</f>
        <v>90000</v>
      </c>
      <c r="I35" s="98">
        <v>90000</v>
      </c>
      <c r="J35" s="98">
        <f t="shared" si="11"/>
        <v>0</v>
      </c>
      <c r="K35" s="427"/>
      <c r="L35" s="356"/>
      <c r="M35" s="399"/>
    </row>
    <row r="36" spans="1:13">
      <c r="A36" s="63"/>
      <c r="B36" s="363"/>
      <c r="C36" s="363"/>
      <c r="D36" s="364"/>
      <c r="E36" s="365"/>
      <c r="F36" s="365"/>
      <c r="G36" s="366" t="s">
        <v>412</v>
      </c>
      <c r="H36" s="41">
        <f>M36</f>
        <v>90000</v>
      </c>
      <c r="I36" s="41">
        <v>90000</v>
      </c>
      <c r="J36" s="41">
        <f t="shared" si="11"/>
        <v>0</v>
      </c>
      <c r="K36" s="607" t="s">
        <v>415</v>
      </c>
      <c r="L36" s="392"/>
      <c r="M36" s="393">
        <f>M37</f>
        <v>90000</v>
      </c>
    </row>
    <row r="37" spans="1:13">
      <c r="A37" s="63"/>
      <c r="B37" s="363"/>
      <c r="C37" s="363"/>
      <c r="D37" s="507"/>
      <c r="E37" s="547"/>
      <c r="F37" s="547"/>
      <c r="G37" s="507" t="s">
        <v>648</v>
      </c>
      <c r="H37" s="146"/>
      <c r="I37" s="146"/>
      <c r="J37" s="146"/>
      <c r="K37" s="571" t="s">
        <v>819</v>
      </c>
      <c r="L37" s="382" t="s">
        <v>241</v>
      </c>
      <c r="M37" s="386">
        <v>90000</v>
      </c>
    </row>
    <row r="38" spans="1:13">
      <c r="A38" s="10"/>
      <c r="B38" s="462"/>
      <c r="C38" s="480"/>
      <c r="D38" s="545" t="s">
        <v>398</v>
      </c>
      <c r="E38" s="548"/>
      <c r="F38" s="548"/>
      <c r="G38" s="549"/>
      <c r="H38" s="553">
        <f t="shared" ref="H38:H39" si="12">H39</f>
        <v>390000</v>
      </c>
      <c r="I38" s="553">
        <v>390000</v>
      </c>
      <c r="J38" s="95">
        <f t="shared" ref="J38:J41" si="13">H38-I38</f>
        <v>0</v>
      </c>
      <c r="K38" s="554"/>
      <c r="L38" s="410"/>
      <c r="M38" s="426"/>
    </row>
    <row r="39" spans="1:13">
      <c r="A39" s="10"/>
      <c r="B39" s="462"/>
      <c r="C39" s="464"/>
      <c r="D39" s="465"/>
      <c r="E39" s="353" t="s">
        <v>413</v>
      </c>
      <c r="F39" s="460"/>
      <c r="G39" s="461"/>
      <c r="H39" s="92">
        <f t="shared" si="12"/>
        <v>390000</v>
      </c>
      <c r="I39" s="92">
        <v>390000</v>
      </c>
      <c r="J39" s="95">
        <f t="shared" si="13"/>
        <v>0</v>
      </c>
      <c r="K39" s="355"/>
      <c r="L39" s="396"/>
      <c r="M39" s="397"/>
    </row>
    <row r="40" spans="1:13">
      <c r="A40" s="63"/>
      <c r="B40" s="363"/>
      <c r="C40" s="467"/>
      <c r="D40" s="468"/>
      <c r="E40" s="469"/>
      <c r="F40" s="470" t="s">
        <v>414</v>
      </c>
      <c r="G40" s="471"/>
      <c r="H40" s="98">
        <f>SUM(H41)</f>
        <v>390000</v>
      </c>
      <c r="I40" s="98">
        <v>390000</v>
      </c>
      <c r="J40" s="98">
        <f t="shared" si="13"/>
        <v>0</v>
      </c>
      <c r="K40" s="427"/>
      <c r="L40" s="356"/>
      <c r="M40" s="399"/>
    </row>
    <row r="41" spans="1:13">
      <c r="A41" s="63"/>
      <c r="B41" s="363"/>
      <c r="C41" s="363"/>
      <c r="D41" s="364"/>
      <c r="E41" s="365"/>
      <c r="F41" s="365"/>
      <c r="G41" s="366" t="s">
        <v>412</v>
      </c>
      <c r="H41" s="41">
        <f>M41</f>
        <v>390000</v>
      </c>
      <c r="I41" s="41">
        <v>390000</v>
      </c>
      <c r="J41" s="41">
        <f t="shared" si="13"/>
        <v>0</v>
      </c>
      <c r="K41" s="607" t="s">
        <v>416</v>
      </c>
      <c r="L41" s="392"/>
      <c r="M41" s="393">
        <f>M42</f>
        <v>390000</v>
      </c>
    </row>
    <row r="42" spans="1:13">
      <c r="A42" s="63"/>
      <c r="B42" s="476"/>
      <c r="C42" s="476"/>
      <c r="D42" s="507"/>
      <c r="E42" s="547"/>
      <c r="F42" s="547"/>
      <c r="G42" s="547" t="s">
        <v>647</v>
      </c>
      <c r="H42" s="146"/>
      <c r="I42" s="146"/>
      <c r="J42" s="146"/>
      <c r="K42" s="571" t="s">
        <v>820</v>
      </c>
      <c r="L42" s="382" t="s">
        <v>241</v>
      </c>
      <c r="M42" s="386">
        <v>390000</v>
      </c>
    </row>
    <row r="43" spans="1:13">
      <c r="A43" s="288"/>
      <c r="B43" s="286" t="s">
        <v>273</v>
      </c>
      <c r="C43" s="262"/>
      <c r="D43" s="263"/>
      <c r="E43" s="263"/>
      <c r="F43" s="263"/>
      <c r="G43" s="264"/>
      <c r="H43" s="94">
        <f t="shared" ref="H43:H56" si="14">H44</f>
        <v>1590000</v>
      </c>
      <c r="I43" s="94">
        <v>1590000</v>
      </c>
      <c r="J43" s="95">
        <f>H43-I43</f>
        <v>0</v>
      </c>
      <c r="K43" s="541"/>
      <c r="L43" s="408"/>
      <c r="M43" s="426"/>
    </row>
    <row r="44" spans="1:13">
      <c r="A44" s="10"/>
      <c r="B44" s="6"/>
      <c r="C44" s="129" t="s">
        <v>274</v>
      </c>
      <c r="D44" s="130"/>
      <c r="E44" s="130"/>
      <c r="F44" s="130"/>
      <c r="G44" s="131"/>
      <c r="H44" s="94">
        <f>SUM(H45,H55)</f>
        <v>1590000</v>
      </c>
      <c r="I44" s="94">
        <v>1590000</v>
      </c>
      <c r="J44" s="95">
        <f t="shared" ref="J44:J58" si="15">H44-I44</f>
        <v>0</v>
      </c>
      <c r="K44" s="407"/>
      <c r="L44" s="408"/>
      <c r="M44" s="426"/>
    </row>
    <row r="45" spans="1:13">
      <c r="A45" s="10"/>
      <c r="B45" s="6"/>
      <c r="C45" s="7"/>
      <c r="D45" s="286" t="s">
        <v>462</v>
      </c>
      <c r="E45" s="130"/>
      <c r="F45" s="130"/>
      <c r="G45" s="131"/>
      <c r="H45" s="132">
        <f t="shared" si="14"/>
        <v>1200000</v>
      </c>
      <c r="I45" s="132">
        <v>1200000</v>
      </c>
      <c r="J45" s="95">
        <f t="shared" ref="J45:J48" si="16">H45-I45</f>
        <v>0</v>
      </c>
      <c r="K45" s="354"/>
      <c r="L45" s="410"/>
      <c r="M45" s="426"/>
    </row>
    <row r="46" spans="1:13">
      <c r="A46" s="10"/>
      <c r="B46" s="6"/>
      <c r="C46" s="134"/>
      <c r="D46" s="135"/>
      <c r="E46" s="130" t="s">
        <v>413</v>
      </c>
      <c r="F46" s="130"/>
      <c r="G46" s="131"/>
      <c r="H46" s="91">
        <f t="shared" si="14"/>
        <v>1200000</v>
      </c>
      <c r="I46" s="91">
        <v>1200000</v>
      </c>
      <c r="J46" s="95">
        <f t="shared" si="16"/>
        <v>0</v>
      </c>
      <c r="K46" s="355"/>
      <c r="L46" s="396"/>
      <c r="M46" s="397"/>
    </row>
    <row r="47" spans="1:13">
      <c r="A47" s="63"/>
      <c r="B47" s="65"/>
      <c r="C47" s="186"/>
      <c r="D47" s="187"/>
      <c r="E47" s="617"/>
      <c r="F47" s="616" t="s">
        <v>414</v>
      </c>
      <c r="G47" s="189"/>
      <c r="H47" s="72">
        <f>SUM(H48,H52)</f>
        <v>1200000</v>
      </c>
      <c r="I47" s="72">
        <v>1200000</v>
      </c>
      <c r="J47" s="72">
        <f t="shared" si="16"/>
        <v>0</v>
      </c>
      <c r="K47" s="427"/>
      <c r="L47" s="356"/>
      <c r="M47" s="399"/>
    </row>
    <row r="48" spans="1:13">
      <c r="A48" s="63"/>
      <c r="B48" s="65"/>
      <c r="C48" s="65"/>
      <c r="D48" s="145"/>
      <c r="E48" s="145"/>
      <c r="F48" s="618"/>
      <c r="G48" s="64" t="s">
        <v>412</v>
      </c>
      <c r="H48" s="73">
        <f>M48</f>
        <v>1178000</v>
      </c>
      <c r="I48" s="73">
        <v>1178000</v>
      </c>
      <c r="J48" s="73">
        <f t="shared" si="16"/>
        <v>0</v>
      </c>
      <c r="K48" s="606" t="s">
        <v>416</v>
      </c>
      <c r="L48" s="392"/>
      <c r="M48" s="393">
        <f>M51</f>
        <v>1178000</v>
      </c>
    </row>
    <row r="49" spans="1:13" ht="33" customHeight="1">
      <c r="A49" s="63"/>
      <c r="B49" s="65"/>
      <c r="C49" s="65"/>
      <c r="D49" s="145"/>
      <c r="E49" s="145"/>
      <c r="F49" s="145"/>
      <c r="G49" s="145" t="s">
        <v>723</v>
      </c>
      <c r="H49" s="74"/>
      <c r="I49" s="74"/>
      <c r="J49" s="74"/>
      <c r="K49" s="619" t="s">
        <v>715</v>
      </c>
      <c r="L49" s="380" t="s">
        <v>241</v>
      </c>
      <c r="M49" s="379">
        <v>1200000</v>
      </c>
    </row>
    <row r="50" spans="1:13">
      <c r="A50" s="63"/>
      <c r="B50" s="65"/>
      <c r="C50" s="65"/>
      <c r="D50" s="145"/>
      <c r="E50" s="145"/>
      <c r="F50" s="145"/>
      <c r="G50" s="145"/>
      <c r="H50" s="74"/>
      <c r="I50" s="74"/>
      <c r="J50" s="74"/>
      <c r="K50" s="672" t="s">
        <v>724</v>
      </c>
      <c r="L50" s="673"/>
      <c r="M50" s="674"/>
    </row>
    <row r="51" spans="1:13">
      <c r="A51" s="63"/>
      <c r="B51" s="65"/>
      <c r="C51" s="65"/>
      <c r="D51" s="145"/>
      <c r="E51" s="145"/>
      <c r="F51" s="145"/>
      <c r="G51" s="244"/>
      <c r="H51" s="71"/>
      <c r="I51" s="71"/>
      <c r="J51" s="71"/>
      <c r="K51" s="571" t="s">
        <v>822</v>
      </c>
      <c r="L51" s="382" t="s">
        <v>37</v>
      </c>
      <c r="M51" s="386">
        <v>1178000</v>
      </c>
    </row>
    <row r="52" spans="1:13">
      <c r="A52" s="63"/>
      <c r="B52" s="65"/>
      <c r="C52" s="65"/>
      <c r="D52" s="145"/>
      <c r="E52" s="145"/>
      <c r="F52" s="145"/>
      <c r="G52" s="68" t="s">
        <v>722</v>
      </c>
      <c r="H52" s="74">
        <f>M52</f>
        <v>22000</v>
      </c>
      <c r="I52" s="74">
        <v>22000</v>
      </c>
      <c r="J52" s="74">
        <f t="shared" ref="J52" si="17">H52-I52</f>
        <v>0</v>
      </c>
      <c r="K52" s="607" t="s">
        <v>725</v>
      </c>
      <c r="L52" s="380"/>
      <c r="M52" s="384">
        <f>M54</f>
        <v>22000</v>
      </c>
    </row>
    <row r="53" spans="1:13">
      <c r="A53" s="63"/>
      <c r="B53" s="65"/>
      <c r="C53" s="65"/>
      <c r="D53" s="145"/>
      <c r="E53" s="145"/>
      <c r="F53" s="145"/>
      <c r="G53" s="145" t="s">
        <v>726</v>
      </c>
      <c r="H53" s="74"/>
      <c r="I53" s="74"/>
      <c r="J53" s="74"/>
      <c r="K53" s="672" t="s">
        <v>724</v>
      </c>
      <c r="L53" s="673"/>
      <c r="M53" s="674"/>
    </row>
    <row r="54" spans="1:13">
      <c r="A54" s="63"/>
      <c r="B54" s="65"/>
      <c r="C54" s="65"/>
      <c r="D54" s="244"/>
      <c r="E54" s="244"/>
      <c r="F54" s="244"/>
      <c r="G54" s="244"/>
      <c r="H54" s="71"/>
      <c r="I54" s="71"/>
      <c r="J54" s="71"/>
      <c r="K54" s="571" t="s">
        <v>821</v>
      </c>
      <c r="L54" s="382" t="s">
        <v>37</v>
      </c>
      <c r="M54" s="386">
        <v>22000</v>
      </c>
    </row>
    <row r="55" spans="1:13">
      <c r="A55" s="10"/>
      <c r="B55" s="6"/>
      <c r="C55" s="147"/>
      <c r="D55" s="286" t="s">
        <v>459</v>
      </c>
      <c r="E55" s="263"/>
      <c r="F55" s="263"/>
      <c r="G55" s="264"/>
      <c r="H55" s="321">
        <f t="shared" si="14"/>
        <v>390000</v>
      </c>
      <c r="I55" s="321">
        <v>390000</v>
      </c>
      <c r="J55" s="95">
        <f t="shared" si="15"/>
        <v>0</v>
      </c>
      <c r="K55" s="354"/>
      <c r="L55" s="408"/>
      <c r="M55" s="426"/>
    </row>
    <row r="56" spans="1:13">
      <c r="A56" s="10"/>
      <c r="B56" s="6"/>
      <c r="C56" s="134"/>
      <c r="D56" s="135"/>
      <c r="E56" s="129" t="s">
        <v>413</v>
      </c>
      <c r="F56" s="130"/>
      <c r="G56" s="131"/>
      <c r="H56" s="91">
        <f t="shared" si="14"/>
        <v>390000</v>
      </c>
      <c r="I56" s="91">
        <v>390000</v>
      </c>
      <c r="J56" s="95">
        <f t="shared" si="15"/>
        <v>0</v>
      </c>
      <c r="K56" s="355"/>
      <c r="L56" s="396"/>
      <c r="M56" s="397"/>
    </row>
    <row r="57" spans="1:13">
      <c r="A57" s="63"/>
      <c r="B57" s="65"/>
      <c r="C57" s="186"/>
      <c r="D57" s="187"/>
      <c r="E57" s="188"/>
      <c r="F57" s="136" t="s">
        <v>414</v>
      </c>
      <c r="G57" s="189"/>
      <c r="H57" s="72">
        <f>H58</f>
        <v>390000</v>
      </c>
      <c r="I57" s="72">
        <v>390000</v>
      </c>
      <c r="J57" s="72">
        <f t="shared" si="15"/>
        <v>0</v>
      </c>
      <c r="K57" s="427"/>
      <c r="L57" s="356"/>
      <c r="M57" s="399"/>
    </row>
    <row r="58" spans="1:13">
      <c r="A58" s="63"/>
      <c r="B58" s="65"/>
      <c r="C58" s="65"/>
      <c r="D58" s="145"/>
      <c r="E58" s="190"/>
      <c r="F58" s="190"/>
      <c r="G58" s="68" t="s">
        <v>412</v>
      </c>
      <c r="H58" s="73">
        <f>M58</f>
        <v>390000</v>
      </c>
      <c r="I58" s="73">
        <v>390000</v>
      </c>
      <c r="J58" s="73">
        <f t="shared" si="15"/>
        <v>0</v>
      </c>
      <c r="K58" s="607" t="s">
        <v>415</v>
      </c>
      <c r="L58" s="392"/>
      <c r="M58" s="393">
        <f>M59</f>
        <v>390000</v>
      </c>
    </row>
    <row r="59" spans="1:13" ht="17.25" thickBot="1">
      <c r="A59" s="290"/>
      <c r="B59" s="69"/>
      <c r="C59" s="69"/>
      <c r="D59" s="291"/>
      <c r="E59" s="292"/>
      <c r="F59" s="292"/>
      <c r="G59" s="594" t="s">
        <v>649</v>
      </c>
      <c r="H59" s="595"/>
      <c r="I59" s="595"/>
      <c r="J59" s="595"/>
      <c r="K59" s="608" t="s">
        <v>823</v>
      </c>
      <c r="L59" s="609" t="s">
        <v>241</v>
      </c>
      <c r="M59" s="610">
        <v>390000</v>
      </c>
    </row>
    <row r="60" spans="1:13">
      <c r="M60" s="349"/>
    </row>
  </sheetData>
  <protectedRanges>
    <protectedRange password="ECE8" sqref="K22 K12 K37 K29 K42 K59 K49:K51 K53:K54 K32" name="작성자만수정_2_1_1_1"/>
  </protectedRanges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01" priority="1" operator="containsText" text="허하나로">
      <formula>NOT(ISERROR(SEARCH("허하나로",H749)))</formula>
    </cfRule>
    <cfRule type="containsText" dxfId="100" priority="2" operator="containsText" text="한별">
      <formula>NOT(ISERROR(SEARCH("한별",H749)))</formula>
    </cfRule>
    <cfRule type="containsText" dxfId="99" priority="3" operator="containsText" text="정홍조">
      <formula>NOT(ISERROR(SEARCH("정홍조",H749)))</formula>
    </cfRule>
    <cfRule type="containsText" dxfId="98" priority="4" operator="containsText" text="김지윤">
      <formula>NOT(ISERROR(SEARCH("김지윤",H749)))</formula>
    </cfRule>
    <cfRule type="containsText" dxfId="97" priority="5" operator="containsText" text="전준영">
      <formula>NOT(ISERROR(SEARCH("전준영",H749)))</formula>
    </cfRule>
    <cfRule type="containsText" dxfId="96" priority="6" operator="containsText" text="차재성">
      <formula>NOT(ISERROR(SEARCH("차재성",H749)))</formula>
    </cfRule>
  </conditionalFormatting>
  <pageMargins left="0.25" right="0.25" top="0.75" bottom="0.75" header="0.3" footer="0.3"/>
  <pageSetup paperSize="9" scale="72" fitToHeight="0" orientation="landscape" r:id="rId1"/>
  <rowBreaks count="1" manualBreakCount="1">
    <brk id="37" max="1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5" operator="containsText" text="허하나로" id="{28638BD0-53C8-416D-AEA7-086F4C3B2612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6" operator="containsText" text="한별" id="{31B8AA79-2D9D-439B-8B41-94BDADC4EAE7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7" operator="containsText" text="정홍조" id="{2CAA77AC-0EAE-4146-BD2E-0A25B355284F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8" operator="containsText" text="김지윤" id="{FEABD15A-02A5-4CD7-B34C-C4D219CEF5D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9" operator="containsText" text="전준영" id="{DE2AD7CF-855A-46FB-A16E-241701A3E40C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0" operator="containsText" text="차재성" id="{AEE920D6-A787-4F27-92F5-0E99ED63827B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121" operator="containsText" text="허하나로" id="{84ABEAFC-27D9-480D-B84A-5AB2AE61292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2" operator="containsText" text="한별" id="{18453F90-08FF-4B67-9587-44306ED7AB84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3" operator="containsText" text="정홍조" id="{B7F98469-D02B-42F6-9A10-23A76F6FE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24" operator="containsText" text="김지윤" id="{B26ACED7-A018-4823-9868-13E68E500B40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5" operator="containsText" text="전준영" id="{B57C2009-3BAB-4FAC-BFF0-8C6F65377C6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6" operator="containsText" text="차재성" id="{051401DA-5E9B-4873-9A18-26068B845AA7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109" operator="containsText" text="허하나로" id="{89235DDE-1071-4605-B173-BD45F7FF09F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0BEF1513-C5C7-4A14-8A85-ABF4AF30D9E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0D7B9E5E-199A-48F4-A930-C4CF5DA1081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38B077B6-7E42-469C-8002-C0418CDDEE04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A9FB81D0-A109-4483-A39B-076950B959C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BECC4EFC-1168-4B65-841B-CA7EF201B0D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containsText" priority="103" operator="containsText" text="허하나로" id="{B3A30445-95BB-48BC-BEFA-67DBDC362914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0B01D86B-AF1F-4FE3-907A-5879EA65757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62054932-FFCF-451C-BEA2-7F4CE12449C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947ADF9A-3CB4-4157-A489-E266B4F1B3D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CBF69331-510E-4635-B572-6AC9FD061D1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E2062335-7998-4748-9E5D-147E0AC7855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85" operator="containsText" text="허하나로" id="{F0776EFC-8E3A-4D8B-AE9E-2E1EDBA61334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8F512229-F18A-4A20-B5F5-69BC952AB635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4B76C7E6-2EB9-420C-A8BC-11B4894BB93A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3EAD65EB-88DD-4F85-BA94-125BAC5C1B1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A1E05917-A8AE-40A9-8B52-5ED43B4F493F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2626D1A1-5D3A-425D-983F-614D41A59424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79" operator="containsText" text="허하나로" id="{DC5B024D-1B4E-421A-BB83-FCF6D1E4F405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9AE5CA7D-1D6C-4D7C-8468-27FCC56E497D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C33207A9-6255-4D92-9095-0A4847D4A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99EDDE61-2A77-4B38-88C3-FE33BCE7638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75CE6EAE-2881-4A24-85B3-0B07D36DB77A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D2D1FF06-A19E-4B2F-8DF6-B9B2FF25737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73" operator="containsText" text="허하나로" id="{CC550875-2786-4525-A770-AB222A6D8FD8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BC767287-1A59-4639-A998-3BDEC90FE36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D166153D-029D-4502-BD50-534D2EAA8F5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DA3F8C2B-D0E6-43FA-8BC2-E707C9F5AE97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8568F444-DC9F-4978-AD82-DE423B556D25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27F4669B-1FEA-4595-B546-C2D769C41A9A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J15:J17</xm:sqref>
        </x14:conditionalFormatting>
        <x14:conditionalFormatting xmlns:xm="http://schemas.microsoft.com/office/excel/2006/main">
          <x14:cfRule type="containsText" priority="67" operator="containsText" text="허하나로" id="{1A05E6F2-373C-4407-8985-E09379A0138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1DEBA8E4-D9E9-4D49-89B6-58EF0847F443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6810E50D-9479-40DC-BC93-241AC65C99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2C5E59D9-E025-43FB-95E5-EC56F21BBEC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386481DC-7D83-4D78-9C0E-C737E1E4444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89BA7F21-8EE3-4152-BA7D-C381E2FFBE71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J14</xm:sqref>
        </x14:conditionalFormatting>
        <x14:conditionalFormatting xmlns:xm="http://schemas.microsoft.com/office/excel/2006/main">
          <x14:cfRule type="containsText" priority="61" operator="containsText" text="허하나로" id="{BCDB1C43-8BD3-4A5F-A099-08D2EEB153A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ECCED475-948E-4E57-89C6-2900681D7E3C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A38EE1CC-59A0-404E-9498-F640120BA44E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100237B7-CFCF-4A44-AB61-E7366F2D0994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31096114-70E2-4A1F-9B35-5B876634827D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B126A396-1B9B-4D8C-9D41-C2AEAC8F63C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I13</xm:sqref>
        </x14:conditionalFormatting>
        <x14:conditionalFormatting xmlns:xm="http://schemas.microsoft.com/office/excel/2006/main">
          <x14:cfRule type="containsText" priority="55" operator="containsText" text="허하나로" id="{32FF62E2-9292-49F9-AF0A-F1A668DE0E1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C5774498-CA8A-441F-BFFB-CD699EE3769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D10E7E17-4E65-4D55-81B5-AA1282B8807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9046ACE1-3A73-4B29-8C66-7C9BC09EDBB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46DD9E08-73B5-4E8F-879C-A46E5C82CE3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AC71C39B-A6C0-4743-889B-A234260443BE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J38:J39</xm:sqref>
        </x14:conditionalFormatting>
        <x14:conditionalFormatting xmlns:xm="http://schemas.microsoft.com/office/excel/2006/main">
          <x14:cfRule type="containsText" priority="49" operator="containsText" text="허하나로" id="{FFFFD91E-9C96-4995-B143-48196195E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CD63161A-A5DA-43C2-9C08-510A59DA8CD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337E64F5-C270-479D-B462-8C5967F0E03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424FB007-E177-473C-81A9-C8223BA73BE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6FA2DEEB-CDB0-4E13-823C-02D5882331D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587DA76C-E3EE-48D0-9348-80754C739E7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J44 J55:J56</xm:sqref>
        </x14:conditionalFormatting>
        <x14:conditionalFormatting xmlns:xm="http://schemas.microsoft.com/office/excel/2006/main">
          <x14:cfRule type="containsText" priority="43" operator="containsText" text="허하나로" id="{AF6B8880-4BE9-4BDA-AFAC-94CBC841699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2CD10CBB-A400-4DA9-8A5F-9A605C881D25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FAEB4972-F482-4388-A2F8-EF39772D612B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B1D70695-6BCA-42EC-B94C-101A166A3460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AB384378-222B-445C-B668-D5899361E56E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BFC6D678-E726-4A71-A69B-AB24F687517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J43</xm:sqref>
        </x14:conditionalFormatting>
        <x14:conditionalFormatting xmlns:xm="http://schemas.microsoft.com/office/excel/2006/main">
          <x14:cfRule type="containsText" priority="31" operator="containsText" text="허하나로" id="{0E3BA01D-ECC7-494A-AEAC-5010F879D10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9CBBFD54-BE4F-4AA7-81D8-91EC2A835A0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7D3FE18A-933F-471C-94A4-538EA9D4F928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FCA49F57-4BFA-4AFE-BB7F-653DD5BF07C5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A193A813-F817-4818-A6B7-4110E1F0136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FDAC11BA-64FE-4B0D-BB18-D1B7BBAECCD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J8:J9</xm:sqref>
        </x14:conditionalFormatting>
        <x14:conditionalFormatting xmlns:xm="http://schemas.microsoft.com/office/excel/2006/main">
          <x14:cfRule type="containsText" priority="19" operator="containsText" text="허하나로" id="{84129093-70EE-4B89-A62C-1FDEA92236D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A5AF2A4C-A0F1-4A7F-A199-2D524EFFC8B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0AB912F3-AC72-4CDE-AF9E-65095E13309C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0E705F02-76DA-4FC1-9570-9E9B2E7593BE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4B03BD70-492D-485D-A365-43CC5F74F44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6A9A5827-A8DE-4868-A5C4-3F2E9033547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J33:J34</xm:sqref>
        </x14:conditionalFormatting>
        <x14:conditionalFormatting xmlns:xm="http://schemas.microsoft.com/office/excel/2006/main">
          <x14:cfRule type="containsText" priority="13" operator="containsText" text="허하나로" id="{447A8153-9EF2-4E19-945C-13F8C65C27C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69510E86-740F-4A01-A95D-65DF61C29D16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02AF5224-0E0E-46B4-BD06-74D789287F63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67E21E89-2F90-49DE-8FE8-39695615B9AD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A2D81CA1-14EB-4E4B-B28B-E38733788792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2199287F-3060-45E4-B349-41F2FC40B64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J23:J24</xm:sqref>
        </x14:conditionalFormatting>
        <x14:conditionalFormatting xmlns:xm="http://schemas.microsoft.com/office/excel/2006/main">
          <x14:cfRule type="containsText" priority="7" operator="containsText" text="허하나로" id="{05A1BF34-F91C-4634-98A7-1D91EAE7F59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8FDD87EE-C560-454B-A8F0-7ACB03E05F3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0F8B45D0-924A-4B86-A5F4-D058FF63E08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8FE05FF8-CF4E-453B-B2A6-820F4F1D3F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4208599C-0041-488F-B5E3-8A9B19D1583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EFB68A28-345C-4CD8-8A77-C58451FBBF4D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J45:J46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이름이 지정된 범위</vt:lpstr>
      </vt:variant>
      <vt:variant>
        <vt:i4>20</vt:i4>
      </vt:variant>
    </vt:vector>
  </HeadingPairs>
  <TitlesOfParts>
    <vt:vector size="37" baseType="lpstr">
      <vt:lpstr>표지</vt:lpstr>
      <vt:lpstr>수입예산 총괄표</vt:lpstr>
      <vt:lpstr>지출예산 총괄표</vt:lpstr>
      <vt:lpstr>지출예산(직접)</vt:lpstr>
      <vt:lpstr>종합상황실</vt:lpstr>
      <vt:lpstr>행정관리부</vt:lpstr>
      <vt:lpstr>기획홍보부</vt:lpstr>
      <vt:lpstr>수익사업부</vt:lpstr>
      <vt:lpstr>유치협력부</vt:lpstr>
      <vt:lpstr>운영부</vt:lpstr>
      <vt:lpstr>행사부</vt:lpstr>
      <vt:lpstr>시설조성부</vt:lpstr>
      <vt:lpstr>전시연출부</vt:lpstr>
      <vt:lpstr>예비비</vt:lpstr>
      <vt:lpstr>지출예산(위탁)</vt:lpstr>
      <vt:lpstr>기획본부(위탁)</vt:lpstr>
      <vt:lpstr>운영본부(위탁)</vt:lpstr>
      <vt:lpstr>수익사업부!Print_Area</vt:lpstr>
      <vt:lpstr>'수입예산 총괄표'!Print_Area</vt:lpstr>
      <vt:lpstr>시설조성부!Print_Area</vt:lpstr>
      <vt:lpstr>'운영본부(위탁)'!Print_Area</vt:lpstr>
      <vt:lpstr>유치협력부!Print_Area</vt:lpstr>
      <vt:lpstr>'지출예산(직접)'!Print_Area</vt:lpstr>
      <vt:lpstr>'기획본부(위탁)'!Print_Titles</vt:lpstr>
      <vt:lpstr>기획홍보부!Print_Titles</vt:lpstr>
      <vt:lpstr>수익사업부!Print_Titles</vt:lpstr>
      <vt:lpstr>시설조성부!Print_Titles</vt:lpstr>
      <vt:lpstr>예비비!Print_Titles</vt:lpstr>
      <vt:lpstr>'운영본부(위탁)'!Print_Titles</vt:lpstr>
      <vt:lpstr>운영부!Print_Titles</vt:lpstr>
      <vt:lpstr>유치협력부!Print_Titles</vt:lpstr>
      <vt:lpstr>전시연출부!Print_Titles</vt:lpstr>
      <vt:lpstr>종합상황실!Print_Titles</vt:lpstr>
      <vt:lpstr>'지출예산(위탁)'!Print_Titles</vt:lpstr>
      <vt:lpstr>'지출예산(직접)'!Print_Titles</vt:lpstr>
      <vt:lpstr>행사부!Print_Titles</vt:lpstr>
      <vt:lpstr>행정관리부!Print_Titles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섬 박람회 조직위원회</cp:lastModifiedBy>
  <cp:revision>14</cp:revision>
  <cp:lastPrinted>2026-05-15T01:33:19Z</cp:lastPrinted>
  <dcterms:created xsi:type="dcterms:W3CDTF">2022-08-16T06:55:23Z</dcterms:created>
  <dcterms:modified xsi:type="dcterms:W3CDTF">2026-06-04T00:40:22Z</dcterms:modified>
  <cp:version>0906.0100.01</cp:version>
</cp:coreProperties>
</file>