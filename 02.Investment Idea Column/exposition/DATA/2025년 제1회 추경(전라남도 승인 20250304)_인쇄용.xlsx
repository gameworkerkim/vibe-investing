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섬 박람회 조직위원회\Desktop\예산서\"/>
    </mc:Choice>
  </mc:AlternateContent>
  <bookViews>
    <workbookView xWindow="0" yWindow="0" windowWidth="28800" windowHeight="12060" tabRatio="813"/>
  </bookViews>
  <sheets>
    <sheet name="표지" sheetId="47" r:id="rId1"/>
    <sheet name="수입예산 총괄표" sheetId="41" r:id="rId2"/>
    <sheet name="지출예산 총괄표" sheetId="46" r:id="rId3"/>
    <sheet name="행정관리부" sheetId="36" r:id="rId4"/>
    <sheet name="기획홍보부" sheetId="34" r:id="rId5"/>
    <sheet name="수익사업부" sheetId="30" r:id="rId6"/>
    <sheet name="유치협력부" sheetId="35" r:id="rId7"/>
    <sheet name="운영부" sheetId="37" r:id="rId8"/>
    <sheet name="행사부" sheetId="38" r:id="rId9"/>
    <sheet name="시설조성부" sheetId="39" r:id="rId10"/>
    <sheet name="전시연출부" sheetId="40" r:id="rId11"/>
    <sheet name="예비비" sheetId="42" r:id="rId12"/>
    <sheet name="기획본부(위탁)" sheetId="44" r:id="rId13"/>
    <sheet name="운영본부(위탁)" sheetId="45" r:id="rId14"/>
  </sheets>
  <externalReferences>
    <externalReference r:id="rId15"/>
    <externalReference r:id="rId16"/>
    <externalReference r:id="rId17"/>
  </externalReferences>
  <definedNames>
    <definedName name="_xlnm._FilterDatabase" localSheetId="4" hidden="1">기획홍보부!$A$3:$M$68</definedName>
    <definedName name="_xlnm._FilterDatabase" localSheetId="5" hidden="1">수익사업부!$A$3:$AY$59</definedName>
    <definedName name="_xlnm._FilterDatabase" localSheetId="9" hidden="1">시설조성부!$A$3:$M$24</definedName>
    <definedName name="_xlnm._FilterDatabase" localSheetId="7" hidden="1">운영부!$A$3:$M$45</definedName>
    <definedName name="_xlnm._FilterDatabase" localSheetId="6" hidden="1">유치협력부!$A$3:$BP$31</definedName>
    <definedName name="_xlnm._FilterDatabase" localSheetId="10" hidden="1">전시연출부!$A$3:$M$45</definedName>
    <definedName name="_xlnm._FilterDatabase" localSheetId="8" hidden="1">행사부!$A$3:$M$24</definedName>
    <definedName name="_xlnm._FilterDatabase" localSheetId="3" hidden="1">행정관리부!$A$3:$M$123</definedName>
    <definedName name="_xlnm.Database" localSheetId="4">#REF!</definedName>
    <definedName name="_xlnm.Database" localSheetId="0">#REF!</definedName>
    <definedName name="_xlnm.Database">#REF!</definedName>
    <definedName name="_xlnm.Print_Area" localSheetId="5">수익사업부!$A$1:$M$59</definedName>
    <definedName name="_xlnm.Print_Area" localSheetId="13">'운영본부(위탁)'!$A$1:$M$72</definedName>
    <definedName name="_xlnm.Print_Area" localSheetId="6">유치협력부!$A$1:$M$31</definedName>
    <definedName name="_xlnm.Print_Titles" localSheetId="5">수익사업부!$2:$3</definedName>
    <definedName name="ㄹㄹㄹ" localSheetId="4">#REF!</definedName>
    <definedName name="ㄹㄹㄹ" localSheetId="0">#REF!</definedName>
    <definedName name="ㄹㄹㄹ">#REF!</definedName>
    <definedName name="ㅁ1" localSheetId="4">#REF!</definedName>
    <definedName name="ㅁ1" localSheetId="5">#REF!</definedName>
    <definedName name="ㅁ1" localSheetId="0">#REF!</definedName>
    <definedName name="ㅁ1">#REF!</definedName>
    <definedName name="ㅇㅇ" localSheetId="0">#REF!</definedName>
    <definedName name="ㅇㅇ">#REF!</definedName>
    <definedName name="ㅇㅇㅇ" localSheetId="0">#REF!</definedName>
    <definedName name="ㅇㅇㅇ">#REF!</definedName>
  </definedNames>
  <calcPr calcId="162913"/>
</workbook>
</file>

<file path=xl/calcChain.xml><?xml version="1.0" encoding="utf-8"?>
<calcChain xmlns="http://schemas.openxmlformats.org/spreadsheetml/2006/main">
  <c r="H28" i="40" l="1"/>
  <c r="H4" i="40"/>
  <c r="J67" i="44" l="1"/>
  <c r="J63" i="44"/>
  <c r="J59" i="44"/>
  <c r="J58" i="44"/>
  <c r="H58" i="44"/>
  <c r="H57" i="44"/>
  <c r="M63" i="44"/>
  <c r="M59" i="44"/>
  <c r="M61" i="44"/>
  <c r="M45" i="44"/>
  <c r="M35" i="44"/>
  <c r="H9" i="40" l="1"/>
  <c r="H19" i="40"/>
  <c r="M25" i="40"/>
  <c r="H25" i="40"/>
  <c r="J25" i="40" s="1"/>
  <c r="M21" i="40"/>
  <c r="J21" i="40"/>
  <c r="H21" i="40"/>
  <c r="H20" i="40"/>
  <c r="J20" i="40" s="1"/>
  <c r="M11" i="40"/>
  <c r="M15" i="40"/>
  <c r="H15" i="40"/>
  <c r="J15" i="40" s="1"/>
  <c r="H11" i="40"/>
  <c r="J11" i="40" l="1"/>
  <c r="H10" i="40"/>
  <c r="M11" i="37"/>
  <c r="M14" i="37"/>
  <c r="H10" i="37"/>
  <c r="H11" i="37"/>
  <c r="H36" i="30"/>
  <c r="H35" i="30"/>
  <c r="H7" i="30"/>
  <c r="M37" i="30"/>
  <c r="H37" i="30" s="1"/>
  <c r="J19" i="40" l="1"/>
  <c r="H18" i="40"/>
  <c r="J10" i="40"/>
  <c r="J36" i="30"/>
  <c r="J37" i="30"/>
  <c r="J18" i="40" l="1"/>
  <c r="J9" i="40"/>
  <c r="H8" i="40"/>
  <c r="J35" i="30"/>
  <c r="H34" i="30"/>
  <c r="J34" i="30" s="1"/>
  <c r="H7" i="40" l="1"/>
  <c r="J8" i="40"/>
  <c r="H8" i="34"/>
  <c r="H7" i="34"/>
  <c r="M11" i="34"/>
  <c r="H11" i="34"/>
  <c r="J7" i="40" l="1"/>
  <c r="H6" i="40"/>
  <c r="J11" i="34"/>
  <c r="H10" i="34"/>
  <c r="M66" i="36"/>
  <c r="J10" i="34" l="1"/>
  <c r="H9" i="34"/>
  <c r="J9" i="34" l="1"/>
  <c r="J8" i="34"/>
  <c r="M11" i="35" l="1"/>
  <c r="M51" i="44" l="1"/>
  <c r="M77" i="36" l="1"/>
  <c r="H77" i="36" s="1"/>
  <c r="M111" i="36"/>
  <c r="M117" i="36"/>
  <c r="M53" i="36"/>
  <c r="M39" i="36"/>
  <c r="M20" i="36"/>
  <c r="M105" i="36"/>
  <c r="H105" i="36" s="1"/>
  <c r="J105" i="36" l="1"/>
  <c r="M32" i="30" l="1"/>
  <c r="H32" i="30" s="1"/>
  <c r="M27" i="30"/>
  <c r="H27" i="30" s="1"/>
  <c r="M21" i="30"/>
  <c r="H21" i="30" s="1"/>
  <c r="M11" i="30"/>
  <c r="H11" i="30" s="1"/>
  <c r="H16" i="41"/>
  <c r="F15" i="41"/>
  <c r="H15" i="41" s="1"/>
  <c r="M13" i="39"/>
  <c r="H20" i="30" l="1"/>
  <c r="J11" i="30"/>
  <c r="J32" i="30"/>
  <c r="H31" i="30"/>
  <c r="J27" i="30"/>
  <c r="H26" i="30"/>
  <c r="J21" i="30"/>
  <c r="M26" i="36"/>
  <c r="J31" i="30" l="1"/>
  <c r="H30" i="30"/>
  <c r="J30" i="30" s="1"/>
  <c r="H25" i="30"/>
  <c r="H24" i="30" s="1"/>
  <c r="J26" i="30"/>
  <c r="J20" i="30"/>
  <c r="H19" i="30"/>
  <c r="J25" i="30" l="1"/>
  <c r="J24" i="30"/>
  <c r="J19" i="30"/>
  <c r="H18" i="30"/>
  <c r="M26" i="35"/>
  <c r="M54" i="44"/>
  <c r="M69" i="44"/>
  <c r="H69" i="44" s="1"/>
  <c r="M23" i="35"/>
  <c r="H23" i="35" s="1"/>
  <c r="J23" i="35" s="1"/>
  <c r="J18" i="30" l="1"/>
  <c r="J69" i="44"/>
  <c r="H68" i="44"/>
  <c r="M17" i="34"/>
  <c r="M91" i="36"/>
  <c r="H23" i="45"/>
  <c r="M48" i="45"/>
  <c r="M46" i="45"/>
  <c r="M41" i="45"/>
  <c r="M39" i="45"/>
  <c r="M71" i="45"/>
  <c r="M69" i="45"/>
  <c r="M55" i="45"/>
  <c r="M53" i="45"/>
  <c r="M64" i="45"/>
  <c r="M62" i="45"/>
  <c r="M38" i="37"/>
  <c r="M70" i="36"/>
  <c r="H67" i="44" l="1"/>
  <c r="J68" i="44"/>
  <c r="M19" i="44"/>
  <c r="M27" i="44"/>
  <c r="H27" i="44" s="1"/>
  <c r="M23" i="44"/>
  <c r="H26" i="44" l="1"/>
  <c r="J27" i="44"/>
  <c r="M20" i="35"/>
  <c r="H64" i="45"/>
  <c r="J64" i="45" s="1"/>
  <c r="H62" i="45"/>
  <c r="J62" i="45" s="1"/>
  <c r="H41" i="45"/>
  <c r="J41" i="45" s="1"/>
  <c r="H39" i="45"/>
  <c r="H48" i="45"/>
  <c r="J48" i="45" s="1"/>
  <c r="H46" i="45"/>
  <c r="M17" i="45"/>
  <c r="M11" i="45"/>
  <c r="M44" i="40"/>
  <c r="H44" i="40" s="1"/>
  <c r="M23" i="39"/>
  <c r="H23" i="39" s="1"/>
  <c r="M23" i="38"/>
  <c r="H23" i="38" s="1"/>
  <c r="M30" i="35"/>
  <c r="H30" i="35" s="1"/>
  <c r="M58" i="30"/>
  <c r="H58" i="30" s="1"/>
  <c r="M47" i="34"/>
  <c r="H47" i="34" s="1"/>
  <c r="J23" i="38" l="1"/>
  <c r="H22" i="38"/>
  <c r="H22" i="39"/>
  <c r="J44" i="40"/>
  <c r="H43" i="40"/>
  <c r="H45" i="45"/>
  <c r="J47" i="34"/>
  <c r="H46" i="34"/>
  <c r="J39" i="45"/>
  <c r="H38" i="45"/>
  <c r="H37" i="45" s="1"/>
  <c r="H36" i="45" s="1"/>
  <c r="J36" i="45" s="1"/>
  <c r="H61" i="45"/>
  <c r="J46" i="45"/>
  <c r="J23" i="39"/>
  <c r="J30" i="35"/>
  <c r="H29" i="35"/>
  <c r="J58" i="30"/>
  <c r="H57" i="30"/>
  <c r="M32" i="37"/>
  <c r="H32" i="37" s="1"/>
  <c r="M40" i="34"/>
  <c r="H17" i="45"/>
  <c r="H16" i="45" s="1"/>
  <c r="M44" i="37"/>
  <c r="H44" i="37" s="1"/>
  <c r="M42" i="37"/>
  <c r="M36" i="37"/>
  <c r="H36" i="37" s="1"/>
  <c r="M29" i="37"/>
  <c r="H29" i="37"/>
  <c r="J29" i="37" s="1"/>
  <c r="M25" i="37"/>
  <c r="H25" i="37" s="1"/>
  <c r="J25" i="37" s="1"/>
  <c r="M19" i="37"/>
  <c r="H19" i="37"/>
  <c r="J19" i="37" s="1"/>
  <c r="H17" i="37"/>
  <c r="J17" i="37" s="1"/>
  <c r="J22" i="38" l="1"/>
  <c r="H9" i="37"/>
  <c r="J9" i="37" s="1"/>
  <c r="J29" i="35"/>
  <c r="J46" i="34"/>
  <c r="J57" i="30"/>
  <c r="J43" i="40"/>
  <c r="J22" i="39"/>
  <c r="J38" i="45"/>
  <c r="H35" i="37"/>
  <c r="J35" i="37" s="1"/>
  <c r="H42" i="37"/>
  <c r="J42" i="37" s="1"/>
  <c r="H41" i="37"/>
  <c r="J37" i="45"/>
  <c r="H60" i="45"/>
  <c r="J61" i="45"/>
  <c r="H44" i="45"/>
  <c r="J45" i="45"/>
  <c r="J11" i="37"/>
  <c r="J44" i="37"/>
  <c r="J32" i="37"/>
  <c r="H31" i="37"/>
  <c r="J17" i="45"/>
  <c r="J36" i="37"/>
  <c r="H24" i="37"/>
  <c r="M17" i="36"/>
  <c r="M122" i="36"/>
  <c r="M84" i="36"/>
  <c r="M88" i="36"/>
  <c r="M49" i="36"/>
  <c r="H49" i="36" s="1"/>
  <c r="H8" i="37" l="1"/>
  <c r="J10" i="37"/>
  <c r="H17" i="36"/>
  <c r="H111" i="36"/>
  <c r="J111" i="36" s="1"/>
  <c r="J49" i="36"/>
  <c r="H59" i="45"/>
  <c r="J60" i="45"/>
  <c r="H43" i="45"/>
  <c r="J43" i="45" s="1"/>
  <c r="J44" i="45"/>
  <c r="J41" i="37"/>
  <c r="J31" i="37"/>
  <c r="J24" i="37"/>
  <c r="H23" i="37"/>
  <c r="J8" i="37"/>
  <c r="H7" i="37"/>
  <c r="H48" i="36"/>
  <c r="H110" i="36" l="1"/>
  <c r="H109" i="36" s="1"/>
  <c r="J48" i="36"/>
  <c r="J59" i="45"/>
  <c r="H22" i="37"/>
  <c r="J23" i="37"/>
  <c r="J7" i="37"/>
  <c r="M44" i="36"/>
  <c r="H44" i="36" s="1"/>
  <c r="M42" i="36"/>
  <c r="J44" i="36" l="1"/>
  <c r="H21" i="37"/>
  <c r="J22" i="37"/>
  <c r="H39" i="36"/>
  <c r="J39" i="36" l="1"/>
  <c r="J21" i="37"/>
  <c r="H6" i="37"/>
  <c r="M34" i="40"/>
  <c r="H34" i="40" s="1"/>
  <c r="H13" i="39"/>
  <c r="M13" i="38"/>
  <c r="H13" i="38" s="1"/>
  <c r="M17" i="35"/>
  <c r="H17" i="35" s="1"/>
  <c r="M48" i="30"/>
  <c r="H48" i="30" s="1"/>
  <c r="J48" i="30" s="1"/>
  <c r="M37" i="34"/>
  <c r="H37" i="34" s="1"/>
  <c r="J17" i="35" l="1"/>
  <c r="J34" i="40"/>
  <c r="J13" i="39"/>
  <c r="J13" i="38"/>
  <c r="H5" i="37"/>
  <c r="G12" i="46" s="1"/>
  <c r="J6" i="37"/>
  <c r="J37" i="34"/>
  <c r="M24" i="45"/>
  <c r="H24" i="45" s="1"/>
  <c r="H71" i="45"/>
  <c r="J71" i="45" s="1"/>
  <c r="H69" i="45"/>
  <c r="H55" i="45"/>
  <c r="J55" i="45" s="1"/>
  <c r="H53" i="45"/>
  <c r="H45" i="44"/>
  <c r="H35" i="44"/>
  <c r="M34" i="45"/>
  <c r="H34" i="45" s="1"/>
  <c r="J34" i="45" s="1"/>
  <c r="M32" i="45"/>
  <c r="H32" i="45" s="1"/>
  <c r="G18" i="46"/>
  <c r="G17" i="46" s="1"/>
  <c r="H54" i="44" l="1"/>
  <c r="H59" i="44"/>
  <c r="H34" i="44"/>
  <c r="J45" i="44"/>
  <c r="J54" i="44"/>
  <c r="H63" i="44"/>
  <c r="H51" i="44"/>
  <c r="H31" i="45"/>
  <c r="H30" i="45" s="1"/>
  <c r="H29" i="45" s="1"/>
  <c r="J53" i="45"/>
  <c r="H52" i="45"/>
  <c r="J69" i="45"/>
  <c r="H68" i="45"/>
  <c r="H67" i="45" s="1"/>
  <c r="J67" i="45" s="1"/>
  <c r="J5" i="37"/>
  <c r="H4" i="37"/>
  <c r="J4" i="37" s="1"/>
  <c r="J24" i="45"/>
  <c r="J35" i="44"/>
  <c r="J32" i="45"/>
  <c r="H51" i="45"/>
  <c r="H50" i="45" s="1"/>
  <c r="H33" i="44" l="1"/>
  <c r="J33" i="44" s="1"/>
  <c r="H50" i="44"/>
  <c r="J51" i="44"/>
  <c r="H28" i="45"/>
  <c r="J31" i="45"/>
  <c r="J68" i="45"/>
  <c r="H66" i="45"/>
  <c r="J34" i="44"/>
  <c r="J30" i="45"/>
  <c r="J52" i="45"/>
  <c r="J50" i="45"/>
  <c r="J51" i="45"/>
  <c r="J29" i="45"/>
  <c r="H49" i="44" l="1"/>
  <c r="J50" i="44"/>
  <c r="H25" i="44"/>
  <c r="J25" i="44" s="1"/>
  <c r="J26" i="44"/>
  <c r="J66" i="45"/>
  <c r="H58" i="45"/>
  <c r="J58" i="45" s="1"/>
  <c r="J28" i="45"/>
  <c r="H27" i="45"/>
  <c r="G26" i="46" s="1"/>
  <c r="I26" i="46" s="1"/>
  <c r="H56" i="44" l="1"/>
  <c r="J57" i="44"/>
  <c r="J49" i="44"/>
  <c r="H32" i="44"/>
  <c r="H57" i="45"/>
  <c r="J57" i="45"/>
  <c r="J27" i="45"/>
  <c r="J56" i="44" l="1"/>
  <c r="H31" i="44"/>
  <c r="J32" i="44"/>
  <c r="H26" i="45"/>
  <c r="G27" i="46"/>
  <c r="J26" i="45"/>
  <c r="H30" i="44" l="1"/>
  <c r="J31" i="44"/>
  <c r="I27" i="46"/>
  <c r="G25" i="46"/>
  <c r="I25" i="46" s="1"/>
  <c r="J23" i="45"/>
  <c r="H22" i="45"/>
  <c r="M44" i="34"/>
  <c r="M53" i="34"/>
  <c r="H53" i="34" s="1"/>
  <c r="J53" i="34" s="1"/>
  <c r="M57" i="34"/>
  <c r="H57" i="34" s="1"/>
  <c r="J57" i="34" s="1"/>
  <c r="M67" i="34"/>
  <c r="H67" i="34" s="1"/>
  <c r="J67" i="34" s="1"/>
  <c r="M62" i="34"/>
  <c r="H62" i="34" s="1"/>
  <c r="J62" i="34" s="1"/>
  <c r="M60" i="34"/>
  <c r="H60" i="34" s="1"/>
  <c r="M55" i="34"/>
  <c r="M11" i="36"/>
  <c r="H11" i="36" s="1"/>
  <c r="G22" i="46" l="1"/>
  <c r="I22" i="46" s="1"/>
  <c r="J30" i="44"/>
  <c r="H21" i="45"/>
  <c r="J22" i="45"/>
  <c r="H55" i="34"/>
  <c r="J55" i="34" s="1"/>
  <c r="J109" i="36"/>
  <c r="J110" i="36"/>
  <c r="H59" i="34"/>
  <c r="J59" i="34" s="1"/>
  <c r="H66" i="34"/>
  <c r="J66" i="34" s="1"/>
  <c r="H52" i="34"/>
  <c r="J52" i="34" s="1"/>
  <c r="J11" i="36"/>
  <c r="H10" i="36"/>
  <c r="J60" i="34"/>
  <c r="H20" i="45" l="1"/>
  <c r="J21" i="45"/>
  <c r="H51" i="34"/>
  <c r="H50" i="34" s="1"/>
  <c r="J10" i="36"/>
  <c r="H9" i="36"/>
  <c r="J20" i="45" l="1"/>
  <c r="H19" i="45"/>
  <c r="H15" i="45"/>
  <c r="J16" i="45"/>
  <c r="J51" i="34"/>
  <c r="H8" i="36"/>
  <c r="J9" i="36"/>
  <c r="J50" i="34"/>
  <c r="H49" i="34"/>
  <c r="J19" i="45" l="1"/>
  <c r="G24" i="46"/>
  <c r="I24" i="46" s="1"/>
  <c r="J15" i="45"/>
  <c r="H14" i="45"/>
  <c r="J14" i="45" s="1"/>
  <c r="J8" i="36"/>
  <c r="J49" i="34"/>
  <c r="F22" i="41" l="1"/>
  <c r="H22" i="41" s="1"/>
  <c r="H11" i="45"/>
  <c r="H23" i="44"/>
  <c r="H19" i="44"/>
  <c r="M11" i="44"/>
  <c r="H11" i="44" s="1"/>
  <c r="M21" i="42"/>
  <c r="H21" i="42"/>
  <c r="J21" i="42" s="1"/>
  <c r="H20" i="42"/>
  <c r="J20" i="42" s="1"/>
  <c r="M11" i="42"/>
  <c r="H11" i="42" s="1"/>
  <c r="M41" i="40"/>
  <c r="H41" i="40" s="1"/>
  <c r="M37" i="40"/>
  <c r="H37" i="40" s="1"/>
  <c r="M32" i="40"/>
  <c r="H32" i="40" s="1"/>
  <c r="M20" i="39"/>
  <c r="H20" i="39" s="1"/>
  <c r="M16" i="39"/>
  <c r="H16" i="39" s="1"/>
  <c r="M11" i="39"/>
  <c r="M20" i="38"/>
  <c r="H20" i="38" s="1"/>
  <c r="M16" i="38"/>
  <c r="H16" i="38" s="1"/>
  <c r="M11" i="38"/>
  <c r="H11" i="38" s="1"/>
  <c r="M23" i="34"/>
  <c r="H23" i="34" s="1"/>
  <c r="M21" i="34"/>
  <c r="H21" i="34" s="1"/>
  <c r="H17" i="34"/>
  <c r="H23" i="41"/>
  <c r="H19" i="41"/>
  <c r="F18" i="41"/>
  <c r="H14" i="41"/>
  <c r="F13" i="41"/>
  <c r="H12" i="41"/>
  <c r="F11" i="41"/>
  <c r="H10" i="41"/>
  <c r="F9" i="41"/>
  <c r="H10" i="38" l="1"/>
  <c r="F8" i="41"/>
  <c r="F7" i="41" s="1"/>
  <c r="H11" i="39"/>
  <c r="J19" i="44"/>
  <c r="J11" i="44"/>
  <c r="J11" i="45"/>
  <c r="H10" i="45"/>
  <c r="H31" i="40"/>
  <c r="J16" i="39"/>
  <c r="J20" i="39"/>
  <c r="F17" i="41"/>
  <c r="H17" i="41" s="1"/>
  <c r="J23" i="34"/>
  <c r="J32" i="40"/>
  <c r="J41" i="40"/>
  <c r="H40" i="40"/>
  <c r="J37" i="40"/>
  <c r="H36" i="40"/>
  <c r="H15" i="39"/>
  <c r="J16" i="38"/>
  <c r="H15" i="38"/>
  <c r="I17" i="46"/>
  <c r="I18" i="46"/>
  <c r="F21" i="41"/>
  <c r="H13" i="41"/>
  <c r="J23" i="44"/>
  <c r="H10" i="44"/>
  <c r="H9" i="45"/>
  <c r="J9" i="45" s="1"/>
  <c r="J11" i="42"/>
  <c r="H10" i="42"/>
  <c r="H19" i="42"/>
  <c r="H19" i="39"/>
  <c r="J11" i="38"/>
  <c r="J20" i="38"/>
  <c r="H19" i="38"/>
  <c r="J17" i="34"/>
  <c r="H16" i="34"/>
  <c r="J21" i="34"/>
  <c r="H18" i="41"/>
  <c r="H9" i="41"/>
  <c r="H11" i="41"/>
  <c r="J15" i="38" l="1"/>
  <c r="H10" i="39"/>
  <c r="J11" i="39"/>
  <c r="H9" i="44"/>
  <c r="H8" i="44" s="1"/>
  <c r="J19" i="38"/>
  <c r="H9" i="39"/>
  <c r="J10" i="44"/>
  <c r="H9" i="38"/>
  <c r="H30" i="40"/>
  <c r="J36" i="40"/>
  <c r="J40" i="40"/>
  <c r="J15" i="39"/>
  <c r="J19" i="39"/>
  <c r="H8" i="41"/>
  <c r="J10" i="45"/>
  <c r="H8" i="45"/>
  <c r="H21" i="41"/>
  <c r="F20" i="41"/>
  <c r="H20" i="41" s="1"/>
  <c r="H7" i="41"/>
  <c r="F6" i="41"/>
  <c r="H6" i="41" s="1"/>
  <c r="J10" i="42"/>
  <c r="H9" i="42"/>
  <c r="J19" i="42"/>
  <c r="H18" i="42"/>
  <c r="J31" i="40"/>
  <c r="J10" i="38"/>
  <c r="H15" i="34"/>
  <c r="H14" i="34" s="1"/>
  <c r="J16" i="34"/>
  <c r="J9" i="44" l="1"/>
  <c r="J10" i="39"/>
  <c r="H7" i="44"/>
  <c r="J8" i="44"/>
  <c r="J8" i="45"/>
  <c r="H7" i="45"/>
  <c r="J7" i="45" s="1"/>
  <c r="F5" i="41"/>
  <c r="H5" i="41" s="1"/>
  <c r="J9" i="42"/>
  <c r="H8" i="42"/>
  <c r="J18" i="42"/>
  <c r="H17" i="42"/>
  <c r="J30" i="40"/>
  <c r="H29" i="40"/>
  <c r="H8" i="39"/>
  <c r="J9" i="39"/>
  <c r="J9" i="38"/>
  <c r="H8" i="38"/>
  <c r="J15" i="34"/>
  <c r="H6" i="44" l="1"/>
  <c r="J7" i="44"/>
  <c r="H6" i="45"/>
  <c r="J14" i="34"/>
  <c r="H7" i="42"/>
  <c r="J8" i="42"/>
  <c r="H16" i="42"/>
  <c r="J17" i="42"/>
  <c r="J29" i="40"/>
  <c r="J8" i="39"/>
  <c r="H7" i="39"/>
  <c r="H7" i="38"/>
  <c r="J8" i="38"/>
  <c r="G21" i="46" l="1"/>
  <c r="I21" i="46" s="1"/>
  <c r="H5" i="44"/>
  <c r="H4" i="44" s="1"/>
  <c r="J6" i="44"/>
  <c r="H6" i="39"/>
  <c r="H5" i="45"/>
  <c r="H4" i="45" s="1"/>
  <c r="G23" i="46"/>
  <c r="I23" i="46" s="1"/>
  <c r="J6" i="45"/>
  <c r="J7" i="38"/>
  <c r="H6" i="38"/>
  <c r="J28" i="40"/>
  <c r="H6" i="42"/>
  <c r="G16" i="46" s="1"/>
  <c r="I16" i="46" s="1"/>
  <c r="J7" i="42"/>
  <c r="J5" i="45"/>
  <c r="H15" i="42"/>
  <c r="J16" i="42"/>
  <c r="J7" i="39"/>
  <c r="J5" i="44" l="1"/>
  <c r="G20" i="46"/>
  <c r="G19" i="46" s="1"/>
  <c r="H5" i="42"/>
  <c r="J5" i="42" s="1"/>
  <c r="J6" i="42"/>
  <c r="J4" i="45"/>
  <c r="J4" i="44"/>
  <c r="J15" i="42"/>
  <c r="H4" i="42"/>
  <c r="J4" i="42" s="1"/>
  <c r="J6" i="40"/>
  <c r="H5" i="40"/>
  <c r="H5" i="39"/>
  <c r="H4" i="39" s="1"/>
  <c r="J6" i="39"/>
  <c r="J6" i="38"/>
  <c r="H5" i="38"/>
  <c r="I19" i="46" l="1"/>
  <c r="I20" i="46"/>
  <c r="J5" i="40"/>
  <c r="J4" i="40"/>
  <c r="G15" i="46"/>
  <c r="I15" i="46" s="1"/>
  <c r="G14" i="46"/>
  <c r="I14" i="46" s="1"/>
  <c r="J5" i="39"/>
  <c r="J4" i="39"/>
  <c r="G13" i="46"/>
  <c r="I13" i="46" s="1"/>
  <c r="H4" i="38"/>
  <c r="J4" i="38" s="1"/>
  <c r="J5" i="38"/>
  <c r="I12" i="46" l="1"/>
  <c r="J77" i="36" l="1"/>
  <c r="M37" i="36" l="1"/>
  <c r="M34" i="36"/>
  <c r="M102" i="36"/>
  <c r="H102" i="36" s="1"/>
  <c r="M107" i="36"/>
  <c r="H107" i="36" s="1"/>
  <c r="H104" i="36" s="1"/>
  <c r="J104" i="36" s="1"/>
  <c r="M96" i="36"/>
  <c r="H96" i="36" s="1"/>
  <c r="M99" i="36"/>
  <c r="H99" i="36" s="1"/>
  <c r="H84" i="36"/>
  <c r="H83" i="36" s="1"/>
  <c r="M74" i="36"/>
  <c r="H53" i="36"/>
  <c r="M28" i="36"/>
  <c r="H28" i="36" s="1"/>
  <c r="H44" i="34"/>
  <c r="H40" i="34"/>
  <c r="M35" i="34"/>
  <c r="H35" i="34" s="1"/>
  <c r="H34" i="34" s="1"/>
  <c r="M29" i="34"/>
  <c r="H29" i="34" s="1"/>
  <c r="M15" i="35"/>
  <c r="H15" i="35" s="1"/>
  <c r="H26" i="35"/>
  <c r="H20" i="35"/>
  <c r="H11" i="35"/>
  <c r="H10" i="35" s="1"/>
  <c r="M55" i="30"/>
  <c r="M46" i="30"/>
  <c r="H46" i="30" s="1"/>
  <c r="M44" i="30"/>
  <c r="H44" i="30" s="1"/>
  <c r="M16" i="30" l="1"/>
  <c r="H16" i="30" s="1"/>
  <c r="H43" i="30"/>
  <c r="H19" i="35"/>
  <c r="H16" i="36"/>
  <c r="H15" i="36" s="1"/>
  <c r="H70" i="36"/>
  <c r="H88" i="36"/>
  <c r="J15" i="35"/>
  <c r="J99" i="36"/>
  <c r="J44" i="30"/>
  <c r="H34" i="36"/>
  <c r="H101" i="36"/>
  <c r="H95" i="36"/>
  <c r="J107" i="36"/>
  <c r="J28" i="36"/>
  <c r="J46" i="30"/>
  <c r="J53" i="36"/>
  <c r="J17" i="36"/>
  <c r="J29" i="34"/>
  <c r="H28" i="34"/>
  <c r="J40" i="34"/>
  <c r="H39" i="34"/>
  <c r="J44" i="34"/>
  <c r="H43" i="34"/>
  <c r="J35" i="34"/>
  <c r="J20" i="35"/>
  <c r="J11" i="35"/>
  <c r="H25" i="35"/>
  <c r="H9" i="35" s="1"/>
  <c r="J26" i="35"/>
  <c r="J16" i="30" l="1"/>
  <c r="H10" i="30"/>
  <c r="H87" i="36"/>
  <c r="H33" i="34"/>
  <c r="H33" i="36"/>
  <c r="H52" i="36"/>
  <c r="J34" i="34"/>
  <c r="J70" i="36"/>
  <c r="J43" i="34"/>
  <c r="J28" i="34"/>
  <c r="J25" i="35"/>
  <c r="J19" i="35"/>
  <c r="J34" i="36"/>
  <c r="J101" i="36"/>
  <c r="J39" i="34"/>
  <c r="J43" i="30"/>
  <c r="J102" i="36"/>
  <c r="J16" i="36"/>
  <c r="H27" i="34"/>
  <c r="H26" i="34" s="1"/>
  <c r="J10" i="35"/>
  <c r="J26" i="34" l="1"/>
  <c r="H25" i="34"/>
  <c r="J10" i="30"/>
  <c r="H9" i="30"/>
  <c r="H8" i="30" s="1"/>
  <c r="H32" i="36"/>
  <c r="J32" i="36" s="1"/>
  <c r="J33" i="36"/>
  <c r="H51" i="36"/>
  <c r="J52" i="36"/>
  <c r="J27" i="34"/>
  <c r="J84" i="36"/>
  <c r="J15" i="36"/>
  <c r="H14" i="36"/>
  <c r="J33" i="34"/>
  <c r="H32" i="34"/>
  <c r="J9" i="35"/>
  <c r="H8" i="35"/>
  <c r="J9" i="30" l="1"/>
  <c r="J8" i="30"/>
  <c r="H31" i="36"/>
  <c r="J14" i="36"/>
  <c r="H7" i="36"/>
  <c r="J7" i="36" s="1"/>
  <c r="J87" i="36"/>
  <c r="J88" i="36"/>
  <c r="J95" i="36"/>
  <c r="J96" i="36"/>
  <c r="J83" i="36"/>
  <c r="H31" i="34"/>
  <c r="J32" i="34"/>
  <c r="J8" i="35"/>
  <c r="H7" i="35"/>
  <c r="H6" i="34" l="1"/>
  <c r="J7" i="35"/>
  <c r="H6" i="35"/>
  <c r="J31" i="34"/>
  <c r="J51" i="36"/>
  <c r="J31" i="36" l="1"/>
  <c r="H30" i="36"/>
  <c r="H6" i="36" s="1"/>
  <c r="J6" i="35"/>
  <c r="H5" i="35"/>
  <c r="H4" i="35" s="1"/>
  <c r="J4" i="35" s="1"/>
  <c r="J5" i="35" l="1"/>
  <c r="G11" i="46"/>
  <c r="J30" i="36"/>
  <c r="H5" i="36"/>
  <c r="H4" i="36" s="1"/>
  <c r="J4" i="36" s="1"/>
  <c r="J7" i="30"/>
  <c r="M51" i="30"/>
  <c r="H51" i="30" s="1"/>
  <c r="H55" i="30"/>
  <c r="J5" i="36" l="1"/>
  <c r="G8" i="46"/>
  <c r="I8" i="46" s="1"/>
  <c r="I11" i="46"/>
  <c r="H54" i="30"/>
  <c r="J51" i="30"/>
  <c r="H50" i="30"/>
  <c r="H42" i="30" s="1"/>
  <c r="J55" i="30"/>
  <c r="J54" i="30"/>
  <c r="H41" i="30" l="1"/>
  <c r="H40" i="30" s="1"/>
  <c r="H6" i="30" s="1"/>
  <c r="J6" i="36"/>
  <c r="J50" i="30"/>
  <c r="J6" i="30" l="1"/>
  <c r="H5" i="30"/>
  <c r="H4" i="30" s="1"/>
  <c r="J4" i="30" s="1"/>
  <c r="J42" i="30"/>
  <c r="J40" i="30"/>
  <c r="J41" i="30"/>
  <c r="G10" i="46" l="1"/>
  <c r="J5" i="30"/>
  <c r="I10" i="46" l="1"/>
  <c r="H5" i="34" l="1"/>
  <c r="H4" i="34" s="1"/>
  <c r="J4" i="34" s="1"/>
  <c r="J5" i="34" l="1"/>
  <c r="G9" i="46"/>
  <c r="J25" i="34"/>
  <c r="I9" i="46" l="1"/>
  <c r="G7" i="46"/>
  <c r="J7" i="34"/>
  <c r="J6" i="34"/>
  <c r="I7" i="46" l="1"/>
  <c r="G6" i="46"/>
  <c r="I6" i="46" l="1"/>
  <c r="G5" i="46"/>
  <c r="I5" i="46" s="1"/>
</calcChain>
</file>

<file path=xl/sharedStrings.xml><?xml version="1.0" encoding="utf-8"?>
<sst xmlns="http://schemas.openxmlformats.org/spreadsheetml/2006/main" count="1104" uniqueCount="585">
  <si>
    <t>=</t>
  </si>
  <si>
    <t>산     출     기     초</t>
  </si>
  <si>
    <t>사업예산</t>
    <phoneticPr fontId="12" type="noConversion"/>
  </si>
  <si>
    <t>예비비</t>
    <phoneticPr fontId="12" type="noConversion"/>
  </si>
  <si>
    <t xml:space="preserve"> </t>
    <phoneticPr fontId="12" type="noConversion"/>
  </si>
  <si>
    <t>과                                    목</t>
    <phoneticPr fontId="12" type="noConversion"/>
  </si>
  <si>
    <t>목</t>
    <phoneticPr fontId="12" type="noConversion"/>
  </si>
  <si>
    <t>02 공공운영비</t>
    <phoneticPr fontId="12" type="noConversion"/>
  </si>
  <si>
    <t>15 복리후생비</t>
    <phoneticPr fontId="12" type="noConversion"/>
  </si>
  <si>
    <t xml:space="preserve"> ○ 수영강사 공무직 전환으로 본부 일괄 편성</t>
  </si>
  <si>
    <t>'- 새벽출근(05:30)에 따른 야간근무</t>
  </si>
  <si>
    <t>○ 연 1회 법정점검 실시 / 1대</t>
  </si>
  <si>
    <t>구분</t>
    <phoneticPr fontId="12" type="noConversion"/>
  </si>
  <si>
    <t>정책사업</t>
    <phoneticPr fontId="12" type="noConversion"/>
  </si>
  <si>
    <t xml:space="preserve"> ○ 직원 병가 및 휴직 등 공백발생 시 채용(인건비 23년 기준)</t>
    <phoneticPr fontId="12" type="noConversion"/>
  </si>
  <si>
    <t>○ 한글 250천원, ms오피스 420천원</t>
    <phoneticPr fontId="12" type="noConversion"/>
  </si>
  <si>
    <t>○ 알약 임대비용</t>
    <phoneticPr fontId="12" type="noConversion"/>
  </si>
  <si>
    <t>구
분</t>
    <phoneticPr fontId="48" type="noConversion"/>
  </si>
  <si>
    <t>사업</t>
    <phoneticPr fontId="48" type="noConversion"/>
  </si>
  <si>
    <t>편성목</t>
    <phoneticPr fontId="48" type="noConversion"/>
  </si>
  <si>
    <t>정책</t>
    <phoneticPr fontId="48" type="noConversion"/>
  </si>
  <si>
    <t>단위</t>
    <phoneticPr fontId="48" type="noConversion"/>
  </si>
  <si>
    <t>세부</t>
    <phoneticPr fontId="48" type="noConversion"/>
  </si>
  <si>
    <t>그룹</t>
    <phoneticPr fontId="48" type="noConversion"/>
  </si>
  <si>
    <t>목</t>
    <phoneticPr fontId="48" type="noConversion"/>
  </si>
  <si>
    <t>세목</t>
    <phoneticPr fontId="48" type="noConversion"/>
  </si>
  <si>
    <t>총계(사업예산 + 자본예산)</t>
    <phoneticPr fontId="12" type="noConversion"/>
  </si>
  <si>
    <t>200 물건비</t>
    <phoneticPr fontId="12" type="noConversion"/>
  </si>
  <si>
    <t>단위 : 천원</t>
    <phoneticPr fontId="12" type="noConversion"/>
  </si>
  <si>
    <t>200 물건비</t>
    <phoneticPr fontId="12" type="noConversion"/>
  </si>
  <si>
    <t>기본경비</t>
    <phoneticPr fontId="48" type="noConversion"/>
  </si>
  <si>
    <t>201 일반운영비</t>
    <phoneticPr fontId="12" type="noConversion"/>
  </si>
  <si>
    <t>01 사무관리비</t>
    <phoneticPr fontId="12" type="noConversion"/>
  </si>
  <si>
    <t>=</t>
    <phoneticPr fontId="12" type="noConversion"/>
  </si>
  <si>
    <t>02 공공운영비</t>
    <phoneticPr fontId="12" type="noConversion"/>
  </si>
  <si>
    <t>=</t>
    <phoneticPr fontId="12" type="noConversion"/>
  </si>
  <si>
    <t>202 여비</t>
    <phoneticPr fontId="12" type="noConversion"/>
  </si>
  <si>
    <t>01 국내여비</t>
    <phoneticPr fontId="12" type="noConversion"/>
  </si>
  <si>
    <t>203 업무추진비</t>
    <phoneticPr fontId="12" type="noConversion"/>
  </si>
  <si>
    <t>07 사업업무추진비</t>
    <phoneticPr fontId="12" type="noConversion"/>
  </si>
  <si>
    <t>[우편료]</t>
    <phoneticPr fontId="12" type="noConversion"/>
  </si>
  <si>
    <t>[차량선박비]</t>
    <phoneticPr fontId="12" type="noConversion"/>
  </si>
  <si>
    <t>03 행사운영비</t>
    <phoneticPr fontId="12" type="noConversion"/>
  </si>
  <si>
    <t>202 여비</t>
    <phoneticPr fontId="12" type="noConversion"/>
  </si>
  <si>
    <t>[일반수용비]</t>
    <phoneticPr fontId="12" type="noConversion"/>
  </si>
  <si>
    <t>[우편료]</t>
    <phoneticPr fontId="12" type="noConversion"/>
  </si>
  <si>
    <t>[국내여비]</t>
    <phoneticPr fontId="12" type="noConversion"/>
  </si>
  <si>
    <t>[사업업무추진비]</t>
    <phoneticPr fontId="12" type="noConversion"/>
  </si>
  <si>
    <t>[국내여비]</t>
    <phoneticPr fontId="12" type="noConversion"/>
  </si>
  <si>
    <t>[국외업무여비]</t>
    <phoneticPr fontId="12" type="noConversion"/>
  </si>
  <si>
    <t>[일반수용비]</t>
    <phoneticPr fontId="12" type="noConversion"/>
  </si>
  <si>
    <t>202 여비</t>
    <phoneticPr fontId="12" type="noConversion"/>
  </si>
  <si>
    <t>홈페이지 유지관리</t>
    <phoneticPr fontId="48" type="noConversion"/>
  </si>
  <si>
    <t>214 수선유지교체비</t>
    <phoneticPr fontId="12" type="noConversion"/>
  </si>
  <si>
    <t>05 수선유지비</t>
    <phoneticPr fontId="12" type="noConversion"/>
  </si>
  <si>
    <t>[수선유지비]</t>
    <phoneticPr fontId="12" type="noConversion"/>
  </si>
  <si>
    <t>300 경상이전</t>
    <phoneticPr fontId="12" type="noConversion"/>
  </si>
  <si>
    <t>301 일반보상금</t>
    <phoneticPr fontId="12" type="noConversion"/>
  </si>
  <si>
    <t>201 일반운영비</t>
    <phoneticPr fontId="12" type="noConversion"/>
  </si>
  <si>
    <t>201 일반운영비</t>
    <phoneticPr fontId="12" type="noConversion"/>
  </si>
  <si>
    <t>[운영수당]</t>
    <phoneticPr fontId="12" type="noConversion"/>
  </si>
  <si>
    <t>03 행사운영비</t>
    <phoneticPr fontId="12" type="noConversion"/>
  </si>
  <si>
    <t>[행사운영비]</t>
    <phoneticPr fontId="12" type="noConversion"/>
  </si>
  <si>
    <t>[회의비]</t>
    <phoneticPr fontId="12" type="noConversion"/>
  </si>
  <si>
    <t>14 회의비</t>
    <phoneticPr fontId="12" type="noConversion"/>
  </si>
  <si>
    <t>사무국운영</t>
    <phoneticPr fontId="12" type="noConversion"/>
  </si>
  <si>
    <t>100 인건비</t>
    <phoneticPr fontId="12" type="noConversion"/>
  </si>
  <si>
    <t>101 인건비</t>
    <phoneticPr fontId="12" type="noConversion"/>
  </si>
  <si>
    <t>01 보수</t>
    <phoneticPr fontId="12" type="noConversion"/>
  </si>
  <si>
    <t>[직원파견수당]</t>
    <phoneticPr fontId="12" type="noConversion"/>
  </si>
  <si>
    <t>[주거지원비]</t>
    <phoneticPr fontId="12" type="noConversion"/>
  </si>
  <si>
    <t>200 물건비</t>
    <phoneticPr fontId="12" type="noConversion"/>
  </si>
  <si>
    <t>[일반수용비]</t>
    <phoneticPr fontId="12" type="noConversion"/>
  </si>
  <si>
    <t>[임차료]</t>
    <phoneticPr fontId="12" type="noConversion"/>
  </si>
  <si>
    <t>02 공공운영비</t>
    <phoneticPr fontId="12" type="noConversion"/>
  </si>
  <si>
    <t>[공공요금 및 제세]</t>
    <phoneticPr fontId="12" type="noConversion"/>
  </si>
  <si>
    <t xml:space="preserve"> ○ 차량 주유비 : 300,000원*1대*12월</t>
    <phoneticPr fontId="12" type="noConversion"/>
  </si>
  <si>
    <t>[국내여비]</t>
    <phoneticPr fontId="12" type="noConversion"/>
  </si>
  <si>
    <t>[국외업무여비]</t>
    <phoneticPr fontId="12" type="noConversion"/>
  </si>
  <si>
    <t>03 국외업무여비</t>
    <phoneticPr fontId="12" type="noConversion"/>
  </si>
  <si>
    <t>203 업무추진비</t>
    <phoneticPr fontId="12" type="noConversion"/>
  </si>
  <si>
    <t>07 사업업무추진비</t>
    <phoneticPr fontId="12" type="noConversion"/>
  </si>
  <si>
    <t>[기관운영업무추진비]</t>
    <phoneticPr fontId="12" type="noConversion"/>
  </si>
  <si>
    <t>[시책추진업무추진비]</t>
    <phoneticPr fontId="12" type="noConversion"/>
  </si>
  <si>
    <t>204 직무수행경비</t>
    <phoneticPr fontId="12" type="noConversion"/>
  </si>
  <si>
    <t>01 직급보조비</t>
    <phoneticPr fontId="12" type="noConversion"/>
  </si>
  <si>
    <t>[직책급업무수행경비]</t>
    <phoneticPr fontId="12" type="noConversion"/>
  </si>
  <si>
    <t>[특정업무경비]</t>
    <phoneticPr fontId="12" type="noConversion"/>
  </si>
  <si>
    <t>214 수선유지교체비</t>
    <phoneticPr fontId="12" type="noConversion"/>
  </si>
  <si>
    <t>217 관서업무비</t>
    <phoneticPr fontId="12" type="noConversion"/>
  </si>
  <si>
    <t>01 정원가산업무비</t>
    <phoneticPr fontId="12" type="noConversion"/>
  </si>
  <si>
    <t>[수선유지비]</t>
    <phoneticPr fontId="12" type="noConversion"/>
  </si>
  <si>
    <t>[정원가산업무비]</t>
    <phoneticPr fontId="12" type="noConversion"/>
  </si>
  <si>
    <t>02 부서업무비</t>
    <phoneticPr fontId="12" type="noConversion"/>
  </si>
  <si>
    <t>[부서업무비]</t>
    <phoneticPr fontId="12" type="noConversion"/>
  </si>
  <si>
    <t>예산공통 행정운영</t>
    <phoneticPr fontId="12" type="noConversion"/>
  </si>
  <si>
    <t>기관공통 운영경비</t>
    <phoneticPr fontId="48" type="noConversion"/>
  </si>
  <si>
    <t>[공공운영비]</t>
    <phoneticPr fontId="12" type="noConversion"/>
  </si>
  <si>
    <t xml:space="preserve"> ○ 기관공통운영 공공운영비 : 5,000,000원*1식</t>
    <phoneticPr fontId="12" type="noConversion"/>
  </si>
  <si>
    <t xml:space="preserve"> ○ 기관공통운영 사무관리비 : 5,000,000원*1식</t>
    <phoneticPr fontId="12" type="noConversion"/>
  </si>
  <si>
    <t xml:space="preserve"> ○ 기관공통운영 국외업무여비 : 20,000,000원*1식</t>
    <phoneticPr fontId="12" type="noConversion"/>
  </si>
  <si>
    <t>[사무관리비]</t>
    <phoneticPr fontId="12" type="noConversion"/>
  </si>
  <si>
    <t xml:space="preserve"> ○ 기관공통운영 시책추진업무추진비 : 5,000,000원*1식</t>
    <phoneticPr fontId="12" type="noConversion"/>
  </si>
  <si>
    <t>[사업업무추진비]</t>
    <phoneticPr fontId="12" type="noConversion"/>
  </si>
  <si>
    <t xml:space="preserve"> ○ 기관공통운영 급식비 : 5,000,000원*1식</t>
    <phoneticPr fontId="12" type="noConversion"/>
  </si>
  <si>
    <t>2026여수세계섬박람회 기획</t>
    <phoneticPr fontId="12" type="noConversion"/>
  </si>
  <si>
    <t>2026여수세계섬박람회 홍보</t>
    <phoneticPr fontId="12" type="noConversion"/>
  </si>
  <si>
    <t>02 특정업무경비</t>
    <phoneticPr fontId="12" type="noConversion"/>
  </si>
  <si>
    <t>[급량비]</t>
    <phoneticPr fontId="12" type="noConversion"/>
  </si>
  <si>
    <t>15 복리후생비</t>
    <phoneticPr fontId="12" type="noConversion"/>
  </si>
  <si>
    <t xml:space="preserve"> ○ 기관공통운영 국내여비 : 5,000,000원*1식</t>
    <phoneticPr fontId="12" type="noConversion"/>
  </si>
  <si>
    <t>총계(사업예산 + 자본예산)</t>
    <phoneticPr fontId="12" type="noConversion"/>
  </si>
  <si>
    <t>지출예산(세부사업) - 유치협력부</t>
    <phoneticPr fontId="12" type="noConversion"/>
  </si>
  <si>
    <t>[사업업무추진비]</t>
    <phoneticPr fontId="12" type="noConversion"/>
  </si>
  <si>
    <t>수입예산 총괄표(출연금+위탁사업비)</t>
    <phoneticPr fontId="12" type="noConversion"/>
  </si>
  <si>
    <t>(단위 : 천 원)</t>
    <phoneticPr fontId="12" type="noConversion"/>
  </si>
  <si>
    <t>비교증감</t>
    <phoneticPr fontId="12" type="noConversion"/>
  </si>
  <si>
    <t>관</t>
    <phoneticPr fontId="12" type="noConversion"/>
  </si>
  <si>
    <t>항</t>
    <phoneticPr fontId="12" type="noConversion"/>
  </si>
  <si>
    <t>세항</t>
    <phoneticPr fontId="12" type="noConversion"/>
  </si>
  <si>
    <t>총계(사업예산+자본예산)</t>
    <phoneticPr fontId="12" type="noConversion"/>
  </si>
  <si>
    <t>자체수입금</t>
    <phoneticPr fontId="12" type="noConversion"/>
  </si>
  <si>
    <t>600 사업수익</t>
    <phoneticPr fontId="12" type="noConversion"/>
  </si>
  <si>
    <t>610 영업수익</t>
    <phoneticPr fontId="12" type="noConversion"/>
  </si>
  <si>
    <t>623 대행사업수익</t>
    <phoneticPr fontId="12" type="noConversion"/>
  </si>
  <si>
    <t>01 직접관리비수익</t>
    <phoneticPr fontId="12" type="noConversion"/>
  </si>
  <si>
    <t>01 기부금수익</t>
    <phoneticPr fontId="12" type="noConversion"/>
  </si>
  <si>
    <t>648 출연금 수익</t>
    <phoneticPr fontId="12" type="noConversion"/>
  </si>
  <si>
    <t>02 자치단체출연금수익</t>
    <phoneticPr fontId="12" type="noConversion"/>
  </si>
  <si>
    <t>670 영업외수익</t>
    <phoneticPr fontId="12" type="noConversion"/>
  </si>
  <si>
    <t>671 이자수익</t>
    <phoneticPr fontId="12" type="noConversion"/>
  </si>
  <si>
    <t>01 예금이자수익</t>
    <phoneticPr fontId="12" type="noConversion"/>
  </si>
  <si>
    <t>100 자본적수입</t>
    <phoneticPr fontId="12" type="noConversion"/>
  </si>
  <si>
    <t>170 자본잉여금수입</t>
    <phoneticPr fontId="12" type="noConversion"/>
  </si>
  <si>
    <t>177 출연금 수입</t>
    <phoneticPr fontId="12" type="noConversion"/>
  </si>
  <si>
    <t>01 정부출연금</t>
    <phoneticPr fontId="12" type="noConversion"/>
  </si>
  <si>
    <t>지출예산(세부사업) - 수익사업부</t>
    <phoneticPr fontId="12" type="noConversion"/>
  </si>
  <si>
    <t>지출예산(세부사업) - 기획홍보부</t>
    <phoneticPr fontId="12" type="noConversion"/>
  </si>
  <si>
    <t>지출예산(세부사업) - 행정관리부</t>
    <phoneticPr fontId="12" type="noConversion"/>
  </si>
  <si>
    <t>지출예산(세부사업) - 행사부</t>
    <phoneticPr fontId="12" type="noConversion"/>
  </si>
  <si>
    <t>지출예산(세부사업) - 시설조성부</t>
    <phoneticPr fontId="12" type="noConversion"/>
  </si>
  <si>
    <t>지출예산(세부사업) - 예비비</t>
    <phoneticPr fontId="12" type="noConversion"/>
  </si>
  <si>
    <t>단위 : 천원</t>
    <phoneticPr fontId="12" type="noConversion"/>
  </si>
  <si>
    <t>구
분</t>
    <phoneticPr fontId="48" type="noConversion"/>
  </si>
  <si>
    <t>편성목</t>
    <phoneticPr fontId="48" type="noConversion"/>
  </si>
  <si>
    <t>정책</t>
    <phoneticPr fontId="48" type="noConversion"/>
  </si>
  <si>
    <t>세부</t>
    <phoneticPr fontId="48" type="noConversion"/>
  </si>
  <si>
    <t>그룹</t>
    <phoneticPr fontId="48" type="noConversion"/>
  </si>
  <si>
    <t>세목</t>
    <phoneticPr fontId="48" type="noConversion"/>
  </si>
  <si>
    <t>총계(사업예산 + 자본예산)</t>
    <phoneticPr fontId="12" type="noConversion"/>
  </si>
  <si>
    <t>예비비</t>
    <phoneticPr fontId="12" type="noConversion"/>
  </si>
  <si>
    <t>예비비</t>
    <phoneticPr fontId="12" type="noConversion"/>
  </si>
  <si>
    <t>예비비</t>
    <phoneticPr fontId="48" type="noConversion"/>
  </si>
  <si>
    <t>800 예비비</t>
    <phoneticPr fontId="12" type="noConversion"/>
  </si>
  <si>
    <t>801 예비비</t>
    <phoneticPr fontId="12" type="noConversion"/>
  </si>
  <si>
    <t>01 일반예비비</t>
    <phoneticPr fontId="12" type="noConversion"/>
  </si>
  <si>
    <t>[일반예비비]</t>
    <phoneticPr fontId="12" type="noConversion"/>
  </si>
  <si>
    <t>자본예산</t>
    <phoneticPr fontId="12" type="noConversion"/>
  </si>
  <si>
    <t>자본예산</t>
    <phoneticPr fontId="12" type="noConversion"/>
  </si>
  <si>
    <t>예비비(자본)</t>
    <phoneticPr fontId="12" type="noConversion"/>
  </si>
  <si>
    <t>예비비(자본)</t>
    <phoneticPr fontId="12" type="noConversion"/>
  </si>
  <si>
    <t>예비비(자본)</t>
    <phoneticPr fontId="48" type="noConversion"/>
  </si>
  <si>
    <t>800 예비비</t>
    <phoneticPr fontId="12" type="noConversion"/>
  </si>
  <si>
    <t>01 일반예비비</t>
    <phoneticPr fontId="12" type="noConversion"/>
  </si>
  <si>
    <t>[일반예비비]</t>
    <phoneticPr fontId="12" type="noConversion"/>
  </si>
  <si>
    <t>=</t>
    <phoneticPr fontId="12" type="noConversion"/>
  </si>
  <si>
    <t>단위 : 천 원</t>
    <phoneticPr fontId="12" type="noConversion"/>
  </si>
  <si>
    <t>구
분</t>
    <phoneticPr fontId="48" type="noConversion"/>
  </si>
  <si>
    <t>사업</t>
    <phoneticPr fontId="48" type="noConversion"/>
  </si>
  <si>
    <t>편성목</t>
    <phoneticPr fontId="48" type="noConversion"/>
  </si>
  <si>
    <t>정책</t>
    <phoneticPr fontId="48" type="noConversion"/>
  </si>
  <si>
    <t>단위</t>
    <phoneticPr fontId="48" type="noConversion"/>
  </si>
  <si>
    <t>세부</t>
    <phoneticPr fontId="48" type="noConversion"/>
  </si>
  <si>
    <t>그룹</t>
    <phoneticPr fontId="48" type="noConversion"/>
  </si>
  <si>
    <t>목</t>
    <phoneticPr fontId="48" type="noConversion"/>
  </si>
  <si>
    <t>세목</t>
    <phoneticPr fontId="48" type="noConversion"/>
  </si>
  <si>
    <t>총계(사업예산 + 자본예산)</t>
    <phoneticPr fontId="12" type="noConversion"/>
  </si>
  <si>
    <t>사업예산</t>
    <phoneticPr fontId="12" type="noConversion"/>
  </si>
  <si>
    <t>2026여수세계섬박람회 홍보</t>
    <phoneticPr fontId="12" type="noConversion"/>
  </si>
  <si>
    <t>박람회 홍보</t>
    <phoneticPr fontId="48" type="noConversion"/>
  </si>
  <si>
    <t>200 물건비</t>
    <phoneticPr fontId="12" type="noConversion"/>
  </si>
  <si>
    <t>201 일반운영비</t>
    <phoneticPr fontId="12" type="noConversion"/>
  </si>
  <si>
    <t>01 사무관리비</t>
    <phoneticPr fontId="12" type="noConversion"/>
  </si>
  <si>
    <t>[사무관리비]</t>
    <phoneticPr fontId="12" type="noConversion"/>
  </si>
  <si>
    <t>=</t>
    <phoneticPr fontId="12" type="noConversion"/>
  </si>
  <si>
    <t>03 행사운영비</t>
    <phoneticPr fontId="12" type="noConversion"/>
  </si>
  <si>
    <t>[행사운영비]</t>
    <phoneticPr fontId="12" type="noConversion"/>
  </si>
  <si>
    <t>[광고료]</t>
    <phoneticPr fontId="12" type="noConversion"/>
  </si>
  <si>
    <t>단위 : 천 원</t>
    <phoneticPr fontId="12" type="noConversion"/>
  </si>
  <si>
    <t>구
분</t>
    <phoneticPr fontId="48" type="noConversion"/>
  </si>
  <si>
    <t>사업</t>
    <phoneticPr fontId="48" type="noConversion"/>
  </si>
  <si>
    <t>편성목</t>
    <phoneticPr fontId="48" type="noConversion"/>
  </si>
  <si>
    <t>정책</t>
    <phoneticPr fontId="48" type="noConversion"/>
  </si>
  <si>
    <t>단위</t>
    <phoneticPr fontId="48" type="noConversion"/>
  </si>
  <si>
    <t>세부</t>
    <phoneticPr fontId="48" type="noConversion"/>
  </si>
  <si>
    <t>그룹</t>
    <phoneticPr fontId="48" type="noConversion"/>
  </si>
  <si>
    <t>목</t>
    <phoneticPr fontId="48" type="noConversion"/>
  </si>
  <si>
    <t>세목</t>
    <phoneticPr fontId="48" type="noConversion"/>
  </si>
  <si>
    <t>총계(사업예산 + 자본예산)</t>
    <phoneticPr fontId="12" type="noConversion"/>
  </si>
  <si>
    <t>사업예산</t>
    <phoneticPr fontId="12" type="noConversion"/>
  </si>
  <si>
    <t>200 물건비</t>
    <phoneticPr fontId="12" type="noConversion"/>
  </si>
  <si>
    <t>201 일반운영비</t>
    <phoneticPr fontId="12" type="noConversion"/>
  </si>
  <si>
    <t>=</t>
    <phoneticPr fontId="12" type="noConversion"/>
  </si>
  <si>
    <t>행사부 부서운영</t>
    <phoneticPr fontId="12" type="noConversion"/>
  </si>
  <si>
    <t>시설조성부 부서운영</t>
    <phoneticPr fontId="12" type="noConversion"/>
  </si>
  <si>
    <t>전시연출부 부서운영</t>
    <phoneticPr fontId="12" type="noConversion"/>
  </si>
  <si>
    <t>지출예산 - 기획본부(위탁)</t>
    <phoneticPr fontId="12" type="noConversion"/>
  </si>
  <si>
    <t>지출예산 - 운영본부(위탁)</t>
    <phoneticPr fontId="12" type="noConversion"/>
  </si>
  <si>
    <t>지출예산 총괄표(출연금+위탁사업비)</t>
    <phoneticPr fontId="12" type="noConversion"/>
  </si>
  <si>
    <t>비교증감</t>
    <phoneticPr fontId="12" type="noConversion"/>
  </si>
  <si>
    <t>구분</t>
    <phoneticPr fontId="12" type="noConversion"/>
  </si>
  <si>
    <t>총계(출연금+위탁사업비)</t>
    <phoneticPr fontId="12" type="noConversion"/>
  </si>
  <si>
    <t>2026여수세계섬박람회 유치협력</t>
    <phoneticPr fontId="12" type="noConversion"/>
  </si>
  <si>
    <t>2026여수세계섬박람회 수익사업</t>
    <phoneticPr fontId="12" type="noConversion"/>
  </si>
  <si>
    <t>수익사업부 부서운영</t>
    <phoneticPr fontId="12" type="noConversion"/>
  </si>
  <si>
    <t>2026여수세계섬박람회 행정관리</t>
    <phoneticPr fontId="12" type="noConversion"/>
  </si>
  <si>
    <t>2026여수세계섬박람회 기획홍보</t>
    <phoneticPr fontId="12" type="noConversion"/>
  </si>
  <si>
    <t>2026여수세계섬박람회 수익사업</t>
    <phoneticPr fontId="12" type="noConversion"/>
  </si>
  <si>
    <t>2026여수세계섬박람회 유치협력</t>
    <phoneticPr fontId="12" type="noConversion"/>
  </si>
  <si>
    <t>2026여수세계섬박람회 운영</t>
    <phoneticPr fontId="12" type="noConversion"/>
  </si>
  <si>
    <t>2026여수세계섬박람회 행사</t>
    <phoneticPr fontId="12" type="noConversion"/>
  </si>
  <si>
    <t>2026여수세계섬박람회 시설조성</t>
    <phoneticPr fontId="12" type="noConversion"/>
  </si>
  <si>
    <t>2026여수세계섬박람회 전시연출</t>
    <phoneticPr fontId="12" type="noConversion"/>
  </si>
  <si>
    <t>직원역랑강화 워크숍</t>
    <phoneticPr fontId="48" type="noConversion"/>
  </si>
  <si>
    <t>213 교육훈련비</t>
    <phoneticPr fontId="12" type="noConversion"/>
  </si>
  <si>
    <t>[교육훈련경비]</t>
    <phoneticPr fontId="12" type="noConversion"/>
  </si>
  <si>
    <t>2026여수세계섬박람회 행정관리</t>
    <phoneticPr fontId="12" type="noConversion"/>
  </si>
  <si>
    <t>2026여수세계섬박람회 기획홍보</t>
    <phoneticPr fontId="12" type="noConversion"/>
  </si>
  <si>
    <t>2026여수세계섬박람회 기획홍보(위탁)</t>
    <phoneticPr fontId="12" type="noConversion"/>
  </si>
  <si>
    <t>2026여수세계섬박람회 유치협력(위탁)</t>
    <phoneticPr fontId="12" type="noConversion"/>
  </si>
  <si>
    <t>2026여수세계섬박람회 유치</t>
    <phoneticPr fontId="12" type="noConversion"/>
  </si>
  <si>
    <t>2026여수세계섬박람회 행사(위탁)</t>
    <phoneticPr fontId="12" type="noConversion"/>
  </si>
  <si>
    <t>2026여수세계섬박람회 행사</t>
    <phoneticPr fontId="12" type="noConversion"/>
  </si>
  <si>
    <t>2026여수세계섬박람회 시설조성(위탁)</t>
    <phoneticPr fontId="12" type="noConversion"/>
  </si>
  <si>
    <t>2026여수세계섬박람회 시설조성</t>
    <phoneticPr fontId="12" type="noConversion"/>
  </si>
  <si>
    <t>2026여수세계섬박람회 전시연출(위탁)</t>
    <phoneticPr fontId="12" type="noConversion"/>
  </si>
  <si>
    <t>2026여수세계섬박람회 전시연출</t>
    <phoneticPr fontId="12" type="noConversion"/>
  </si>
  <si>
    <t>자본예산</t>
    <phoneticPr fontId="12" type="noConversion"/>
  </si>
  <si>
    <t>2026여수세계섬박람회 전시연출</t>
    <phoneticPr fontId="12" type="noConversion"/>
  </si>
  <si>
    <t>2026여수세계섬박람회 시설조성</t>
    <phoneticPr fontId="12" type="noConversion"/>
  </si>
  <si>
    <t>2026여수세계섬박람회 행사</t>
    <phoneticPr fontId="12" type="noConversion"/>
  </si>
  <si>
    <t>유치협력부 부서운영</t>
    <phoneticPr fontId="12" type="noConversion"/>
  </si>
  <si>
    <t>기획홍보부 부서운영</t>
    <phoneticPr fontId="12" type="noConversion"/>
  </si>
  <si>
    <t>2026여수세계섬박람회 전시연출</t>
    <phoneticPr fontId="12" type="noConversion"/>
  </si>
  <si>
    <t>박람회 연출</t>
    <phoneticPr fontId="48" type="noConversion"/>
  </si>
  <si>
    <t>출연금(사업예산+자본예산)</t>
    <phoneticPr fontId="12" type="noConversion"/>
  </si>
  <si>
    <t>위탁사업비(사업예산+자본예산)</t>
    <phoneticPr fontId="12" type="noConversion"/>
  </si>
  <si>
    <t>15 복리후생비</t>
    <phoneticPr fontId="12" type="noConversion"/>
  </si>
  <si>
    <t>[급량비]</t>
    <phoneticPr fontId="12" type="noConversion"/>
  </si>
  <si>
    <t>15 복리후생비</t>
    <phoneticPr fontId="12" type="noConversion"/>
  </si>
  <si>
    <t>[급량비]</t>
    <phoneticPr fontId="12" type="noConversion"/>
  </si>
  <si>
    <t xml:space="preserve"> ○ 직원역량강화 교육 강사수당 : 370,000원*2명*4회</t>
    <phoneticPr fontId="12" type="noConversion"/>
  </si>
  <si>
    <t>자문위원회 운영</t>
    <phoneticPr fontId="48" type="noConversion"/>
  </si>
  <si>
    <t xml:space="preserve"> ○ 이사회 책자 제작 및 소모품 구입 : 20,000원*13명*6회</t>
    <phoneticPr fontId="12" type="noConversion"/>
  </si>
  <si>
    <t xml:space="preserve"> ○ 이사회 참석수당 : 150,000원*13명*6회</t>
    <phoneticPr fontId="12" type="noConversion"/>
  </si>
  <si>
    <t xml:space="preserve"> ○ 이사회 참석자 실비보상 : 110,000원*13명*6회</t>
    <phoneticPr fontId="12" type="noConversion"/>
  </si>
  <si>
    <t xml:space="preserve"> ○ 이사회 등 회의 운영비 : 400,000원*6회</t>
    <phoneticPr fontId="12" type="noConversion"/>
  </si>
  <si>
    <t xml:space="preserve"> ○ 4급이상 : 600,000원*2명*12월</t>
    <phoneticPr fontId="12" type="noConversion"/>
  </si>
  <si>
    <t>02 기타직 보수</t>
    <phoneticPr fontId="12" type="noConversion"/>
  </si>
  <si>
    <t>[총감독 급여]</t>
    <phoneticPr fontId="12" type="noConversion"/>
  </si>
  <si>
    <t xml:space="preserve"> ○ 월급여 : 7,000,000원*12월</t>
    <phoneticPr fontId="12" type="noConversion"/>
  </si>
  <si>
    <t>04 기간제근로자등보수</t>
    <phoneticPr fontId="12" type="noConversion"/>
  </si>
  <si>
    <t>[본부장실 관리요원]</t>
    <phoneticPr fontId="12" type="noConversion"/>
  </si>
  <si>
    <t>=</t>
    <phoneticPr fontId="12" type="noConversion"/>
  </si>
  <si>
    <t>107 퇴직급여</t>
    <phoneticPr fontId="12" type="noConversion"/>
  </si>
  <si>
    <t>퇴직급여충당금</t>
    <phoneticPr fontId="12" type="noConversion"/>
  </si>
  <si>
    <t>[퇴직급여충당금]</t>
    <phoneticPr fontId="12" type="noConversion"/>
  </si>
  <si>
    <t xml:space="preserve"> ○ 총감독 : 10,500,000원*1회</t>
    <phoneticPr fontId="12" type="noConversion"/>
  </si>
  <si>
    <t xml:space="preserve"> ○ 인부임 : 95,440원*1명*22일*12월</t>
    <phoneticPr fontId="12" type="noConversion"/>
  </si>
  <si>
    <t xml:space="preserve"> ○ 주휴수당 : 95,440원*1명*4일*12월</t>
    <phoneticPr fontId="12" type="noConversion"/>
  </si>
  <si>
    <t xml:space="preserve"> ○ 연차수당 : 95,440원*1명*11월</t>
    <phoneticPr fontId="12" type="noConversion"/>
  </si>
  <si>
    <t xml:space="preserve"> ○ 각종 보고서, 규정집 등 인쇄 : 3,000,000원*1식 </t>
    <phoneticPr fontId="12" type="noConversion"/>
  </si>
  <si>
    <t xml:space="preserve"> ○ 복사용지 등 사무용품 구입 : 5,000,000원*1식 </t>
    <phoneticPr fontId="12" type="noConversion"/>
  </si>
  <si>
    <t xml:space="preserve"> ○ 복사기 및 프린터토너 구입 : 3,000,000원*1식</t>
    <phoneticPr fontId="12" type="noConversion"/>
  </si>
  <si>
    <t xml:space="preserve"> ○ 사무실 환경정비용품 구입 : 5,000,000원*1식</t>
    <phoneticPr fontId="12" type="noConversion"/>
  </si>
  <si>
    <t xml:space="preserve"> ○ 방문차량 주차요금 : 3,000,000원*1식 </t>
    <phoneticPr fontId="12" type="noConversion"/>
  </si>
  <si>
    <t xml:space="preserve"> ○ 정수기 렌탈 요금 : 40,000원*5대*12월 </t>
    <phoneticPr fontId="12" type="noConversion"/>
  </si>
  <si>
    <t xml:space="preserve"> ○ 공기청정기 렌탈요금 : 350,000원*12월</t>
    <phoneticPr fontId="12" type="noConversion"/>
  </si>
  <si>
    <t xml:space="preserve"> ○ 무인경비시스템 이용료 : 330,000원*12월</t>
    <phoneticPr fontId="12" type="noConversion"/>
  </si>
  <si>
    <t xml:space="preserve"> ○ 웹하드사용료(사진 영상보관) : 100,000원*12월</t>
    <phoneticPr fontId="12" type="noConversion"/>
  </si>
  <si>
    <t xml:space="preserve"> ○ 업무용 차량 임차비 : 1,000,000원*1대*12월</t>
    <phoneticPr fontId="12" type="noConversion"/>
  </si>
  <si>
    <t xml:space="preserve"> ○ 전기요금 등 공공요금 납부 : 1,000,000원*12월</t>
    <phoneticPr fontId="12" type="noConversion"/>
  </si>
  <si>
    <t xml:space="preserve"> ○ 차량 유지관리비 : 100,000원*1대*12월 </t>
    <phoneticPr fontId="12" type="noConversion"/>
  </si>
  <si>
    <t xml:space="preserve"> ○ 기본업무수행 급량비 : 9,000원*10명*8일*12월</t>
    <phoneticPr fontId="12" type="noConversion"/>
  </si>
  <si>
    <t xml:space="preserve"> ○ 4급보조기관장(기획본부장) : 6,600,000원*1식 </t>
    <phoneticPr fontId="12" type="noConversion"/>
  </si>
  <si>
    <t>=</t>
    <phoneticPr fontId="12" type="noConversion"/>
  </si>
  <si>
    <t>=</t>
    <phoneticPr fontId="12" type="noConversion"/>
  </si>
  <si>
    <t xml:space="preserve"> ○ 본부장(4급) : 350,000원*2명*12월</t>
    <phoneticPr fontId="12" type="noConversion"/>
  </si>
  <si>
    <t xml:space="preserve"> ○ 예산결산계약 실무담당직원 : 80,000원*7명*12월</t>
    <phoneticPr fontId="12" type="noConversion"/>
  </si>
  <si>
    <t>300 경상이전</t>
    <phoneticPr fontId="12" type="noConversion"/>
  </si>
  <si>
    <t>304 연금부담금 등</t>
    <phoneticPr fontId="12" type="noConversion"/>
  </si>
  <si>
    <t>01 연금부담금</t>
    <phoneticPr fontId="12" type="noConversion"/>
  </si>
  <si>
    <t>[사무총장 사회보험 사용자 부담금]</t>
    <phoneticPr fontId="12" type="noConversion"/>
  </si>
  <si>
    <t>[총감독 사회보험 사용자 부담금]</t>
    <phoneticPr fontId="12" type="noConversion"/>
  </si>
  <si>
    <t>[본부장실 관리요원 사회보험 사용자 부담금]</t>
    <phoneticPr fontId="12" type="noConversion"/>
  </si>
  <si>
    <t xml:space="preserve"> ○ 건강보험 : 7,000,000원*3.6%*12월 </t>
    <phoneticPr fontId="12" type="noConversion"/>
  </si>
  <si>
    <t xml:space="preserve"> ○ 고용연금 : 7,000,000원*1.2%*12월 </t>
    <phoneticPr fontId="12" type="noConversion"/>
  </si>
  <si>
    <t xml:space="preserve"> ○ 산재보험 : 7,000,000원*1.0%*12월 </t>
    <phoneticPr fontId="12" type="noConversion"/>
  </si>
  <si>
    <t xml:space="preserve"> ○ 장기요양보험 : 3,024,000원*12.9% </t>
    <phoneticPr fontId="12" type="noConversion"/>
  </si>
  <si>
    <t xml:space="preserve"> ○ 인사위원회 참석수당 : 100,000원*3명*5회</t>
    <phoneticPr fontId="12" type="noConversion"/>
  </si>
  <si>
    <t>2026여수세계섬박람회 행정 업무추진</t>
    <phoneticPr fontId="12" type="noConversion"/>
  </si>
  <si>
    <t>이사회 및 각종 위원회 운영</t>
    <phoneticPr fontId="48" type="noConversion"/>
  </si>
  <si>
    <t>○ 사용자부담금 : 30,829,000원*11%</t>
    <phoneticPr fontId="12" type="noConversion"/>
  </si>
  <si>
    <t>지출예산(세부사업) - 운영부</t>
    <phoneticPr fontId="12" type="noConversion"/>
  </si>
  <si>
    <t>단위 : 천원</t>
    <phoneticPr fontId="12" type="noConversion"/>
  </si>
  <si>
    <t>구
분</t>
    <phoneticPr fontId="48" type="noConversion"/>
  </si>
  <si>
    <t>사업</t>
    <phoneticPr fontId="48" type="noConversion"/>
  </si>
  <si>
    <t>편성목</t>
    <phoneticPr fontId="48" type="noConversion"/>
  </si>
  <si>
    <t>단위</t>
    <phoneticPr fontId="48" type="noConversion"/>
  </si>
  <si>
    <t>세부</t>
    <phoneticPr fontId="48" type="noConversion"/>
  </si>
  <si>
    <t>그룹</t>
    <phoneticPr fontId="48" type="noConversion"/>
  </si>
  <si>
    <t>목</t>
    <phoneticPr fontId="48" type="noConversion"/>
  </si>
  <si>
    <t>세목</t>
    <phoneticPr fontId="48" type="noConversion"/>
  </si>
  <si>
    <t>총계(사업예산 + 자본예산)</t>
    <phoneticPr fontId="12" type="noConversion"/>
  </si>
  <si>
    <t>사업예산</t>
    <phoneticPr fontId="12" type="noConversion"/>
  </si>
  <si>
    <t>박람회장 운영</t>
    <phoneticPr fontId="12" type="noConversion"/>
  </si>
  <si>
    <t>대행사 선정</t>
    <phoneticPr fontId="48" type="noConversion"/>
  </si>
  <si>
    <t>200 물건비</t>
    <phoneticPr fontId="12" type="noConversion"/>
  </si>
  <si>
    <t>01 사무관리비</t>
    <phoneticPr fontId="12" type="noConversion"/>
  </si>
  <si>
    <t xml:space="preserve"> ○ 대행사 선정 제안서 평가위원 수당 : 250,000원*10명*2회</t>
    <phoneticPr fontId="12" type="noConversion"/>
  </si>
  <si>
    <t xml:space="preserve"> ○ 대행사 선정 평가위원 실비 : 500,000원*2회</t>
    <phoneticPr fontId="12" type="noConversion"/>
  </si>
  <si>
    <t>03 행사운영비</t>
    <phoneticPr fontId="12" type="noConversion"/>
  </si>
  <si>
    <t xml:space="preserve"> ○ 종합실행계획 수립 및 운영대행 용역비(1차분) : 300,000,000원*1식</t>
    <phoneticPr fontId="12" type="noConversion"/>
  </si>
  <si>
    <t>14 회의비</t>
    <phoneticPr fontId="12" type="noConversion"/>
  </si>
  <si>
    <t>[회의비]</t>
    <phoneticPr fontId="12" type="noConversion"/>
  </si>
  <si>
    <t xml:space="preserve"> ○ 대행사 선정 평가위원회 운영비 : 250,000원*2회</t>
    <phoneticPr fontId="12" type="noConversion"/>
  </si>
  <si>
    <t>운영부 사무국운영</t>
    <phoneticPr fontId="12" type="noConversion"/>
  </si>
  <si>
    <t>기본경비</t>
    <phoneticPr fontId="48" type="noConversion"/>
  </si>
  <si>
    <t>201 일반운영비</t>
    <phoneticPr fontId="12" type="noConversion"/>
  </si>
  <si>
    <t xml:space="preserve"> ○ 복사기 및 프린터토너 구입 : 3,000,000원*1식</t>
    <phoneticPr fontId="12" type="noConversion"/>
  </si>
  <si>
    <t xml:space="preserve"> ○ 사무실 환경정비용품 구입 : 5,000,000원*1식</t>
    <phoneticPr fontId="12" type="noConversion"/>
  </si>
  <si>
    <t>15 복리후생비</t>
    <phoneticPr fontId="12" type="noConversion"/>
  </si>
  <si>
    <t>[급량비]</t>
    <phoneticPr fontId="12" type="noConversion"/>
  </si>
  <si>
    <t>01 국내여비</t>
    <phoneticPr fontId="12" type="noConversion"/>
  </si>
  <si>
    <t>[국내여비]</t>
    <phoneticPr fontId="12" type="noConversion"/>
  </si>
  <si>
    <t>203 업무추진비</t>
    <phoneticPr fontId="12" type="noConversion"/>
  </si>
  <si>
    <t>07 사업업무추진비</t>
    <phoneticPr fontId="12" type="noConversion"/>
  </si>
  <si>
    <t>[기관운영업무추진비]</t>
    <phoneticPr fontId="12" type="noConversion"/>
  </si>
  <si>
    <t xml:space="preserve"> ○ 4급보조기관장(운영본부장) : 6,600,000원*1식 </t>
    <phoneticPr fontId="12" type="noConversion"/>
  </si>
  <si>
    <t>217 관서업무비</t>
    <phoneticPr fontId="12" type="noConversion"/>
  </si>
  <si>
    <t>[정원가산업무비]</t>
    <phoneticPr fontId="12" type="noConversion"/>
  </si>
  <si>
    <t>02 부서업무비</t>
    <phoneticPr fontId="12" type="noConversion"/>
  </si>
  <si>
    <t>사전행사 개최</t>
    <phoneticPr fontId="48" type="noConversion"/>
  </si>
  <si>
    <t>2026여수세계섬박람회 전시연출(위탁)</t>
    <phoneticPr fontId="12" type="noConversion"/>
  </si>
  <si>
    <t>문화행사 추진</t>
    <phoneticPr fontId="48" type="noConversion"/>
  </si>
  <si>
    <t>[행사운영비]</t>
    <phoneticPr fontId="12" type="noConversion"/>
  </si>
  <si>
    <t xml:space="preserve"> ○ 섬박람회 문화행사 기획 및 프로그램 개발 : 600,000,000원*1식</t>
    <phoneticPr fontId="12" type="noConversion"/>
  </si>
  <si>
    <t>[행사운영비]</t>
    <phoneticPr fontId="12" type="noConversion"/>
  </si>
  <si>
    <t xml:space="preserve"> ○ 전시연출 콘텐츠 개발 : 1,500,000,000원*1식</t>
    <phoneticPr fontId="12" type="noConversion"/>
  </si>
  <si>
    <t xml:space="preserve"> ○ 누리집 유지관리 용역 : 50,000,000원*1식</t>
    <phoneticPr fontId="12" type="noConversion"/>
  </si>
  <si>
    <t xml:space="preserve"> ○ 기본업무수행 급량비 : 9,000원*7명*8일*12월</t>
    <phoneticPr fontId="12" type="noConversion"/>
  </si>
  <si>
    <t xml:space="preserve"> ○ 기본업무수행 급량비 : 9,000원*8명*8일*12월</t>
    <phoneticPr fontId="12" type="noConversion"/>
  </si>
  <si>
    <t xml:space="preserve"> ○ 부서운영을 위한 소모품 구입 : 210,000원*12월</t>
    <phoneticPr fontId="12" type="noConversion"/>
  </si>
  <si>
    <t xml:space="preserve"> ○ 5급이하 : 400,000원*60명*12월</t>
    <phoneticPr fontId="12" type="noConversion"/>
  </si>
  <si>
    <t xml:space="preserve"> ○ 타시군(도) 주거지원비 : 500,000원*15명*12월</t>
    <phoneticPr fontId="12" type="noConversion"/>
  </si>
  <si>
    <t xml:space="preserve"> ○ 현장체험 등 워크숍 운영 경비 : 15,000,000원*2회</t>
    <phoneticPr fontId="12" type="noConversion"/>
  </si>
  <si>
    <t xml:space="preserve"> ○ 명예위원장, 부위원장, 특별위원회 위원 등 행사 참석 실비 : 110,000원*13명*4회</t>
    <phoneticPr fontId="12" type="noConversion"/>
  </si>
  <si>
    <t xml:space="preserve"> ○ 행정관리부 부서운영 총액계상 : 175,000원*12월</t>
    <phoneticPr fontId="12" type="noConversion"/>
  </si>
  <si>
    <t xml:space="preserve"> ○ 사무실 통신선 등 수선유지비 : 5,000,000원*1식</t>
    <phoneticPr fontId="12" type="noConversion"/>
  </si>
  <si>
    <t xml:space="preserve"> ○ 기획본부 정원가산총액계상 : 80,000원*33명</t>
    <phoneticPr fontId="12" type="noConversion"/>
  </si>
  <si>
    <t>[부서업무비]</t>
    <phoneticPr fontId="12" type="noConversion"/>
  </si>
  <si>
    <t xml:space="preserve"> ○ 부장, 협력관(5급) : 100,000원*9명*12월</t>
    <phoneticPr fontId="12" type="noConversion"/>
  </si>
  <si>
    <t xml:space="preserve"> ○ 박람회 홍보 및 유치 업무추진(4급) : 4,800,000원*1식</t>
    <phoneticPr fontId="12" type="noConversion"/>
  </si>
  <si>
    <t xml:space="preserve"> ○ 기획홍보부 부서운영 총액계상 : 175,000원*12월</t>
    <phoneticPr fontId="12" type="noConversion"/>
  </si>
  <si>
    <t xml:space="preserve"> ○ 유치협력부 부서운영 총액계상 : 175,000원*12월</t>
    <phoneticPr fontId="12" type="noConversion"/>
  </si>
  <si>
    <t xml:space="preserve"> ○ 부서 운영을 위한 소모품 구입 : 210,000원*12월</t>
    <phoneticPr fontId="12" type="noConversion"/>
  </si>
  <si>
    <t xml:space="preserve"> ○ 부서 운영을 위한 소모품 구입 : 240,000원*12월</t>
    <phoneticPr fontId="12" type="noConversion"/>
  </si>
  <si>
    <t xml:space="preserve"> ○ 부서 운영을 위한 소모품 구입 : 270,000원*12월</t>
    <phoneticPr fontId="12" type="noConversion"/>
  </si>
  <si>
    <t xml:space="preserve"> ○ 행사부 부서운영 총액계상 : 175,000원*12월</t>
    <phoneticPr fontId="12" type="noConversion"/>
  </si>
  <si>
    <t xml:space="preserve"> ○ 시설조성부 부서운영 총액계상 : 175,000원*12월</t>
    <phoneticPr fontId="12" type="noConversion"/>
  </si>
  <si>
    <t xml:space="preserve"> ○ 전시연출부 부서운영 총액계상 : 175,000원*12월</t>
    <phoneticPr fontId="12" type="noConversion"/>
  </si>
  <si>
    <t xml:space="preserve"> ○ 기본업무수행 급량비 : 9,000원*8명*8일*12월</t>
    <phoneticPr fontId="12" type="noConversion"/>
  </si>
  <si>
    <t xml:space="preserve"> ○ 운영본부 정원가산총액계상 : 80,000원*29명</t>
    <phoneticPr fontId="12" type="noConversion"/>
  </si>
  <si>
    <t xml:space="preserve"> ○ 운영부 부서운영 총액계상 : 175,000원*12월</t>
    <phoneticPr fontId="12" type="noConversion"/>
  </si>
  <si>
    <t xml:space="preserve"> ○ 기본업무수행 급량비 : 9,000원*9명*8일*12월</t>
    <phoneticPr fontId="12" type="noConversion"/>
  </si>
  <si>
    <t xml:space="preserve"> ○ 기본업무수행 급량비 : 9,000원*7명*8일*12월</t>
    <phoneticPr fontId="12" type="noConversion"/>
  </si>
  <si>
    <t>섬박람회장 안전시설물 설치사업</t>
    <phoneticPr fontId="48" type="noConversion"/>
  </si>
  <si>
    <t>섬박람회 랜드마크 조성사업</t>
    <phoneticPr fontId="48" type="noConversion"/>
  </si>
  <si>
    <t>섬박람회장 입구게이트 조성</t>
    <phoneticPr fontId="48" type="noConversion"/>
  </si>
  <si>
    <t>섬박람회장 열린문화공간 조성</t>
    <phoneticPr fontId="48" type="noConversion"/>
  </si>
  <si>
    <t xml:space="preserve"> ○  D-365 기념행사 : 280,000,000원*1식</t>
    <phoneticPr fontId="12" type="noConversion"/>
  </si>
  <si>
    <t xml:space="preserve"> ○ 수익사업부 부서운영 총액계상 : 175,000원*12월</t>
    <phoneticPr fontId="12" type="noConversion"/>
  </si>
  <si>
    <t xml:space="preserve"> ○ 박람회 운영 및 조성 업무추진(4급) : 4,800,000원*1식</t>
    <phoneticPr fontId="12" type="noConversion"/>
  </si>
  <si>
    <t xml:space="preserve"> ○ 예비비(자본) : 0원</t>
    <phoneticPr fontId="12" type="noConversion"/>
  </si>
  <si>
    <t xml:space="preserve"> ○ 홍보물품 등 제작 : 140,000,000원*1식</t>
    <phoneticPr fontId="12" type="noConversion"/>
  </si>
  <si>
    <t>=</t>
    <phoneticPr fontId="12" type="noConversion"/>
  </si>
  <si>
    <t xml:space="preserve"> ○ 사전 홍보 이벤트 : 30,000,000원*1식</t>
    <phoneticPr fontId="12" type="noConversion"/>
  </si>
  <si>
    <t>=</t>
    <phoneticPr fontId="12" type="noConversion"/>
  </si>
  <si>
    <t xml:space="preserve"> ○ 홍보부스 운영 : 5,000,000원*1식</t>
    <phoneticPr fontId="12" type="noConversion"/>
  </si>
  <si>
    <t xml:space="preserve"> ○ 홍보대사, 서포터즈 운영 : 20,000,000원*1식</t>
    <phoneticPr fontId="12" type="noConversion"/>
  </si>
  <si>
    <t xml:space="preserve"> ○ 섬박람회 광고 홍보료 : 500,000,000원*1식</t>
    <phoneticPr fontId="12" type="noConversion"/>
  </si>
  <si>
    <t>300 경상이전</t>
    <phoneticPr fontId="12" type="noConversion"/>
  </si>
  <si>
    <t xml:space="preserve"> ○ 홍보부스 참가 : 5,000,000원*4회</t>
    <phoneticPr fontId="12" type="noConversion"/>
  </si>
  <si>
    <t xml:space="preserve"> ○ 종합홍보 대행 용역(1차분) : 1,000,000,000원*1식</t>
    <phoneticPr fontId="12" type="noConversion"/>
  </si>
  <si>
    <t xml:space="preserve"> ○ 온라인 홍보 대행 용역 : 150,000,000원*1식</t>
    <phoneticPr fontId="12" type="noConversion"/>
  </si>
  <si>
    <t xml:space="preserve"> ○ 홍보영상 제작 용역 : 100,000,000원*1식</t>
    <phoneticPr fontId="12" type="noConversion"/>
  </si>
  <si>
    <t>[기타보상금]</t>
    <phoneticPr fontId="12" type="noConversion"/>
  </si>
  <si>
    <t>2026여수세계섬박람회 기획홍보(위탁)</t>
    <phoneticPr fontId="12" type="noConversion"/>
  </si>
  <si>
    <t>2026여수세계섬박람회 유치협력(위탁)</t>
    <phoneticPr fontId="12" type="noConversion"/>
  </si>
  <si>
    <t>2026여수세계섬박람회 행사(위탁)</t>
    <phoneticPr fontId="12" type="noConversion"/>
  </si>
  <si>
    <t>2026여수세계섬박람회 시설조성(위탁)</t>
    <phoneticPr fontId="12" type="noConversion"/>
  </si>
  <si>
    <t xml:space="preserve"> ○ 공모전 시상금 : 7,000,000원*3회</t>
    <phoneticPr fontId="12" type="noConversion"/>
  </si>
  <si>
    <t xml:space="preserve"> ○ 각종 이벤트 경품 : 5,000,000원*1식</t>
    <phoneticPr fontId="12" type="noConversion"/>
  </si>
  <si>
    <t xml:space="preserve"> ○ 제안서, 공모전 평가위원 수당 : 7,000,000원*1식</t>
    <phoneticPr fontId="12" type="noConversion"/>
  </si>
  <si>
    <t xml:space="preserve"> ○ 제안서, 공모전 평가위원 교통비 등 기타 실비 : 2,000,000원*1식</t>
    <phoneticPr fontId="12" type="noConversion"/>
  </si>
  <si>
    <t>[행사운영비]</t>
    <phoneticPr fontId="12" type="noConversion"/>
  </si>
  <si>
    <t xml:space="preserve"> ○ 운영부 기본업무 수행 관외여비 : 110,000원*8명*12월</t>
    <phoneticPr fontId="12" type="noConversion"/>
  </si>
  <si>
    <t>01 시설비</t>
    <phoneticPr fontId="12" type="noConversion"/>
  </si>
  <si>
    <t>03 시설부대비</t>
    <phoneticPr fontId="12" type="noConversion"/>
  </si>
  <si>
    <t>400 자본지출</t>
    <phoneticPr fontId="12" type="noConversion"/>
  </si>
  <si>
    <t>401 시설비및부대비</t>
    <phoneticPr fontId="12" type="noConversion"/>
  </si>
  <si>
    <t>[시설비]</t>
    <phoneticPr fontId="12" type="noConversion"/>
  </si>
  <si>
    <t>[시설부대비]</t>
    <phoneticPr fontId="12" type="noConversion"/>
  </si>
  <si>
    <t xml:space="preserve"> ○ 섬박람회장 안전시설물 설치 시설비 : 3,000,000,000원*1식*99.64/100</t>
    <phoneticPr fontId="12" type="noConversion"/>
  </si>
  <si>
    <t xml:space="preserve"> ○ 섬박람회장 안전시설물 설치 시설부대비 : 3,000,000,000원*1식*0.36/100</t>
    <phoneticPr fontId="12" type="noConversion"/>
  </si>
  <si>
    <t xml:space="preserve"> ○ 섬박람회장 입구게이트 조성 시설비 : 500,000,000원*1식*99.28/100</t>
    <phoneticPr fontId="12" type="noConversion"/>
  </si>
  <si>
    <t xml:space="preserve"> ○ 섬박람회장 입구게이트 조성 시설부대비 : 500,000,000원*1식*0.72/100</t>
    <phoneticPr fontId="12" type="noConversion"/>
  </si>
  <si>
    <t>[시설비]</t>
    <phoneticPr fontId="12" type="noConversion"/>
  </si>
  <si>
    <t xml:space="preserve"> ○ 섬박람회장 열린문화공간 조성 시설비 : 1,800,000,000원*1식*99.64/100</t>
    <phoneticPr fontId="12" type="noConversion"/>
  </si>
  <si>
    <t xml:space="preserve"> ○ 섬박람회장 열린문화공간 조성 시설부대비 : 1,800,000,000원*1식*0.36/100</t>
    <phoneticPr fontId="12" type="noConversion"/>
  </si>
  <si>
    <t xml:space="preserve"> ○ 섬박람회 랜드마크 조성 시설비 : 5,000,000,000원*1식*99.73/100</t>
    <phoneticPr fontId="12" type="noConversion"/>
  </si>
  <si>
    <t xml:space="preserve"> ○ 사무용품 등 소모품 구입 : 5,000,000원*1식 </t>
    <phoneticPr fontId="12" type="noConversion"/>
  </si>
  <si>
    <t xml:space="preserve"> ○ 행사부 기본업무 수행 관외여비 : 110,000원*7명*12월</t>
    <phoneticPr fontId="12" type="noConversion"/>
  </si>
  <si>
    <t xml:space="preserve"> ○ '너와 나의 섬이야기' 성공개최 이벤트 : 120,000,000원*1식</t>
    <phoneticPr fontId="12" type="noConversion"/>
  </si>
  <si>
    <t xml:space="preserve"> ○ 운영부 기본업무 수행 관내여비 : 20,000원*8명*2일*12월</t>
    <phoneticPr fontId="12" type="noConversion"/>
  </si>
  <si>
    <t xml:space="preserve"> ○ 행사부 기본업무 수행 관내여비 : 20,000원*7명*2일*12월</t>
    <phoneticPr fontId="12" type="noConversion"/>
  </si>
  <si>
    <t xml:space="preserve"> ○ 시설조성부 기본업무 수행 관내여비 : 20,000원*7명*2일*12월</t>
    <phoneticPr fontId="12" type="noConversion"/>
  </si>
  <si>
    <t xml:space="preserve"> ○ 시설조성부 기본업무 수행 관외여비 : 110,000원*7명*12월</t>
    <phoneticPr fontId="12" type="noConversion"/>
  </si>
  <si>
    <t xml:space="preserve"> ○ 전시연출부 기본업무 수행 관내여비 : 20,000원*7명*2일*12월</t>
    <phoneticPr fontId="12" type="noConversion"/>
  </si>
  <si>
    <t xml:space="preserve"> ○ 전시연출부 기본업무 수행 관외여비 : 110,000원*7명*12월</t>
    <phoneticPr fontId="12" type="noConversion"/>
  </si>
  <si>
    <t xml:space="preserve"> ○ 유치협력 기본업무 수행 관내여비 : 20,000원*7명*2일*12월</t>
    <phoneticPr fontId="12" type="noConversion"/>
  </si>
  <si>
    <t xml:space="preserve"> ○ 유치협력 기본업무 수행 관외여비 : 110,000원*7명*12월</t>
    <phoneticPr fontId="12" type="noConversion"/>
  </si>
  <si>
    <t xml:space="preserve"> ○ 수익사업 기본업무 수행 관내여비 : 20,000원*9명*2일*12월</t>
    <phoneticPr fontId="12" type="noConversion"/>
  </si>
  <si>
    <t xml:space="preserve"> ○ 기획홍보부 기본업무 수행 관외여비 : 110,000원*8명*12월</t>
    <phoneticPr fontId="12" type="noConversion"/>
  </si>
  <si>
    <t xml:space="preserve"> ○ 기획홍보부 기본업무 수행 관내여비 : 20,000원*8명*2일*12월</t>
    <phoneticPr fontId="12" type="noConversion"/>
  </si>
  <si>
    <t xml:space="preserve"> ○ 섬박람회 랜드마크 조성 시설부대비 : 5,000,000,000원*1식*0.27/100</t>
    <phoneticPr fontId="12" type="noConversion"/>
  </si>
  <si>
    <t xml:space="preserve"> ○ 세계의 섬·한국의 섬 테마존 조성 시설부대비 : 5,000,000,000원*1식*0.27/100</t>
    <phoneticPr fontId="12" type="noConversion"/>
  </si>
  <si>
    <t xml:space="preserve"> ○ 세계의 섬·한국의 섬 테마존 조성 시설비 : 5,000,000,000원*1식*99.73/100</t>
    <phoneticPr fontId="12" type="noConversion"/>
  </si>
  <si>
    <t xml:space="preserve"> ○ 섬박람회장 상징 아트 포토존 조성 시설부대비 : 1,800,000,000원*1식*0.36/100</t>
    <phoneticPr fontId="12" type="noConversion"/>
  </si>
  <si>
    <t xml:space="preserve"> ○ 섬박람회장 상징 아트 포토존 조성 시설비 : 1,800,000,000원*1식*99.64/100</t>
    <phoneticPr fontId="12" type="noConversion"/>
  </si>
  <si>
    <t xml:space="preserve"> ○ 이사회 변경등기 및 법무사 수수료 : 1,000,000원*1식</t>
    <phoneticPr fontId="12" type="noConversion"/>
  </si>
  <si>
    <t xml:space="preserve"> ○ 자문위원회 참석자 실비 보상 : 4,000,000원*1식</t>
    <phoneticPr fontId="12" type="noConversion"/>
  </si>
  <si>
    <t xml:space="preserve"> ○ 자문위원회 자문수당(대면) : 150,000원*3회*32명</t>
    <phoneticPr fontId="12" type="noConversion"/>
  </si>
  <si>
    <t xml:space="preserve"> ○ 자문위원회 자문수당(서면) : 100,000원*3회*32명</t>
    <phoneticPr fontId="12" type="noConversion"/>
  </si>
  <si>
    <t xml:space="preserve"> ○ 자문위원회 운영 행사운영비 : 100,000원*3회  </t>
    <phoneticPr fontId="12" type="noConversion"/>
  </si>
  <si>
    <t xml:space="preserve"> ○ 관용차량 하이패스 이용료 : 100,000원*12월</t>
    <phoneticPr fontId="12" type="noConversion"/>
  </si>
  <si>
    <t>=</t>
    <phoneticPr fontId="12" type="noConversion"/>
  </si>
  <si>
    <t xml:space="preserve"> ○ 행정관리 업무추진 관외여비 : 110,000원*10명*12월</t>
    <phoneticPr fontId="12" type="noConversion"/>
  </si>
  <si>
    <t xml:space="preserve"> ○ 행정관리 기본업무 수행 관내여비 : 20,000원*10명*2일*12월</t>
    <phoneticPr fontId="12" type="noConversion"/>
  </si>
  <si>
    <t>01 국내여비</t>
    <phoneticPr fontId="12" type="noConversion"/>
  </si>
  <si>
    <t xml:space="preserve"> ○ 국내·외 관람객 홍보물 등 발송 우편료 : 2,500원*3,200개소</t>
    <phoneticPr fontId="12" type="noConversion"/>
  </si>
  <si>
    <t>03 국외업무여비</t>
    <phoneticPr fontId="12" type="noConversion"/>
  </si>
  <si>
    <t xml:space="preserve"> ○ 자매도시 등 국제교류 및 각종 국제행사 참가 : 3,000,000원*2명*4회</t>
    <phoneticPr fontId="12" type="noConversion"/>
  </si>
  <si>
    <t>학술회의 유치</t>
    <phoneticPr fontId="48" type="noConversion"/>
  </si>
  <si>
    <t>301 일반보상금</t>
    <phoneticPr fontId="12" type="noConversion"/>
  </si>
  <si>
    <t>13 외빈초청여비</t>
    <phoneticPr fontId="12" type="noConversion"/>
  </si>
  <si>
    <t>[외빈초청여비]</t>
    <phoneticPr fontId="12" type="noConversion"/>
  </si>
  <si>
    <t xml:space="preserve"> ○ 유치활동 추진을 위한 소책자, 협약서 등 제작(다국어) : 40,000,000원*1식</t>
    <phoneticPr fontId="12" type="noConversion"/>
  </si>
  <si>
    <t>[외빈초청여비]</t>
    <phoneticPr fontId="12" type="noConversion"/>
  </si>
  <si>
    <t xml:space="preserve"> ○ 유치활동 PPT, 영상 제작(다국어) : 16,000,000원*1식</t>
    <phoneticPr fontId="12" type="noConversion"/>
  </si>
  <si>
    <t>=</t>
    <phoneticPr fontId="12" type="noConversion"/>
  </si>
  <si>
    <t>=</t>
    <phoneticPr fontId="12" type="noConversion"/>
  </si>
  <si>
    <t xml:space="preserve"> ○ 유치활동 추진을 위한 통번역 수수료 : 600,000원*40회</t>
    <phoneticPr fontId="12" type="noConversion"/>
  </si>
  <si>
    <t xml:space="preserve"> ○ 유치활동 추진을 위한 유치홍보물 제작 : 20,000원*5,000개</t>
    <phoneticPr fontId="12" type="noConversion"/>
  </si>
  <si>
    <t xml:space="preserve"> ○ 전국 단위 축제·행사 홍보부스 참가비 : 5,000,000원*6회</t>
    <phoneticPr fontId="12" type="noConversion"/>
  </si>
  <si>
    <t xml:space="preserve"> ○ 국내 단체 관람객 유치를 위한 초청 : 2,000,000원*16식</t>
    <phoneticPr fontId="12" type="noConversion"/>
  </si>
  <si>
    <t xml:space="preserve"> ○ 국외 단체 관람객 유치를 위한 초청 : 10,000,000원*10식 </t>
    <phoneticPr fontId="12" type="noConversion"/>
  </si>
  <si>
    <t>14 기타보상금</t>
    <phoneticPr fontId="12" type="noConversion"/>
  </si>
  <si>
    <t>[기타보상금]</t>
    <phoneticPr fontId="12" type="noConversion"/>
  </si>
  <si>
    <t>[임차료]</t>
    <phoneticPr fontId="12" type="noConversion"/>
  </si>
  <si>
    <t xml:space="preserve"> ○ 이사회 개최를 위한 회의실 임차료 : 300,000원*4회</t>
    <phoneticPr fontId="12" type="noConversion"/>
  </si>
  <si>
    <t>201 일반운영비</t>
    <phoneticPr fontId="12" type="noConversion"/>
  </si>
  <si>
    <t>649 후원금 수익</t>
    <phoneticPr fontId="12" type="noConversion"/>
  </si>
  <si>
    <t>01 지정후원금수익</t>
    <phoneticPr fontId="12" type="noConversion"/>
  </si>
  <si>
    <t>박람회 휘장업무 추진</t>
    <phoneticPr fontId="48" type="noConversion"/>
  </si>
  <si>
    <t>01 사무관리비</t>
    <phoneticPr fontId="12" type="noConversion"/>
  </si>
  <si>
    <t>=</t>
    <phoneticPr fontId="12" type="noConversion"/>
  </si>
  <si>
    <t xml:space="preserve"> ○ 후원·기부 유치를 위한 홍보물 제작 : 5,000,000원*1식 </t>
    <phoneticPr fontId="12" type="noConversion"/>
  </si>
  <si>
    <t xml:space="preserve"> ○ 공식상품화권자 선정 심사수당 : 250,000원*7명*1회 </t>
    <phoneticPr fontId="12" type="noConversion"/>
  </si>
  <si>
    <t xml:space="preserve"> ○ 박람회 인정상품 엠블럼 제작 : 3,000,000원*1식</t>
    <phoneticPr fontId="12" type="noConversion"/>
  </si>
  <si>
    <t>[행사운영비]</t>
    <phoneticPr fontId="12" type="noConversion"/>
  </si>
  <si>
    <t xml:space="preserve"> ○ 수익사업 관련 우편물 발송료 : 2,500원*400회 </t>
    <phoneticPr fontId="12" type="noConversion"/>
  </si>
  <si>
    <t>박람회 기부금품 관리</t>
    <phoneticPr fontId="48" type="noConversion"/>
  </si>
  <si>
    <t xml:space="preserve"> ○ 기부자 예우 물품 제작 : 20,000원*200개</t>
    <phoneticPr fontId="12" type="noConversion"/>
  </si>
  <si>
    <t>박람회 입장권 사업</t>
    <phoneticPr fontId="48" type="noConversion"/>
  </si>
  <si>
    <t xml:space="preserve"> ○ 입장권 판촉 홍보물 제작 : 20,000,000원*1식  </t>
    <phoneticPr fontId="12" type="noConversion"/>
  </si>
  <si>
    <t xml:space="preserve"> ○ 입장권 사업 추진 사무용품 구입 : 200,000원*12월</t>
    <phoneticPr fontId="12" type="noConversion"/>
  </si>
  <si>
    <t>14 기타보상금</t>
    <phoneticPr fontId="12" type="noConversion"/>
  </si>
  <si>
    <t>[기타보상금]</t>
    <phoneticPr fontId="12" type="noConversion"/>
  </si>
  <si>
    <t xml:space="preserve"> ○ 입장권 구매보상금 지급 : 10,000,000원*1식</t>
    <phoneticPr fontId="12" type="noConversion"/>
  </si>
  <si>
    <t xml:space="preserve"> ○ 후원 협약식 개최 : 800,000원*5회</t>
    <phoneticPr fontId="12" type="noConversion"/>
  </si>
  <si>
    <t xml:space="preserve"> ○ 기부금품 전달식 개최 : 300,000원*10회</t>
    <phoneticPr fontId="12" type="noConversion"/>
  </si>
  <si>
    <t xml:space="preserve"> ○ 공식상품화권자 선정 심사위원 교통비 등 기타실비 : 700,000원*1식</t>
    <phoneticPr fontId="12" type="noConversion"/>
  </si>
  <si>
    <t xml:space="preserve"> ○ 자문위원회 회의 운영비 : 50,000원*6회</t>
    <phoneticPr fontId="12" type="noConversion"/>
  </si>
  <si>
    <t>정책</t>
    <phoneticPr fontId="48" type="noConversion"/>
  </si>
  <si>
    <t>=</t>
    <phoneticPr fontId="12" type="noConversion"/>
  </si>
  <si>
    <t xml:space="preserve"> ○ 연봉 : 8,468,460원*12월 </t>
    <phoneticPr fontId="12" type="noConversion"/>
  </si>
  <si>
    <t xml:space="preserve"> ○ 가족수당 : 40,000원*12월</t>
    <phoneticPr fontId="12" type="noConversion"/>
  </si>
  <si>
    <t>=</t>
    <phoneticPr fontId="12" type="noConversion"/>
  </si>
  <si>
    <t>[사무총장]</t>
    <phoneticPr fontId="12" type="noConversion"/>
  </si>
  <si>
    <t>[복리후생비]</t>
    <phoneticPr fontId="12" type="noConversion"/>
  </si>
  <si>
    <t xml:space="preserve"> ○ 사무총장 정액급식비 : 140,000원*12월</t>
    <phoneticPr fontId="12" type="noConversion"/>
  </si>
  <si>
    <t xml:space="preserve"> ○ 사무총장 직급보조비 : 300,000원*12월</t>
    <phoneticPr fontId="12" type="noConversion"/>
  </si>
  <si>
    <t xml:space="preserve"> ○ 사무총장 직책급업무수행비 : 600,000원*12월</t>
    <phoneticPr fontId="12" type="noConversion"/>
  </si>
  <si>
    <t xml:space="preserve"> ○ 계약심의위원회 수당 등 지급 : 100,000원*6명*5회</t>
    <phoneticPr fontId="12" type="noConversion"/>
  </si>
  <si>
    <t xml:space="preserve"> ○  2025 국제 섬 포럼 in Yeosu 개최 : 120,000,000원*1식</t>
    <phoneticPr fontId="12" type="noConversion"/>
  </si>
  <si>
    <t xml:space="preserve"> ○ 해외박람회 참가비 : 10,000,000원*4회</t>
    <phoneticPr fontId="12" type="noConversion"/>
  </si>
  <si>
    <t xml:space="preserve"> ○ 3급기관장(사무총장) : 10,000,000원*1식</t>
    <phoneticPr fontId="12" type="noConversion"/>
  </si>
  <si>
    <t xml:space="preserve"> ○ 박람회 조직위원회 업무추진(3급) : 15,000,000원*1식</t>
    <phoneticPr fontId="12" type="noConversion"/>
  </si>
  <si>
    <t xml:space="preserve"> ○ 행정관리부 업무추진 : 2,000,000원*1식</t>
    <phoneticPr fontId="12" type="noConversion"/>
  </si>
  <si>
    <t xml:space="preserve"> ○ 기획홍보부 업무추진 : 2,000,000원*1식</t>
    <phoneticPr fontId="12" type="noConversion"/>
  </si>
  <si>
    <t xml:space="preserve"> ○ 수익사업부 업무추진 : 2,000,000원*1식</t>
    <phoneticPr fontId="12" type="noConversion"/>
  </si>
  <si>
    <t xml:space="preserve"> ○ 유치협력부 업무추진 : 2,000,000원*1식</t>
    <phoneticPr fontId="12" type="noConversion"/>
  </si>
  <si>
    <t xml:space="preserve"> ○ 협력관 업무추진 : 2,000,000원*1식</t>
    <phoneticPr fontId="12" type="noConversion"/>
  </si>
  <si>
    <t xml:space="preserve"> ○ 운영부 업무추진 : 2,000,000원*1식</t>
    <phoneticPr fontId="12" type="noConversion"/>
  </si>
  <si>
    <t xml:space="preserve"> ○ 행사부 업무추진 : 2,000,000원*1식</t>
    <phoneticPr fontId="12" type="noConversion"/>
  </si>
  <si>
    <t xml:space="preserve"> ○ 시설조성부 업무추진 : 2,000,000원*1식</t>
    <phoneticPr fontId="12" type="noConversion"/>
  </si>
  <si>
    <t xml:space="preserve"> ○ 전시연출부 업무추진 : 2,000,000원*1식</t>
    <phoneticPr fontId="12" type="noConversion"/>
  </si>
  <si>
    <t xml:space="preserve"> ○ 국민연금 : 8,468,460원*4.5%*12월</t>
    <phoneticPr fontId="12" type="noConversion"/>
  </si>
  <si>
    <t xml:space="preserve"> ○ 건강보험 : 8,468,460원*3.6%*12월</t>
    <phoneticPr fontId="12" type="noConversion"/>
  </si>
  <si>
    <t xml:space="preserve"> ○ 고용연금 : 8,468,460원*1.2%*12월</t>
    <phoneticPr fontId="12" type="noConversion"/>
  </si>
  <si>
    <t xml:space="preserve"> ○ 산재보험 : 8,468,460원*1.0%*12월</t>
    <phoneticPr fontId="12" type="noConversion"/>
  </si>
  <si>
    <t xml:space="preserve"> ○ 장기요양보험 : 3,659,000원*12.9% </t>
    <phoneticPr fontId="12" type="noConversion"/>
  </si>
  <si>
    <t>섬박람회 상징 아트 포토존 조성</t>
    <phoneticPr fontId="48" type="noConversion"/>
  </si>
  <si>
    <t>관람객 유치</t>
    <phoneticPr fontId="48" type="noConversion"/>
  </si>
  <si>
    <t xml:space="preserve"> ○ 단체 관광객 유치를 위한 시책개발 및 인센티브 등 : 30,000,000원*1식</t>
    <phoneticPr fontId="12" type="noConversion"/>
  </si>
  <si>
    <t>=</t>
    <phoneticPr fontId="12" type="noConversion"/>
  </si>
  <si>
    <t xml:space="preserve"> ○ 수익사업부 기본업무 수행 관외여비 : 110,000원*9명*12월</t>
    <phoneticPr fontId="12" type="noConversion"/>
  </si>
  <si>
    <t>교육훈련경비</t>
    <phoneticPr fontId="12" type="noConversion"/>
  </si>
  <si>
    <t>16 광고선전비</t>
    <phoneticPr fontId="12" type="noConversion"/>
  </si>
  <si>
    <r>
      <t>세계 섬</t>
    </r>
    <r>
      <rPr>
        <b/>
        <sz val="10"/>
        <color theme="1"/>
        <rFont val="맑은 고딕 Semilight"/>
        <family val="3"/>
        <charset val="129"/>
      </rPr>
      <t>‧</t>
    </r>
    <r>
      <rPr>
        <b/>
        <sz val="10"/>
        <color theme="1"/>
        <rFont val="굴림"/>
        <family val="3"/>
        <charset val="129"/>
      </rPr>
      <t>한국의 섬 테마존 조성</t>
    </r>
    <phoneticPr fontId="48" type="noConversion"/>
  </si>
  <si>
    <t xml:space="preserve"> ○ 국내·외 기관·기업·바이어 등 초청 유치 설명회 및 팸투어 : 48,000,000원*1식</t>
    <phoneticPr fontId="12" type="noConversion"/>
  </si>
  <si>
    <t xml:space="preserve"> ○ 국내·외 유치마케팅 대행 용역 : 200,000,000원*1식</t>
    <phoneticPr fontId="12" type="noConversion"/>
  </si>
  <si>
    <t xml:space="preserve"> ○ 국내외 유치마케팅 대행사 선정 심사수당 : 250,000원*9명*1회 </t>
    <phoneticPr fontId="12" type="noConversion"/>
  </si>
  <si>
    <t xml:space="preserve"> ○ 국내외 유치마케팅 대행사 선정 심사위원 교통비 등 기타실비 : 1,000,000원*1식</t>
    <phoneticPr fontId="12" type="noConversion"/>
  </si>
  <si>
    <t xml:space="preserve"> ○ 예비비 : 316,640,000원*1식</t>
    <phoneticPr fontId="12" type="noConversion"/>
  </si>
  <si>
    <t xml:space="preserve"> ○ 회계감사 및 세무조정 용역 : 28,000,000원*1식</t>
    <phoneticPr fontId="12" type="noConversion"/>
  </si>
  <si>
    <t xml:space="preserve"> ○ 인터넷 사용료 : 330,000원*12월</t>
    <phoneticPr fontId="12" type="noConversion"/>
  </si>
  <si>
    <t xml:space="preserve"> ○ 회계관계공무원 재정보증보험 : 1,000,000원*1식</t>
    <phoneticPr fontId="12" type="noConversion"/>
  </si>
  <si>
    <t xml:space="preserve"> ○ 조달청 이용 수수료 : 600,000원*1식</t>
    <phoneticPr fontId="12" type="noConversion"/>
  </si>
  <si>
    <t>647 기부금수익</t>
    <phoneticPr fontId="12" type="noConversion"/>
  </si>
  <si>
    <t>지출예산(세부사업) - 전시연출부</t>
    <phoneticPr fontId="12" type="noConversion"/>
  </si>
  <si>
    <t>기정액
(본예산)</t>
    <phoneticPr fontId="12" type="noConversion"/>
  </si>
  <si>
    <t>예산액
(제1회추경)</t>
    <phoneticPr fontId="12" type="noConversion"/>
  </si>
  <si>
    <t>예산액
(A)</t>
    <phoneticPr fontId="12" type="noConversion"/>
  </si>
  <si>
    <t>기정액(본예산)
(B)</t>
    <phoneticPr fontId="12" type="noConversion"/>
  </si>
  <si>
    <t>비교증감
(A-B)</t>
    <phoneticPr fontId="12" type="noConversion"/>
  </si>
  <si>
    <t xml:space="preserve"> ○ 사무총장 수행용 차량 임차비 : 1,000,000원*1대*10월</t>
    <phoneticPr fontId="12" type="noConversion"/>
  </si>
  <si>
    <t>추경1회</t>
    <phoneticPr fontId="12" type="noConversion"/>
  </si>
  <si>
    <t xml:space="preserve"> ○ 기관공통운영 국외업무여비 : 경정 120,000,000원</t>
    <phoneticPr fontId="12" type="noConversion"/>
  </si>
  <si>
    <t>박람회 기획</t>
    <phoneticPr fontId="48" type="noConversion"/>
  </si>
  <si>
    <t>300 경상이전</t>
    <phoneticPr fontId="12" type="noConversion"/>
  </si>
  <si>
    <t>303 포상금</t>
    <phoneticPr fontId="12" type="noConversion"/>
  </si>
  <si>
    <t>01 포상금</t>
    <phoneticPr fontId="12" type="noConversion"/>
  </si>
  <si>
    <t>[포상금]</t>
    <phoneticPr fontId="12" type="noConversion"/>
  </si>
  <si>
    <t>추경1회</t>
    <phoneticPr fontId="12" type="noConversion"/>
  </si>
  <si>
    <t xml:space="preserve"> ○ 2024년 직원 아이디어 경진대회 포상금 : 10,000,000원*1식</t>
    <phoneticPr fontId="12" type="noConversion"/>
  </si>
  <si>
    <t>박람회 임대사업</t>
    <phoneticPr fontId="48" type="noConversion"/>
  </si>
  <si>
    <t>추경1회</t>
    <phoneticPr fontId="12" type="noConversion"/>
  </si>
  <si>
    <t xml:space="preserve"> ○ 회의실 임차료 : 400,000원*5회</t>
    <phoneticPr fontId="12" type="noConversion"/>
  </si>
  <si>
    <t xml:space="preserve"> ○ 감정평가수수료 2,500,000원*2개소</t>
    <phoneticPr fontId="12" type="noConversion"/>
  </si>
  <si>
    <t>2026여수세계섬박람회 전시연출</t>
    <phoneticPr fontId="12" type="noConversion"/>
  </si>
  <si>
    <t>섬 테마존 조성 업무 추진</t>
    <phoneticPr fontId="48" type="noConversion"/>
  </si>
  <si>
    <t>추경1회</t>
    <phoneticPr fontId="12" type="noConversion"/>
  </si>
  <si>
    <t>추경1회</t>
    <phoneticPr fontId="12" type="noConversion"/>
  </si>
  <si>
    <t>[임차료]</t>
    <phoneticPr fontId="12" type="noConversion"/>
  </si>
  <si>
    <t xml:space="preserve"> ○ 제안서 평가위원 심사수당 : 250,000원*10명</t>
    <phoneticPr fontId="12" type="noConversion"/>
  </si>
  <si>
    <t xml:space="preserve"> ○ 제안서 평가위원 실비 : 1,000,000원*1식</t>
    <phoneticPr fontId="12" type="noConversion"/>
  </si>
  <si>
    <t xml:space="preserve"> ○ 회의실 임차료 : 400,000원*3회</t>
    <phoneticPr fontId="12" type="noConversion"/>
  </si>
  <si>
    <t>섬박람회 상징 아트포토존 조성 업무 추진</t>
    <phoneticPr fontId="48" type="noConversion"/>
  </si>
  <si>
    <t>추경1회</t>
    <phoneticPr fontId="12" type="noConversion"/>
  </si>
  <si>
    <t xml:space="preserve"> ○ 예비비 : 경정 380,240,000원</t>
    <phoneticPr fontId="12" type="noConversion"/>
  </si>
  <si>
    <t>추경1회</t>
    <phoneticPr fontId="12" type="noConversion"/>
  </si>
  <si>
    <t xml:space="preserve"> ○ 국내·외 유치마케팅 대행 용역 : 경정 0원</t>
    <phoneticPr fontId="12" type="noConversion"/>
  </si>
  <si>
    <t xml:space="preserve"> ○ 참가국, 기업 유치 및 운영 : 200,000,000원 * 1식</t>
    <phoneticPr fontId="12" type="noConversion"/>
  </si>
  <si>
    <t>추경1회</t>
    <phoneticPr fontId="12" type="noConversion"/>
  </si>
  <si>
    <t>추경1회</t>
    <phoneticPr fontId="12" type="noConversion"/>
  </si>
  <si>
    <t xml:space="preserve"> ○  2025 국제 섬 포럼 in Yeosu 개최 : 경정 170,000,000원</t>
    <phoneticPr fontId="12" type="noConversion"/>
  </si>
  <si>
    <t xml:space="preserve"> ○ 2025 국제 섬 포럼 in Yeosu 참가자 및 외빈 초청 : 170,000,000원*1식</t>
  </si>
  <si>
    <t xml:space="preserve"> ○ 2025 국제 섬 포럼 in Yeosu 참가자 및 외빈 초청 : 경정 116,750,000원*1식</t>
    <phoneticPr fontId="12" type="noConversion"/>
  </si>
  <si>
    <t xml:space="preserve"> ○ 국제 섬 포럼 in Yeosu 대행사 선정 심사수당 : 250,000원*9명</t>
    <phoneticPr fontId="12" type="noConversion"/>
  </si>
  <si>
    <t xml:space="preserve"> ○ 국제 섬 포럼 in Yeosu 대행사 선정 심사위원 교통비 등 기타실비 : 1,000,000원*1식</t>
    <phoneticPr fontId="12" type="noConversion"/>
  </si>
  <si>
    <t xml:space="preserve"> (재)2026여수세계섬박람회 조직위</t>
    <phoneticPr fontId="55" type="noConversion"/>
  </si>
  <si>
    <t>2025. 3.</t>
    <phoneticPr fontId="55" type="noConversion"/>
  </si>
  <si>
    <t>섬박람회 조직위원회 2025년도 제1회 추경예산서</t>
    <phoneticPr fontId="5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</si>
</sst>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-* #,##0_-;\-* #,##0_-;_-* &quot;-&quot;_-;_-@_-"/>
    <numFmt numFmtId="176" formatCode="#,##0;[Red]&quot;△&quot;#,##0;0"/>
    <numFmt numFmtId="177" formatCode="#,##0_ ;[Red]\-#,##0\ "/>
    <numFmt numFmtId="178" formatCode="#,##0_);[Red]\(#,##0\)"/>
    <numFmt numFmtId="179" formatCode="#,##0;[Red]&quot;△&quot;#,##0"/>
    <numFmt numFmtId="180" formatCode="#,##0_ "/>
    <numFmt numFmtId="181" formatCode="_-* #,##0.0_-;\-* #,##0.0_-;_-* &quot;-&quot;?_-;_-@_-"/>
    <numFmt numFmtId="182" formatCode="_-* #,##0_-;&quot;₩&quot;\!\-* #,##0_-;_-* &quot;-&quot;_-;_-@_-"/>
    <numFmt numFmtId="183" formatCode="mm&quot;월&quot;\ dd&quot;일&quot;"/>
    <numFmt numFmtId="184" formatCode="#,##0_);\(#,##0\)"/>
  </numFmts>
  <fonts count="6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굴림"/>
      <family val="3"/>
      <charset val="129"/>
    </font>
    <font>
      <sz val="10"/>
      <color rgb="FF000000"/>
      <name val="굴림"/>
      <family val="3"/>
      <charset val="129"/>
    </font>
    <font>
      <b/>
      <sz val="10"/>
      <color rgb="FF000000"/>
      <name val="굴림"/>
      <family val="3"/>
      <charset val="129"/>
    </font>
    <font>
      <sz val="10"/>
      <color rgb="FFFF0000"/>
      <name val="굴림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sz val="10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70C0"/>
      <name val="굴림"/>
      <family val="3"/>
      <charset val="129"/>
    </font>
    <font>
      <sz val="11"/>
      <color indexed="64"/>
      <name val="굴림"/>
      <family val="3"/>
      <charset val="129"/>
    </font>
    <font>
      <sz val="10"/>
      <color indexed="64"/>
      <name val="굴림"/>
      <family val="3"/>
      <charset val="129"/>
    </font>
    <font>
      <sz val="10"/>
      <color indexed="8"/>
      <name val="굴림"/>
      <family val="3"/>
      <charset val="129"/>
    </font>
    <font>
      <b/>
      <sz val="10"/>
      <color indexed="64"/>
      <name val="굴림"/>
      <family val="3"/>
      <charset val="129"/>
    </font>
    <font>
      <sz val="9"/>
      <color indexed="64"/>
      <name val="굴림"/>
      <family val="3"/>
      <charset val="129"/>
    </font>
    <font>
      <sz val="11"/>
      <color theme="1"/>
      <name val="돋움"/>
      <family val="3"/>
      <charset val="129"/>
    </font>
    <font>
      <b/>
      <sz val="11"/>
      <color indexed="64"/>
      <name val="굴림"/>
      <family val="3"/>
      <charset val="129"/>
    </font>
    <font>
      <sz val="11"/>
      <color indexed="8"/>
      <name val="맑은 고딕"/>
      <family val="3"/>
      <charset val="129"/>
    </font>
    <font>
      <sz val="9"/>
      <color theme="1"/>
      <name val="굴림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sz val="11"/>
      <color rgb="FFFA7D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8"/>
      <color rgb="FF1C3D62"/>
      <name val="맑은 고딕"/>
      <family val="3"/>
      <charset val="129"/>
    </font>
    <font>
      <b/>
      <sz val="15"/>
      <color rgb="FF1C3D62"/>
      <name val="맑은 고딕"/>
      <family val="3"/>
      <charset val="129"/>
    </font>
    <font>
      <b/>
      <sz val="13"/>
      <color rgb="FF1C3D62"/>
      <name val="맑은 고딕"/>
      <family val="3"/>
      <charset val="129"/>
    </font>
    <font>
      <b/>
      <sz val="11"/>
      <color rgb="FF1C3D62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3"/>
      <charset val="129"/>
    </font>
    <font>
      <b/>
      <sz val="10"/>
      <color rgb="FFFF0000"/>
      <name val="굴림"/>
      <family val="3"/>
      <charset val="129"/>
    </font>
    <font>
      <b/>
      <sz val="10"/>
      <color theme="1"/>
      <name val="맑은 고딕 Semilight"/>
      <family val="3"/>
      <charset val="129"/>
    </font>
    <font>
      <sz val="11"/>
      <name val="맑은 고딕"/>
      <family val="3"/>
      <charset val="129"/>
    </font>
    <font>
      <sz val="10"/>
      <color rgb="FF0000FF"/>
      <name val="굴림"/>
      <family val="3"/>
      <charset val="129"/>
    </font>
    <font>
      <b/>
      <sz val="18"/>
      <name val="맑은 고딕"/>
      <family val="3"/>
      <charset val="129"/>
      <scheme val="major"/>
    </font>
    <font>
      <sz val="8"/>
      <name val="굴림"/>
      <family val="3"/>
      <charset val="129"/>
    </font>
    <font>
      <sz val="28"/>
      <name val="HY헤드라인M"/>
      <family val="1"/>
      <charset val="129"/>
    </font>
    <font>
      <sz val="12"/>
      <color rgb="FFFF0000"/>
      <name val="굴림"/>
      <family val="3"/>
      <charset val="129"/>
    </font>
    <font>
      <b/>
      <sz val="20"/>
      <name val="HY견명조"/>
      <family val="1"/>
      <charset val="129"/>
    </font>
    <font>
      <b/>
      <sz val="16"/>
      <color rgb="FF0000FF"/>
      <name val="함초롬돋움"/>
      <family val="3"/>
      <charset val="129"/>
    </font>
    <font>
      <b/>
      <sz val="22"/>
      <color theme="2" tint="-0.749992370372631"/>
      <name val="HY견고딕"/>
      <family val="1"/>
      <charset val="129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0DEEF"/>
        <bgColor indexed="64"/>
      </patternFill>
    </fill>
    <fill>
      <patternFill patternType="solid">
        <fgColor rgb="FFEABCD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3DCDC"/>
        <bgColor indexed="64"/>
      </patternFill>
    </fill>
    <fill>
      <patternFill patternType="solid">
        <fgColor rgb="FFFBEFD4"/>
        <bgColor indexed="64"/>
      </patternFill>
    </fill>
    <fill>
      <patternFill patternType="solid">
        <fgColor rgb="FFE1EFD3"/>
        <bgColor indexed="64"/>
      </patternFill>
    </fill>
    <fill>
      <patternFill patternType="solid">
        <fgColor rgb="FFD2EBEE"/>
        <bgColor indexed="64"/>
      </patternFill>
    </fill>
    <fill>
      <patternFill patternType="solid">
        <fgColor rgb="FFF4DEEE"/>
        <bgColor indexed="64"/>
      </patternFill>
    </fill>
    <fill>
      <patternFill patternType="solid">
        <fgColor rgb="FFA2BEE0"/>
        <bgColor indexed="64"/>
      </patternFill>
    </fill>
    <fill>
      <patternFill patternType="solid">
        <fgColor rgb="FFE9B9B9"/>
        <bgColor indexed="64"/>
      </patternFill>
    </fill>
    <fill>
      <patternFill patternType="solid">
        <fgColor rgb="FFF6DFAA"/>
        <bgColor indexed="64"/>
      </patternFill>
    </fill>
    <fill>
      <patternFill patternType="solid">
        <fgColor rgb="FFC3E0A6"/>
        <bgColor indexed="64"/>
      </patternFill>
    </fill>
    <fill>
      <patternFill patternType="solid">
        <fgColor rgb="FFA3D7DE"/>
        <bgColor indexed="64"/>
      </patternFill>
    </fill>
    <fill>
      <patternFill patternType="solid">
        <fgColor rgb="FF729DD2"/>
        <bgColor indexed="64"/>
      </patternFill>
    </fill>
    <fill>
      <patternFill patternType="solid">
        <fgColor rgb="FFDD9797"/>
        <bgColor indexed="64"/>
      </patternFill>
    </fill>
    <fill>
      <patternFill patternType="solid">
        <fgColor rgb="FFF2CE80"/>
        <bgColor indexed="64"/>
      </patternFill>
    </fill>
    <fill>
      <patternFill patternType="solid">
        <fgColor rgb="FFA5D07A"/>
        <bgColor indexed="64"/>
      </patternFill>
    </fill>
    <fill>
      <patternFill patternType="solid">
        <fgColor rgb="FF76C3CD"/>
        <bgColor indexed="64"/>
      </patternFill>
    </fill>
    <fill>
      <patternFill patternType="solid">
        <fgColor rgb="FFDF9ACA"/>
        <bgColor indexed="64"/>
      </patternFill>
    </fill>
    <fill>
      <patternFill patternType="solid">
        <fgColor rgb="FF315F97"/>
        <bgColor indexed="64"/>
      </patternFill>
    </fill>
    <fill>
      <patternFill patternType="solid">
        <fgColor rgb="FFC75252"/>
        <bgColor indexed="64"/>
      </patternFill>
    </fill>
    <fill>
      <patternFill patternType="solid">
        <fgColor rgb="FFE9AE2B"/>
        <bgColor indexed="64"/>
      </patternFill>
    </fill>
    <fill>
      <patternFill patternType="solid">
        <fgColor rgb="FF699B37"/>
        <bgColor indexed="64"/>
      </patternFill>
    </fill>
    <fill>
      <patternFill patternType="solid">
        <fgColor rgb="FF358791"/>
        <bgColor indexed="64"/>
      </patternFill>
    </fill>
    <fill>
      <patternFill patternType="solid">
        <fgColor rgb="FFCA56A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7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315F97"/>
      </top>
      <bottom style="double">
        <color rgb="FF315F97"/>
      </bottom>
      <diagonal/>
    </border>
    <border>
      <left/>
      <right/>
      <top/>
      <bottom style="thick">
        <color rgb="FF315F97"/>
      </bottom>
      <diagonal/>
    </border>
    <border>
      <left/>
      <right/>
      <top/>
      <bottom style="thick">
        <color rgb="FF8BAED9"/>
      </bottom>
      <diagonal/>
    </border>
    <border>
      <left/>
      <right/>
      <top/>
      <bottom style="medium">
        <color rgb="FF729DD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/>
      <bottom style="hair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93">
    <xf numFmtId="0" fontId="0" fillId="0" borderId="0">
      <alignment vertical="center"/>
    </xf>
    <xf numFmtId="41" fontId="11" fillId="0" borderId="0">
      <alignment vertical="center"/>
    </xf>
    <xf numFmtId="0" fontId="6" fillId="0" borderId="0"/>
    <xf numFmtId="41" fontId="6" fillId="0" borderId="0"/>
    <xf numFmtId="41" fontId="11" fillId="0" borderId="0">
      <alignment vertical="center"/>
    </xf>
    <xf numFmtId="0" fontId="11" fillId="0" borderId="0">
      <alignment vertical="center"/>
    </xf>
    <xf numFmtId="41" fontId="6" fillId="0" borderId="0"/>
    <xf numFmtId="0" fontId="11" fillId="0" borderId="0">
      <alignment vertical="center"/>
    </xf>
    <xf numFmtId="9" fontId="6" fillId="0" borderId="0"/>
    <xf numFmtId="0" fontId="13" fillId="0" borderId="0"/>
    <xf numFmtId="41" fontId="13" fillId="0" borderId="0" applyFont="0" applyFill="0" applyBorder="0" applyAlignment="0" applyProtection="0"/>
    <xf numFmtId="0" fontId="13" fillId="0" borderId="0"/>
    <xf numFmtId="41" fontId="13" fillId="0" borderId="0" applyFont="0" applyFill="0" applyBorder="0" applyAlignment="0" applyProtection="0"/>
    <xf numFmtId="0" fontId="21" fillId="0" borderId="0">
      <alignment vertical="center"/>
    </xf>
    <xf numFmtId="41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13" fillId="0" borderId="0"/>
    <xf numFmtId="0" fontId="30" fillId="0" borderId="0">
      <alignment vertical="center"/>
    </xf>
    <xf numFmtId="0" fontId="5" fillId="0" borderId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182" fontId="13" fillId="0" borderId="0" applyFont="0" applyFill="0" applyBorder="0" applyAlignment="0" applyProtection="0"/>
    <xf numFmtId="0" fontId="13" fillId="0" borderId="0"/>
    <xf numFmtId="0" fontId="13" fillId="0" borderId="0"/>
    <xf numFmtId="0" fontId="30" fillId="4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6" fillId="6" borderId="52" applyNumberFormat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13" fillId="7" borderId="56" applyNumberFormat="0" applyFont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4" fillId="33" borderId="55" applyNumberFormat="0" applyAlignment="0" applyProtection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40" fillId="0" borderId="54" applyNumberFormat="0" applyFill="0" applyAlignment="0" applyProtection="0">
      <alignment vertical="center"/>
    </xf>
    <xf numFmtId="0" fontId="35" fillId="0" borderId="57" applyNumberFormat="0" applyFill="0" applyAlignment="0" applyProtection="0">
      <alignment vertical="center"/>
    </xf>
    <xf numFmtId="0" fontId="41" fillId="8" borderId="52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58" applyNumberFormat="0" applyFill="0" applyAlignment="0" applyProtection="0">
      <alignment vertical="center"/>
    </xf>
    <xf numFmtId="0" fontId="44" fillId="0" borderId="59" applyNumberFormat="0" applyFill="0" applyAlignment="0" applyProtection="0">
      <alignment vertical="center"/>
    </xf>
    <xf numFmtId="0" fontId="45" fillId="0" borderId="60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7" fillId="6" borderId="53" applyNumberFormat="0" applyAlignment="0" applyProtection="0">
      <alignment vertical="center"/>
    </xf>
    <xf numFmtId="0" fontId="3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0" fontId="3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1" fontId="11" fillId="0" borderId="0" applyFont="0" applyFill="0" applyBorder="0" applyAlignment="0" applyProtection="0">
      <alignment vertical="center"/>
    </xf>
  </cellStyleXfs>
  <cellXfs count="460">
    <xf numFmtId="0" fontId="0" fillId="0" borderId="0" xfId="0" applyNumberFormat="1">
      <alignment vertical="center"/>
    </xf>
    <xf numFmtId="0" fontId="8" fillId="0" borderId="0" xfId="2" applyNumberFormat="1" applyFont="1" applyBorder="1" applyAlignment="1">
      <alignment vertical="center"/>
    </xf>
    <xf numFmtId="0" fontId="8" fillId="0" borderId="0" xfId="3" applyNumberFormat="1" applyFont="1" applyFill="1" applyBorder="1" applyAlignment="1">
      <alignment horizontal="center" vertical="center"/>
    </xf>
    <xf numFmtId="0" fontId="7" fillId="0" borderId="0" xfId="2" applyNumberFormat="1" applyFont="1" applyFill="1" applyBorder="1" applyAlignment="1">
      <alignment vertical="center"/>
    </xf>
    <xf numFmtId="0" fontId="7" fillId="0" borderId="0" xfId="2" applyNumberFormat="1" applyFont="1" applyFill="1" applyBorder="1" applyAlignment="1">
      <alignment horizontal="center" vertical="center"/>
    </xf>
    <xf numFmtId="41" fontId="7" fillId="0" borderId="0" xfId="2" applyNumberFormat="1" applyFont="1" applyFill="1" applyBorder="1" applyAlignment="1">
      <alignment horizontal="right" vertical="center"/>
    </xf>
    <xf numFmtId="0" fontId="8" fillId="0" borderId="2" xfId="2" applyNumberFormat="1" applyFont="1" applyFill="1" applyBorder="1" applyAlignment="1">
      <alignment vertical="center"/>
    </xf>
    <xf numFmtId="0" fontId="8" fillId="0" borderId="3" xfId="2" applyNumberFormat="1" applyFont="1" applyFill="1" applyBorder="1" applyAlignment="1">
      <alignment vertical="center"/>
    </xf>
    <xf numFmtId="177" fontId="7" fillId="0" borderId="0" xfId="1" applyNumberFormat="1" applyFont="1" applyFill="1" applyBorder="1" applyAlignment="1">
      <alignment horizontal="center" vertical="center"/>
    </xf>
    <xf numFmtId="176" fontId="9" fillId="0" borderId="7" xfId="3" applyNumberFormat="1" applyFont="1" applyFill="1" applyBorder="1" applyAlignment="1">
      <alignment horizontal="right" vertical="center"/>
    </xf>
    <xf numFmtId="0" fontId="8" fillId="0" borderId="16" xfId="2" applyNumberFormat="1" applyFont="1" applyFill="1" applyBorder="1" applyAlignment="1">
      <alignment vertical="center"/>
    </xf>
    <xf numFmtId="177" fontId="8" fillId="0" borderId="0" xfId="1" applyNumberFormat="1" applyFont="1" applyFill="1" applyBorder="1" applyAlignment="1">
      <alignment horizontal="center" vertical="center"/>
    </xf>
    <xf numFmtId="41" fontId="8" fillId="0" borderId="0" xfId="3" applyNumberFormat="1" applyFont="1" applyFill="1" applyBorder="1" applyAlignment="1">
      <alignment horizontal="right" vertical="center"/>
    </xf>
    <xf numFmtId="0" fontId="7" fillId="0" borderId="0" xfId="2" applyNumberFormat="1" applyFont="1" applyFill="1" applyBorder="1" applyAlignment="1">
      <alignment horizontal="left" vertical="center"/>
    </xf>
    <xf numFmtId="178" fontId="25" fillId="0" borderId="0" xfId="11" applyNumberFormat="1" applyFont="1" applyFill="1" applyBorder="1" applyAlignment="1">
      <alignment vertical="center"/>
    </xf>
    <xf numFmtId="177" fontId="22" fillId="0" borderId="0" xfId="11" applyNumberFormat="1" applyFont="1" applyFill="1" applyBorder="1" applyAlignment="1">
      <alignment vertical="center" shrinkToFit="1"/>
    </xf>
    <xf numFmtId="181" fontId="24" fillId="0" borderId="0" xfId="12" applyNumberFormat="1" applyFont="1" applyFill="1" applyBorder="1" applyAlignment="1">
      <alignment vertical="center" shrinkToFit="1"/>
    </xf>
    <xf numFmtId="178" fontId="24" fillId="0" borderId="0" xfId="11" applyNumberFormat="1" applyFont="1" applyFill="1" applyBorder="1" applyAlignment="1">
      <alignment vertical="center" shrinkToFit="1"/>
    </xf>
    <xf numFmtId="41" fontId="23" fillId="0" borderId="0" xfId="12" applyFont="1" applyFill="1" applyAlignment="1">
      <alignment vertical="center"/>
    </xf>
    <xf numFmtId="41" fontId="23" fillId="0" borderId="0" xfId="12" applyFont="1" applyFill="1" applyAlignment="1">
      <alignment horizontal="center" vertical="center"/>
    </xf>
    <xf numFmtId="0" fontId="23" fillId="2" borderId="0" xfId="11" applyFont="1" applyFill="1" applyAlignment="1">
      <alignment vertical="center"/>
    </xf>
    <xf numFmtId="0" fontId="27" fillId="0" borderId="0" xfId="11" applyFont="1" applyAlignment="1">
      <alignment vertical="center"/>
    </xf>
    <xf numFmtId="41" fontId="27" fillId="0" borderId="0" xfId="12" applyFont="1" applyFill="1" applyAlignment="1">
      <alignment vertical="center"/>
    </xf>
    <xf numFmtId="176" fontId="27" fillId="0" borderId="0" xfId="12" applyNumberFormat="1" applyFont="1" applyFill="1" applyAlignment="1">
      <alignment vertical="center"/>
    </xf>
    <xf numFmtId="177" fontId="16" fillId="0" borderId="0" xfId="0" applyNumberFormat="1" applyFont="1" applyAlignment="1">
      <alignment vertical="center"/>
    </xf>
    <xf numFmtId="177" fontId="17" fillId="0" borderId="0" xfId="0" applyNumberFormat="1" applyFont="1" applyAlignment="1">
      <alignment vertical="center"/>
    </xf>
    <xf numFmtId="177" fontId="17" fillId="0" borderId="0" xfId="12" applyNumberFormat="1" applyFont="1" applyAlignment="1">
      <alignment vertical="center"/>
    </xf>
    <xf numFmtId="177" fontId="14" fillId="0" borderId="20" xfId="0" applyNumberFormat="1" applyFont="1" applyBorder="1" applyAlignment="1">
      <alignment vertical="center"/>
    </xf>
    <xf numFmtId="177" fontId="14" fillId="0" borderId="0" xfId="12" applyNumberFormat="1" applyFont="1" applyAlignment="1">
      <alignment horizontal="right" vertical="center"/>
    </xf>
    <xf numFmtId="177" fontId="15" fillId="3" borderId="46" xfId="0" applyNumberFormat="1" applyFont="1" applyFill="1" applyBorder="1" applyAlignment="1">
      <alignment horizontal="center" vertical="center"/>
    </xf>
    <xf numFmtId="177" fontId="18" fillId="2" borderId="27" xfId="0" applyNumberFormat="1" applyFont="1" applyFill="1" applyBorder="1" applyAlignment="1">
      <alignment vertical="center"/>
    </xf>
    <xf numFmtId="0" fontId="23" fillId="0" borderId="0" xfId="11" applyFont="1" applyAlignment="1">
      <alignment vertical="center"/>
    </xf>
    <xf numFmtId="0" fontId="24" fillId="0" borderId="0" xfId="11" applyFont="1" applyAlignment="1">
      <alignment vertical="center"/>
    </xf>
    <xf numFmtId="0" fontId="19" fillId="0" borderId="27" xfId="65" applyNumberFormat="1" applyFont="1" applyFill="1" applyBorder="1" applyAlignment="1">
      <alignment horizontal="left" vertical="center"/>
    </xf>
    <xf numFmtId="41" fontId="19" fillId="0" borderId="15" xfId="65" applyFont="1" applyFill="1" applyBorder="1" applyAlignment="1">
      <alignment vertical="center"/>
    </xf>
    <xf numFmtId="0" fontId="20" fillId="0" borderId="6" xfId="65" applyNumberFormat="1" applyFont="1" applyFill="1" applyBorder="1" applyAlignment="1">
      <alignment horizontal="center" vertical="center" shrinkToFit="1"/>
    </xf>
    <xf numFmtId="0" fontId="20" fillId="0" borderId="1" xfId="65" applyNumberFormat="1" applyFont="1" applyFill="1" applyBorder="1" applyAlignment="1">
      <alignment horizontal="center" vertical="center" shrinkToFit="1"/>
    </xf>
    <xf numFmtId="41" fontId="24" fillId="0" borderId="15" xfId="65" applyNumberFormat="1" applyFont="1" applyFill="1" applyBorder="1" applyAlignment="1">
      <alignment horizontal="right" vertical="center"/>
    </xf>
    <xf numFmtId="179" fontId="15" fillId="0" borderId="3" xfId="65" applyNumberFormat="1" applyFont="1" applyFill="1" applyBorder="1" applyAlignment="1">
      <alignment horizontal="right" vertical="center"/>
    </xf>
    <xf numFmtId="0" fontId="13" fillId="0" borderId="0" xfId="11" applyNumberFormat="1" applyFill="1"/>
    <xf numFmtId="0" fontId="29" fillId="0" borderId="0" xfId="11" applyNumberFormat="1" applyFont="1" applyFill="1" applyAlignment="1">
      <alignment vertical="center"/>
    </xf>
    <xf numFmtId="0" fontId="20" fillId="0" borderId="1" xfId="11" applyNumberFormat="1" applyFont="1" applyFill="1" applyBorder="1" applyAlignment="1">
      <alignment horizontal="center" vertical="center"/>
    </xf>
    <xf numFmtId="0" fontId="20" fillId="0" borderId="0" xfId="11" applyNumberFormat="1" applyFont="1" applyFill="1" applyBorder="1" applyAlignment="1">
      <alignment horizontal="center" vertical="center"/>
    </xf>
    <xf numFmtId="0" fontId="10" fillId="0" borderId="0" xfId="11" applyNumberFormat="1" applyFont="1" applyFill="1" applyAlignment="1">
      <alignment vertical="center"/>
    </xf>
    <xf numFmtId="0" fontId="24" fillId="0" borderId="44" xfId="11" applyNumberFormat="1" applyFont="1" applyFill="1" applyBorder="1" applyAlignment="1">
      <alignment vertical="center"/>
    </xf>
    <xf numFmtId="179" fontId="24" fillId="0" borderId="2" xfId="65" applyNumberFormat="1" applyFont="1" applyFill="1" applyBorder="1" applyAlignment="1">
      <alignment horizontal="right" vertical="center"/>
    </xf>
    <xf numFmtId="179" fontId="24" fillId="0" borderId="8" xfId="65" applyNumberFormat="1" applyFont="1" applyFill="1" applyBorder="1" applyAlignment="1">
      <alignment horizontal="right" vertical="center"/>
    </xf>
    <xf numFmtId="179" fontId="15" fillId="0" borderId="2" xfId="65" applyNumberFormat="1" applyFont="1" applyFill="1" applyBorder="1" applyAlignment="1">
      <alignment horizontal="right" vertical="center"/>
    </xf>
    <xf numFmtId="0" fontId="20" fillId="0" borderId="1" xfId="11" applyFont="1" applyFill="1" applyBorder="1" applyAlignment="1">
      <alignment horizontal="center" vertical="center"/>
    </xf>
    <xf numFmtId="0" fontId="20" fillId="0" borderId="0" xfId="65" applyNumberFormat="1" applyFont="1" applyFill="1" applyBorder="1" applyAlignment="1">
      <alignment horizontal="center" vertical="center" shrinkToFit="1"/>
    </xf>
    <xf numFmtId="41" fontId="24" fillId="0" borderId="27" xfId="65" applyNumberFormat="1" applyFont="1" applyFill="1" applyBorder="1" applyAlignment="1">
      <alignment vertical="center"/>
    </xf>
    <xf numFmtId="41" fontId="24" fillId="0" borderId="1" xfId="65" applyNumberFormat="1" applyFont="1" applyFill="1" applyBorder="1" applyAlignment="1">
      <alignment horizontal="center" vertical="center"/>
    </xf>
    <xf numFmtId="0" fontId="15" fillId="0" borderId="0" xfId="11" applyNumberFormat="1" applyFont="1" applyAlignment="1">
      <alignment vertical="center"/>
    </xf>
    <xf numFmtId="0" fontId="20" fillId="0" borderId="16" xfId="11" applyFont="1" applyBorder="1" applyAlignment="1">
      <alignment vertical="center"/>
    </xf>
    <xf numFmtId="0" fontId="20" fillId="0" borderId="2" xfId="17" applyFont="1" applyBorder="1" applyAlignment="1">
      <alignment vertical="center"/>
    </xf>
    <xf numFmtId="0" fontId="20" fillId="0" borderId="2" xfId="11" applyFont="1" applyBorder="1" applyAlignment="1">
      <alignment vertical="center"/>
    </xf>
    <xf numFmtId="41" fontId="20" fillId="2" borderId="5" xfId="65" applyNumberFormat="1" applyFont="1" applyFill="1" applyBorder="1" applyAlignment="1">
      <alignment horizontal="center" vertical="center" shrinkToFit="1"/>
    </xf>
    <xf numFmtId="41" fontId="19" fillId="2" borderId="15" xfId="65" applyFont="1" applyFill="1" applyBorder="1" applyAlignment="1">
      <alignment horizontal="right" vertical="center"/>
    </xf>
    <xf numFmtId="0" fontId="15" fillId="0" borderId="0" xfId="11" applyFont="1" applyAlignment="1">
      <alignment vertical="center"/>
    </xf>
    <xf numFmtId="0" fontId="15" fillId="0" borderId="0" xfId="11" applyFont="1" applyBorder="1" applyAlignment="1">
      <alignment vertical="center"/>
    </xf>
    <xf numFmtId="0" fontId="24" fillId="0" borderId="0" xfId="11" applyNumberFormat="1" applyFont="1" applyFill="1" applyAlignment="1">
      <alignment vertical="center"/>
    </xf>
    <xf numFmtId="0" fontId="24" fillId="0" borderId="0" xfId="11" applyNumberFormat="1" applyFont="1" applyFill="1" applyBorder="1" applyAlignment="1">
      <alignment vertical="center"/>
    </xf>
    <xf numFmtId="0" fontId="24" fillId="0" borderId="16" xfId="11" applyNumberFormat="1" applyFont="1" applyFill="1" applyBorder="1" applyAlignment="1">
      <alignment vertical="center"/>
    </xf>
    <xf numFmtId="0" fontId="24" fillId="0" borderId="3" xfId="11" applyNumberFormat="1" applyFont="1" applyFill="1" applyBorder="1" applyAlignment="1">
      <alignment vertical="center"/>
    </xf>
    <xf numFmtId="0" fontId="24" fillId="0" borderId="2" xfId="11" applyNumberFormat="1" applyFont="1" applyFill="1" applyBorder="1" applyAlignment="1">
      <alignment vertical="center"/>
    </xf>
    <xf numFmtId="0" fontId="24" fillId="0" borderId="0" xfId="11" applyNumberFormat="1" applyFont="1" applyFill="1" applyBorder="1" applyAlignment="1">
      <alignment horizontal="center" vertical="center"/>
    </xf>
    <xf numFmtId="0" fontId="24" fillId="0" borderId="8" xfId="11" applyNumberFormat="1" applyFont="1" applyFill="1" applyBorder="1" applyAlignment="1">
      <alignment vertical="center"/>
    </xf>
    <xf numFmtId="0" fontId="24" fillId="0" borderId="26" xfId="11" applyNumberFormat="1" applyFont="1" applyFill="1" applyBorder="1" applyAlignment="1">
      <alignment vertical="center"/>
    </xf>
    <xf numFmtId="0" fontId="24" fillId="0" borderId="19" xfId="11" applyNumberFormat="1" applyFont="1" applyFill="1" applyBorder="1" applyAlignment="1">
      <alignment vertical="center"/>
    </xf>
    <xf numFmtId="0" fontId="24" fillId="0" borderId="9" xfId="11" applyNumberFormat="1" applyFont="1" applyFill="1" applyBorder="1" applyAlignment="1">
      <alignment vertical="center"/>
    </xf>
    <xf numFmtId="179" fontId="20" fillId="0" borderId="8" xfId="65" applyNumberFormat="1" applyFont="1" applyFill="1" applyBorder="1" applyAlignment="1">
      <alignment horizontal="right" vertical="center"/>
    </xf>
    <xf numFmtId="179" fontId="20" fillId="0" borderId="7" xfId="65" applyNumberFormat="1" applyFont="1" applyFill="1" applyBorder="1" applyAlignment="1">
      <alignment horizontal="right" vertical="center"/>
    </xf>
    <xf numFmtId="179" fontId="20" fillId="0" borderId="3" xfId="65" applyNumberFormat="1" applyFont="1" applyFill="1" applyBorder="1" applyAlignment="1">
      <alignment horizontal="right" vertical="center"/>
    </xf>
    <xf numFmtId="179" fontId="20" fillId="0" borderId="2" xfId="65" applyNumberFormat="1" applyFont="1" applyFill="1" applyBorder="1" applyAlignment="1">
      <alignment horizontal="right" vertical="center"/>
    </xf>
    <xf numFmtId="179" fontId="20" fillId="0" borderId="31" xfId="65" applyNumberFormat="1" applyFont="1" applyFill="1" applyBorder="1" applyAlignment="1">
      <alignment horizontal="right" vertical="center"/>
    </xf>
    <xf numFmtId="179" fontId="20" fillId="0" borderId="26" xfId="65" applyNumberFormat="1" applyFont="1" applyFill="1" applyBorder="1" applyAlignment="1">
      <alignment horizontal="right" vertical="center"/>
    </xf>
    <xf numFmtId="179" fontId="20" fillId="0" borderId="9" xfId="65" applyNumberFormat="1" applyFont="1" applyFill="1" applyBorder="1" applyAlignment="1">
      <alignment horizontal="right" vertical="center"/>
    </xf>
    <xf numFmtId="41" fontId="31" fillId="0" borderId="0" xfId="12" applyFont="1" applyFill="1" applyAlignment="1">
      <alignment vertical="center"/>
    </xf>
    <xf numFmtId="41" fontId="20" fillId="0" borderId="5" xfId="3" applyNumberFormat="1" applyFont="1" applyFill="1" applyBorder="1" applyAlignment="1">
      <alignment horizontal="left" vertical="center"/>
    </xf>
    <xf numFmtId="41" fontId="20" fillId="0" borderId="5" xfId="3" applyNumberFormat="1" applyFont="1" applyFill="1" applyBorder="1" applyAlignment="1">
      <alignment horizontal="center" vertical="center"/>
    </xf>
    <xf numFmtId="41" fontId="20" fillId="0" borderId="11" xfId="3" applyNumberFormat="1" applyFont="1" applyFill="1" applyBorder="1" applyAlignment="1">
      <alignment horizontal="right" vertical="center"/>
    </xf>
    <xf numFmtId="0" fontId="20" fillId="0" borderId="0" xfId="3" applyNumberFormat="1" applyFont="1" applyFill="1" applyBorder="1" applyAlignment="1">
      <alignment horizontal="left" vertical="center"/>
    </xf>
    <xf numFmtId="41" fontId="19" fillId="0" borderId="15" xfId="3" applyNumberFormat="1" applyFont="1" applyFill="1" applyBorder="1" applyAlignment="1">
      <alignment vertical="center"/>
    </xf>
    <xf numFmtId="0" fontId="19" fillId="0" borderId="0" xfId="2" applyNumberFormat="1" applyFont="1" applyBorder="1" applyAlignment="1">
      <alignment horizontal="left" vertical="center" shrinkToFit="1"/>
    </xf>
    <xf numFmtId="0" fontId="19" fillId="0" borderId="6" xfId="2" applyNumberFormat="1" applyFont="1" applyFill="1" applyBorder="1" applyAlignment="1">
      <alignment horizontal="left" vertical="center" shrinkToFit="1"/>
    </xf>
    <xf numFmtId="177" fontId="15" fillId="3" borderId="39" xfId="0" applyNumberFormat="1" applyFont="1" applyFill="1" applyBorder="1" applyAlignment="1">
      <alignment horizontal="center" vertical="center"/>
    </xf>
    <xf numFmtId="0" fontId="29" fillId="0" borderId="0" xfId="11" applyNumberFormat="1" applyFont="1" applyFill="1" applyBorder="1" applyAlignment="1">
      <alignment vertical="center"/>
    </xf>
    <xf numFmtId="0" fontId="24" fillId="3" borderId="51" xfId="11" applyNumberFormat="1" applyFont="1" applyFill="1" applyBorder="1" applyAlignment="1">
      <alignment horizontal="center" vertical="center"/>
    </xf>
    <xf numFmtId="0" fontId="24" fillId="3" borderId="37" xfId="11" applyNumberFormat="1" applyFont="1" applyFill="1" applyBorder="1" applyAlignment="1">
      <alignment horizontal="center" vertical="center"/>
    </xf>
    <xf numFmtId="176" fontId="19" fillId="0" borderId="7" xfId="3" applyNumberFormat="1" applyFont="1" applyFill="1" applyBorder="1" applyAlignment="1">
      <alignment horizontal="right" vertical="center"/>
    </xf>
    <xf numFmtId="176" fontId="18" fillId="0" borderId="7" xfId="3" applyNumberFormat="1" applyFont="1" applyFill="1" applyBorder="1" applyAlignment="1">
      <alignment horizontal="right" vertical="center"/>
    </xf>
    <xf numFmtId="0" fontId="19" fillId="0" borderId="6" xfId="2" applyNumberFormat="1" applyFont="1" applyFill="1" applyBorder="1" applyAlignment="1">
      <alignment horizontal="center" vertical="center"/>
    </xf>
    <xf numFmtId="176" fontId="19" fillId="0" borderId="8" xfId="3" applyNumberFormat="1" applyFont="1" applyFill="1" applyBorder="1" applyAlignment="1">
      <alignment horizontal="right" vertical="center"/>
    </xf>
    <xf numFmtId="176" fontId="18" fillId="0" borderId="8" xfId="3" applyNumberFormat="1" applyFont="1" applyFill="1" applyBorder="1" applyAlignment="1">
      <alignment horizontal="right" vertical="center"/>
    </xf>
    <xf numFmtId="0" fontId="20" fillId="0" borderId="0" xfId="17" applyFont="1" applyFill="1" applyBorder="1" applyAlignment="1">
      <alignment horizontal="center" vertical="center" shrinkToFit="1"/>
    </xf>
    <xf numFmtId="38" fontId="15" fillId="0" borderId="0" xfId="11" applyNumberFormat="1" applyFont="1" applyFill="1" applyBorder="1" applyAlignment="1">
      <alignment vertical="center"/>
    </xf>
    <xf numFmtId="179" fontId="15" fillId="0" borderId="7" xfId="65" applyNumberFormat="1" applyFont="1" applyFill="1" applyBorder="1" applyAlignment="1">
      <alignment horizontal="right" vertical="center"/>
    </xf>
    <xf numFmtId="38" fontId="15" fillId="0" borderId="0" xfId="11" applyNumberFormat="1" applyFont="1" applyFill="1" applyAlignment="1">
      <alignment vertical="center"/>
    </xf>
    <xf numFmtId="178" fontId="20" fillId="0" borderId="2" xfId="10" applyNumberFormat="1" applyFont="1" applyBorder="1" applyAlignment="1">
      <alignment horizontal="right" vertical="center"/>
    </xf>
    <xf numFmtId="0" fontId="15" fillId="0" borderId="0" xfId="5" applyNumberFormat="1" applyFont="1" applyAlignment="1">
      <alignment vertical="center"/>
    </xf>
    <xf numFmtId="179" fontId="20" fillId="0" borderId="2" xfId="10" applyNumberFormat="1" applyFont="1" applyBorder="1" applyAlignment="1">
      <alignment vertical="center"/>
    </xf>
    <xf numFmtId="178" fontId="20" fillId="0" borderId="8" xfId="10" applyNumberFormat="1" applyFont="1" applyBorder="1" applyAlignment="1">
      <alignment horizontal="right" vertical="center"/>
    </xf>
    <xf numFmtId="178" fontId="20" fillId="0" borderId="26" xfId="12" applyNumberFormat="1" applyFont="1" applyBorder="1" applyAlignment="1">
      <alignment vertical="center"/>
    </xf>
    <xf numFmtId="0" fontId="20" fillId="0" borderId="2" xfId="5" applyFont="1" applyBorder="1" applyAlignment="1">
      <alignment vertical="center"/>
    </xf>
    <xf numFmtId="178" fontId="20" fillId="0" borderId="2" xfId="12" applyNumberFormat="1" applyFont="1" applyBorder="1" applyAlignment="1">
      <alignment vertical="center"/>
    </xf>
    <xf numFmtId="176" fontId="20" fillId="0" borderId="2" xfId="12" applyNumberFormat="1" applyFont="1" applyBorder="1" applyAlignment="1">
      <alignment vertical="center"/>
    </xf>
    <xf numFmtId="178" fontId="20" fillId="0" borderId="8" xfId="12" applyNumberFormat="1" applyFont="1" applyBorder="1" applyAlignment="1">
      <alignment vertical="center"/>
    </xf>
    <xf numFmtId="0" fontId="20" fillId="0" borderId="3" xfId="5" applyFont="1" applyBorder="1" applyAlignment="1">
      <alignment vertical="center"/>
    </xf>
    <xf numFmtId="176" fontId="18" fillId="2" borderId="7" xfId="12" applyNumberFormat="1" applyFont="1" applyFill="1" applyBorder="1" applyAlignment="1">
      <alignment vertical="center"/>
    </xf>
    <xf numFmtId="176" fontId="18" fillId="2" borderId="3" xfId="12" applyNumberFormat="1" applyFont="1" applyFill="1" applyBorder="1" applyAlignment="1">
      <alignment vertical="center"/>
    </xf>
    <xf numFmtId="176" fontId="18" fillId="35" borderId="7" xfId="12" applyNumberFormat="1" applyFont="1" applyFill="1" applyBorder="1" applyAlignment="1">
      <alignment vertical="center"/>
    </xf>
    <xf numFmtId="176" fontId="18" fillId="2" borderId="35" xfId="12" applyNumberFormat="1" applyFont="1" applyFill="1" applyBorder="1" applyAlignment="1">
      <alignment horizontal="right" vertical="center" shrinkToFit="1"/>
    </xf>
    <xf numFmtId="176" fontId="18" fillId="35" borderId="35" xfId="12" applyNumberFormat="1" applyFont="1" applyFill="1" applyBorder="1" applyAlignment="1">
      <alignment horizontal="right" vertical="center" shrinkToFit="1"/>
    </xf>
    <xf numFmtId="0" fontId="8" fillId="3" borderId="46" xfId="2" applyNumberFormat="1" applyFont="1" applyFill="1" applyBorder="1" applyAlignment="1">
      <alignment horizontal="center" vertical="center"/>
    </xf>
    <xf numFmtId="176" fontId="26" fillId="3" borderId="50" xfId="12" applyNumberFormat="1" applyFont="1" applyFill="1" applyBorder="1" applyAlignment="1">
      <alignment horizontal="right" vertical="center"/>
    </xf>
    <xf numFmtId="41" fontId="24" fillId="3" borderId="38" xfId="11" applyNumberFormat="1" applyFont="1" applyFill="1" applyBorder="1" applyAlignment="1">
      <alignment horizontal="center" vertical="center"/>
    </xf>
    <xf numFmtId="0" fontId="9" fillId="0" borderId="33" xfId="2" applyNumberFormat="1" applyFont="1" applyFill="1" applyBorder="1" applyAlignment="1">
      <alignment vertical="center"/>
    </xf>
    <xf numFmtId="0" fontId="9" fillId="0" borderId="21" xfId="2" applyNumberFormat="1" applyFont="1" applyFill="1" applyBorder="1" applyAlignment="1">
      <alignment vertical="center"/>
    </xf>
    <xf numFmtId="0" fontId="9" fillId="0" borderId="30" xfId="2" applyNumberFormat="1" applyFont="1" applyFill="1" applyBorder="1" applyAlignment="1">
      <alignment vertical="center"/>
    </xf>
    <xf numFmtId="0" fontId="8" fillId="0" borderId="0" xfId="3" applyNumberFormat="1" applyFont="1" applyFill="1" applyBorder="1" applyAlignment="1">
      <alignment horizontal="left" vertical="center"/>
    </xf>
    <xf numFmtId="0" fontId="8" fillId="0" borderId="0" xfId="2" applyNumberFormat="1" applyFont="1" applyFill="1" applyBorder="1" applyAlignment="1">
      <alignment horizontal="center" vertical="center"/>
    </xf>
    <xf numFmtId="41" fontId="8" fillId="0" borderId="0" xfId="2" applyNumberFormat="1" applyFont="1" applyFill="1" applyBorder="1" applyAlignment="1">
      <alignment horizontal="right" vertical="center"/>
    </xf>
    <xf numFmtId="0" fontId="8" fillId="0" borderId="0" xfId="2" applyNumberFormat="1" applyFont="1" applyFill="1" applyBorder="1" applyAlignment="1">
      <alignment vertical="center"/>
    </xf>
    <xf numFmtId="0" fontId="9" fillId="0" borderId="23" xfId="2" applyNumberFormat="1" applyFont="1" applyFill="1" applyBorder="1" applyAlignment="1">
      <alignment vertical="center"/>
    </xf>
    <xf numFmtId="0" fontId="9" fillId="0" borderId="6" xfId="2" applyNumberFormat="1" applyFont="1" applyFill="1" applyBorder="1" applyAlignment="1">
      <alignment vertical="center"/>
    </xf>
    <xf numFmtId="0" fontId="9" fillId="0" borderId="29" xfId="2" applyNumberFormat="1" applyFont="1" applyFill="1" applyBorder="1" applyAlignment="1">
      <alignment vertical="center"/>
    </xf>
    <xf numFmtId="176" fontId="19" fillId="0" borderId="7" xfId="3" applyNumberFormat="1" applyFont="1" applyFill="1" applyBorder="1" applyAlignment="1">
      <alignment vertical="center"/>
    </xf>
    <xf numFmtId="41" fontId="20" fillId="0" borderId="0" xfId="3" applyNumberFormat="1" applyFont="1" applyFill="1" applyBorder="1" applyAlignment="1">
      <alignment horizontal="center" vertical="center"/>
    </xf>
    <xf numFmtId="0" fontId="9" fillId="0" borderId="62" xfId="2" applyNumberFormat="1" applyFont="1" applyFill="1" applyBorder="1" applyAlignment="1">
      <alignment vertical="center"/>
    </xf>
    <xf numFmtId="0" fontId="9" fillId="0" borderId="3" xfId="2" applyNumberFormat="1" applyFont="1" applyFill="1" applyBorder="1" applyAlignment="1">
      <alignment vertical="center"/>
    </xf>
    <xf numFmtId="0" fontId="24" fillId="0" borderId="23" xfId="11" applyNumberFormat="1" applyFont="1" applyFill="1" applyBorder="1" applyAlignment="1">
      <alignment vertical="center"/>
    </xf>
    <xf numFmtId="0" fontId="15" fillId="0" borderId="0" xfId="11" applyFont="1"/>
    <xf numFmtId="0" fontId="24" fillId="0" borderId="31" xfId="11" applyNumberFormat="1" applyFont="1" applyFill="1" applyBorder="1" applyAlignment="1">
      <alignment vertical="center"/>
    </xf>
    <xf numFmtId="178" fontId="15" fillId="0" borderId="0" xfId="5" applyNumberFormat="1" applyFont="1" applyFill="1" applyBorder="1" applyAlignment="1">
      <alignment vertical="center"/>
    </xf>
    <xf numFmtId="0" fontId="24" fillId="0" borderId="29" xfId="11" applyNumberFormat="1" applyFont="1" applyFill="1" applyBorder="1" applyAlignment="1">
      <alignment vertical="center"/>
    </xf>
    <xf numFmtId="0" fontId="15" fillId="0" borderId="0" xfId="11" applyFont="1" applyFill="1"/>
    <xf numFmtId="0" fontId="20" fillId="0" borderId="5" xfId="11" applyNumberFormat="1" applyFont="1" applyFill="1" applyBorder="1" applyAlignment="1">
      <alignment horizontal="center" vertical="center"/>
    </xf>
    <xf numFmtId="0" fontId="24" fillId="0" borderId="12" xfId="11" applyNumberFormat="1" applyFont="1" applyFill="1" applyBorder="1" applyAlignment="1">
      <alignment vertical="center"/>
    </xf>
    <xf numFmtId="0" fontId="19" fillId="0" borderId="6" xfId="11" applyFont="1" applyFill="1" applyBorder="1" applyAlignment="1">
      <alignment vertical="center" shrinkToFit="1"/>
    </xf>
    <xf numFmtId="0" fontId="24" fillId="0" borderId="2" xfId="11" applyNumberFormat="1" applyFont="1" applyFill="1" applyBorder="1" applyAlignment="1">
      <alignment vertical="top"/>
    </xf>
    <xf numFmtId="179" fontId="15" fillId="0" borderId="8" xfId="65" applyNumberFormat="1" applyFont="1" applyFill="1" applyBorder="1" applyAlignment="1">
      <alignment horizontal="right" vertical="center"/>
    </xf>
    <xf numFmtId="0" fontId="8" fillId="0" borderId="63" xfId="2" applyNumberFormat="1" applyFont="1" applyFill="1" applyBorder="1" applyAlignment="1">
      <alignment vertical="center"/>
    </xf>
    <xf numFmtId="0" fontId="20" fillId="0" borderId="6" xfId="3" applyNumberFormat="1" applyFont="1" applyFill="1" applyBorder="1" applyAlignment="1">
      <alignment horizontal="left" vertical="center"/>
    </xf>
    <xf numFmtId="41" fontId="20" fillId="0" borderId="6" xfId="3" applyNumberFormat="1" applyFont="1" applyFill="1" applyBorder="1" applyAlignment="1">
      <alignment horizontal="center" vertical="center"/>
    </xf>
    <xf numFmtId="41" fontId="20" fillId="0" borderId="15" xfId="3" applyNumberFormat="1" applyFont="1" applyFill="1" applyBorder="1" applyAlignment="1">
      <alignment horizontal="right" vertical="center"/>
    </xf>
    <xf numFmtId="0" fontId="15" fillId="0" borderId="0" xfId="5" applyFont="1" applyBorder="1" applyAlignment="1">
      <alignment vertical="center"/>
    </xf>
    <xf numFmtId="38" fontId="20" fillId="0" borderId="7" xfId="65" applyNumberFormat="1" applyFont="1" applyBorder="1" applyAlignment="1">
      <alignment vertical="center"/>
    </xf>
    <xf numFmtId="176" fontId="20" fillId="0" borderId="7" xfId="65" applyNumberFormat="1" applyFont="1" applyBorder="1" applyAlignment="1">
      <alignment horizontal="right" vertical="center"/>
    </xf>
    <xf numFmtId="41" fontId="20" fillId="2" borderId="4" xfId="65" applyNumberFormat="1" applyFont="1" applyFill="1" applyBorder="1" applyAlignment="1">
      <alignment vertical="center" shrinkToFit="1"/>
    </xf>
    <xf numFmtId="179" fontId="20" fillId="0" borderId="8" xfId="10" applyNumberFormat="1" applyFont="1" applyBorder="1" applyAlignment="1">
      <alignment vertical="center"/>
    </xf>
    <xf numFmtId="176" fontId="20" fillId="0" borderId="8" xfId="12" applyNumberFormat="1" applyFont="1" applyBorder="1" applyAlignment="1">
      <alignment vertical="center"/>
    </xf>
    <xf numFmtId="0" fontId="15" fillId="2" borderId="0" xfId="11" applyNumberFormat="1" applyFont="1" applyFill="1" applyAlignment="1">
      <alignment vertical="center"/>
    </xf>
    <xf numFmtId="0" fontId="15" fillId="2" borderId="0" xfId="11" applyFont="1" applyFill="1" applyAlignment="1">
      <alignment vertical="center"/>
    </xf>
    <xf numFmtId="41" fontId="20" fillId="0" borderId="6" xfId="3" applyNumberFormat="1" applyFont="1" applyFill="1" applyBorder="1" applyAlignment="1">
      <alignment horizontal="left" vertical="center"/>
    </xf>
    <xf numFmtId="0" fontId="20" fillId="0" borderId="23" xfId="3" applyNumberFormat="1" applyFont="1" applyFill="1" applyBorder="1" applyAlignment="1">
      <alignment horizontal="left" vertical="center"/>
    </xf>
    <xf numFmtId="41" fontId="18" fillId="3" borderId="50" xfId="12" applyFont="1" applyFill="1" applyBorder="1" applyAlignment="1">
      <alignment horizontal="right" vertical="center"/>
    </xf>
    <xf numFmtId="176" fontId="18" fillId="3" borderId="61" xfId="12" applyNumberFormat="1" applyFont="1" applyFill="1" applyBorder="1" applyAlignment="1">
      <alignment horizontal="right" vertical="center"/>
    </xf>
    <xf numFmtId="177" fontId="18" fillId="2" borderId="44" xfId="0" applyNumberFormat="1" applyFont="1" applyFill="1" applyBorder="1" applyAlignment="1">
      <alignment vertical="center"/>
    </xf>
    <xf numFmtId="177" fontId="18" fillId="2" borderId="12" xfId="0" applyNumberFormat="1" applyFont="1" applyFill="1" applyBorder="1" applyAlignment="1">
      <alignment horizontal="left" vertical="center"/>
    </xf>
    <xf numFmtId="177" fontId="18" fillId="2" borderId="2" xfId="0" applyNumberFormat="1" applyFont="1" applyFill="1" applyBorder="1" applyAlignment="1">
      <alignment horizontal="left" vertical="center"/>
    </xf>
    <xf numFmtId="0" fontId="0" fillId="0" borderId="0" xfId="0" applyNumberFormat="1" applyAlignment="1">
      <alignment vertical="center"/>
    </xf>
    <xf numFmtId="177" fontId="18" fillId="35" borderId="23" xfId="0" applyNumberFormat="1" applyFont="1" applyFill="1" applyBorder="1" applyAlignment="1">
      <alignment vertical="center"/>
    </xf>
    <xf numFmtId="177" fontId="18" fillId="35" borderId="6" xfId="0" applyNumberFormat="1" applyFont="1" applyFill="1" applyBorder="1" applyAlignment="1">
      <alignment vertical="center"/>
    </xf>
    <xf numFmtId="177" fontId="18" fillId="35" borderId="29" xfId="0" applyNumberFormat="1" applyFont="1" applyFill="1" applyBorder="1" applyAlignment="1">
      <alignment vertical="center"/>
    </xf>
    <xf numFmtId="177" fontId="18" fillId="2" borderId="23" xfId="0" applyNumberFormat="1" applyFont="1" applyFill="1" applyBorder="1" applyAlignment="1">
      <alignment vertical="center"/>
    </xf>
    <xf numFmtId="177" fontId="18" fillId="2" borderId="29" xfId="0" applyNumberFormat="1" applyFont="1" applyFill="1" applyBorder="1" applyAlignment="1">
      <alignment vertical="center"/>
    </xf>
    <xf numFmtId="41" fontId="31" fillId="0" borderId="20" xfId="3" applyNumberFormat="1" applyFont="1" applyFill="1" applyBorder="1" applyAlignment="1">
      <alignment horizontal="right" vertical="center"/>
    </xf>
    <xf numFmtId="0" fontId="13" fillId="0" borderId="0" xfId="11" applyNumberFormat="1" applyFill="1" applyAlignment="1"/>
    <xf numFmtId="0" fontId="28" fillId="0" borderId="0" xfId="11" applyNumberFormat="1" applyFont="1" applyFill="1" applyAlignment="1"/>
    <xf numFmtId="176" fontId="19" fillId="3" borderId="50" xfId="12" applyNumberFormat="1" applyFont="1" applyFill="1" applyBorder="1" applyAlignment="1">
      <alignment horizontal="right" vertical="center"/>
    </xf>
    <xf numFmtId="0" fontId="26" fillId="0" borderId="12" xfId="11" applyNumberFormat="1" applyFont="1" applyFill="1" applyBorder="1" applyAlignment="1">
      <alignment horizontal="left" vertical="center"/>
    </xf>
    <xf numFmtId="0" fontId="26" fillId="0" borderId="2" xfId="11" applyNumberFormat="1" applyFont="1" applyFill="1" applyBorder="1" applyAlignment="1">
      <alignment horizontal="left" vertical="center"/>
    </xf>
    <xf numFmtId="0" fontId="26" fillId="0" borderId="1" xfId="11" applyNumberFormat="1" applyFont="1" applyFill="1" applyBorder="1" applyAlignment="1">
      <alignment horizontal="left" vertical="center"/>
    </xf>
    <xf numFmtId="0" fontId="26" fillId="0" borderId="29" xfId="11" applyNumberFormat="1" applyFont="1" applyFill="1" applyBorder="1" applyAlignment="1">
      <alignment horizontal="left" vertical="center"/>
    </xf>
    <xf numFmtId="0" fontId="24" fillId="0" borderId="26" xfId="11" applyNumberFormat="1" applyFont="1" applyFill="1" applyBorder="1" applyAlignment="1">
      <alignment vertical="top"/>
    </xf>
    <xf numFmtId="3" fontId="20" fillId="0" borderId="10" xfId="5" applyNumberFormat="1" applyFont="1" applyFill="1" applyBorder="1" applyAlignment="1">
      <alignment horizontal="right" vertical="center"/>
    </xf>
    <xf numFmtId="0" fontId="20" fillId="0" borderId="3" xfId="17" applyFont="1" applyBorder="1" applyAlignment="1">
      <alignment horizontal="left" vertical="top"/>
    </xf>
    <xf numFmtId="0" fontId="20" fillId="0" borderId="12" xfId="5" quotePrefix="1" applyFont="1" applyBorder="1" applyAlignment="1">
      <alignment horizontal="justify" vertical="center"/>
    </xf>
    <xf numFmtId="3" fontId="19" fillId="0" borderId="10" xfId="5" applyNumberFormat="1" applyFont="1" applyFill="1" applyBorder="1" applyAlignment="1">
      <alignment horizontal="right" vertical="center"/>
    </xf>
    <xf numFmtId="0" fontId="20" fillId="0" borderId="2" xfId="5" applyFont="1" applyBorder="1" applyAlignment="1">
      <alignment vertical="top"/>
    </xf>
    <xf numFmtId="0" fontId="20" fillId="0" borderId="8" xfId="5" applyFont="1" applyBorder="1" applyAlignment="1">
      <alignment vertical="top"/>
    </xf>
    <xf numFmtId="3" fontId="20" fillId="0" borderId="11" xfId="5" applyNumberFormat="1" applyFont="1" applyFill="1" applyBorder="1" applyAlignment="1">
      <alignment horizontal="right" vertical="center"/>
    </xf>
    <xf numFmtId="0" fontId="20" fillId="0" borderId="26" xfId="5" applyFont="1" applyBorder="1" applyAlignment="1">
      <alignment vertical="top"/>
    </xf>
    <xf numFmtId="0" fontId="20" fillId="0" borderId="4" xfId="5" applyFont="1" applyFill="1" applyBorder="1" applyAlignment="1">
      <alignment horizontal="justify" vertical="center"/>
    </xf>
    <xf numFmtId="0" fontId="20" fillId="0" borderId="3" xfId="5" applyFont="1" applyBorder="1" applyAlignment="1">
      <alignment vertical="top"/>
    </xf>
    <xf numFmtId="0" fontId="20" fillId="0" borderId="19" xfId="5" applyFont="1" applyBorder="1" applyAlignment="1">
      <alignment vertical="top"/>
    </xf>
    <xf numFmtId="176" fontId="20" fillId="0" borderId="3" xfId="12" applyNumberFormat="1" applyFont="1" applyBorder="1" applyAlignment="1">
      <alignment vertical="center"/>
    </xf>
    <xf numFmtId="0" fontId="20" fillId="0" borderId="0" xfId="11" applyFont="1" applyFill="1" applyBorder="1" applyAlignment="1">
      <alignment horizontal="center" vertical="center"/>
    </xf>
    <xf numFmtId="41" fontId="20" fillId="0" borderId="23" xfId="3" applyNumberFormat="1" applyFont="1" applyFill="1" applyBorder="1" applyAlignment="1">
      <alignment horizontal="left" vertical="center"/>
    </xf>
    <xf numFmtId="0" fontId="20" fillId="0" borderId="5" xfId="11" applyFont="1" applyFill="1" applyBorder="1" applyAlignment="1">
      <alignment horizontal="center" vertical="center"/>
    </xf>
    <xf numFmtId="0" fontId="9" fillId="0" borderId="32" xfId="2" applyNumberFormat="1" applyFont="1" applyFill="1" applyBorder="1" applyAlignment="1">
      <alignment vertical="center"/>
    </xf>
    <xf numFmtId="0" fontId="20" fillId="0" borderId="8" xfId="17" applyFont="1" applyBorder="1" applyAlignment="1">
      <alignment vertical="center"/>
    </xf>
    <xf numFmtId="0" fontId="20" fillId="0" borderId="4" xfId="5" quotePrefix="1" applyFont="1" applyBorder="1" applyAlignment="1">
      <alignment horizontal="justify" vertical="center"/>
    </xf>
    <xf numFmtId="0" fontId="20" fillId="0" borderId="3" xfId="17" applyFont="1" applyBorder="1" applyAlignment="1">
      <alignment vertical="center"/>
    </xf>
    <xf numFmtId="178" fontId="20" fillId="0" borderId="3" xfId="10" applyNumberFormat="1" applyFont="1" applyBorder="1" applyAlignment="1">
      <alignment horizontal="right" vertical="center"/>
    </xf>
    <xf numFmtId="179" fontId="20" fillId="0" borderId="3" xfId="10" applyNumberFormat="1" applyFont="1" applyBorder="1" applyAlignment="1">
      <alignment vertical="center"/>
    </xf>
    <xf numFmtId="0" fontId="20" fillId="0" borderId="1" xfId="17" applyFont="1" applyFill="1" applyBorder="1" applyAlignment="1">
      <alignment horizontal="center" vertical="center" shrinkToFit="1"/>
    </xf>
    <xf numFmtId="178" fontId="20" fillId="0" borderId="3" xfId="12" applyNumberFormat="1" applyFont="1" applyBorder="1" applyAlignment="1">
      <alignment vertical="center"/>
    </xf>
    <xf numFmtId="0" fontId="20" fillId="0" borderId="5" xfId="17" applyFont="1" applyFill="1" applyBorder="1" applyAlignment="1">
      <alignment horizontal="center" vertical="center" shrinkToFit="1"/>
    </xf>
    <xf numFmtId="176" fontId="20" fillId="0" borderId="1" xfId="12" applyNumberFormat="1" applyFont="1" applyBorder="1" applyAlignment="1">
      <alignment vertical="center"/>
    </xf>
    <xf numFmtId="0" fontId="19" fillId="0" borderId="27" xfId="5" applyFont="1" applyFill="1" applyBorder="1" applyAlignment="1">
      <alignment horizontal="justify" vertical="center"/>
    </xf>
    <xf numFmtId="178" fontId="20" fillId="0" borderId="19" xfId="10" applyNumberFormat="1" applyFont="1" applyBorder="1" applyAlignment="1">
      <alignment horizontal="right" vertical="center"/>
    </xf>
    <xf numFmtId="0" fontId="20" fillId="0" borderId="20" xfId="17" applyFont="1" applyFill="1" applyBorder="1" applyAlignment="1">
      <alignment horizontal="center" vertical="center" shrinkToFit="1"/>
    </xf>
    <xf numFmtId="0" fontId="19" fillId="0" borderId="12" xfId="65" applyNumberFormat="1" applyFont="1" applyFill="1" applyBorder="1" applyAlignment="1">
      <alignment horizontal="left" vertical="center"/>
    </xf>
    <xf numFmtId="0" fontId="20" fillId="0" borderId="12" xfId="65" applyNumberFormat="1" applyFont="1" applyFill="1" applyBorder="1" applyAlignment="1">
      <alignment horizontal="left" vertical="center"/>
    </xf>
    <xf numFmtId="0" fontId="19" fillId="0" borderId="27" xfId="2" applyNumberFormat="1" applyFont="1" applyBorder="1" applyAlignment="1">
      <alignment horizontal="left" vertical="center" shrinkToFit="1"/>
    </xf>
    <xf numFmtId="0" fontId="20" fillId="0" borderId="4" xfId="65" applyNumberFormat="1" applyFont="1" applyFill="1" applyBorder="1" applyAlignment="1">
      <alignment horizontal="left" vertical="center"/>
    </xf>
    <xf numFmtId="0" fontId="20" fillId="0" borderId="4" xfId="2" applyNumberFormat="1" applyFont="1" applyBorder="1" applyAlignment="1">
      <alignment horizontal="left" vertical="center" shrinkToFit="1"/>
    </xf>
    <xf numFmtId="0" fontId="20" fillId="0" borderId="0" xfId="65" applyNumberFormat="1" applyFont="1" applyFill="1" applyBorder="1" applyAlignment="1">
      <alignment horizontal="left" vertical="center"/>
    </xf>
    <xf numFmtId="3" fontId="19" fillId="0" borderId="17" xfId="5" applyNumberFormat="1" applyFont="1" applyFill="1" applyBorder="1" applyAlignment="1">
      <alignment horizontal="right" vertical="center"/>
    </xf>
    <xf numFmtId="0" fontId="26" fillId="0" borderId="0" xfId="11" applyNumberFormat="1" applyFont="1" applyFill="1" applyBorder="1" applyAlignment="1">
      <alignment horizontal="left" vertical="center"/>
    </xf>
    <xf numFmtId="41" fontId="24" fillId="0" borderId="23" xfId="65" applyNumberFormat="1" applyFont="1" applyFill="1" applyBorder="1" applyAlignment="1">
      <alignment horizontal="center" vertical="center"/>
    </xf>
    <xf numFmtId="0" fontId="20" fillId="0" borderId="12" xfId="2" applyNumberFormat="1" applyFont="1" applyBorder="1" applyAlignment="1">
      <alignment horizontal="left" vertical="center" shrinkToFit="1"/>
    </xf>
    <xf numFmtId="0" fontId="26" fillId="0" borderId="26" xfId="11" applyNumberFormat="1" applyFont="1" applyFill="1" applyBorder="1" applyAlignment="1">
      <alignment horizontal="left" vertical="center"/>
    </xf>
    <xf numFmtId="0" fontId="20" fillId="0" borderId="2" xfId="17" applyFont="1" applyBorder="1" applyAlignment="1">
      <alignment horizontal="left" vertical="top"/>
    </xf>
    <xf numFmtId="178" fontId="20" fillId="0" borderId="26" xfId="10" applyNumberFormat="1" applyFont="1" applyBorder="1" applyAlignment="1">
      <alignment horizontal="right" vertical="center"/>
    </xf>
    <xf numFmtId="176" fontId="20" fillId="0" borderId="0" xfId="12" applyNumberFormat="1" applyFont="1" applyBorder="1" applyAlignment="1">
      <alignment vertical="center"/>
    </xf>
    <xf numFmtId="0" fontId="20" fillId="0" borderId="8" xfId="5" applyFont="1" applyBorder="1" applyAlignment="1">
      <alignment vertical="center"/>
    </xf>
    <xf numFmtId="178" fontId="20" fillId="0" borderId="9" xfId="10" applyNumberFormat="1" applyFont="1" applyBorder="1" applyAlignment="1">
      <alignment horizontal="right" vertical="center"/>
    </xf>
    <xf numFmtId="0" fontId="20" fillId="0" borderId="18" xfId="11" applyFont="1" applyBorder="1" applyAlignment="1">
      <alignment vertical="center"/>
    </xf>
    <xf numFmtId="0" fontId="20" fillId="0" borderId="19" xfId="11" applyFont="1" applyBorder="1" applyAlignment="1">
      <alignment vertical="center"/>
    </xf>
    <xf numFmtId="0" fontId="20" fillId="0" borderId="19" xfId="17" applyFont="1" applyBorder="1" applyAlignment="1">
      <alignment horizontal="left" vertical="top"/>
    </xf>
    <xf numFmtId="0" fontId="20" fillId="0" borderId="19" xfId="17" applyFont="1" applyBorder="1" applyAlignment="1">
      <alignment vertical="center"/>
    </xf>
    <xf numFmtId="179" fontId="15" fillId="0" borderId="19" xfId="65" applyNumberFormat="1" applyFont="1" applyFill="1" applyBorder="1" applyAlignment="1">
      <alignment horizontal="right" vertical="center"/>
    </xf>
    <xf numFmtId="0" fontId="20" fillId="0" borderId="25" xfId="65" applyNumberFormat="1" applyFont="1" applyFill="1" applyBorder="1" applyAlignment="1">
      <alignment horizontal="left" vertical="center"/>
    </xf>
    <xf numFmtId="0" fontId="20" fillId="0" borderId="20" xfId="11" applyFont="1" applyFill="1" applyBorder="1" applyAlignment="1">
      <alignment horizontal="center" vertical="center"/>
    </xf>
    <xf numFmtId="3" fontId="20" fillId="0" borderId="11" xfId="11" applyNumberFormat="1" applyFont="1" applyFill="1" applyBorder="1" applyAlignment="1">
      <alignment horizontal="right" vertical="center"/>
    </xf>
    <xf numFmtId="41" fontId="24" fillId="3" borderId="38" xfId="11" applyNumberFormat="1" applyFont="1" applyFill="1" applyBorder="1" applyAlignment="1">
      <alignment horizontal="right" vertical="center"/>
    </xf>
    <xf numFmtId="41" fontId="19" fillId="0" borderId="15" xfId="3" applyNumberFormat="1" applyFont="1" applyFill="1" applyBorder="1" applyAlignment="1">
      <alignment horizontal="right" vertical="center"/>
    </xf>
    <xf numFmtId="41" fontId="19" fillId="0" borderId="15" xfId="65" applyFont="1" applyFill="1" applyBorder="1" applyAlignment="1">
      <alignment horizontal="right" vertical="center"/>
    </xf>
    <xf numFmtId="0" fontId="0" fillId="0" borderId="0" xfId="0" applyNumberFormat="1" applyAlignment="1">
      <alignment horizontal="right" vertical="center"/>
    </xf>
    <xf numFmtId="0" fontId="19" fillId="0" borderId="1" xfId="2" applyNumberFormat="1" applyFont="1" applyBorder="1" applyAlignment="1">
      <alignment horizontal="left" vertical="center" shrinkToFit="1"/>
    </xf>
    <xf numFmtId="177" fontId="18" fillId="2" borderId="42" xfId="0" applyNumberFormat="1" applyFont="1" applyFill="1" applyBorder="1" applyAlignment="1">
      <alignment vertical="center"/>
    </xf>
    <xf numFmtId="0" fontId="19" fillId="0" borderId="0" xfId="65" applyNumberFormat="1" applyFont="1" applyFill="1" applyBorder="1" applyAlignment="1">
      <alignment horizontal="left" vertical="center"/>
    </xf>
    <xf numFmtId="0" fontId="19" fillId="0" borderId="1" xfId="65" applyNumberFormat="1" applyFont="1" applyFill="1" applyBorder="1" applyAlignment="1">
      <alignment horizontal="left" vertical="center"/>
    </xf>
    <xf numFmtId="3" fontId="20" fillId="0" borderId="28" xfId="5" applyNumberFormat="1" applyFont="1" applyFill="1" applyBorder="1" applyAlignment="1">
      <alignment horizontal="right" vertical="center"/>
    </xf>
    <xf numFmtId="0" fontId="24" fillId="0" borderId="8" xfId="11" applyNumberFormat="1" applyFont="1" applyFill="1" applyBorder="1" applyAlignment="1">
      <alignment vertical="top"/>
    </xf>
    <xf numFmtId="0" fontId="9" fillId="0" borderId="2" xfId="2" applyNumberFormat="1" applyFont="1" applyFill="1" applyBorder="1" applyAlignment="1">
      <alignment vertical="center"/>
    </xf>
    <xf numFmtId="0" fontId="49" fillId="0" borderId="0" xfId="0" applyNumberFormat="1" applyFont="1">
      <alignment vertical="center"/>
    </xf>
    <xf numFmtId="176" fontId="49" fillId="0" borderId="0" xfId="0" applyNumberFormat="1" applyFont="1">
      <alignment vertical="center"/>
    </xf>
    <xf numFmtId="177" fontId="18" fillId="35" borderId="47" xfId="0" applyNumberFormat="1" applyFont="1" applyFill="1" applyBorder="1" applyAlignment="1">
      <alignment vertical="center"/>
    </xf>
    <xf numFmtId="176" fontId="18" fillId="35" borderId="8" xfId="12" applyNumberFormat="1" applyFont="1" applyFill="1" applyBorder="1" applyAlignment="1">
      <alignment vertical="center"/>
    </xf>
    <xf numFmtId="3" fontId="49" fillId="0" borderId="0" xfId="0" applyNumberFormat="1" applyFont="1">
      <alignment vertical="center"/>
    </xf>
    <xf numFmtId="177" fontId="18" fillId="2" borderId="16" xfId="0" applyNumberFormat="1" applyFont="1" applyFill="1" applyBorder="1" applyAlignment="1">
      <alignment vertical="center"/>
    </xf>
    <xf numFmtId="177" fontId="18" fillId="0" borderId="27" xfId="0" applyNumberFormat="1" applyFont="1" applyFill="1" applyBorder="1" applyAlignment="1">
      <alignment vertical="center"/>
    </xf>
    <xf numFmtId="0" fontId="11" fillId="0" borderId="0" xfId="0" applyNumberFormat="1" applyFont="1">
      <alignment vertical="center"/>
    </xf>
    <xf numFmtId="177" fontId="18" fillId="2" borderId="1" xfId="0" applyNumberFormat="1" applyFont="1" applyFill="1" applyBorder="1" applyAlignment="1">
      <alignment vertical="center"/>
    </xf>
    <xf numFmtId="0" fontId="18" fillId="2" borderId="7" xfId="0" applyNumberFormat="1" applyFont="1" applyFill="1" applyBorder="1" applyAlignment="1">
      <alignment vertical="center"/>
    </xf>
    <xf numFmtId="176" fontId="50" fillId="2" borderId="29" xfId="12" applyNumberFormat="1" applyFont="1" applyFill="1" applyBorder="1" applyAlignment="1">
      <alignment vertical="center"/>
    </xf>
    <xf numFmtId="177" fontId="18" fillId="2" borderId="12" xfId="0" applyNumberFormat="1" applyFont="1" applyFill="1" applyBorder="1" applyAlignment="1">
      <alignment vertical="center"/>
    </xf>
    <xf numFmtId="0" fontId="18" fillId="2" borderId="23" xfId="0" applyNumberFormat="1" applyFont="1" applyFill="1" applyBorder="1" applyAlignment="1">
      <alignment vertical="center"/>
    </xf>
    <xf numFmtId="177" fontId="18" fillId="0" borderId="2" xfId="0" applyNumberFormat="1" applyFont="1" applyFill="1" applyBorder="1" applyAlignment="1">
      <alignment vertical="center"/>
    </xf>
    <xf numFmtId="177" fontId="18" fillId="35" borderId="5" xfId="0" applyNumberFormat="1" applyFont="1" applyFill="1" applyBorder="1" applyAlignment="1">
      <alignment vertical="center"/>
    </xf>
    <xf numFmtId="177" fontId="18" fillId="2" borderId="24" xfId="0" applyNumberFormat="1" applyFont="1" applyFill="1" applyBorder="1" applyAlignment="1">
      <alignment vertical="center"/>
    </xf>
    <xf numFmtId="177" fontId="18" fillId="2" borderId="19" xfId="0" applyNumberFormat="1" applyFont="1" applyFill="1" applyBorder="1" applyAlignment="1">
      <alignment horizontal="left" vertical="center"/>
    </xf>
    <xf numFmtId="177" fontId="18" fillId="2" borderId="25" xfId="0" applyNumberFormat="1" applyFont="1" applyFill="1" applyBorder="1" applyAlignment="1">
      <alignment horizontal="left" vertical="center"/>
    </xf>
    <xf numFmtId="0" fontId="18" fillId="2" borderId="46" xfId="0" applyNumberFormat="1" applyFont="1" applyFill="1" applyBorder="1" applyAlignment="1">
      <alignment vertical="center"/>
    </xf>
    <xf numFmtId="176" fontId="18" fillId="2" borderId="64" xfId="12" applyNumberFormat="1" applyFont="1" applyFill="1" applyBorder="1" applyAlignment="1">
      <alignment vertical="center"/>
    </xf>
    <xf numFmtId="176" fontId="18" fillId="2" borderId="46" xfId="12" applyNumberFormat="1" applyFont="1" applyFill="1" applyBorder="1" applyAlignment="1">
      <alignment vertical="center"/>
    </xf>
    <xf numFmtId="176" fontId="18" fillId="2" borderId="40" xfId="12" applyNumberFormat="1" applyFont="1" applyFill="1" applyBorder="1" applyAlignment="1">
      <alignment horizontal="right" vertical="center" shrinkToFit="1"/>
    </xf>
    <xf numFmtId="0" fontId="9" fillId="0" borderId="4" xfId="2" applyNumberFormat="1" applyFont="1" applyFill="1" applyBorder="1" applyAlignment="1">
      <alignment vertical="center"/>
    </xf>
    <xf numFmtId="0" fontId="9" fillId="0" borderId="5" xfId="2" applyNumberFormat="1" applyFont="1" applyFill="1" applyBorder="1" applyAlignment="1">
      <alignment vertical="center"/>
    </xf>
    <xf numFmtId="0" fontId="9" fillId="0" borderId="9" xfId="2" applyNumberFormat="1" applyFont="1" applyFill="1" applyBorder="1" applyAlignment="1">
      <alignment vertical="center"/>
    </xf>
    <xf numFmtId="0" fontId="24" fillId="0" borderId="9" xfId="11" applyNumberFormat="1" applyFont="1" applyFill="1" applyBorder="1" applyAlignment="1">
      <alignment vertical="top"/>
    </xf>
    <xf numFmtId="180" fontId="31" fillId="0" borderId="20" xfId="3" applyNumberFormat="1" applyFont="1" applyFill="1" applyBorder="1" applyAlignment="1">
      <alignment horizontal="right" vertical="center"/>
    </xf>
    <xf numFmtId="180" fontId="24" fillId="3" borderId="38" xfId="11" applyNumberFormat="1" applyFont="1" applyFill="1" applyBorder="1" applyAlignment="1">
      <alignment horizontal="right" vertical="center"/>
    </xf>
    <xf numFmtId="180" fontId="20" fillId="0" borderId="11" xfId="3" applyNumberFormat="1" applyFont="1" applyFill="1" applyBorder="1" applyAlignment="1">
      <alignment horizontal="right" vertical="center"/>
    </xf>
    <xf numFmtId="180" fontId="20" fillId="0" borderId="15" xfId="3" applyNumberFormat="1" applyFont="1" applyFill="1" applyBorder="1" applyAlignment="1">
      <alignment horizontal="right" vertical="center"/>
    </xf>
    <xf numFmtId="180" fontId="19" fillId="0" borderId="15" xfId="3" applyNumberFormat="1" applyFont="1" applyFill="1" applyBorder="1" applyAlignment="1">
      <alignment horizontal="right" vertical="center"/>
    </xf>
    <xf numFmtId="176" fontId="15" fillId="0" borderId="8" xfId="3" applyNumberFormat="1" applyFont="1" applyFill="1" applyBorder="1" applyAlignment="1">
      <alignment horizontal="right" vertical="center"/>
    </xf>
    <xf numFmtId="180" fontId="19" fillId="0" borderId="15" xfId="65" applyNumberFormat="1" applyFont="1" applyFill="1" applyBorder="1" applyAlignment="1">
      <alignment horizontal="right" vertical="center"/>
    </xf>
    <xf numFmtId="176" fontId="15" fillId="0" borderId="2" xfId="3" applyNumberFormat="1" applyFont="1" applyFill="1" applyBorder="1" applyAlignment="1">
      <alignment horizontal="right" vertical="center"/>
    </xf>
    <xf numFmtId="180" fontId="19" fillId="0" borderId="17" xfId="5" applyNumberFormat="1" applyFont="1" applyFill="1" applyBorder="1" applyAlignment="1">
      <alignment horizontal="right" vertical="center"/>
    </xf>
    <xf numFmtId="180" fontId="20" fillId="0" borderId="28" xfId="5" applyNumberFormat="1" applyFont="1" applyFill="1" applyBorder="1" applyAlignment="1">
      <alignment horizontal="right" vertical="center"/>
    </xf>
    <xf numFmtId="0" fontId="19" fillId="0" borderId="5" xfId="11" applyFont="1" applyFill="1" applyBorder="1" applyAlignment="1">
      <alignment vertical="center" shrinkToFit="1"/>
    </xf>
    <xf numFmtId="0" fontId="20" fillId="0" borderId="5" xfId="65" applyNumberFormat="1" applyFont="1" applyFill="1" applyBorder="1" applyAlignment="1">
      <alignment horizontal="center" vertical="center" shrinkToFit="1"/>
    </xf>
    <xf numFmtId="180" fontId="19" fillId="0" borderId="11" xfId="65" applyNumberFormat="1" applyFont="1" applyFill="1" applyBorder="1" applyAlignment="1">
      <alignment horizontal="right" vertical="center"/>
    </xf>
    <xf numFmtId="184" fontId="20" fillId="0" borderId="19" xfId="10" applyNumberFormat="1" applyFont="1" applyBorder="1" applyAlignment="1">
      <alignment horizontal="right" vertical="center"/>
    </xf>
    <xf numFmtId="180" fontId="0" fillId="0" borderId="0" xfId="0" applyNumberFormat="1">
      <alignment vertical="center"/>
    </xf>
    <xf numFmtId="180" fontId="0" fillId="0" borderId="0" xfId="0" applyNumberFormat="1" applyAlignment="1">
      <alignment horizontal="right" vertical="center"/>
    </xf>
    <xf numFmtId="41" fontId="20" fillId="0" borderId="20" xfId="3" applyNumberFormat="1" applyFont="1" applyFill="1" applyBorder="1" applyAlignment="1">
      <alignment horizontal="right" vertical="center"/>
    </xf>
    <xf numFmtId="176" fontId="18" fillId="3" borderId="45" xfId="3" applyNumberFormat="1" applyFont="1" applyFill="1" applyBorder="1" applyAlignment="1">
      <alignment horizontal="right" vertical="center"/>
    </xf>
    <xf numFmtId="176" fontId="18" fillId="0" borderId="22" xfId="3" applyNumberFormat="1" applyFont="1" applyFill="1" applyBorder="1" applyAlignment="1">
      <alignment horizontal="right" vertical="center"/>
    </xf>
    <xf numFmtId="0" fontId="19" fillId="0" borderId="69" xfId="2" applyNumberFormat="1" applyFont="1" applyFill="1" applyBorder="1" applyAlignment="1">
      <alignment vertical="center"/>
    </xf>
    <xf numFmtId="0" fontId="19" fillId="0" borderId="4" xfId="2" applyNumberFormat="1" applyFont="1" applyFill="1" applyBorder="1" applyAlignment="1">
      <alignment vertical="center"/>
    </xf>
    <xf numFmtId="176" fontId="26" fillId="0" borderId="8" xfId="12" applyNumberFormat="1" applyFont="1" applyFill="1" applyBorder="1" applyAlignment="1">
      <alignment horizontal="right" vertical="center"/>
    </xf>
    <xf numFmtId="0" fontId="20" fillId="0" borderId="16" xfId="2" applyNumberFormat="1" applyFont="1" applyFill="1" applyBorder="1" applyAlignment="1">
      <alignment vertical="center"/>
    </xf>
    <xf numFmtId="0" fontId="19" fillId="0" borderId="23" xfId="2" applyNumberFormat="1" applyFont="1" applyFill="1" applyBorder="1" applyAlignment="1">
      <alignment vertical="center"/>
    </xf>
    <xf numFmtId="0" fontId="24" fillId="0" borderId="18" xfId="11" applyNumberFormat="1" applyFont="1" applyFill="1" applyBorder="1" applyAlignment="1">
      <alignment vertical="center"/>
    </xf>
    <xf numFmtId="0" fontId="24" fillId="0" borderId="19" xfId="11" applyNumberFormat="1" applyFont="1" applyFill="1" applyBorder="1" applyAlignment="1">
      <alignment vertical="top"/>
    </xf>
    <xf numFmtId="0" fontId="24" fillId="0" borderId="70" xfId="11" applyNumberFormat="1" applyFont="1" applyFill="1" applyBorder="1" applyAlignment="1">
      <alignment vertical="top"/>
    </xf>
    <xf numFmtId="179" fontId="20" fillId="0" borderId="19" xfId="65" applyNumberFormat="1" applyFont="1" applyFill="1" applyBorder="1" applyAlignment="1">
      <alignment horizontal="right" vertical="center"/>
    </xf>
    <xf numFmtId="176" fontId="18" fillId="3" borderId="2" xfId="12" applyNumberFormat="1" applyFont="1" applyFill="1" applyBorder="1" applyAlignment="1">
      <alignment vertical="center"/>
    </xf>
    <xf numFmtId="177" fontId="18" fillId="35" borderId="65" xfId="0" applyNumberFormat="1" applyFont="1" applyFill="1" applyBorder="1" applyAlignment="1">
      <alignment vertical="center"/>
    </xf>
    <xf numFmtId="177" fontId="18" fillId="35" borderId="21" xfId="0" applyNumberFormat="1" applyFont="1" applyFill="1" applyBorder="1" applyAlignment="1">
      <alignment vertical="center"/>
    </xf>
    <xf numFmtId="177" fontId="18" fillId="35" borderId="0" xfId="0" applyNumberFormat="1" applyFont="1" applyFill="1" applyBorder="1" applyAlignment="1">
      <alignment horizontal="center" vertical="center"/>
    </xf>
    <xf numFmtId="177" fontId="18" fillId="35" borderId="26" xfId="0" applyNumberFormat="1" applyFont="1" applyFill="1" applyBorder="1" applyAlignment="1">
      <alignment horizontal="center" vertical="center"/>
    </xf>
    <xf numFmtId="176" fontId="18" fillId="35" borderId="22" xfId="12" applyNumberFormat="1" applyFont="1" applyFill="1" applyBorder="1" applyAlignment="1">
      <alignment vertical="center"/>
    </xf>
    <xf numFmtId="176" fontId="18" fillId="35" borderId="66" xfId="12" applyNumberFormat="1" applyFont="1" applyFill="1" applyBorder="1" applyAlignment="1">
      <alignment horizontal="right" vertical="center"/>
    </xf>
    <xf numFmtId="177" fontId="18" fillId="35" borderId="71" xfId="0" applyNumberFormat="1" applyFont="1" applyFill="1" applyBorder="1" applyAlignment="1">
      <alignment vertical="center"/>
    </xf>
    <xf numFmtId="177" fontId="18" fillId="2" borderId="69" xfId="0" applyNumberFormat="1" applyFont="1" applyFill="1" applyBorder="1" applyAlignment="1">
      <alignment vertical="center"/>
    </xf>
    <xf numFmtId="0" fontId="0" fillId="0" borderId="0" xfId="0" applyNumberFormat="1" applyFill="1">
      <alignment vertical="center"/>
    </xf>
    <xf numFmtId="177" fontId="18" fillId="2" borderId="18" xfId="0" applyNumberFormat="1" applyFont="1" applyFill="1" applyBorder="1" applyAlignment="1">
      <alignment vertical="center"/>
    </xf>
    <xf numFmtId="177" fontId="18" fillId="35" borderId="72" xfId="0" applyNumberFormat="1" applyFont="1" applyFill="1" applyBorder="1" applyAlignment="1">
      <alignment vertical="center"/>
    </xf>
    <xf numFmtId="177" fontId="18" fillId="35" borderId="68" xfId="0" applyNumberFormat="1" applyFont="1" applyFill="1" applyBorder="1" applyAlignment="1">
      <alignment vertical="center"/>
    </xf>
    <xf numFmtId="176" fontId="18" fillId="35" borderId="46" xfId="12" applyNumberFormat="1" applyFont="1" applyFill="1" applyBorder="1" applyAlignment="1">
      <alignment vertical="center"/>
    </xf>
    <xf numFmtId="176" fontId="18" fillId="35" borderId="67" xfId="12" applyNumberFormat="1" applyFont="1" applyFill="1" applyBorder="1" applyAlignment="1">
      <alignment horizontal="right" vertical="center"/>
    </xf>
    <xf numFmtId="177" fontId="18" fillId="36" borderId="44" xfId="0" applyNumberFormat="1" applyFont="1" applyFill="1" applyBorder="1" applyAlignment="1">
      <alignment vertical="center"/>
    </xf>
    <xf numFmtId="177" fontId="18" fillId="36" borderId="5" xfId="0" applyNumberFormat="1" applyFont="1" applyFill="1" applyBorder="1" applyAlignment="1">
      <alignment vertical="center"/>
    </xf>
    <xf numFmtId="176" fontId="18" fillId="36" borderId="8" xfId="12" applyNumberFormat="1" applyFont="1" applyFill="1" applyBorder="1" applyAlignment="1">
      <alignment vertical="center"/>
    </xf>
    <xf numFmtId="176" fontId="18" fillId="36" borderId="73" xfId="12" applyNumberFormat="1" applyFont="1" applyFill="1" applyBorder="1" applyAlignment="1">
      <alignment horizontal="right" vertical="center"/>
    </xf>
    <xf numFmtId="177" fontId="18" fillId="36" borderId="47" xfId="0" applyNumberFormat="1" applyFont="1" applyFill="1" applyBorder="1" applyAlignment="1">
      <alignment vertical="center"/>
    </xf>
    <xf numFmtId="177" fontId="18" fillId="36" borderId="6" xfId="0" applyNumberFormat="1" applyFont="1" applyFill="1" applyBorder="1" applyAlignment="1">
      <alignment vertical="center"/>
    </xf>
    <xf numFmtId="177" fontId="18" fillId="36" borderId="29" xfId="0" applyNumberFormat="1" applyFont="1" applyFill="1" applyBorder="1" applyAlignment="1">
      <alignment vertical="center"/>
    </xf>
    <xf numFmtId="177" fontId="18" fillId="36" borderId="20" xfId="0" applyNumberFormat="1" applyFont="1" applyFill="1" applyBorder="1" applyAlignment="1">
      <alignment vertical="center"/>
    </xf>
    <xf numFmtId="177" fontId="18" fillId="36" borderId="70" xfId="0" applyNumberFormat="1" applyFont="1" applyFill="1" applyBorder="1" applyAlignment="1">
      <alignment vertical="center"/>
    </xf>
    <xf numFmtId="176" fontId="18" fillId="36" borderId="19" xfId="12" applyNumberFormat="1" applyFont="1" applyFill="1" applyBorder="1" applyAlignment="1">
      <alignment vertical="center"/>
    </xf>
    <xf numFmtId="177" fontId="18" fillId="36" borderId="23" xfId="0" applyNumberFormat="1" applyFont="1" applyFill="1" applyBorder="1" applyAlignment="1">
      <alignment vertical="center"/>
    </xf>
    <xf numFmtId="176" fontId="18" fillId="36" borderId="7" xfId="12" applyNumberFormat="1" applyFont="1" applyFill="1" applyBorder="1" applyAlignment="1">
      <alignment vertical="center"/>
    </xf>
    <xf numFmtId="176" fontId="18" fillId="36" borderId="35" xfId="12" applyNumberFormat="1" applyFont="1" applyFill="1" applyBorder="1" applyAlignment="1">
      <alignment horizontal="right" vertical="center"/>
    </xf>
    <xf numFmtId="0" fontId="20" fillId="2" borderId="16" xfId="11" applyFont="1" applyFill="1" applyBorder="1" applyAlignment="1">
      <alignment vertical="center"/>
    </xf>
    <xf numFmtId="0" fontId="20" fillId="2" borderId="2" xfId="11" applyFont="1" applyFill="1" applyBorder="1" applyAlignment="1">
      <alignment vertical="center"/>
    </xf>
    <xf numFmtId="0" fontId="20" fillId="0" borderId="9" xfId="5" applyFont="1" applyBorder="1" applyAlignment="1">
      <alignment vertical="top"/>
    </xf>
    <xf numFmtId="176" fontId="18" fillId="0" borderId="2" xfId="3" applyNumberFormat="1" applyFont="1" applyFill="1" applyBorder="1" applyAlignment="1">
      <alignment horizontal="right" vertical="center"/>
    </xf>
    <xf numFmtId="176" fontId="19" fillId="0" borderId="8" xfId="3" applyNumberFormat="1" applyFont="1" applyFill="1" applyBorder="1" applyAlignment="1">
      <alignment vertical="center"/>
    </xf>
    <xf numFmtId="177" fontId="18" fillId="36" borderId="9" xfId="0" applyNumberFormat="1" applyFont="1" applyFill="1" applyBorder="1" applyAlignment="1">
      <alignment vertical="center"/>
    </xf>
    <xf numFmtId="3" fontId="0" fillId="0" borderId="0" xfId="0" applyNumberFormat="1">
      <alignment vertical="center"/>
    </xf>
    <xf numFmtId="176" fontId="18" fillId="3" borderId="50" xfId="3" applyNumberFormat="1" applyFont="1" applyFill="1" applyBorder="1" applyAlignment="1">
      <alignment horizontal="right" vertical="center"/>
    </xf>
    <xf numFmtId="0" fontId="20" fillId="0" borderId="20" xfId="11" applyNumberFormat="1" applyFont="1" applyFill="1" applyBorder="1" applyAlignment="1">
      <alignment horizontal="center" vertical="center"/>
    </xf>
    <xf numFmtId="176" fontId="18" fillId="35" borderId="19" xfId="12" applyNumberFormat="1" applyFont="1" applyFill="1" applyBorder="1" applyAlignment="1">
      <alignment vertical="center"/>
    </xf>
    <xf numFmtId="0" fontId="20" fillId="0" borderId="26" xfId="5" applyFont="1" applyFill="1" applyBorder="1" applyAlignment="1">
      <alignment vertical="top"/>
    </xf>
    <xf numFmtId="0" fontId="24" fillId="0" borderId="4" xfId="11" applyNumberFormat="1" applyFont="1" applyFill="1" applyBorder="1" applyAlignment="1">
      <alignment vertical="center"/>
    </xf>
    <xf numFmtId="41" fontId="19" fillId="0" borderId="11" xfId="65" applyFont="1" applyFill="1" applyBorder="1" applyAlignment="1">
      <alignment horizontal="right" vertical="center"/>
    </xf>
    <xf numFmtId="0" fontId="20" fillId="0" borderId="19" xfId="5" applyFont="1" applyBorder="1" applyAlignment="1">
      <alignment vertical="center"/>
    </xf>
    <xf numFmtId="178" fontId="20" fillId="0" borderId="19" xfId="12" applyNumberFormat="1" applyFont="1" applyBorder="1" applyAlignment="1">
      <alignment vertical="center"/>
    </xf>
    <xf numFmtId="178" fontId="20" fillId="0" borderId="70" xfId="10" applyNumberFormat="1" applyFont="1" applyBorder="1" applyAlignment="1">
      <alignment horizontal="right" vertical="center"/>
    </xf>
    <xf numFmtId="176" fontId="20" fillId="0" borderId="19" xfId="12" applyNumberFormat="1" applyFont="1" applyBorder="1" applyAlignment="1">
      <alignment vertical="center"/>
    </xf>
    <xf numFmtId="0" fontId="20" fillId="0" borderId="70" xfId="5" applyFont="1" applyBorder="1" applyAlignment="1">
      <alignment vertical="top"/>
    </xf>
    <xf numFmtId="3" fontId="19" fillId="0" borderId="10" xfId="11" applyNumberFormat="1" applyFont="1" applyFill="1" applyBorder="1" applyAlignment="1">
      <alignment horizontal="right" vertical="center"/>
    </xf>
    <xf numFmtId="3" fontId="20" fillId="0" borderId="10" xfId="11" applyNumberFormat="1" applyFont="1" applyFill="1" applyBorder="1" applyAlignment="1">
      <alignment horizontal="right" vertical="center"/>
    </xf>
    <xf numFmtId="178" fontId="0" fillId="0" borderId="0" xfId="0" applyNumberFormat="1">
      <alignment vertical="center"/>
    </xf>
    <xf numFmtId="177" fontId="18" fillId="36" borderId="0" xfId="0" applyNumberFormat="1" applyFont="1" applyFill="1" applyBorder="1" applyAlignment="1">
      <alignment vertical="center"/>
    </xf>
    <xf numFmtId="177" fontId="18" fillId="36" borderId="68" xfId="0" applyNumberFormat="1" applyFont="1" applyFill="1" applyBorder="1" applyAlignment="1">
      <alignment vertical="center"/>
    </xf>
    <xf numFmtId="177" fontId="18" fillId="36" borderId="72" xfId="0" applyNumberFormat="1" applyFont="1" applyFill="1" applyBorder="1" applyAlignment="1">
      <alignment vertical="center"/>
    </xf>
    <xf numFmtId="176" fontId="18" fillId="36" borderId="40" xfId="12" applyNumberFormat="1" applyFont="1" applyFill="1" applyBorder="1" applyAlignment="1">
      <alignment horizontal="right" vertical="center"/>
    </xf>
    <xf numFmtId="0" fontId="20" fillId="0" borderId="12" xfId="2" applyNumberFormat="1" applyFont="1" applyFill="1" applyBorder="1" applyAlignment="1">
      <alignment horizontal="left" vertical="center" shrinkToFit="1"/>
    </xf>
    <xf numFmtId="0" fontId="0" fillId="0" borderId="14" xfId="0" applyNumberFormat="1" applyBorder="1">
      <alignment vertical="center"/>
    </xf>
    <xf numFmtId="0" fontId="20" fillId="2" borderId="26" xfId="5" applyFont="1" applyFill="1" applyBorder="1" applyAlignment="1">
      <alignment vertical="top"/>
    </xf>
    <xf numFmtId="41" fontId="20" fillId="2" borderId="23" xfId="65" applyNumberFormat="1" applyFont="1" applyFill="1" applyBorder="1" applyAlignment="1">
      <alignment vertical="center" shrinkToFit="1"/>
    </xf>
    <xf numFmtId="0" fontId="0" fillId="0" borderId="0" xfId="0" applyNumberFormat="1" applyBorder="1">
      <alignment vertical="center"/>
    </xf>
    <xf numFmtId="0" fontId="24" fillId="0" borderId="70" xfId="11" applyNumberFormat="1" applyFont="1" applyFill="1" applyBorder="1" applyAlignment="1">
      <alignment vertical="center"/>
    </xf>
    <xf numFmtId="176" fontId="18" fillId="2" borderId="29" xfId="12" applyNumberFormat="1" applyFont="1" applyFill="1" applyBorder="1" applyAlignment="1">
      <alignment vertical="center"/>
    </xf>
    <xf numFmtId="0" fontId="20" fillId="0" borderId="12" xfId="5" applyFont="1" applyFill="1" applyBorder="1" applyAlignment="1">
      <alignment horizontal="justify" vertical="center"/>
    </xf>
    <xf numFmtId="0" fontId="11" fillId="0" borderId="0" xfId="0" applyNumberFormat="1" applyFont="1" applyAlignment="1">
      <alignment vertical="center"/>
    </xf>
    <xf numFmtId="0" fontId="18" fillId="0" borderId="23" xfId="2" applyNumberFormat="1" applyFont="1" applyFill="1" applyBorder="1" applyAlignment="1">
      <alignment vertical="center"/>
    </xf>
    <xf numFmtId="0" fontId="20" fillId="0" borderId="0" xfId="5" quotePrefix="1" applyFont="1" applyBorder="1" applyAlignment="1">
      <alignment horizontal="justify" vertical="center"/>
    </xf>
    <xf numFmtId="0" fontId="10" fillId="0" borderId="4" xfId="5" quotePrefix="1" applyFont="1" applyBorder="1" applyAlignment="1">
      <alignment horizontal="justify" vertical="center"/>
    </xf>
    <xf numFmtId="0" fontId="10" fillId="0" borderId="5" xfId="11" applyFont="1" applyFill="1" applyBorder="1" applyAlignment="1">
      <alignment horizontal="center" vertical="center"/>
    </xf>
    <xf numFmtId="3" fontId="10" fillId="0" borderId="10" xfId="5" applyNumberFormat="1" applyFont="1" applyFill="1" applyBorder="1" applyAlignment="1">
      <alignment horizontal="right" vertical="center"/>
    </xf>
    <xf numFmtId="0" fontId="19" fillId="0" borderId="0" xfId="5" quotePrefix="1" applyFont="1" applyBorder="1" applyAlignment="1">
      <alignment horizontal="justify" vertical="center"/>
    </xf>
    <xf numFmtId="176" fontId="50" fillId="2" borderId="35" xfId="12" applyNumberFormat="1" applyFont="1" applyFill="1" applyBorder="1" applyAlignment="1">
      <alignment horizontal="right" vertical="center" shrinkToFit="1"/>
    </xf>
    <xf numFmtId="0" fontId="10" fillId="0" borderId="12" xfId="65" applyNumberFormat="1" applyFont="1" applyFill="1" applyBorder="1" applyAlignment="1">
      <alignment horizontal="left" vertical="center"/>
    </xf>
    <xf numFmtId="0" fontId="10" fillId="0" borderId="0" xfId="11" applyFont="1" applyFill="1" applyBorder="1" applyAlignment="1">
      <alignment horizontal="center" vertical="center"/>
    </xf>
    <xf numFmtId="0" fontId="15" fillId="0" borderId="0" xfId="3" applyNumberFormat="1" applyFont="1" applyFill="1" applyBorder="1" applyAlignment="1">
      <alignment horizontal="left" vertical="center"/>
    </xf>
    <xf numFmtId="0" fontId="18" fillId="0" borderId="6" xfId="2" applyNumberFormat="1" applyFont="1" applyFill="1" applyBorder="1" applyAlignment="1">
      <alignment horizontal="left" vertical="center" shrinkToFit="1"/>
    </xf>
    <xf numFmtId="41" fontId="15" fillId="0" borderId="1" xfId="65" applyNumberFormat="1" applyFont="1" applyFill="1" applyBorder="1" applyAlignment="1">
      <alignment horizontal="center" vertical="center"/>
    </xf>
    <xf numFmtId="41" fontId="20" fillId="0" borderId="1" xfId="65" applyNumberFormat="1" applyFont="1" applyFill="1" applyBorder="1" applyAlignment="1">
      <alignment horizontal="center" vertical="center"/>
    </xf>
    <xf numFmtId="180" fontId="20" fillId="0" borderId="15" xfId="65" applyNumberFormat="1" applyFont="1" applyFill="1" applyBorder="1" applyAlignment="1">
      <alignment horizontal="right" vertical="center"/>
    </xf>
    <xf numFmtId="0" fontId="18" fillId="0" borderId="27" xfId="2" applyNumberFormat="1" applyFont="1" applyBorder="1" applyAlignment="1">
      <alignment horizontal="left" vertical="center" shrinkToFit="1"/>
    </xf>
    <xf numFmtId="180" fontId="19" fillId="0" borderId="17" xfId="65" applyNumberFormat="1" applyFont="1" applyFill="1" applyBorder="1" applyAlignment="1">
      <alignment horizontal="right" vertical="center"/>
    </xf>
    <xf numFmtId="0" fontId="18" fillId="0" borderId="12" xfId="65" applyNumberFormat="1" applyFont="1" applyFill="1" applyBorder="1" applyAlignment="1">
      <alignment horizontal="left" vertical="center"/>
    </xf>
    <xf numFmtId="180" fontId="19" fillId="0" borderId="10" xfId="65" applyNumberFormat="1" applyFont="1" applyFill="1" applyBorder="1" applyAlignment="1">
      <alignment horizontal="right" vertical="center"/>
    </xf>
    <xf numFmtId="0" fontId="15" fillId="0" borderId="16" xfId="11" applyNumberFormat="1" applyFont="1" applyFill="1" applyBorder="1" applyAlignment="1">
      <alignment vertical="center"/>
    </xf>
    <xf numFmtId="0" fontId="15" fillId="0" borderId="2" xfId="11" applyNumberFormat="1" applyFont="1" applyFill="1" applyBorder="1" applyAlignment="1">
      <alignment vertical="center"/>
    </xf>
    <xf numFmtId="0" fontId="15" fillId="0" borderId="2" xfId="11" applyNumberFormat="1" applyFont="1" applyFill="1" applyBorder="1" applyAlignment="1">
      <alignment vertical="top"/>
    </xf>
    <xf numFmtId="0" fontId="15" fillId="0" borderId="26" xfId="11" applyNumberFormat="1" applyFont="1" applyFill="1" applyBorder="1" applyAlignment="1">
      <alignment vertical="top"/>
    </xf>
    <xf numFmtId="0" fontId="15" fillId="0" borderId="26" xfId="11" applyNumberFormat="1" applyFont="1" applyFill="1" applyBorder="1" applyAlignment="1">
      <alignment vertical="center"/>
    </xf>
    <xf numFmtId="0" fontId="52" fillId="0" borderId="0" xfId="0" applyNumberFormat="1" applyFont="1">
      <alignment vertical="center"/>
    </xf>
    <xf numFmtId="3" fontId="52" fillId="0" borderId="0" xfId="0" applyNumberFormat="1" applyFont="1">
      <alignment vertical="center"/>
    </xf>
    <xf numFmtId="0" fontId="20" fillId="0" borderId="4" xfId="3" applyNumberFormat="1" applyFont="1" applyFill="1" applyBorder="1" applyAlignment="1">
      <alignment horizontal="left" vertical="center"/>
    </xf>
    <xf numFmtId="0" fontId="10" fillId="0" borderId="4" xfId="2" applyNumberFormat="1" applyFont="1" applyBorder="1" applyAlignment="1">
      <alignment horizontal="left" vertical="center" shrinkToFit="1"/>
    </xf>
    <xf numFmtId="0" fontId="10" fillId="0" borderId="5" xfId="11" applyNumberFormat="1" applyFont="1" applyFill="1" applyBorder="1" applyAlignment="1">
      <alignment horizontal="center" vertical="center"/>
    </xf>
    <xf numFmtId="180" fontId="10" fillId="0" borderId="11" xfId="65" applyNumberFormat="1" applyFont="1" applyFill="1" applyBorder="1" applyAlignment="1">
      <alignment horizontal="right" vertical="center"/>
    </xf>
    <xf numFmtId="0" fontId="10" fillId="0" borderId="4" xfId="65" applyNumberFormat="1" applyFont="1" applyFill="1" applyBorder="1" applyAlignment="1">
      <alignment horizontal="left" vertical="center"/>
    </xf>
    <xf numFmtId="3" fontId="10" fillId="0" borderId="11" xfId="11" applyNumberFormat="1" applyFont="1" applyFill="1" applyBorder="1" applyAlignment="1">
      <alignment horizontal="right" vertical="center"/>
    </xf>
    <xf numFmtId="0" fontId="10" fillId="0" borderId="0" xfId="11" applyNumberFormat="1" applyFont="1" applyFill="1" applyBorder="1" applyAlignment="1">
      <alignment horizontal="center" vertical="center"/>
    </xf>
    <xf numFmtId="3" fontId="10" fillId="0" borderId="10" xfId="11" applyNumberFormat="1" applyFont="1" applyFill="1" applyBorder="1" applyAlignment="1">
      <alignment horizontal="right" vertical="center"/>
    </xf>
    <xf numFmtId="0" fontId="10" fillId="0" borderId="12" xfId="5" quotePrefix="1" applyFont="1" applyBorder="1" applyAlignment="1">
      <alignment horizontal="justify" vertical="center"/>
    </xf>
    <xf numFmtId="0" fontId="10" fillId="0" borderId="25" xfId="65" applyNumberFormat="1" applyFont="1" applyFill="1" applyBorder="1" applyAlignment="1">
      <alignment horizontal="left" vertical="center"/>
    </xf>
    <xf numFmtId="0" fontId="10" fillId="0" borderId="20" xfId="11" applyFont="1" applyFill="1" applyBorder="1" applyAlignment="1">
      <alignment horizontal="center" vertical="center"/>
    </xf>
    <xf numFmtId="3" fontId="10" fillId="0" borderId="28" xfId="5" applyNumberFormat="1" applyFont="1" applyFill="1" applyBorder="1" applyAlignment="1">
      <alignment horizontal="right" vertical="center"/>
    </xf>
    <xf numFmtId="0" fontId="19" fillId="0" borderId="12" xfId="2" applyNumberFormat="1" applyFont="1" applyBorder="1" applyAlignment="1">
      <alignment horizontal="left" vertical="center" shrinkToFit="1"/>
    </xf>
    <xf numFmtId="0" fontId="10" fillId="0" borderId="12" xfId="2" applyNumberFormat="1" applyFont="1" applyBorder="1" applyAlignment="1">
      <alignment horizontal="left" vertical="center" shrinkToFit="1"/>
    </xf>
    <xf numFmtId="3" fontId="10" fillId="0" borderId="11" xfId="5" applyNumberFormat="1" applyFont="1" applyFill="1" applyBorder="1" applyAlignment="1">
      <alignment horizontal="right" vertical="center"/>
    </xf>
    <xf numFmtId="0" fontId="20" fillId="0" borderId="0" xfId="2" applyNumberFormat="1" applyFont="1" applyBorder="1" applyAlignment="1">
      <alignment horizontal="left" vertical="center" shrinkToFit="1"/>
    </xf>
    <xf numFmtId="0" fontId="53" fillId="0" borderId="4" xfId="2" applyNumberFormat="1" applyFont="1" applyFill="1" applyBorder="1" applyAlignment="1">
      <alignment horizontal="left" vertical="center" shrinkToFit="1"/>
    </xf>
    <xf numFmtId="0" fontId="53" fillId="0" borderId="0" xfId="11" applyNumberFormat="1" applyFont="1" applyFill="1" applyBorder="1" applyAlignment="1">
      <alignment horizontal="center" vertical="center"/>
    </xf>
    <xf numFmtId="3" fontId="53" fillId="0" borderId="10" xfId="5" applyNumberFormat="1" applyFont="1" applyFill="1" applyBorder="1" applyAlignment="1">
      <alignment horizontal="right" vertical="center"/>
    </xf>
    <xf numFmtId="0" fontId="53" fillId="0" borderId="25" xfId="2" applyNumberFormat="1" applyFont="1" applyBorder="1" applyAlignment="1">
      <alignment horizontal="left" vertical="center" shrinkToFit="1"/>
    </xf>
    <xf numFmtId="0" fontId="53" fillId="0" borderId="20" xfId="11" applyNumberFormat="1" applyFont="1" applyFill="1" applyBorder="1" applyAlignment="1">
      <alignment horizontal="center" vertical="center"/>
    </xf>
    <xf numFmtId="3" fontId="53" fillId="0" borderId="28" xfId="5" applyNumberFormat="1" applyFont="1" applyFill="1" applyBorder="1" applyAlignment="1">
      <alignment horizontal="right" vertical="center"/>
    </xf>
    <xf numFmtId="177" fontId="15" fillId="3" borderId="13" xfId="0" applyNumberFormat="1" applyFont="1" applyFill="1" applyBorder="1" applyAlignment="1">
      <alignment horizontal="center" vertical="center"/>
    </xf>
    <xf numFmtId="177" fontId="15" fillId="3" borderId="14" xfId="0" applyNumberFormat="1" applyFont="1" applyFill="1" applyBorder="1" applyAlignment="1">
      <alignment horizontal="center" vertical="center"/>
    </xf>
    <xf numFmtId="41" fontId="15" fillId="3" borderId="45" xfId="12" applyFont="1" applyFill="1" applyBorder="1" applyAlignment="1">
      <alignment horizontal="center" vertical="center" wrapText="1"/>
    </xf>
    <xf numFmtId="41" fontId="15" fillId="3" borderId="19" xfId="12" applyFont="1" applyFill="1" applyBorder="1" applyAlignment="1">
      <alignment horizontal="center" vertical="center"/>
    </xf>
    <xf numFmtId="177" fontId="15" fillId="3" borderId="34" xfId="12" applyNumberFormat="1" applyFont="1" applyFill="1" applyBorder="1" applyAlignment="1">
      <alignment horizontal="center" vertical="center" wrapText="1"/>
    </xf>
    <xf numFmtId="177" fontId="15" fillId="3" borderId="40" xfId="12" applyNumberFormat="1" applyFont="1" applyFill="1" applyBorder="1" applyAlignment="1">
      <alignment horizontal="center" vertical="center"/>
    </xf>
    <xf numFmtId="177" fontId="18" fillId="3" borderId="36" xfId="0" applyNumberFormat="1" applyFont="1" applyFill="1" applyBorder="1" applyAlignment="1">
      <alignment horizontal="center" vertical="center"/>
    </xf>
    <xf numFmtId="177" fontId="18" fillId="3" borderId="37" xfId="0" applyNumberFormat="1" applyFont="1" applyFill="1" applyBorder="1" applyAlignment="1">
      <alignment horizontal="center" vertical="center"/>
    </xf>
    <xf numFmtId="177" fontId="15" fillId="3" borderId="41" xfId="0" applyNumberFormat="1" applyFont="1" applyFill="1" applyBorder="1" applyAlignment="1">
      <alignment horizontal="center" vertical="center"/>
    </xf>
    <xf numFmtId="177" fontId="18" fillId="3" borderId="48" xfId="0" applyNumberFormat="1" applyFont="1" applyFill="1" applyBorder="1" applyAlignment="1">
      <alignment horizontal="center" vertical="center"/>
    </xf>
    <xf numFmtId="177" fontId="15" fillId="3" borderId="68" xfId="0" applyNumberFormat="1" applyFont="1" applyFill="1" applyBorder="1" applyAlignment="1">
      <alignment horizontal="center" vertical="center"/>
    </xf>
    <xf numFmtId="177" fontId="15" fillId="3" borderId="72" xfId="0" applyNumberFormat="1" applyFont="1" applyFill="1" applyBorder="1" applyAlignment="1">
      <alignment horizontal="center" vertical="center"/>
    </xf>
    <xf numFmtId="177" fontId="15" fillId="3" borderId="64" xfId="0" applyNumberFormat="1" applyFont="1" applyFill="1" applyBorder="1" applyAlignment="1">
      <alignment horizontal="center" vertical="center"/>
    </xf>
    <xf numFmtId="0" fontId="20" fillId="3" borderId="30" xfId="2" applyNumberFormat="1" applyFont="1" applyFill="1" applyBorder="1" applyAlignment="1">
      <alignment horizontal="center" vertical="center"/>
    </xf>
    <xf numFmtId="0" fontId="20" fillId="3" borderId="22" xfId="2" applyNumberFormat="1" applyFont="1" applyFill="1" applyBorder="1" applyAlignment="1">
      <alignment horizontal="center" vertical="center"/>
    </xf>
    <xf numFmtId="0" fontId="20" fillId="3" borderId="34" xfId="2" applyNumberFormat="1" applyFont="1" applyFill="1" applyBorder="1" applyAlignment="1">
      <alignment horizontal="center" vertical="center"/>
    </xf>
    <xf numFmtId="0" fontId="20" fillId="3" borderId="31" xfId="2" applyNumberFormat="1" applyFont="1" applyFill="1" applyBorder="1" applyAlignment="1">
      <alignment horizontal="center" vertical="center"/>
    </xf>
    <xf numFmtId="0" fontId="20" fillId="3" borderId="3" xfId="2" applyNumberFormat="1" applyFont="1" applyFill="1" applyBorder="1" applyAlignment="1">
      <alignment horizontal="center" vertical="center"/>
    </xf>
    <xf numFmtId="0" fontId="20" fillId="3" borderId="43" xfId="2" applyNumberFormat="1" applyFont="1" applyFill="1" applyBorder="1" applyAlignment="1">
      <alignment horizontal="center" vertical="center"/>
    </xf>
    <xf numFmtId="0" fontId="26" fillId="3" borderId="36" xfId="11" applyNumberFormat="1" applyFont="1" applyFill="1" applyBorder="1" applyAlignment="1">
      <alignment horizontal="center" vertical="center"/>
    </xf>
    <xf numFmtId="0" fontId="26" fillId="3" borderId="37" xfId="11" applyNumberFormat="1" applyFont="1" applyFill="1" applyBorder="1" applyAlignment="1">
      <alignment horizontal="center" vertical="center"/>
    </xf>
    <xf numFmtId="0" fontId="26" fillId="3" borderId="48" xfId="11" applyNumberFormat="1" applyFont="1" applyFill="1" applyBorder="1" applyAlignment="1">
      <alignment horizontal="center" vertical="center"/>
    </xf>
    <xf numFmtId="0" fontId="8" fillId="3" borderId="49" xfId="2" applyNumberFormat="1" applyFont="1" applyFill="1" applyBorder="1" applyAlignment="1">
      <alignment horizontal="center" vertical="center"/>
    </xf>
    <xf numFmtId="0" fontId="8" fillId="3" borderId="18" xfId="2" applyNumberFormat="1" applyFont="1" applyFill="1" applyBorder="1" applyAlignment="1">
      <alignment horizontal="center" vertical="center"/>
    </xf>
    <xf numFmtId="0" fontId="8" fillId="3" borderId="33" xfId="2" applyNumberFormat="1" applyFont="1" applyFill="1" applyBorder="1" applyAlignment="1">
      <alignment horizontal="center" vertical="center"/>
    </xf>
    <xf numFmtId="0" fontId="8" fillId="3" borderId="21" xfId="2" applyNumberFormat="1" applyFont="1" applyFill="1" applyBorder="1" applyAlignment="1">
      <alignment horizontal="center" vertical="center"/>
    </xf>
    <xf numFmtId="0" fontId="8" fillId="3" borderId="30" xfId="2" applyNumberFormat="1" applyFont="1" applyFill="1" applyBorder="1" applyAlignment="1">
      <alignment horizontal="center" vertical="center"/>
    </xf>
    <xf numFmtId="177" fontId="15" fillId="3" borderId="22" xfId="12" applyNumberFormat="1" applyFont="1" applyFill="1" applyBorder="1" applyAlignment="1">
      <alignment horizontal="center" vertical="center" wrapText="1"/>
    </xf>
    <xf numFmtId="177" fontId="15" fillId="3" borderId="46" xfId="12" applyNumberFormat="1" applyFont="1" applyFill="1" applyBorder="1" applyAlignment="1">
      <alignment horizontal="center" vertical="center"/>
    </xf>
    <xf numFmtId="0" fontId="20" fillId="0" borderId="23" xfId="11" applyFont="1" applyBorder="1" applyAlignment="1">
      <alignment horizontal="left" vertical="center"/>
    </xf>
    <xf numFmtId="0" fontId="20" fillId="0" borderId="29" xfId="11" applyFont="1" applyBorder="1" applyAlignment="1">
      <alignment horizontal="left" vertical="center"/>
    </xf>
    <xf numFmtId="41" fontId="15" fillId="3" borderId="19" xfId="12" applyFont="1" applyFill="1" applyBorder="1" applyAlignment="1">
      <alignment horizontal="center" vertical="center" wrapText="1"/>
    </xf>
    <xf numFmtId="0" fontId="9" fillId="0" borderId="0" xfId="3" applyNumberFormat="1" applyFont="1" applyFill="1" applyBorder="1" applyAlignment="1">
      <alignment horizontal="left" vertical="center"/>
    </xf>
    <xf numFmtId="0" fontId="20" fillId="3" borderId="46" xfId="2" applyNumberFormat="1" applyFont="1" applyFill="1" applyBorder="1" applyAlignment="1">
      <alignment horizontal="center" vertical="center"/>
    </xf>
    <xf numFmtId="0" fontId="20" fillId="3" borderId="40" xfId="2" applyNumberFormat="1" applyFont="1" applyFill="1" applyBorder="1" applyAlignment="1">
      <alignment horizontal="center" vertical="center"/>
    </xf>
    <xf numFmtId="0" fontId="6" fillId="0" borderId="0" xfId="2"/>
    <xf numFmtId="0" fontId="54" fillId="0" borderId="0" xfId="2" applyFont="1" applyAlignment="1">
      <alignment horizontal="right"/>
    </xf>
    <xf numFmtId="0" fontId="6" fillId="37" borderId="0" xfId="2" applyFill="1"/>
    <xf numFmtId="0" fontId="6" fillId="37" borderId="0" xfId="2" applyFill="1" applyAlignment="1">
      <alignment horizontal="center"/>
    </xf>
    <xf numFmtId="0" fontId="56" fillId="0" borderId="0" xfId="2" applyFont="1" applyAlignment="1">
      <alignment horizontal="center" vertical="center" shrinkToFit="1"/>
    </xf>
    <xf numFmtId="0" fontId="57" fillId="37" borderId="0" xfId="2" applyFont="1" applyFill="1" applyAlignment="1">
      <alignment horizontal="center"/>
    </xf>
    <xf numFmtId="0" fontId="6" fillId="0" borderId="0" xfId="2" applyAlignment="1"/>
    <xf numFmtId="0" fontId="58" fillId="0" borderId="0" xfId="2" applyFont="1" applyAlignment="1">
      <alignment horizontal="center" vertical="center"/>
    </xf>
    <xf numFmtId="0" fontId="59" fillId="0" borderId="0" xfId="2" applyFont="1" applyAlignment="1">
      <alignment horizontal="center" vertical="center"/>
    </xf>
    <xf numFmtId="0" fontId="60" fillId="38" borderId="0" xfId="2" applyFont="1" applyFill="1" applyAlignment="1">
      <alignment horizontal="center" vertical="center"/>
    </xf>
    <xf numFmtId="0" fontId="24" fillId="0" borderId="10" xfId="11" applyNumberFormat="1" applyFont="1" applyFill="1" applyBorder="1" applyAlignment="1">
      <alignment vertical="center"/>
    </xf>
    <xf numFmtId="0" fontId="24" fillId="0" borderId="17" xfId="11" applyNumberFormat="1" applyFont="1" applyFill="1" applyBorder="1" applyAlignment="1">
      <alignment vertical="center"/>
    </xf>
    <xf numFmtId="0" fontId="15" fillId="0" borderId="10" xfId="11" applyNumberFormat="1" applyFont="1" applyFill="1" applyBorder="1" applyAlignment="1">
      <alignment vertical="center"/>
    </xf>
    <xf numFmtId="0" fontId="10" fillId="0" borderId="17" xfId="11" applyFont="1" applyFill="1" applyBorder="1" applyAlignment="1">
      <alignment vertical="center"/>
    </xf>
    <xf numFmtId="0" fontId="20" fillId="0" borderId="15" xfId="11" applyFont="1" applyBorder="1" applyAlignment="1">
      <alignment vertical="center"/>
    </xf>
    <xf numFmtId="49" fontId="20" fillId="0" borderId="15" xfId="11" applyNumberFormat="1" applyFont="1" applyBorder="1" applyAlignment="1">
      <alignment vertical="center"/>
    </xf>
    <xf numFmtId="0" fontId="20" fillId="0" borderId="10" xfId="5" applyFont="1" applyFill="1" applyBorder="1" applyAlignment="1">
      <alignment vertical="center" wrapText="1"/>
    </xf>
    <xf numFmtId="0" fontId="20" fillId="0" borderId="10" xfId="5" applyFont="1" applyFill="1" applyBorder="1" applyAlignment="1">
      <alignment vertical="center" shrinkToFit="1"/>
    </xf>
    <xf numFmtId="0" fontId="20" fillId="2" borderId="15" xfId="11" applyFont="1" applyFill="1" applyBorder="1" applyAlignment="1">
      <alignment vertical="center"/>
    </xf>
    <xf numFmtId="0" fontId="20" fillId="2" borderId="15" xfId="5" applyFont="1" applyFill="1" applyBorder="1" applyAlignment="1">
      <alignment vertical="center"/>
    </xf>
    <xf numFmtId="0" fontId="20" fillId="2" borderId="10" xfId="5" applyFont="1" applyFill="1" applyBorder="1" applyAlignment="1">
      <alignment horizontal="justify" vertical="center" wrapText="1"/>
    </xf>
    <xf numFmtId="0" fontId="20" fillId="0" borderId="15" xfId="5" applyFont="1" applyBorder="1" applyAlignment="1">
      <alignment horizontal="justify" vertical="center" wrapText="1"/>
    </xf>
    <xf numFmtId="0" fontId="20" fillId="0" borderId="10" xfId="5" applyFont="1" applyBorder="1" applyAlignment="1">
      <alignment horizontal="justify" vertical="center" wrapText="1"/>
    </xf>
    <xf numFmtId="41" fontId="20" fillId="2" borderId="6" xfId="65" applyNumberFormat="1" applyFont="1" applyFill="1" applyBorder="1" applyAlignment="1">
      <alignment horizontal="center" vertical="center" shrinkToFit="1"/>
    </xf>
  </cellXfs>
  <cellStyles count="93">
    <cellStyle name="20% - 강조색1 2" xfId="33"/>
    <cellStyle name="20% - 강조색2 2" xfId="34"/>
    <cellStyle name="20% - 강조색3 2" xfId="35"/>
    <cellStyle name="20% - 강조색4 2" xfId="36"/>
    <cellStyle name="20% - 강조색5 2" xfId="37"/>
    <cellStyle name="20% - 강조색6 2" xfId="38"/>
    <cellStyle name="40% - 강조색1 2" xfId="39"/>
    <cellStyle name="40% - 강조색2 2" xfId="40"/>
    <cellStyle name="40% - 강조색3 2" xfId="41"/>
    <cellStyle name="40% - 강조색4 2" xfId="42"/>
    <cellStyle name="40% - 강조색5 2" xfId="43"/>
    <cellStyle name="40% - 강조색6 2" xfId="44"/>
    <cellStyle name="60% - 강조색1 2" xfId="45"/>
    <cellStyle name="60% - 강조색2 2" xfId="46"/>
    <cellStyle name="60% - 강조색3 2" xfId="47"/>
    <cellStyle name="60% - 강조색4 2" xfId="48"/>
    <cellStyle name="60% - 강조색5 2" xfId="49"/>
    <cellStyle name="60% - 강조색6 2" xfId="50"/>
    <cellStyle name="강조색1 2" xfId="51"/>
    <cellStyle name="강조색2 2" xfId="52"/>
    <cellStyle name="강조색3 2" xfId="53"/>
    <cellStyle name="강조색4 2" xfId="54"/>
    <cellStyle name="강조색5 2" xfId="55"/>
    <cellStyle name="강조색6 2" xfId="56"/>
    <cellStyle name="경고문 2" xfId="57"/>
    <cellStyle name="계산 2" xfId="58"/>
    <cellStyle name="나쁨 2" xfId="59"/>
    <cellStyle name="메모 2" xfId="60"/>
    <cellStyle name="백분율 2" xfId="8"/>
    <cellStyle name="백분율 2 2" xfId="25"/>
    <cellStyle name="백분율 3" xfId="15"/>
    <cellStyle name="보통 2" xfId="61"/>
    <cellStyle name="설명 텍스트 2" xfId="62"/>
    <cellStyle name="셀 확인 2" xfId="63"/>
    <cellStyle name="쉼표 [0]" xfId="1" builtinId="6"/>
    <cellStyle name="쉼표 [0] 10" xfId="92"/>
    <cellStyle name="쉼표 [0] 2" xfId="3"/>
    <cellStyle name="쉼표 [0] 2 2" xfId="12"/>
    <cellStyle name="쉼표 [0] 2 2 2" xfId="28"/>
    <cellStyle name="쉼표 [0] 2 2 3" xfId="82"/>
    <cellStyle name="쉼표 [0] 2 3" xfId="16"/>
    <cellStyle name="쉼표 [0] 2 3 2" xfId="65"/>
    <cellStyle name="쉼표 [0] 2 4" xfId="22"/>
    <cellStyle name="쉼표 [0] 2 5" xfId="81"/>
    <cellStyle name="쉼표 [0] 3" xfId="10"/>
    <cellStyle name="쉼표 [0] 3 2" xfId="30"/>
    <cellStyle name="쉼표 [0] 3 3" xfId="21"/>
    <cellStyle name="쉼표 [0] 3 4" xfId="83"/>
    <cellStyle name="쉼표 [0] 4" xfId="4"/>
    <cellStyle name="쉼표 [0] 4 2" xfId="24"/>
    <cellStyle name="쉼표 [0] 4 3" xfId="84"/>
    <cellStyle name="쉼표 [0] 5" xfId="14"/>
    <cellStyle name="쉼표 [0] 5 2" xfId="26"/>
    <cellStyle name="쉼표 [0] 5 3" xfId="85"/>
    <cellStyle name="쉼표 [0] 6" xfId="6"/>
    <cellStyle name="쉼표 [0] 6 2" xfId="27"/>
    <cellStyle name="쉼표 [0] 7" xfId="64"/>
    <cellStyle name="쉼표 [0] 8" xfId="20"/>
    <cellStyle name="쉼표 [0] 9" xfId="80"/>
    <cellStyle name="연결된 셀 2" xfId="66"/>
    <cellStyle name="요약 2" xfId="67"/>
    <cellStyle name="입력 2" xfId="68"/>
    <cellStyle name="제목 1 2" xfId="70"/>
    <cellStyle name="제목 2 2" xfId="71"/>
    <cellStyle name="제목 3 2" xfId="72"/>
    <cellStyle name="제목 4 2" xfId="73"/>
    <cellStyle name="제목 5" xfId="69"/>
    <cellStyle name="좋음 2" xfId="74"/>
    <cellStyle name="출력 2" xfId="75"/>
    <cellStyle name="표준" xfId="0" builtinId="0"/>
    <cellStyle name="표준 2" xfId="5"/>
    <cellStyle name="표준 2 2" xfId="2"/>
    <cellStyle name="표준 2 2 2" xfId="11"/>
    <cellStyle name="표준 2 3" xfId="29"/>
    <cellStyle name="표준 2 4" xfId="76"/>
    <cellStyle name="표준 2 5" xfId="19"/>
    <cellStyle name="표준 2 5 2" xfId="78"/>
    <cellStyle name="표준 2 5 2 2" xfId="79"/>
    <cellStyle name="표준 2 5 2 2 2" xfId="89"/>
    <cellStyle name="표준 2 5 2 2 2 2" xfId="90"/>
    <cellStyle name="표준 2 5 2 2 2 2 3" xfId="91"/>
    <cellStyle name="표준 2 5 3" xfId="77"/>
    <cellStyle name="표준 2 6" xfId="23"/>
    <cellStyle name="표준 3" xfId="7"/>
    <cellStyle name="표준 3 2" xfId="13"/>
    <cellStyle name="표준 3 2 2" xfId="18"/>
    <cellStyle name="표준 3 3" xfId="31"/>
    <cellStyle name="표준 4" xfId="9"/>
    <cellStyle name="표준 4 2" xfId="86"/>
    <cellStyle name="표준 5" xfId="17"/>
    <cellStyle name="표준 5 2" xfId="87"/>
    <cellStyle name="표준 6" xfId="32"/>
    <cellStyle name="표준 7" xfId="88"/>
  </cellStyles>
  <dxfs count="1706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FF0000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257734</xdr:colOff>
      <xdr:row>21</xdr:row>
      <xdr:rowOff>145678</xdr:rowOff>
    </xdr:from>
    <xdr:to>
      <xdr:col>3</xdr:col>
      <xdr:colOff>445933</xdr:colOff>
      <xdr:row>24</xdr:row>
      <xdr:rowOff>80923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/>
        </a:blip>
        <a:stretch>
          <a:fillRect/>
        </a:stretch>
      </xdr:blipFill>
      <xdr:spPr>
        <a:xfrm>
          <a:off x="1591234" y="5060578"/>
          <a:ext cx="854949" cy="601995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49452;%20&#48149;&#46988;&#54924;%20&#51312;&#51649;&#50948;&#50896;&#54924;/Desktop/2025&#45380;%20&#48376;&#50696;&#49328;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49452;%20&#48149;&#46988;&#54924;%20&#51312;&#51649;&#50948;&#50896;&#54924;/Desktop/240229)%202024&#45380;%202&#54924;%20&#52628;&#44221;(&#49464;&#48512;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45380;%20&#48376;&#50696;&#49328;(&#51064;&#4960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입예산 총괄표"/>
      <sheetName val="지출예산 총괄표"/>
      <sheetName val="지출예산"/>
      <sheetName val="행정관리부"/>
      <sheetName val="기획홍보부"/>
      <sheetName val="수익사업부"/>
      <sheetName val="유치협력부"/>
      <sheetName val="운영부"/>
      <sheetName val="행사부"/>
      <sheetName val="시설조성부"/>
      <sheetName val="전시연출부"/>
      <sheetName val="예비비"/>
      <sheetName val="지출예산(위탁)"/>
      <sheetName val="기획본부(위탁)"/>
      <sheetName val="운영본부(위탁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성연출부"/>
      <sheetName val="홍보사업부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수입예산 총괄표"/>
      <sheetName val="지출예산 총괄표"/>
      <sheetName val="행정관리부"/>
      <sheetName val="기획홍보부"/>
      <sheetName val="수익사업부"/>
      <sheetName val="유치협력부"/>
      <sheetName val="운영부"/>
      <sheetName val="행사부"/>
      <sheetName val="시설조성부"/>
      <sheetName val="전시연출부"/>
      <sheetName val="예비비"/>
      <sheetName val="기획본부(위탁)"/>
      <sheetName val="운영본부(위탁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20000000000000000000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0000000000000000000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  <pageSetUpPr fitToPage="1"/>
  </sheetPr>
  <dimension ref="A3:M25"/>
  <sheetViews>
    <sheetView tabSelected="1" zoomScale="85" zoomScaleNormal="85" workbookViewId="0">
      <selection activeCell="C8" sqref="C8"/>
    </sheetView>
  </sheetViews>
  <sheetFormatPr defaultRowHeight="13.5"/>
  <cols>
    <col min="1" max="13" width="8.75" style="436" customWidth="1"/>
    <col min="14" max="16384" width="9" style="436"/>
  </cols>
  <sheetData>
    <row r="3" spans="1:13" ht="26.25">
      <c r="M3" s="437" t="s">
        <v>583</v>
      </c>
    </row>
    <row r="11" spans="1:13">
      <c r="K11" s="438"/>
      <c r="L11" s="439"/>
      <c r="M11" s="439"/>
    </row>
    <row r="13" spans="1:13" ht="35.25">
      <c r="A13" s="440" t="s">
        <v>584</v>
      </c>
      <c r="B13" s="440"/>
      <c r="C13" s="440"/>
      <c r="D13" s="440"/>
      <c r="E13" s="440"/>
      <c r="F13" s="440"/>
      <c r="G13" s="440"/>
      <c r="H13" s="440"/>
      <c r="I13" s="440"/>
      <c r="J13" s="440"/>
      <c r="K13" s="440"/>
      <c r="L13" s="440"/>
      <c r="M13" s="440"/>
    </row>
    <row r="15" spans="1:13" ht="14.25">
      <c r="A15" s="441"/>
      <c r="B15" s="441"/>
      <c r="C15" s="441"/>
    </row>
    <row r="16" spans="1:13" ht="25.5">
      <c r="C16" s="442"/>
      <c r="D16" s="443"/>
      <c r="E16" s="443"/>
      <c r="F16" s="443"/>
      <c r="G16" s="443"/>
      <c r="H16" s="443"/>
      <c r="I16" s="443"/>
      <c r="J16" s="443"/>
    </row>
    <row r="17" spans="1:13" ht="25.5">
      <c r="C17" s="442"/>
      <c r="D17" s="443"/>
      <c r="E17" s="443"/>
      <c r="F17" s="443"/>
      <c r="G17" s="443"/>
      <c r="H17" s="443"/>
      <c r="I17" s="443"/>
      <c r="J17" s="443"/>
    </row>
    <row r="18" spans="1:13" ht="25.5">
      <c r="C18" s="442"/>
      <c r="D18" s="443"/>
      <c r="E18" s="443"/>
      <c r="F18" s="443"/>
      <c r="G18" s="443"/>
      <c r="H18" s="443"/>
      <c r="I18" s="443"/>
      <c r="J18" s="443"/>
    </row>
    <row r="19" spans="1:13" ht="25.5">
      <c r="C19" s="442"/>
      <c r="D19" s="443"/>
      <c r="E19" s="443"/>
      <c r="F19" s="443"/>
      <c r="G19" s="443"/>
      <c r="H19" s="443"/>
      <c r="I19" s="443"/>
      <c r="J19" s="443"/>
    </row>
    <row r="20" spans="1:13" ht="21.75">
      <c r="A20" s="444"/>
      <c r="B20" s="444"/>
      <c r="C20" s="444"/>
      <c r="D20" s="444"/>
      <c r="E20" s="444"/>
      <c r="F20" s="444"/>
      <c r="G20" s="444"/>
      <c r="H20" s="444"/>
      <c r="I20" s="444"/>
      <c r="J20" s="444"/>
      <c r="K20" s="444"/>
      <c r="L20" s="444"/>
      <c r="M20" s="444"/>
    </row>
    <row r="21" spans="1:13" ht="25.5">
      <c r="C21" s="442"/>
      <c r="D21" s="443"/>
      <c r="E21" s="443"/>
      <c r="F21" s="443"/>
      <c r="G21" s="443"/>
      <c r="H21" s="443"/>
      <c r="I21" s="443"/>
      <c r="J21" s="443"/>
    </row>
    <row r="22" spans="1:13" ht="25.5" customHeight="1">
      <c r="C22" s="442"/>
      <c r="D22" s="445" t="s">
        <v>582</v>
      </c>
      <c r="E22" s="445"/>
      <c r="F22" s="445"/>
      <c r="G22" s="445"/>
      <c r="H22" s="445"/>
      <c r="I22" s="445"/>
      <c r="J22" s="445"/>
      <c r="K22" s="445"/>
    </row>
    <row r="23" spans="1:13" ht="13.5" customHeight="1">
      <c r="D23" s="445"/>
      <c r="E23" s="445"/>
      <c r="F23" s="445"/>
      <c r="G23" s="445"/>
      <c r="H23" s="445"/>
      <c r="I23" s="445"/>
      <c r="J23" s="445"/>
      <c r="K23" s="445"/>
    </row>
    <row r="24" spans="1:13" ht="13.5" customHeight="1">
      <c r="D24" s="445"/>
      <c r="E24" s="445"/>
      <c r="F24" s="445"/>
      <c r="G24" s="445"/>
      <c r="H24" s="445"/>
      <c r="I24" s="445"/>
      <c r="J24" s="445"/>
      <c r="K24" s="445"/>
    </row>
    <row r="25" spans="1:13">
      <c r="D25" s="445"/>
      <c r="E25" s="445"/>
      <c r="F25" s="445"/>
      <c r="G25" s="445"/>
      <c r="H25" s="445"/>
      <c r="I25" s="445"/>
      <c r="J25" s="445"/>
      <c r="K25" s="445"/>
    </row>
  </sheetData>
  <mergeCells count="4">
    <mergeCell ref="A13:M13"/>
    <mergeCell ref="A15:C15"/>
    <mergeCell ref="A20:M20"/>
    <mergeCell ref="D22:K25"/>
  </mergeCells>
  <phoneticPr fontId="12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R23"/>
  <sheetViews>
    <sheetView zoomScale="85" zoomScaleNormal="85" workbookViewId="0">
      <selection activeCell="B7" sqref="B7"/>
    </sheetView>
  </sheetViews>
  <sheetFormatPr defaultRowHeight="16.5"/>
  <cols>
    <col min="1" max="4" width="4.625" customWidth="1"/>
    <col min="5" max="5" width="21" customWidth="1"/>
    <col min="6" max="7" width="14.375" customWidth="1"/>
    <col min="8" max="8" width="12.125" customWidth="1"/>
    <col min="14" max="14" width="16.125" customWidth="1"/>
    <col min="15" max="15" width="12.125" bestFit="1" customWidth="1"/>
    <col min="17" max="17" width="14.5" bestFit="1" customWidth="1"/>
    <col min="18" max="18" width="10.875" bestFit="1" customWidth="1"/>
  </cols>
  <sheetData>
    <row r="1" spans="1:18" ht="18" customHeight="1">
      <c r="A1" s="24" t="s">
        <v>114</v>
      </c>
      <c r="B1" s="24"/>
      <c r="C1" s="25"/>
      <c r="D1" s="25"/>
      <c r="E1" s="25"/>
      <c r="F1" s="26"/>
      <c r="G1" s="26"/>
      <c r="H1" s="26"/>
    </row>
    <row r="2" spans="1:18" ht="17.25" thickBot="1">
      <c r="A2" s="27"/>
      <c r="B2" s="27"/>
      <c r="C2" s="27"/>
      <c r="D2" s="27"/>
      <c r="E2" s="27"/>
      <c r="F2" s="27"/>
      <c r="G2" s="27"/>
      <c r="H2" s="28" t="s">
        <v>115</v>
      </c>
    </row>
    <row r="3" spans="1:18" ht="18" customHeight="1">
      <c r="A3" s="401" t="s">
        <v>5</v>
      </c>
      <c r="B3" s="402"/>
      <c r="C3" s="402"/>
      <c r="D3" s="402"/>
      <c r="E3" s="402"/>
      <c r="F3" s="403" t="s">
        <v>543</v>
      </c>
      <c r="G3" s="403" t="s">
        <v>542</v>
      </c>
      <c r="H3" s="405" t="s">
        <v>116</v>
      </c>
    </row>
    <row r="4" spans="1:18" ht="18" thickBot="1">
      <c r="A4" s="85" t="s">
        <v>12</v>
      </c>
      <c r="B4" s="29" t="s">
        <v>117</v>
      </c>
      <c r="C4" s="29" t="s">
        <v>118</v>
      </c>
      <c r="D4" s="29" t="s">
        <v>119</v>
      </c>
      <c r="E4" s="29" t="s">
        <v>6</v>
      </c>
      <c r="F4" s="404"/>
      <c r="G4" s="404"/>
      <c r="H4" s="406"/>
      <c r="K4" s="326"/>
      <c r="N4" s="238"/>
      <c r="O4" s="239"/>
      <c r="Q4" s="238"/>
      <c r="R4" s="239"/>
    </row>
    <row r="5" spans="1:18" ht="18" thickBot="1">
      <c r="A5" s="407" t="s">
        <v>120</v>
      </c>
      <c r="B5" s="408"/>
      <c r="C5" s="408"/>
      <c r="D5" s="408"/>
      <c r="E5" s="408"/>
      <c r="F5" s="155">
        <f>F6</f>
        <v>24729000</v>
      </c>
      <c r="G5" s="155">
        <v>24529000</v>
      </c>
      <c r="H5" s="156">
        <f>F5-G5</f>
        <v>200000</v>
      </c>
      <c r="J5" s="245"/>
      <c r="K5" s="340"/>
      <c r="N5" s="238"/>
      <c r="O5" s="239"/>
      <c r="Q5" s="238"/>
      <c r="R5" s="239"/>
    </row>
    <row r="6" spans="1:18" ht="17.25">
      <c r="A6" s="240" t="s">
        <v>121</v>
      </c>
      <c r="B6" s="162"/>
      <c r="C6" s="162"/>
      <c r="D6" s="162"/>
      <c r="E6" s="162"/>
      <c r="F6" s="241">
        <f>SUM(F7,F20)</f>
        <v>24729000</v>
      </c>
      <c r="G6" s="241">
        <v>24529000</v>
      </c>
      <c r="H6" s="112">
        <f t="shared" ref="H6:H23" si="0">F6-G6</f>
        <v>200000</v>
      </c>
      <c r="J6" s="245"/>
      <c r="K6" s="340"/>
      <c r="L6" s="326"/>
      <c r="N6" s="238"/>
      <c r="O6" s="242"/>
      <c r="Q6" s="238"/>
      <c r="R6" s="242"/>
    </row>
    <row r="7" spans="1:18" ht="17.25">
      <c r="A7" s="232"/>
      <c r="B7" s="161" t="s">
        <v>122</v>
      </c>
      <c r="C7" s="162"/>
      <c r="D7" s="162"/>
      <c r="E7" s="162"/>
      <c r="F7" s="110">
        <f>SUM(F8,F17)</f>
        <v>24729000</v>
      </c>
      <c r="G7" s="110">
        <v>24529000</v>
      </c>
      <c r="H7" s="112">
        <f t="shared" si="0"/>
        <v>200000</v>
      </c>
      <c r="J7" s="245"/>
      <c r="K7" s="340"/>
      <c r="Q7" s="238"/>
      <c r="R7" s="242"/>
    </row>
    <row r="8" spans="1:18" ht="18" customHeight="1">
      <c r="A8" s="243"/>
      <c r="B8" s="244"/>
      <c r="C8" s="161" t="s">
        <v>123</v>
      </c>
      <c r="D8" s="162"/>
      <c r="E8" s="162"/>
      <c r="F8" s="110">
        <f>SUM(F9,F11,F13,F15)</f>
        <v>24711000</v>
      </c>
      <c r="G8" s="110">
        <v>24511000</v>
      </c>
      <c r="H8" s="112">
        <f t="shared" si="0"/>
        <v>200000</v>
      </c>
      <c r="J8" s="245"/>
      <c r="K8" s="340"/>
      <c r="L8" s="326"/>
      <c r="N8" s="245"/>
      <c r="Q8" s="238"/>
      <c r="R8" s="242"/>
    </row>
    <row r="9" spans="1:18" ht="18" customHeight="1">
      <c r="A9" s="157"/>
      <c r="B9" s="159"/>
      <c r="C9" s="30"/>
      <c r="D9" s="30" t="s">
        <v>124</v>
      </c>
      <c r="E9" s="246"/>
      <c r="F9" s="108">
        <f>F10</f>
        <v>22550000</v>
      </c>
      <c r="G9" s="108">
        <v>22550000</v>
      </c>
      <c r="H9" s="111">
        <f t="shared" si="0"/>
        <v>0</v>
      </c>
      <c r="J9" s="245"/>
      <c r="K9" s="340"/>
      <c r="L9" s="326"/>
    </row>
    <row r="10" spans="1:18" ht="18" customHeight="1">
      <c r="A10" s="157"/>
      <c r="B10" s="159"/>
      <c r="C10" s="158"/>
      <c r="D10" s="247"/>
      <c r="E10" s="247" t="s">
        <v>125</v>
      </c>
      <c r="F10" s="351">
        <v>22550000</v>
      </c>
      <c r="G10" s="109">
        <v>22550000</v>
      </c>
      <c r="H10" s="111">
        <f t="shared" si="0"/>
        <v>0</v>
      </c>
      <c r="J10" s="245"/>
      <c r="K10" s="340"/>
      <c r="L10" s="326"/>
    </row>
    <row r="11" spans="1:18" ht="18" customHeight="1">
      <c r="A11" s="157"/>
      <c r="B11" s="158"/>
      <c r="C11" s="249"/>
      <c r="D11" s="164" t="s">
        <v>540</v>
      </c>
      <c r="E11" s="165"/>
      <c r="F11" s="108">
        <f>F12</f>
        <v>200000</v>
      </c>
      <c r="G11" s="108">
        <v>0</v>
      </c>
      <c r="H11" s="111">
        <f t="shared" si="0"/>
        <v>200000</v>
      </c>
      <c r="J11" s="245"/>
      <c r="K11" s="340"/>
      <c r="L11" s="326"/>
      <c r="N11" s="245"/>
    </row>
    <row r="12" spans="1:18" ht="18" customHeight="1">
      <c r="A12" s="157"/>
      <c r="B12" s="159"/>
      <c r="C12" s="158"/>
      <c r="D12" s="250"/>
      <c r="E12" s="247" t="s">
        <v>126</v>
      </c>
      <c r="F12" s="248">
        <v>200000</v>
      </c>
      <c r="G12" s="109">
        <v>0</v>
      </c>
      <c r="H12" s="360">
        <f t="shared" si="0"/>
        <v>200000</v>
      </c>
      <c r="J12" s="245"/>
      <c r="K12" s="340"/>
      <c r="L12" s="326"/>
      <c r="N12" s="353"/>
      <c r="O12" s="353"/>
      <c r="P12" s="353"/>
      <c r="Q12" s="353"/>
      <c r="R12" s="353"/>
    </row>
    <row r="13" spans="1:18" ht="18" customHeight="1">
      <c r="A13" s="157"/>
      <c r="B13" s="158"/>
      <c r="C13" s="249"/>
      <c r="D13" s="164" t="s">
        <v>127</v>
      </c>
      <c r="E13" s="165"/>
      <c r="F13" s="108">
        <f>F14</f>
        <v>1861000</v>
      </c>
      <c r="G13" s="108">
        <v>1861000</v>
      </c>
      <c r="H13" s="111">
        <f t="shared" si="0"/>
        <v>0</v>
      </c>
      <c r="J13" s="245"/>
      <c r="K13" s="340"/>
      <c r="N13" s="245"/>
    </row>
    <row r="14" spans="1:18" ht="18" customHeight="1">
      <c r="A14" s="157"/>
      <c r="B14" s="159"/>
      <c r="C14" s="158"/>
      <c r="D14" s="250"/>
      <c r="E14" s="247" t="s">
        <v>128</v>
      </c>
      <c r="F14" s="351">
        <v>1861000</v>
      </c>
      <c r="G14" s="109">
        <v>1861000</v>
      </c>
      <c r="H14" s="111">
        <f t="shared" si="0"/>
        <v>0</v>
      </c>
    </row>
    <row r="15" spans="1:18" ht="18" customHeight="1">
      <c r="A15" s="157"/>
      <c r="B15" s="158"/>
      <c r="C15" s="249"/>
      <c r="D15" s="164" t="s">
        <v>472</v>
      </c>
      <c r="E15" s="165"/>
      <c r="F15" s="108">
        <f>F16</f>
        <v>100000</v>
      </c>
      <c r="G15" s="108">
        <v>100000</v>
      </c>
      <c r="H15" s="111">
        <f t="shared" ref="H15:H16" si="1">F15-G15</f>
        <v>0</v>
      </c>
    </row>
    <row r="16" spans="1:18" ht="18" customHeight="1">
      <c r="A16" s="157"/>
      <c r="B16" s="159"/>
      <c r="C16" s="158"/>
      <c r="D16" s="250"/>
      <c r="E16" s="247" t="s">
        <v>473</v>
      </c>
      <c r="F16" s="351">
        <v>100000</v>
      </c>
      <c r="G16" s="109">
        <v>100000</v>
      </c>
      <c r="H16" s="111">
        <f t="shared" si="1"/>
        <v>0</v>
      </c>
    </row>
    <row r="17" spans="1:8" ht="18" customHeight="1">
      <c r="A17" s="243"/>
      <c r="B17" s="251"/>
      <c r="C17" s="161" t="s">
        <v>129</v>
      </c>
      <c r="D17" s="162"/>
      <c r="E17" s="162"/>
      <c r="F17" s="110">
        <f>F18</f>
        <v>18000</v>
      </c>
      <c r="G17" s="110">
        <v>18000</v>
      </c>
      <c r="H17" s="112">
        <f t="shared" si="0"/>
        <v>0</v>
      </c>
    </row>
    <row r="18" spans="1:8" ht="18" customHeight="1">
      <c r="A18" s="157"/>
      <c r="B18" s="159"/>
      <c r="C18" s="30"/>
      <c r="D18" s="30" t="s">
        <v>130</v>
      </c>
      <c r="E18" s="246"/>
      <c r="F18" s="108">
        <f>F19</f>
        <v>18000</v>
      </c>
      <c r="G18" s="108">
        <v>18000</v>
      </c>
      <c r="H18" s="111">
        <f t="shared" si="0"/>
        <v>0</v>
      </c>
    </row>
    <row r="19" spans="1:8" ht="18" customHeight="1">
      <c r="A19" s="157"/>
      <c r="B19" s="159"/>
      <c r="C19" s="158"/>
      <c r="D19" s="247"/>
      <c r="E19" s="247" t="s">
        <v>131</v>
      </c>
      <c r="F19" s="351">
        <v>18000</v>
      </c>
      <c r="G19" s="109">
        <v>18000</v>
      </c>
      <c r="H19" s="111">
        <f t="shared" si="0"/>
        <v>0</v>
      </c>
    </row>
    <row r="20" spans="1:8" ht="18" customHeight="1">
      <c r="A20" s="243"/>
      <c r="B20" s="161" t="s">
        <v>132</v>
      </c>
      <c r="C20" s="162"/>
      <c r="D20" s="252"/>
      <c r="E20" s="252"/>
      <c r="F20" s="110">
        <f>F21</f>
        <v>0</v>
      </c>
      <c r="G20" s="110">
        <v>0</v>
      </c>
      <c r="H20" s="112">
        <f t="shared" si="0"/>
        <v>0</v>
      </c>
    </row>
    <row r="21" spans="1:8">
      <c r="A21" s="243"/>
      <c r="B21" s="244"/>
      <c r="C21" s="161" t="s">
        <v>133</v>
      </c>
      <c r="D21" s="162"/>
      <c r="E21" s="162"/>
      <c r="F21" s="110">
        <f>F22</f>
        <v>0</v>
      </c>
      <c r="G21" s="110">
        <v>0</v>
      </c>
      <c r="H21" s="112">
        <f t="shared" si="0"/>
        <v>0</v>
      </c>
    </row>
    <row r="22" spans="1:8">
      <c r="A22" s="157"/>
      <c r="B22" s="159"/>
      <c r="C22" s="30"/>
      <c r="D22" s="30" t="s">
        <v>134</v>
      </c>
      <c r="E22" s="246"/>
      <c r="F22" s="108">
        <f>F23</f>
        <v>0</v>
      </c>
      <c r="G22" s="108">
        <v>0</v>
      </c>
      <c r="H22" s="111">
        <f t="shared" si="0"/>
        <v>0</v>
      </c>
    </row>
    <row r="23" spans="1:8" ht="17.25" thickBot="1">
      <c r="A23" s="253"/>
      <c r="B23" s="254"/>
      <c r="C23" s="255"/>
      <c r="D23" s="256"/>
      <c r="E23" s="256" t="s">
        <v>135</v>
      </c>
      <c r="F23" s="257">
        <v>0</v>
      </c>
      <c r="G23" s="258">
        <v>0</v>
      </c>
      <c r="H23" s="259">
        <f t="shared" si="0"/>
        <v>0</v>
      </c>
    </row>
  </sheetData>
  <mergeCells count="5">
    <mergeCell ref="A3:E3"/>
    <mergeCell ref="F3:F4"/>
    <mergeCell ref="G3:G4"/>
    <mergeCell ref="H3:H4"/>
    <mergeCell ref="A5:E5"/>
  </mergeCells>
  <phoneticPr fontId="12" type="noConversion"/>
  <conditionalFormatting sqref="H3:H4">
    <cfRule type="containsText" dxfId="1705" priority="1" operator="containsText" text="허하나로">
      <formula>NOT(ISERROR(SEARCH("허하나로",F794)))</formula>
    </cfRule>
    <cfRule type="containsText" dxfId="1704" priority="2" operator="containsText" text="한별">
      <formula>NOT(ISERROR(SEARCH("한별",F794)))</formula>
    </cfRule>
    <cfRule type="containsText" dxfId="1703" priority="3" operator="containsText" text="정홍조">
      <formula>NOT(ISERROR(SEARCH("정홍조",F794)))</formula>
    </cfRule>
    <cfRule type="containsText" dxfId="1702" priority="4" operator="containsText" text="김지윤">
      <formula>NOT(ISERROR(SEARCH("김지윤",F794)))</formula>
    </cfRule>
    <cfRule type="containsText" dxfId="1701" priority="5" operator="containsText" text="전준영">
      <formula>NOT(ISERROR(SEARCH("전준영",F794)))</formula>
    </cfRule>
    <cfRule type="containsText" dxfId="1700" priority="6" operator="containsText" text="차재성">
      <formula>NOT(ISERROR(SEARCH("차재성",F794)))</formula>
    </cfRule>
  </conditionalFormatting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N27"/>
  <sheetViews>
    <sheetView zoomScale="85" zoomScaleNormal="85" workbookViewId="0">
      <selection activeCell="B7" sqref="B7"/>
    </sheetView>
  </sheetViews>
  <sheetFormatPr defaultRowHeight="16.5"/>
  <cols>
    <col min="1" max="1" width="5.625" style="160" customWidth="1"/>
    <col min="2" max="4" width="8" style="160" bestFit="1" customWidth="1"/>
    <col min="5" max="5" width="6.75" style="160" bestFit="1" customWidth="1"/>
    <col min="6" max="6" width="14.875" style="160" customWidth="1"/>
    <col min="7" max="8" width="14.375" style="160" customWidth="1"/>
    <col min="9" max="9" width="12.125" style="160" customWidth="1"/>
    <col min="12" max="12" width="10" bestFit="1" customWidth="1"/>
  </cols>
  <sheetData>
    <row r="1" spans="1:14" ht="18" customHeight="1">
      <c r="A1" s="24" t="s">
        <v>208</v>
      </c>
      <c r="B1" s="25"/>
      <c r="C1" s="25"/>
      <c r="D1" s="25"/>
      <c r="E1" s="25"/>
      <c r="F1" s="25"/>
      <c r="G1" s="26"/>
      <c r="H1" s="26"/>
      <c r="I1" s="26"/>
    </row>
    <row r="2" spans="1:14" ht="17.25" thickBot="1">
      <c r="A2" s="27"/>
      <c r="B2" s="27"/>
      <c r="C2" s="27"/>
      <c r="D2" s="27"/>
      <c r="E2" s="27"/>
      <c r="F2" s="27"/>
      <c r="G2" s="27">
        <v>1979000</v>
      </c>
      <c r="H2" s="27"/>
      <c r="I2" s="28" t="s">
        <v>115</v>
      </c>
    </row>
    <row r="3" spans="1:14" ht="18" customHeight="1">
      <c r="A3" s="401" t="s">
        <v>5</v>
      </c>
      <c r="B3" s="402"/>
      <c r="C3" s="402"/>
      <c r="D3" s="402"/>
      <c r="E3" s="402"/>
      <c r="F3" s="409"/>
      <c r="G3" s="403" t="s">
        <v>543</v>
      </c>
      <c r="H3" s="403" t="s">
        <v>542</v>
      </c>
      <c r="I3" s="405" t="s">
        <v>209</v>
      </c>
    </row>
    <row r="4" spans="1:14" ht="17.25" thickBot="1">
      <c r="A4" s="85" t="s">
        <v>210</v>
      </c>
      <c r="B4" s="29" t="s">
        <v>13</v>
      </c>
      <c r="C4" s="411"/>
      <c r="D4" s="412"/>
      <c r="E4" s="412"/>
      <c r="F4" s="413"/>
      <c r="G4" s="404"/>
      <c r="H4" s="404"/>
      <c r="I4" s="406"/>
      <c r="L4" s="326"/>
    </row>
    <row r="5" spans="1:14" ht="17.25" thickBot="1">
      <c r="A5" s="407" t="s">
        <v>211</v>
      </c>
      <c r="B5" s="408"/>
      <c r="C5" s="408"/>
      <c r="D5" s="408"/>
      <c r="E5" s="408"/>
      <c r="F5" s="410"/>
      <c r="G5" s="292">
        <f>G6+G19</f>
        <v>24729000</v>
      </c>
      <c r="H5" s="292">
        <v>24529000</v>
      </c>
      <c r="I5" s="156">
        <f>G5-H5</f>
        <v>200000</v>
      </c>
      <c r="K5" s="245"/>
      <c r="L5" s="340"/>
    </row>
    <row r="6" spans="1:14" ht="18" customHeight="1">
      <c r="A6" s="293" t="s">
        <v>245</v>
      </c>
      <c r="B6" s="294"/>
      <c r="C6" s="295"/>
      <c r="D6" s="295"/>
      <c r="E6" s="295"/>
      <c r="F6" s="296"/>
      <c r="G6" s="297">
        <f>SUM(G7,G17)</f>
        <v>2179000</v>
      </c>
      <c r="H6" s="297">
        <v>1979000</v>
      </c>
      <c r="I6" s="298">
        <f>G6-H6</f>
        <v>200000</v>
      </c>
      <c r="K6" s="245"/>
      <c r="L6" s="340"/>
      <c r="M6" s="326"/>
      <c r="N6" s="245"/>
    </row>
    <row r="7" spans="1:14" ht="18" customHeight="1">
      <c r="A7" s="299" t="s">
        <v>2</v>
      </c>
      <c r="B7" s="162"/>
      <c r="C7" s="162"/>
      <c r="D7" s="162"/>
      <c r="E7" s="162"/>
      <c r="F7" s="163"/>
      <c r="G7" s="110">
        <f>SUM(G8:G16)</f>
        <v>2179000</v>
      </c>
      <c r="H7" s="110">
        <v>1979000</v>
      </c>
      <c r="I7" s="112">
        <f t="shared" ref="I7:I17" si="0">G7-H7</f>
        <v>200000</v>
      </c>
      <c r="K7" s="245"/>
      <c r="L7" s="340"/>
    </row>
    <row r="8" spans="1:14" ht="18" customHeight="1">
      <c r="A8" s="243"/>
      <c r="B8" s="161" t="s">
        <v>215</v>
      </c>
      <c r="C8" s="162"/>
      <c r="D8" s="162"/>
      <c r="E8" s="162"/>
      <c r="F8" s="163"/>
      <c r="G8" s="110">
        <f>행정관리부!H5</f>
        <v>937348</v>
      </c>
      <c r="H8" s="110">
        <v>927348</v>
      </c>
      <c r="I8" s="112">
        <f t="shared" si="0"/>
        <v>10000</v>
      </c>
      <c r="J8" s="245"/>
      <c r="K8" s="245"/>
      <c r="L8" s="340"/>
      <c r="M8" s="326"/>
    </row>
    <row r="9" spans="1:14" ht="18" customHeight="1">
      <c r="A9" s="243"/>
      <c r="B9" s="161" t="s">
        <v>216</v>
      </c>
      <c r="C9" s="162"/>
      <c r="D9" s="162"/>
      <c r="E9" s="162"/>
      <c r="F9" s="163"/>
      <c r="G9" s="110">
        <f>기획홍보부!H5</f>
        <v>261892</v>
      </c>
      <c r="H9" s="110">
        <v>151892</v>
      </c>
      <c r="I9" s="112">
        <f t="shared" si="0"/>
        <v>110000</v>
      </c>
      <c r="J9" s="245"/>
      <c r="K9" s="245"/>
      <c r="L9" s="340"/>
      <c r="M9" s="326"/>
    </row>
    <row r="10" spans="1:14" ht="18" customHeight="1">
      <c r="A10" s="157"/>
      <c r="B10" s="161" t="s">
        <v>217</v>
      </c>
      <c r="C10" s="162"/>
      <c r="D10" s="162"/>
      <c r="E10" s="162"/>
      <c r="F10" s="163"/>
      <c r="G10" s="110">
        <f>수익사업부!H5</f>
        <v>91166</v>
      </c>
      <c r="H10" s="110">
        <v>86166</v>
      </c>
      <c r="I10" s="112">
        <f t="shared" si="0"/>
        <v>5000</v>
      </c>
      <c r="K10" s="245"/>
      <c r="L10" s="340"/>
      <c r="M10" s="326"/>
    </row>
    <row r="11" spans="1:14" ht="18" customHeight="1">
      <c r="A11" s="157"/>
      <c r="B11" s="161" t="s">
        <v>218</v>
      </c>
      <c r="C11" s="162"/>
      <c r="D11" s="162"/>
      <c r="E11" s="162"/>
      <c r="F11" s="163"/>
      <c r="G11" s="110">
        <f>유치협력부!H5</f>
        <v>62518</v>
      </c>
      <c r="H11" s="110">
        <v>62518</v>
      </c>
      <c r="I11" s="112">
        <f t="shared" si="0"/>
        <v>0</v>
      </c>
      <c r="K11" s="245"/>
      <c r="L11" s="340"/>
      <c r="M11" s="326"/>
    </row>
    <row r="12" spans="1:14" ht="18" customHeight="1">
      <c r="A12" s="243"/>
      <c r="B12" s="161" t="s">
        <v>219</v>
      </c>
      <c r="C12" s="162"/>
      <c r="D12" s="162"/>
      <c r="E12" s="162"/>
      <c r="F12" s="163"/>
      <c r="G12" s="110">
        <f>운영부!H5</f>
        <v>360632</v>
      </c>
      <c r="H12" s="110">
        <v>358632</v>
      </c>
      <c r="I12" s="112">
        <f t="shared" ref="I12:I15" si="1">G12-H12</f>
        <v>2000</v>
      </c>
      <c r="K12" s="245"/>
      <c r="L12" s="340"/>
      <c r="M12" s="326"/>
    </row>
    <row r="13" spans="1:14" ht="18" customHeight="1">
      <c r="A13" s="243"/>
      <c r="B13" s="161" t="s">
        <v>220</v>
      </c>
      <c r="C13" s="162"/>
      <c r="D13" s="162"/>
      <c r="E13" s="162"/>
      <c r="F13" s="163"/>
      <c r="G13" s="110">
        <f>행사부!H5</f>
        <v>25268</v>
      </c>
      <c r="H13" s="110">
        <v>25268</v>
      </c>
      <c r="I13" s="112">
        <f t="shared" si="1"/>
        <v>0</v>
      </c>
      <c r="K13" s="245"/>
      <c r="L13" s="340"/>
    </row>
    <row r="14" spans="1:14" ht="18" customHeight="1">
      <c r="A14" s="157"/>
      <c r="B14" s="161" t="s">
        <v>221</v>
      </c>
      <c r="C14" s="162"/>
      <c r="D14" s="162"/>
      <c r="E14" s="162"/>
      <c r="F14" s="163"/>
      <c r="G14" s="110">
        <f>시설조성부!H5</f>
        <v>25268</v>
      </c>
      <c r="H14" s="110">
        <v>25268</v>
      </c>
      <c r="I14" s="112">
        <f t="shared" si="1"/>
        <v>0</v>
      </c>
    </row>
    <row r="15" spans="1:14" ht="18" customHeight="1">
      <c r="A15" s="157"/>
      <c r="B15" s="161" t="s">
        <v>222</v>
      </c>
      <c r="C15" s="162"/>
      <c r="D15" s="162"/>
      <c r="E15" s="162"/>
      <c r="F15" s="163"/>
      <c r="G15" s="110">
        <f>전시연출부!H5</f>
        <v>34668</v>
      </c>
      <c r="H15" s="110">
        <v>25268</v>
      </c>
      <c r="I15" s="112">
        <f t="shared" si="1"/>
        <v>9400</v>
      </c>
    </row>
    <row r="16" spans="1:14" ht="18" customHeight="1">
      <c r="A16" s="300"/>
      <c r="B16" s="161" t="s">
        <v>3</v>
      </c>
      <c r="C16" s="162"/>
      <c r="D16" s="162"/>
      <c r="E16" s="162"/>
      <c r="F16" s="163"/>
      <c r="G16" s="110">
        <f>예비비!H6</f>
        <v>380240</v>
      </c>
      <c r="H16" s="110">
        <v>316640</v>
      </c>
      <c r="I16" s="112">
        <f t="shared" si="0"/>
        <v>63600</v>
      </c>
    </row>
    <row r="17" spans="1:9" s="301" customFormat="1" ht="18" customHeight="1">
      <c r="A17" s="299" t="s">
        <v>157</v>
      </c>
      <c r="B17" s="162"/>
      <c r="C17" s="162"/>
      <c r="D17" s="162"/>
      <c r="E17" s="162"/>
      <c r="F17" s="163"/>
      <c r="G17" s="110">
        <f>G18</f>
        <v>0</v>
      </c>
      <c r="H17" s="110">
        <v>0</v>
      </c>
      <c r="I17" s="112">
        <f t="shared" si="0"/>
        <v>0</v>
      </c>
    </row>
    <row r="18" spans="1:9" ht="17.25" thickBot="1">
      <c r="A18" s="302"/>
      <c r="B18" s="303" t="s">
        <v>159</v>
      </c>
      <c r="C18" s="304"/>
      <c r="D18" s="303"/>
      <c r="E18" s="303"/>
      <c r="F18" s="303"/>
      <c r="G18" s="329">
        <f>예비비!H15</f>
        <v>0</v>
      </c>
      <c r="H18" s="305">
        <v>0</v>
      </c>
      <c r="I18" s="306">
        <f t="shared" ref="I18:I21" si="2">G18-H18</f>
        <v>0</v>
      </c>
    </row>
    <row r="19" spans="1:9" ht="18" customHeight="1">
      <c r="A19" s="307" t="s">
        <v>246</v>
      </c>
      <c r="B19" s="308"/>
      <c r="C19" s="308"/>
      <c r="D19" s="308"/>
      <c r="E19" s="308"/>
      <c r="F19" s="308"/>
      <c r="G19" s="309">
        <f>G20+G25</f>
        <v>22550000</v>
      </c>
      <c r="H19" s="309">
        <v>22550000</v>
      </c>
      <c r="I19" s="310">
        <f t="shared" si="2"/>
        <v>0</v>
      </c>
    </row>
    <row r="20" spans="1:9" ht="18" customHeight="1">
      <c r="A20" s="311" t="s">
        <v>2</v>
      </c>
      <c r="B20" s="312"/>
      <c r="C20" s="312"/>
      <c r="D20" s="312"/>
      <c r="E20" s="312"/>
      <c r="F20" s="313"/>
      <c r="G20" s="309">
        <f>SUM(G21:G24)</f>
        <v>5450000</v>
      </c>
      <c r="H20" s="309">
        <v>5450000</v>
      </c>
      <c r="I20" s="310">
        <f t="shared" si="2"/>
        <v>0</v>
      </c>
    </row>
    <row r="21" spans="1:9">
      <c r="A21" s="232"/>
      <c r="B21" s="317" t="s">
        <v>397</v>
      </c>
      <c r="C21" s="312"/>
      <c r="D21" s="312"/>
      <c r="E21" s="312"/>
      <c r="F21" s="313"/>
      <c r="G21" s="318">
        <f>'기획본부(위탁)'!H6</f>
        <v>2000000</v>
      </c>
      <c r="H21" s="318">
        <v>2000000</v>
      </c>
      <c r="I21" s="319">
        <f t="shared" si="2"/>
        <v>0</v>
      </c>
    </row>
    <row r="22" spans="1:9">
      <c r="A22" s="243"/>
      <c r="B22" s="317" t="s">
        <v>398</v>
      </c>
      <c r="C22" s="312"/>
      <c r="D22" s="312"/>
      <c r="E22" s="312"/>
      <c r="F22" s="313"/>
      <c r="G22" s="318">
        <f>'기획본부(위탁)'!H30</f>
        <v>950000</v>
      </c>
      <c r="H22" s="318">
        <v>950000</v>
      </c>
      <c r="I22" s="319">
        <f t="shared" ref="I22:I27" si="3">G22-H22</f>
        <v>0</v>
      </c>
    </row>
    <row r="23" spans="1:9">
      <c r="A23" s="243"/>
      <c r="B23" s="317" t="s">
        <v>399</v>
      </c>
      <c r="C23" s="308"/>
      <c r="D23" s="308"/>
      <c r="E23" s="308"/>
      <c r="F23" s="325"/>
      <c r="G23" s="318">
        <f>'운영본부(위탁)'!H6</f>
        <v>1000000</v>
      </c>
      <c r="H23" s="309">
        <v>1000000</v>
      </c>
      <c r="I23" s="310">
        <f t="shared" si="3"/>
        <v>0</v>
      </c>
    </row>
    <row r="24" spans="1:9">
      <c r="A24" s="300"/>
      <c r="B24" s="317" t="s">
        <v>343</v>
      </c>
      <c r="C24" s="308"/>
      <c r="D24" s="308"/>
      <c r="E24" s="308"/>
      <c r="F24" s="325"/>
      <c r="G24" s="318">
        <f>'운영본부(위탁)'!H19</f>
        <v>1500000</v>
      </c>
      <c r="H24" s="309">
        <v>1500000</v>
      </c>
      <c r="I24" s="310">
        <f t="shared" si="3"/>
        <v>0</v>
      </c>
    </row>
    <row r="25" spans="1:9" ht="18" customHeight="1">
      <c r="A25" s="307" t="s">
        <v>237</v>
      </c>
      <c r="B25" s="308"/>
      <c r="C25" s="308"/>
      <c r="D25" s="308"/>
      <c r="E25" s="308"/>
      <c r="F25" s="325"/>
      <c r="G25" s="309">
        <f>SUM(G26:G27)</f>
        <v>17100000</v>
      </c>
      <c r="H25" s="309">
        <v>17100000</v>
      </c>
      <c r="I25" s="310">
        <f t="shared" si="3"/>
        <v>0</v>
      </c>
    </row>
    <row r="26" spans="1:9" ht="18" customHeight="1">
      <c r="A26" s="232"/>
      <c r="B26" s="317" t="s">
        <v>400</v>
      </c>
      <c r="C26" s="341"/>
      <c r="D26" s="312"/>
      <c r="E26" s="312"/>
      <c r="F26" s="313"/>
      <c r="G26" s="318">
        <f>'운영본부(위탁)'!H27</f>
        <v>10300000</v>
      </c>
      <c r="H26" s="318">
        <v>10300000</v>
      </c>
      <c r="I26" s="310">
        <f t="shared" si="3"/>
        <v>0</v>
      </c>
    </row>
    <row r="27" spans="1:9" ht="17.25" thickBot="1">
      <c r="A27" s="302"/>
      <c r="B27" s="342" t="s">
        <v>343</v>
      </c>
      <c r="C27" s="343"/>
      <c r="D27" s="314"/>
      <c r="E27" s="314"/>
      <c r="F27" s="315"/>
      <c r="G27" s="316">
        <f>'운영본부(위탁)'!H57</f>
        <v>6800000</v>
      </c>
      <c r="H27" s="316">
        <v>6800000</v>
      </c>
      <c r="I27" s="344">
        <f t="shared" si="3"/>
        <v>0</v>
      </c>
    </row>
  </sheetData>
  <mergeCells count="6">
    <mergeCell ref="A3:F3"/>
    <mergeCell ref="G3:G4"/>
    <mergeCell ref="H3:H4"/>
    <mergeCell ref="I3:I4"/>
    <mergeCell ref="A5:F5"/>
    <mergeCell ref="C4:F4"/>
  </mergeCells>
  <phoneticPr fontId="12" type="noConversion"/>
  <conditionalFormatting sqref="I3:I4">
    <cfRule type="containsText" dxfId="1699" priority="3" operator="containsText" text="허하나로">
      <formula>NOT(ISERROR(SEARCH("허하나로",G655)))</formula>
    </cfRule>
    <cfRule type="containsText" dxfId="1698" priority="4" operator="containsText" text="한별">
      <formula>NOT(ISERROR(SEARCH("한별",G655)))</formula>
    </cfRule>
    <cfRule type="containsText" dxfId="1697" priority="5" operator="containsText" text="정홍조">
      <formula>NOT(ISERROR(SEARCH("정홍조",G655)))</formula>
    </cfRule>
    <cfRule type="containsText" dxfId="1696" priority="6" operator="containsText" text="김지윤">
      <formula>NOT(ISERROR(SEARCH("김지윤",G655)))</formula>
    </cfRule>
    <cfRule type="containsText" dxfId="1695" priority="7" operator="containsText" text="전준영">
      <formula>NOT(ISERROR(SEARCH("전준영",G655)))</formula>
    </cfRule>
    <cfRule type="containsText" dxfId="1694" priority="8" operator="containsText" text="차재성">
      <formula>NOT(ISERROR(SEARCH("차재성",G655)))</formula>
    </cfRule>
  </conditionalFormatting>
  <conditionalFormatting sqref="I8:I16 I18 I21:I24 I26:I27">
    <cfRule type="cellIs" dxfId="1693" priority="1" operator="lessThan">
      <formula>0</formula>
    </cfRule>
    <cfRule type="cellIs" dxfId="1692" priority="2" operator="greaterThan">
      <formula>0</formula>
    </cfRule>
  </conditionalFormatting>
  <pageMargins left="0.7" right="0.7" top="0.75" bottom="0.75" header="0.3" footer="0.3"/>
  <pageSetup paperSize="9" scale="8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O147"/>
  <sheetViews>
    <sheetView zoomScale="85" zoomScaleNormal="85" workbookViewId="0">
      <selection activeCell="B7" sqref="B7"/>
    </sheetView>
  </sheetViews>
  <sheetFormatPr defaultRowHeight="16.5"/>
  <cols>
    <col min="1" max="6" width="3.875" customWidth="1"/>
    <col min="7" max="7" width="32.625" customWidth="1"/>
    <col min="8" max="10" width="14.625" customWidth="1"/>
    <col min="11" max="11" width="63.125" customWidth="1"/>
    <col min="12" max="12" width="3.875" customWidth="1"/>
    <col min="13" max="13" width="11.625" style="230" customWidth="1"/>
    <col min="14" max="14" width="9.875" bestFit="1" customWidth="1"/>
    <col min="15" max="15" width="12" bestFit="1" customWidth="1"/>
  </cols>
  <sheetData>
    <row r="1" spans="1:13" ht="17.25" thickBot="1">
      <c r="A1" s="86" t="s">
        <v>138</v>
      </c>
      <c r="B1" s="40"/>
      <c r="C1" s="86"/>
      <c r="D1" s="86"/>
      <c r="E1" s="86"/>
      <c r="F1" s="86"/>
      <c r="G1" s="167"/>
      <c r="H1" s="168"/>
      <c r="I1" s="168"/>
      <c r="J1" s="167"/>
      <c r="K1" s="167"/>
      <c r="L1" s="167"/>
      <c r="M1" s="166" t="s">
        <v>28</v>
      </c>
    </row>
    <row r="2" spans="1:13">
      <c r="A2" s="423" t="s">
        <v>17</v>
      </c>
      <c r="B2" s="425" t="s">
        <v>18</v>
      </c>
      <c r="C2" s="426"/>
      <c r="D2" s="427"/>
      <c r="E2" s="425" t="s">
        <v>19</v>
      </c>
      <c r="F2" s="426"/>
      <c r="G2" s="427"/>
      <c r="H2" s="403" t="s">
        <v>544</v>
      </c>
      <c r="I2" s="403" t="s">
        <v>545</v>
      </c>
      <c r="J2" s="428" t="s">
        <v>546</v>
      </c>
      <c r="K2" s="414" t="s">
        <v>1</v>
      </c>
      <c r="L2" s="415"/>
      <c r="M2" s="416"/>
    </row>
    <row r="3" spans="1:13" ht="17.25" thickBot="1">
      <c r="A3" s="424"/>
      <c r="B3" s="113" t="s">
        <v>20</v>
      </c>
      <c r="C3" s="113" t="s">
        <v>21</v>
      </c>
      <c r="D3" s="113" t="s">
        <v>22</v>
      </c>
      <c r="E3" s="113" t="s">
        <v>23</v>
      </c>
      <c r="F3" s="113" t="s">
        <v>24</v>
      </c>
      <c r="G3" s="113" t="s">
        <v>25</v>
      </c>
      <c r="H3" s="404"/>
      <c r="I3" s="404"/>
      <c r="J3" s="429"/>
      <c r="K3" s="417"/>
      <c r="L3" s="418"/>
      <c r="M3" s="419"/>
    </row>
    <row r="4" spans="1:13" ht="17.25" thickBot="1">
      <c r="A4" s="420" t="s">
        <v>26</v>
      </c>
      <c r="B4" s="421"/>
      <c r="C4" s="421"/>
      <c r="D4" s="421"/>
      <c r="E4" s="421"/>
      <c r="F4" s="421"/>
      <c r="G4" s="422"/>
      <c r="H4" s="169">
        <f>H5</f>
        <v>937348</v>
      </c>
      <c r="I4" s="169">
        <v>927348</v>
      </c>
      <c r="J4" s="114">
        <f>H4-I4</f>
        <v>10000</v>
      </c>
      <c r="K4" s="87"/>
      <c r="L4" s="88"/>
      <c r="M4" s="227"/>
    </row>
    <row r="5" spans="1:13">
      <c r="A5" s="190" t="s">
        <v>2</v>
      </c>
      <c r="B5" s="116"/>
      <c r="C5" s="117"/>
      <c r="D5" s="117"/>
      <c r="E5" s="117"/>
      <c r="F5" s="117"/>
      <c r="G5" s="118"/>
      <c r="H5" s="92">
        <f>H6</f>
        <v>937348</v>
      </c>
      <c r="I5" s="92">
        <v>927348</v>
      </c>
      <c r="J5" s="93">
        <f>H5-I5</f>
        <v>10000</v>
      </c>
      <c r="K5" s="78"/>
      <c r="L5" s="79"/>
      <c r="M5" s="80"/>
    </row>
    <row r="6" spans="1:13">
      <c r="A6" s="10"/>
      <c r="B6" s="123" t="s">
        <v>226</v>
      </c>
      <c r="C6" s="123"/>
      <c r="D6" s="124"/>
      <c r="E6" s="124"/>
      <c r="F6" s="124"/>
      <c r="G6" s="125"/>
      <c r="H6" s="92">
        <f>SUM(H7,H30)</f>
        <v>937348</v>
      </c>
      <c r="I6" s="92">
        <v>927348</v>
      </c>
      <c r="J6" s="93">
        <f>H6-I6</f>
        <v>10000</v>
      </c>
      <c r="K6" s="78"/>
      <c r="L6" s="79"/>
      <c r="M6" s="80"/>
    </row>
    <row r="7" spans="1:13">
      <c r="A7" s="10"/>
      <c r="B7" s="6"/>
      <c r="C7" s="123" t="s">
        <v>300</v>
      </c>
      <c r="D7" s="124"/>
      <c r="E7" s="124"/>
      <c r="F7" s="124"/>
      <c r="G7" s="125"/>
      <c r="H7" s="92">
        <f>SUM(H8,H14)</f>
        <v>80420</v>
      </c>
      <c r="I7" s="92">
        <v>80420</v>
      </c>
      <c r="J7" s="93">
        <f t="shared" ref="J7:J11" si="0">H7-I7</f>
        <v>0</v>
      </c>
      <c r="K7" s="78"/>
      <c r="L7" s="79"/>
      <c r="M7" s="80"/>
    </row>
    <row r="8" spans="1:13">
      <c r="A8" s="10"/>
      <c r="B8" s="6"/>
      <c r="C8" s="6"/>
      <c r="D8" s="123" t="s">
        <v>223</v>
      </c>
      <c r="E8" s="124"/>
      <c r="F8" s="124"/>
      <c r="G8" s="125"/>
      <c r="H8" s="126">
        <f>H9</f>
        <v>32960</v>
      </c>
      <c r="I8" s="126">
        <v>32960</v>
      </c>
      <c r="J8" s="93">
        <f t="shared" si="0"/>
        <v>0</v>
      </c>
      <c r="K8" s="81"/>
      <c r="L8" s="127"/>
      <c r="M8" s="80"/>
    </row>
    <row r="9" spans="1:13">
      <c r="A9" s="10"/>
      <c r="B9" s="6"/>
      <c r="C9" s="128"/>
      <c r="D9" s="129"/>
      <c r="E9" s="123" t="s">
        <v>27</v>
      </c>
      <c r="F9" s="124"/>
      <c r="G9" s="125"/>
      <c r="H9" s="89">
        <f>H10</f>
        <v>32960</v>
      </c>
      <c r="I9" s="89">
        <v>32960</v>
      </c>
      <c r="J9" s="93">
        <f t="shared" si="0"/>
        <v>0</v>
      </c>
      <c r="K9" s="84"/>
      <c r="L9" s="91"/>
      <c r="M9" s="228"/>
    </row>
    <row r="10" spans="1:13">
      <c r="A10" s="62"/>
      <c r="B10" s="64"/>
      <c r="C10" s="170"/>
      <c r="D10" s="171"/>
      <c r="E10" s="172"/>
      <c r="F10" s="130" t="s">
        <v>224</v>
      </c>
      <c r="G10" s="173"/>
      <c r="H10" s="71">
        <f>H11</f>
        <v>32960</v>
      </c>
      <c r="I10" s="71">
        <v>32960</v>
      </c>
      <c r="J10" s="71">
        <f t="shared" si="0"/>
        <v>0</v>
      </c>
      <c r="K10" s="51"/>
      <c r="L10" s="51"/>
      <c r="M10" s="37"/>
    </row>
    <row r="11" spans="1:13">
      <c r="A11" s="62"/>
      <c r="B11" s="64"/>
      <c r="C11" s="64"/>
      <c r="D11" s="139"/>
      <c r="E11" s="174"/>
      <c r="F11" s="174"/>
      <c r="G11" s="132" t="s">
        <v>528</v>
      </c>
      <c r="H11" s="72">
        <f>M11</f>
        <v>32960</v>
      </c>
      <c r="I11" s="72">
        <v>32960</v>
      </c>
      <c r="J11" s="72">
        <f t="shared" si="0"/>
        <v>0</v>
      </c>
      <c r="K11" s="205" t="s">
        <v>225</v>
      </c>
      <c r="L11" s="41"/>
      <c r="M11" s="209">
        <f>SUM(M12:M13)</f>
        <v>32960</v>
      </c>
    </row>
    <row r="12" spans="1:13">
      <c r="A12" s="62"/>
      <c r="B12" s="64"/>
      <c r="C12" s="64"/>
      <c r="D12" s="139"/>
      <c r="E12" s="174"/>
      <c r="F12" s="174"/>
      <c r="G12" s="67"/>
      <c r="H12" s="73"/>
      <c r="I12" s="73"/>
      <c r="J12" s="73"/>
      <c r="K12" s="204" t="s">
        <v>251</v>
      </c>
      <c r="L12" s="42" t="s">
        <v>0</v>
      </c>
      <c r="M12" s="175">
        <v>2960</v>
      </c>
    </row>
    <row r="13" spans="1:13">
      <c r="A13" s="62"/>
      <c r="B13" s="64"/>
      <c r="C13" s="64"/>
      <c r="D13" s="139"/>
      <c r="E13" s="174"/>
      <c r="F13" s="174"/>
      <c r="G13" s="67"/>
      <c r="H13" s="73"/>
      <c r="I13" s="73"/>
      <c r="J13" s="73"/>
      <c r="K13" s="206" t="s">
        <v>355</v>
      </c>
      <c r="L13" s="136" t="s">
        <v>0</v>
      </c>
      <c r="M13" s="181">
        <v>30000</v>
      </c>
    </row>
    <row r="14" spans="1:13">
      <c r="A14" s="10"/>
      <c r="B14" s="6"/>
      <c r="C14" s="6"/>
      <c r="D14" s="123" t="s">
        <v>301</v>
      </c>
      <c r="E14" s="124"/>
      <c r="F14" s="124"/>
      <c r="G14" s="125"/>
      <c r="H14" s="126">
        <f>H15</f>
        <v>47460</v>
      </c>
      <c r="I14" s="126">
        <v>47460</v>
      </c>
      <c r="J14" s="90">
        <f>H14-I14</f>
        <v>0</v>
      </c>
      <c r="K14" s="81"/>
      <c r="L14" s="127"/>
      <c r="M14" s="80"/>
    </row>
    <row r="15" spans="1:13">
      <c r="A15" s="10"/>
      <c r="B15" s="6"/>
      <c r="C15" s="128"/>
      <c r="D15" s="129"/>
      <c r="E15" s="123" t="s">
        <v>27</v>
      </c>
      <c r="F15" s="124"/>
      <c r="G15" s="125"/>
      <c r="H15" s="89">
        <f>H16</f>
        <v>47460</v>
      </c>
      <c r="I15" s="89">
        <v>47460</v>
      </c>
      <c r="J15" s="90">
        <f>H15-I15</f>
        <v>0</v>
      </c>
      <c r="K15" s="84"/>
      <c r="L15" s="91"/>
      <c r="M15" s="228"/>
    </row>
    <row r="16" spans="1:13">
      <c r="A16" s="62"/>
      <c r="B16" s="64"/>
      <c r="C16" s="64"/>
      <c r="D16" s="64"/>
      <c r="E16" s="64"/>
      <c r="F16" s="130" t="s">
        <v>59</v>
      </c>
      <c r="G16" s="134"/>
      <c r="H16" s="71">
        <f>SUM(H17,H28)</f>
        <v>47460</v>
      </c>
      <c r="I16" s="71">
        <v>47460</v>
      </c>
      <c r="J16" s="96">
        <f>H16-I16</f>
        <v>0</v>
      </c>
      <c r="K16" s="138"/>
      <c r="L16" s="35"/>
      <c r="M16" s="229"/>
    </row>
    <row r="17" spans="1:13">
      <c r="A17" s="62"/>
      <c r="B17" s="64"/>
      <c r="C17" s="64"/>
      <c r="D17" s="64"/>
      <c r="E17" s="64"/>
      <c r="F17" s="137"/>
      <c r="G17" s="64" t="s">
        <v>32</v>
      </c>
      <c r="H17" s="75">
        <f>SUM(M17,M20,M26)</f>
        <v>45060</v>
      </c>
      <c r="I17" s="75">
        <v>45060</v>
      </c>
      <c r="J17" s="45">
        <f>H17-I17</f>
        <v>0</v>
      </c>
      <c r="K17" s="33" t="s">
        <v>44</v>
      </c>
      <c r="L17" s="36"/>
      <c r="M17" s="209">
        <f>SUM(M18:M19)</f>
        <v>2560</v>
      </c>
    </row>
    <row r="18" spans="1:13">
      <c r="A18" s="62"/>
      <c r="B18" s="64"/>
      <c r="C18" s="64"/>
      <c r="D18" s="64"/>
      <c r="E18" s="64"/>
      <c r="F18" s="137"/>
      <c r="G18" s="64"/>
      <c r="H18" s="75"/>
      <c r="I18" s="75"/>
      <c r="J18" s="45"/>
      <c r="K18" s="204" t="s">
        <v>253</v>
      </c>
      <c r="L18" s="187" t="s">
        <v>0</v>
      </c>
      <c r="M18" s="175">
        <v>1560</v>
      </c>
    </row>
    <row r="19" spans="1:13">
      <c r="A19" s="62"/>
      <c r="B19" s="64"/>
      <c r="C19" s="64"/>
      <c r="D19" s="64"/>
      <c r="E19" s="64"/>
      <c r="F19" s="137"/>
      <c r="G19" s="64"/>
      <c r="H19" s="75"/>
      <c r="I19" s="75"/>
      <c r="J19" s="45"/>
      <c r="K19" s="204" t="s">
        <v>440</v>
      </c>
      <c r="L19" s="187" t="s">
        <v>0</v>
      </c>
      <c r="M19" s="175">
        <v>1000</v>
      </c>
    </row>
    <row r="20" spans="1:13">
      <c r="A20" s="62"/>
      <c r="B20" s="64"/>
      <c r="C20" s="64"/>
      <c r="D20" s="64"/>
      <c r="E20" s="64"/>
      <c r="F20" s="137"/>
      <c r="G20" s="64"/>
      <c r="H20" s="75"/>
      <c r="I20" s="75"/>
      <c r="J20" s="45"/>
      <c r="K20" s="203" t="s">
        <v>60</v>
      </c>
      <c r="L20" s="187"/>
      <c r="M20" s="178">
        <f>SUM(M21:M25)</f>
        <v>30500</v>
      </c>
    </row>
    <row r="21" spans="1:13">
      <c r="A21" s="62"/>
      <c r="B21" s="64"/>
      <c r="C21" s="64"/>
      <c r="D21" s="64"/>
      <c r="E21" s="64"/>
      <c r="F21" s="137"/>
      <c r="G21" s="64"/>
      <c r="H21" s="75"/>
      <c r="I21" s="75"/>
      <c r="J21" s="45"/>
      <c r="K21" s="204" t="s">
        <v>254</v>
      </c>
      <c r="L21" s="187" t="s">
        <v>0</v>
      </c>
      <c r="M21" s="175">
        <v>11700</v>
      </c>
    </row>
    <row r="22" spans="1:13">
      <c r="A22" s="62"/>
      <c r="B22" s="64"/>
      <c r="C22" s="64"/>
      <c r="D22" s="64"/>
      <c r="E22" s="64"/>
      <c r="F22" s="137"/>
      <c r="G22" s="64"/>
      <c r="H22" s="75"/>
      <c r="I22" s="75"/>
      <c r="J22" s="45"/>
      <c r="K22" s="204" t="s">
        <v>255</v>
      </c>
      <c r="L22" s="187" t="s">
        <v>0</v>
      </c>
      <c r="M22" s="175">
        <v>8580</v>
      </c>
    </row>
    <row r="23" spans="1:13">
      <c r="A23" s="62"/>
      <c r="B23" s="64"/>
      <c r="C23" s="64"/>
      <c r="D23" s="64"/>
      <c r="E23" s="64"/>
      <c r="F23" s="137"/>
      <c r="G23" s="64"/>
      <c r="H23" s="75"/>
      <c r="I23" s="75"/>
      <c r="J23" s="45"/>
      <c r="K23" s="204" t="s">
        <v>299</v>
      </c>
      <c r="L23" s="187" t="s">
        <v>0</v>
      </c>
      <c r="M23" s="175">
        <v>1500</v>
      </c>
    </row>
    <row r="24" spans="1:13">
      <c r="A24" s="62"/>
      <c r="B24" s="64"/>
      <c r="C24" s="64"/>
      <c r="D24" s="64"/>
      <c r="E24" s="64"/>
      <c r="F24" s="137"/>
      <c r="G24" s="64"/>
      <c r="H24" s="75"/>
      <c r="I24" s="75"/>
      <c r="J24" s="45"/>
      <c r="K24" s="204" t="s">
        <v>356</v>
      </c>
      <c r="L24" s="187" t="s">
        <v>0</v>
      </c>
      <c r="M24" s="175">
        <v>5720</v>
      </c>
    </row>
    <row r="25" spans="1:13">
      <c r="A25" s="62"/>
      <c r="B25" s="64"/>
      <c r="C25" s="64"/>
      <c r="D25" s="64"/>
      <c r="E25" s="64"/>
      <c r="F25" s="137"/>
      <c r="G25" s="64"/>
      <c r="H25" s="75"/>
      <c r="I25" s="75"/>
      <c r="J25" s="45"/>
      <c r="K25" s="204" t="s">
        <v>504</v>
      </c>
      <c r="L25" s="187" t="s">
        <v>495</v>
      </c>
      <c r="M25" s="175">
        <v>3000</v>
      </c>
    </row>
    <row r="26" spans="1:13">
      <c r="A26" s="62"/>
      <c r="B26" s="64"/>
      <c r="C26" s="64"/>
      <c r="D26" s="64"/>
      <c r="E26" s="64"/>
      <c r="F26" s="137"/>
      <c r="G26" s="64"/>
      <c r="H26" s="73"/>
      <c r="I26" s="73"/>
      <c r="J26" s="45"/>
      <c r="K26" s="203" t="s">
        <v>469</v>
      </c>
      <c r="L26" s="187"/>
      <c r="M26" s="178">
        <f>M27</f>
        <v>12000</v>
      </c>
    </row>
    <row r="27" spans="1:13">
      <c r="A27" s="62"/>
      <c r="B27" s="64"/>
      <c r="C27" s="64"/>
      <c r="D27" s="64"/>
      <c r="E27" s="64"/>
      <c r="F27" s="137"/>
      <c r="G27" s="66"/>
      <c r="H27" s="76"/>
      <c r="I27" s="76"/>
      <c r="J27" s="46"/>
      <c r="K27" s="206" t="s">
        <v>470</v>
      </c>
      <c r="L27" s="189" t="s">
        <v>0</v>
      </c>
      <c r="M27" s="175">
        <v>12000</v>
      </c>
    </row>
    <row r="28" spans="1:13">
      <c r="A28" s="62"/>
      <c r="B28" s="64"/>
      <c r="C28" s="64"/>
      <c r="D28" s="64"/>
      <c r="E28" s="64"/>
      <c r="F28" s="137"/>
      <c r="G28" s="64" t="s">
        <v>64</v>
      </c>
      <c r="H28" s="75">
        <f>M28</f>
        <v>2400</v>
      </c>
      <c r="I28" s="75">
        <v>2400</v>
      </c>
      <c r="J28" s="45">
        <f>H28-I28</f>
        <v>0</v>
      </c>
      <c r="K28" s="33" t="s">
        <v>63</v>
      </c>
      <c r="L28" s="49"/>
      <c r="M28" s="209">
        <f>M29</f>
        <v>2400</v>
      </c>
    </row>
    <row r="29" spans="1:13">
      <c r="A29" s="62"/>
      <c r="B29" s="64"/>
      <c r="C29" s="64"/>
      <c r="D29" s="64"/>
      <c r="E29" s="64"/>
      <c r="F29" s="137"/>
      <c r="G29" s="66"/>
      <c r="H29" s="76"/>
      <c r="I29" s="76"/>
      <c r="J29" s="46"/>
      <c r="K29" s="206" t="s">
        <v>256</v>
      </c>
      <c r="L29" s="189" t="s">
        <v>0</v>
      </c>
      <c r="M29" s="175">
        <v>2400</v>
      </c>
    </row>
    <row r="30" spans="1:13">
      <c r="A30" s="10"/>
      <c r="B30" s="6"/>
      <c r="C30" s="164" t="s">
        <v>65</v>
      </c>
      <c r="D30" s="124"/>
      <c r="E30" s="124"/>
      <c r="F30" s="124"/>
      <c r="G30" s="125"/>
      <c r="H30" s="89">
        <f>H31</f>
        <v>856928</v>
      </c>
      <c r="I30" s="89">
        <v>846928</v>
      </c>
      <c r="J30" s="90">
        <f>H30-I30</f>
        <v>10000</v>
      </c>
      <c r="K30" s="153"/>
      <c r="L30" s="143"/>
      <c r="M30" s="144"/>
    </row>
    <row r="31" spans="1:13">
      <c r="A31" s="10"/>
      <c r="B31" s="6"/>
      <c r="C31" s="141"/>
      <c r="D31" s="123" t="s">
        <v>30</v>
      </c>
      <c r="E31" s="124"/>
      <c r="F31" s="124"/>
      <c r="G31" s="125"/>
      <c r="H31" s="126">
        <f>SUM(H32,H51,H109)</f>
        <v>856928</v>
      </c>
      <c r="I31" s="126">
        <v>846928</v>
      </c>
      <c r="J31" s="9">
        <f>H31-I31</f>
        <v>10000</v>
      </c>
      <c r="K31" s="142"/>
      <c r="L31" s="143"/>
      <c r="M31" s="144"/>
    </row>
    <row r="32" spans="1:13">
      <c r="A32" s="10"/>
      <c r="B32" s="6"/>
      <c r="C32" s="128"/>
      <c r="D32" s="129"/>
      <c r="E32" s="123" t="s">
        <v>66</v>
      </c>
      <c r="F32" s="124"/>
      <c r="G32" s="125"/>
      <c r="H32" s="89">
        <f>SUM(H33,H48)</f>
        <v>619831</v>
      </c>
      <c r="I32" s="89">
        <v>619831</v>
      </c>
      <c r="J32" s="90">
        <f>H32-I32</f>
        <v>0</v>
      </c>
      <c r="K32" s="84"/>
      <c r="L32" s="91"/>
      <c r="M32" s="228"/>
    </row>
    <row r="33" spans="1:15">
      <c r="A33" s="62"/>
      <c r="B33" s="64"/>
      <c r="C33" s="64"/>
      <c r="D33" s="64"/>
      <c r="E33" s="64"/>
      <c r="F33" s="130" t="s">
        <v>67</v>
      </c>
      <c r="G33" s="134"/>
      <c r="H33" s="71">
        <f>SUM(H34,H39,H44)</f>
        <v>609331</v>
      </c>
      <c r="I33" s="71">
        <v>609331</v>
      </c>
      <c r="J33" s="96">
        <f>H33-I33</f>
        <v>0</v>
      </c>
      <c r="K33" s="138"/>
      <c r="L33" s="35"/>
      <c r="M33" s="229"/>
    </row>
    <row r="34" spans="1:15">
      <c r="A34" s="53"/>
      <c r="B34" s="55"/>
      <c r="C34" s="64"/>
      <c r="D34" s="64"/>
      <c r="E34" s="64"/>
      <c r="F34" s="176"/>
      <c r="G34" s="193" t="s">
        <v>68</v>
      </c>
      <c r="H34" s="194">
        <f>SUM(M34,M37)</f>
        <v>392400</v>
      </c>
      <c r="I34" s="194">
        <v>392400</v>
      </c>
      <c r="J34" s="38">
        <f>H34-I34</f>
        <v>0</v>
      </c>
      <c r="K34" s="33" t="s">
        <v>69</v>
      </c>
      <c r="L34" s="196"/>
      <c r="M34" s="209">
        <f>SUM(M35:M36)</f>
        <v>302400</v>
      </c>
    </row>
    <row r="35" spans="1:15">
      <c r="A35" s="53"/>
      <c r="B35" s="55"/>
      <c r="C35" s="64"/>
      <c r="D35" s="64"/>
      <c r="E35" s="64"/>
      <c r="F35" s="214"/>
      <c r="G35" s="54"/>
      <c r="H35" s="98"/>
      <c r="I35" s="98"/>
      <c r="J35" s="47"/>
      <c r="K35" s="204" t="s">
        <v>257</v>
      </c>
      <c r="L35" s="187" t="s">
        <v>0</v>
      </c>
      <c r="M35" s="175">
        <v>14400</v>
      </c>
    </row>
    <row r="36" spans="1:15">
      <c r="A36" s="53"/>
      <c r="B36" s="55"/>
      <c r="C36" s="64"/>
      <c r="D36" s="64"/>
      <c r="E36" s="64"/>
      <c r="F36" s="214"/>
      <c r="G36" s="54"/>
      <c r="H36" s="98"/>
      <c r="I36" s="98"/>
      <c r="J36" s="47"/>
      <c r="K36" s="204" t="s">
        <v>353</v>
      </c>
      <c r="L36" s="187" t="s">
        <v>0</v>
      </c>
      <c r="M36" s="175">
        <v>288000</v>
      </c>
    </row>
    <row r="37" spans="1:15">
      <c r="A37" s="53"/>
      <c r="B37" s="55"/>
      <c r="C37" s="64"/>
      <c r="D37" s="64"/>
      <c r="E37" s="64"/>
      <c r="F37" s="214"/>
      <c r="G37" s="54"/>
      <c r="H37" s="98"/>
      <c r="I37" s="98"/>
      <c r="J37" s="47"/>
      <c r="K37" s="203" t="s">
        <v>70</v>
      </c>
      <c r="L37" s="187"/>
      <c r="M37" s="178">
        <f>M38</f>
        <v>90000</v>
      </c>
    </row>
    <row r="38" spans="1:15">
      <c r="A38" s="53"/>
      <c r="B38" s="55"/>
      <c r="C38" s="64"/>
      <c r="D38" s="64"/>
      <c r="E38" s="64"/>
      <c r="F38" s="214"/>
      <c r="G38" s="54"/>
      <c r="H38" s="98"/>
      <c r="I38" s="98"/>
      <c r="J38" s="47"/>
      <c r="K38" s="204" t="s">
        <v>354</v>
      </c>
      <c r="L38" s="187" t="s">
        <v>0</v>
      </c>
      <c r="M38" s="175">
        <v>90000</v>
      </c>
    </row>
    <row r="39" spans="1:15">
      <c r="A39" s="53"/>
      <c r="B39" s="55"/>
      <c r="C39" s="64"/>
      <c r="D39" s="64"/>
      <c r="E39" s="64"/>
      <c r="F39" s="214"/>
      <c r="G39" s="193" t="s">
        <v>258</v>
      </c>
      <c r="H39" s="194">
        <f>SUM(M39,M42)</f>
        <v>186102</v>
      </c>
      <c r="I39" s="194">
        <v>186102</v>
      </c>
      <c r="J39" s="38">
        <f>H39-I39</f>
        <v>0</v>
      </c>
      <c r="K39" s="33" t="s">
        <v>499</v>
      </c>
      <c r="L39" s="196"/>
      <c r="M39" s="209">
        <f>SUM(M40:M41)</f>
        <v>102102</v>
      </c>
    </row>
    <row r="40" spans="1:15">
      <c r="A40" s="53"/>
      <c r="B40" s="55"/>
      <c r="C40" s="64"/>
      <c r="D40" s="64"/>
      <c r="E40" s="64"/>
      <c r="F40" s="214"/>
      <c r="G40" s="54"/>
      <c r="H40" s="98"/>
      <c r="I40" s="98"/>
      <c r="J40" s="47"/>
      <c r="K40" s="204" t="s">
        <v>496</v>
      </c>
      <c r="L40" s="187" t="s">
        <v>0</v>
      </c>
      <c r="M40" s="175">
        <v>101622</v>
      </c>
      <c r="N40" s="326"/>
      <c r="O40" s="326"/>
    </row>
    <row r="41" spans="1:15">
      <c r="A41" s="53"/>
      <c r="B41" s="55"/>
      <c r="C41" s="64"/>
      <c r="D41" s="64"/>
      <c r="E41" s="64"/>
      <c r="F41" s="214"/>
      <c r="G41" s="54"/>
      <c r="H41" s="98"/>
      <c r="I41" s="98"/>
      <c r="J41" s="47"/>
      <c r="K41" s="204" t="s">
        <v>497</v>
      </c>
      <c r="L41" s="187" t="s">
        <v>498</v>
      </c>
      <c r="M41" s="175">
        <v>480</v>
      </c>
      <c r="N41" s="326"/>
      <c r="O41" s="326"/>
    </row>
    <row r="42" spans="1:15">
      <c r="A42" s="53"/>
      <c r="B42" s="55"/>
      <c r="C42" s="64"/>
      <c r="D42" s="64"/>
      <c r="E42" s="64"/>
      <c r="F42" s="214"/>
      <c r="G42" s="54"/>
      <c r="H42" s="98"/>
      <c r="I42" s="98"/>
      <c r="J42" s="47"/>
      <c r="K42" s="203" t="s">
        <v>259</v>
      </c>
      <c r="L42" s="187"/>
      <c r="M42" s="178">
        <f>M43</f>
        <v>84000</v>
      </c>
    </row>
    <row r="43" spans="1:15">
      <c r="A43" s="53"/>
      <c r="B43" s="55"/>
      <c r="C43" s="64"/>
      <c r="D43" s="64"/>
      <c r="E43" s="64"/>
      <c r="F43" s="214"/>
      <c r="G43" s="54"/>
      <c r="H43" s="98"/>
      <c r="I43" s="98"/>
      <c r="J43" s="47"/>
      <c r="K43" s="204" t="s">
        <v>260</v>
      </c>
      <c r="L43" s="187" t="s">
        <v>0</v>
      </c>
      <c r="M43" s="175">
        <v>84000</v>
      </c>
    </row>
    <row r="44" spans="1:15">
      <c r="A44" s="53"/>
      <c r="B44" s="55"/>
      <c r="C44" s="64"/>
      <c r="D44" s="64"/>
      <c r="E44" s="64"/>
      <c r="F44" s="214"/>
      <c r="G44" s="193" t="s">
        <v>261</v>
      </c>
      <c r="H44" s="194">
        <f>M44</f>
        <v>30829</v>
      </c>
      <c r="I44" s="194">
        <v>30829</v>
      </c>
      <c r="J44" s="38">
        <f>H44-I44</f>
        <v>0</v>
      </c>
      <c r="K44" s="33" t="s">
        <v>262</v>
      </c>
      <c r="L44" s="196"/>
      <c r="M44" s="209">
        <f>SUM(M45:M47)</f>
        <v>30829</v>
      </c>
    </row>
    <row r="45" spans="1:15">
      <c r="A45" s="53"/>
      <c r="B45" s="55"/>
      <c r="C45" s="64"/>
      <c r="D45" s="64"/>
      <c r="E45" s="64"/>
      <c r="F45" s="214"/>
      <c r="G45" s="54"/>
      <c r="H45" s="98"/>
      <c r="I45" s="98"/>
      <c r="J45" s="47"/>
      <c r="K45" s="204" t="s">
        <v>268</v>
      </c>
      <c r="L45" s="94" t="s">
        <v>263</v>
      </c>
      <c r="M45" s="175">
        <v>25197</v>
      </c>
    </row>
    <row r="46" spans="1:15">
      <c r="A46" s="53"/>
      <c r="B46" s="55"/>
      <c r="C46" s="64"/>
      <c r="D46" s="64"/>
      <c r="E46" s="64"/>
      <c r="F46" s="214"/>
      <c r="G46" s="54"/>
      <c r="H46" s="98"/>
      <c r="I46" s="98"/>
      <c r="J46" s="47"/>
      <c r="K46" s="204" t="s">
        <v>269</v>
      </c>
      <c r="L46" s="187" t="s">
        <v>0</v>
      </c>
      <c r="M46" s="175">
        <v>4582</v>
      </c>
    </row>
    <row r="47" spans="1:15">
      <c r="A47" s="53"/>
      <c r="B47" s="55"/>
      <c r="C47" s="64"/>
      <c r="D47" s="64"/>
      <c r="E47" s="64"/>
      <c r="F47" s="214"/>
      <c r="G47" s="54"/>
      <c r="H47" s="98"/>
      <c r="I47" s="98"/>
      <c r="J47" s="47"/>
      <c r="K47" s="204" t="s">
        <v>270</v>
      </c>
      <c r="L47" s="187" t="s">
        <v>0</v>
      </c>
      <c r="M47" s="175">
        <v>1050</v>
      </c>
    </row>
    <row r="48" spans="1:15">
      <c r="A48" s="62"/>
      <c r="B48" s="64"/>
      <c r="C48" s="64"/>
      <c r="D48" s="64"/>
      <c r="E48" s="64"/>
      <c r="F48" s="130" t="s">
        <v>264</v>
      </c>
      <c r="G48" s="134"/>
      <c r="H48" s="71">
        <f>SUM(H49,H54)</f>
        <v>10500</v>
      </c>
      <c r="I48" s="71">
        <v>10500</v>
      </c>
      <c r="J48" s="96">
        <f>H48-I48</f>
        <v>0</v>
      </c>
      <c r="K48" s="138"/>
      <c r="L48" s="35"/>
      <c r="M48" s="229"/>
    </row>
    <row r="49" spans="1:13">
      <c r="A49" s="53"/>
      <c r="B49" s="55"/>
      <c r="C49" s="64"/>
      <c r="D49" s="64"/>
      <c r="E49" s="64"/>
      <c r="F49" s="176"/>
      <c r="G49" s="193" t="s">
        <v>265</v>
      </c>
      <c r="H49" s="194">
        <f>M49</f>
        <v>10500</v>
      </c>
      <c r="I49" s="194">
        <v>10500</v>
      </c>
      <c r="J49" s="38">
        <f>H49-I49</f>
        <v>0</v>
      </c>
      <c r="K49" s="33" t="s">
        <v>266</v>
      </c>
      <c r="L49" s="196"/>
      <c r="M49" s="209">
        <f>SUM(M50:M51)</f>
        <v>10500</v>
      </c>
    </row>
    <row r="50" spans="1:13">
      <c r="A50" s="53"/>
      <c r="B50" s="55"/>
      <c r="C50" s="64"/>
      <c r="D50" s="64"/>
      <c r="E50" s="64"/>
      <c r="F50" s="214"/>
      <c r="G50" s="54"/>
      <c r="H50" s="98"/>
      <c r="I50" s="98"/>
      <c r="J50" s="47"/>
      <c r="K50" s="204" t="s">
        <v>267</v>
      </c>
      <c r="L50" s="187" t="s">
        <v>0</v>
      </c>
      <c r="M50" s="175">
        <v>10500</v>
      </c>
    </row>
    <row r="51" spans="1:13">
      <c r="A51" s="10"/>
      <c r="B51" s="6"/>
      <c r="C51" s="128"/>
      <c r="D51" s="237"/>
      <c r="E51" s="123" t="s">
        <v>71</v>
      </c>
      <c r="F51" s="124"/>
      <c r="G51" s="125"/>
      <c r="H51" s="89">
        <f>SUM(H52,H83,H87,H95,H101,H104)</f>
        <v>217500</v>
      </c>
      <c r="I51" s="89">
        <v>207500</v>
      </c>
      <c r="J51" s="90">
        <f>H51-I51</f>
        <v>10000</v>
      </c>
      <c r="K51" s="84"/>
      <c r="L51" s="91"/>
      <c r="M51" s="228"/>
    </row>
    <row r="52" spans="1:13">
      <c r="A52" s="62"/>
      <c r="B52" s="64"/>
      <c r="C52" s="64"/>
      <c r="D52" s="64"/>
      <c r="E52" s="64"/>
      <c r="F52" s="130" t="s">
        <v>59</v>
      </c>
      <c r="G52" s="134"/>
      <c r="H52" s="71">
        <f>SUM(H53,H70,H77)</f>
        <v>125440</v>
      </c>
      <c r="I52" s="71">
        <v>115440</v>
      </c>
      <c r="J52" s="96">
        <f>H52-I52</f>
        <v>10000</v>
      </c>
      <c r="K52" s="138"/>
      <c r="L52" s="35"/>
      <c r="M52" s="229"/>
    </row>
    <row r="53" spans="1:13">
      <c r="A53" s="62"/>
      <c r="B53" s="64"/>
      <c r="C53" s="64"/>
      <c r="D53" s="64"/>
      <c r="E53" s="64"/>
      <c r="F53" s="137"/>
      <c r="G53" s="64" t="s">
        <v>32</v>
      </c>
      <c r="H53" s="75">
        <f>SUM(M53,M66)</f>
        <v>82560</v>
      </c>
      <c r="I53" s="75">
        <v>72560</v>
      </c>
      <c r="J53" s="45">
        <f>H53-I53</f>
        <v>10000</v>
      </c>
      <c r="K53" s="33" t="s">
        <v>72</v>
      </c>
      <c r="L53" s="36"/>
      <c r="M53" s="209">
        <f>SUM(M54:M65)</f>
        <v>60560</v>
      </c>
    </row>
    <row r="54" spans="1:13">
      <c r="A54" s="53"/>
      <c r="B54" s="55"/>
      <c r="C54" s="64"/>
      <c r="D54" s="64"/>
      <c r="E54" s="64"/>
      <c r="F54" s="214"/>
      <c r="G54" s="54"/>
      <c r="H54" s="98"/>
      <c r="I54" s="98"/>
      <c r="J54" s="47"/>
      <c r="K54" s="204" t="s">
        <v>271</v>
      </c>
      <c r="L54" s="187" t="s">
        <v>0</v>
      </c>
      <c r="M54" s="175">
        <v>3000</v>
      </c>
    </row>
    <row r="55" spans="1:13">
      <c r="A55" s="53"/>
      <c r="B55" s="55"/>
      <c r="C55" s="64"/>
      <c r="D55" s="64"/>
      <c r="E55" s="64"/>
      <c r="F55" s="214"/>
      <c r="G55" s="54"/>
      <c r="H55" s="98"/>
      <c r="I55" s="98"/>
      <c r="J55" s="47"/>
      <c r="K55" s="204" t="s">
        <v>272</v>
      </c>
      <c r="L55" s="187" t="s">
        <v>0</v>
      </c>
      <c r="M55" s="175">
        <v>5000</v>
      </c>
    </row>
    <row r="56" spans="1:13">
      <c r="A56" s="53"/>
      <c r="B56" s="55"/>
      <c r="C56" s="64"/>
      <c r="D56" s="64"/>
      <c r="E56" s="64"/>
      <c r="F56" s="214"/>
      <c r="G56" s="54"/>
      <c r="H56" s="98"/>
      <c r="I56" s="98"/>
      <c r="J56" s="47"/>
      <c r="K56" s="204" t="s">
        <v>273</v>
      </c>
      <c r="L56" s="187" t="s">
        <v>0</v>
      </c>
      <c r="M56" s="175">
        <v>3000</v>
      </c>
    </row>
    <row r="57" spans="1:13">
      <c r="A57" s="53"/>
      <c r="B57" s="55"/>
      <c r="C57" s="64"/>
      <c r="D57" s="64"/>
      <c r="E57" s="64"/>
      <c r="F57" s="214"/>
      <c r="G57" s="54"/>
      <c r="H57" s="98"/>
      <c r="I57" s="98"/>
      <c r="J57" s="47"/>
      <c r="K57" s="204" t="s">
        <v>274</v>
      </c>
      <c r="L57" s="187" t="s">
        <v>0</v>
      </c>
      <c r="M57" s="175">
        <v>5000</v>
      </c>
    </row>
    <row r="58" spans="1:13">
      <c r="A58" s="53"/>
      <c r="B58" s="55"/>
      <c r="C58" s="64"/>
      <c r="D58" s="64"/>
      <c r="E58" s="64"/>
      <c r="F58" s="214"/>
      <c r="G58" s="54"/>
      <c r="H58" s="98"/>
      <c r="I58" s="98"/>
      <c r="J58" s="47"/>
      <c r="K58" s="204" t="s">
        <v>275</v>
      </c>
      <c r="L58" s="187" t="s">
        <v>0</v>
      </c>
      <c r="M58" s="175">
        <v>3000</v>
      </c>
    </row>
    <row r="59" spans="1:13">
      <c r="A59" s="53"/>
      <c r="B59" s="55"/>
      <c r="C59" s="64"/>
      <c r="D59" s="64"/>
      <c r="E59" s="64"/>
      <c r="F59" s="214"/>
      <c r="G59" s="54"/>
      <c r="H59" s="98"/>
      <c r="I59" s="98"/>
      <c r="J59" s="47"/>
      <c r="K59" s="204" t="s">
        <v>276</v>
      </c>
      <c r="L59" s="187" t="s">
        <v>0</v>
      </c>
      <c r="M59" s="175">
        <v>2400</v>
      </c>
    </row>
    <row r="60" spans="1:13">
      <c r="A60" s="53"/>
      <c r="B60" s="55"/>
      <c r="C60" s="64"/>
      <c r="D60" s="64"/>
      <c r="E60" s="64"/>
      <c r="F60" s="214"/>
      <c r="G60" s="54"/>
      <c r="H60" s="98"/>
      <c r="I60" s="98"/>
      <c r="J60" s="47"/>
      <c r="K60" s="204" t="s">
        <v>277</v>
      </c>
      <c r="L60" s="187" t="s">
        <v>0</v>
      </c>
      <c r="M60" s="175">
        <v>4200</v>
      </c>
    </row>
    <row r="61" spans="1:13">
      <c r="A61" s="53"/>
      <c r="B61" s="55"/>
      <c r="C61" s="64"/>
      <c r="D61" s="64"/>
      <c r="E61" s="64"/>
      <c r="F61" s="214"/>
      <c r="G61" s="54"/>
      <c r="H61" s="98"/>
      <c r="I61" s="98"/>
      <c r="J61" s="47"/>
      <c r="K61" s="204" t="s">
        <v>278</v>
      </c>
      <c r="L61" s="187" t="s">
        <v>0</v>
      </c>
      <c r="M61" s="175">
        <v>3960</v>
      </c>
    </row>
    <row r="62" spans="1:13">
      <c r="A62" s="53"/>
      <c r="B62" s="55"/>
      <c r="C62" s="64"/>
      <c r="D62" s="64"/>
      <c r="E62" s="64"/>
      <c r="F62" s="214"/>
      <c r="G62" s="54"/>
      <c r="H62" s="98"/>
      <c r="I62" s="98"/>
      <c r="J62" s="47"/>
      <c r="K62" s="204" t="s">
        <v>279</v>
      </c>
      <c r="L62" s="187" t="s">
        <v>0</v>
      </c>
      <c r="M62" s="175">
        <v>1200</v>
      </c>
    </row>
    <row r="63" spans="1:13">
      <c r="A63" s="53"/>
      <c r="B63" s="55"/>
      <c r="C63" s="64"/>
      <c r="D63" s="64"/>
      <c r="E63" s="64"/>
      <c r="F63" s="214"/>
      <c r="G63" s="54"/>
      <c r="H63" s="98"/>
      <c r="I63" s="98"/>
      <c r="J63" s="47"/>
      <c r="K63" s="204" t="s">
        <v>445</v>
      </c>
      <c r="L63" s="187" t="s">
        <v>446</v>
      </c>
      <c r="M63" s="175">
        <v>1200</v>
      </c>
    </row>
    <row r="64" spans="1:13">
      <c r="A64" s="53"/>
      <c r="B64" s="55"/>
      <c r="C64" s="64"/>
      <c r="D64" s="64"/>
      <c r="E64" s="64"/>
      <c r="F64" s="214"/>
      <c r="G64" s="54"/>
      <c r="H64" s="98"/>
      <c r="I64" s="98"/>
      <c r="J64" s="47"/>
      <c r="K64" s="204" t="s">
        <v>536</v>
      </c>
      <c r="L64" s="187" t="s">
        <v>0</v>
      </c>
      <c r="M64" s="175">
        <v>28000</v>
      </c>
    </row>
    <row r="65" spans="1:13">
      <c r="A65" s="53"/>
      <c r="B65" s="55"/>
      <c r="C65" s="64"/>
      <c r="D65" s="64"/>
      <c r="E65" s="64"/>
      <c r="F65" s="214"/>
      <c r="G65" s="54"/>
      <c r="H65" s="98"/>
      <c r="I65" s="98"/>
      <c r="J65" s="47"/>
      <c r="K65" s="204" t="s">
        <v>539</v>
      </c>
      <c r="L65" s="187" t="s">
        <v>0</v>
      </c>
      <c r="M65" s="175">
        <v>600</v>
      </c>
    </row>
    <row r="66" spans="1:13">
      <c r="A66" s="53"/>
      <c r="B66" s="55"/>
      <c r="C66" s="64"/>
      <c r="D66" s="64"/>
      <c r="E66" s="64"/>
      <c r="F66" s="214"/>
      <c r="G66" s="54"/>
      <c r="H66" s="98"/>
      <c r="I66" s="98"/>
      <c r="J66" s="47"/>
      <c r="K66" s="233" t="s">
        <v>73</v>
      </c>
      <c r="L66" s="94"/>
      <c r="M66" s="178">
        <f>SUM(M67:M69)</f>
        <v>22000</v>
      </c>
    </row>
    <row r="67" spans="1:13">
      <c r="A67" s="53"/>
      <c r="B67" s="55"/>
      <c r="C67" s="64"/>
      <c r="D67" s="64"/>
      <c r="E67" s="64"/>
      <c r="F67" s="214"/>
      <c r="G67" s="54"/>
      <c r="H67" s="98"/>
      <c r="I67" s="98"/>
      <c r="J67" s="47"/>
      <c r="K67" s="355" t="s">
        <v>280</v>
      </c>
      <c r="L67" s="187" t="s">
        <v>33</v>
      </c>
      <c r="M67" s="175">
        <v>12000</v>
      </c>
    </row>
    <row r="68" spans="1:13">
      <c r="A68" s="53"/>
      <c r="B68" s="55"/>
      <c r="C68" s="64"/>
      <c r="D68" s="64"/>
      <c r="E68" s="64"/>
      <c r="F68" s="214"/>
      <c r="G68" s="54"/>
      <c r="H68" s="98"/>
      <c r="I68" s="98"/>
      <c r="J68" s="47"/>
      <c r="K68" s="359" t="s">
        <v>548</v>
      </c>
      <c r="L68" s="187"/>
      <c r="M68" s="175"/>
    </row>
    <row r="69" spans="1:13">
      <c r="A69" s="53"/>
      <c r="B69" s="55"/>
      <c r="C69" s="64"/>
      <c r="D69" s="64"/>
      <c r="E69" s="64"/>
      <c r="F69" s="54"/>
      <c r="G69" s="191"/>
      <c r="H69" s="98"/>
      <c r="I69" s="98"/>
      <c r="J69" s="100"/>
      <c r="K69" s="356" t="s">
        <v>547</v>
      </c>
      <c r="L69" s="357" t="s">
        <v>33</v>
      </c>
      <c r="M69" s="358">
        <v>10000</v>
      </c>
    </row>
    <row r="70" spans="1:13">
      <c r="A70" s="62"/>
      <c r="B70" s="64"/>
      <c r="C70" s="64"/>
      <c r="D70" s="64"/>
      <c r="E70" s="64"/>
      <c r="F70" s="103"/>
      <c r="G70" s="184" t="s">
        <v>74</v>
      </c>
      <c r="H70" s="197">
        <f>SUM(M70,M74)</f>
        <v>21760</v>
      </c>
      <c r="I70" s="72">
        <v>21760</v>
      </c>
      <c r="J70" s="186">
        <f>H70-I70</f>
        <v>0</v>
      </c>
      <c r="K70" s="33" t="s">
        <v>75</v>
      </c>
      <c r="L70" s="199"/>
      <c r="M70" s="209">
        <f>SUM(M71:M73)</f>
        <v>16960</v>
      </c>
    </row>
    <row r="71" spans="1:13">
      <c r="A71" s="62"/>
      <c r="B71" s="64"/>
      <c r="C71" s="64"/>
      <c r="D71" s="64"/>
      <c r="E71" s="64"/>
      <c r="F71" s="103"/>
      <c r="G71" s="179"/>
      <c r="H71" s="104"/>
      <c r="I71" s="215"/>
      <c r="J71" s="105"/>
      <c r="K71" s="204" t="s">
        <v>537</v>
      </c>
      <c r="L71" s="187" t="s">
        <v>0</v>
      </c>
      <c r="M71" s="175">
        <v>3960</v>
      </c>
    </row>
    <row r="72" spans="1:13">
      <c r="A72" s="62"/>
      <c r="B72" s="64"/>
      <c r="C72" s="64"/>
      <c r="D72" s="64"/>
      <c r="E72" s="64"/>
      <c r="F72" s="103"/>
      <c r="G72" s="179"/>
      <c r="H72" s="104"/>
      <c r="I72" s="215"/>
      <c r="J72" s="105"/>
      <c r="K72" s="204" t="s">
        <v>281</v>
      </c>
      <c r="L72" s="187" t="s">
        <v>0</v>
      </c>
      <c r="M72" s="175">
        <v>12000</v>
      </c>
    </row>
    <row r="73" spans="1:13">
      <c r="A73" s="53"/>
      <c r="B73" s="55"/>
      <c r="C73" s="64"/>
      <c r="D73" s="64"/>
      <c r="E73" s="64"/>
      <c r="F73" s="214"/>
      <c r="G73" s="54"/>
      <c r="H73" s="98"/>
      <c r="I73" s="98"/>
      <c r="J73" s="47"/>
      <c r="K73" s="204" t="s">
        <v>538</v>
      </c>
      <c r="L73" s="187" t="s">
        <v>0</v>
      </c>
      <c r="M73" s="175">
        <v>1000</v>
      </c>
    </row>
    <row r="74" spans="1:13">
      <c r="A74" s="62"/>
      <c r="B74" s="64"/>
      <c r="C74" s="64"/>
      <c r="D74" s="64"/>
      <c r="E74" s="64"/>
      <c r="F74" s="103"/>
      <c r="G74" s="179"/>
      <c r="H74" s="104"/>
      <c r="I74" s="215"/>
      <c r="J74" s="105"/>
      <c r="K74" s="203" t="s">
        <v>41</v>
      </c>
      <c r="L74" s="216"/>
      <c r="M74" s="178">
        <f>SUM(M75:M76)</f>
        <v>4800</v>
      </c>
    </row>
    <row r="75" spans="1:13">
      <c r="A75" s="62"/>
      <c r="B75" s="64"/>
      <c r="C75" s="64"/>
      <c r="D75" s="64"/>
      <c r="E75" s="64"/>
      <c r="F75" s="103"/>
      <c r="G75" s="179"/>
      <c r="H75" s="104"/>
      <c r="I75" s="215"/>
      <c r="J75" s="105"/>
      <c r="K75" s="204" t="s">
        <v>76</v>
      </c>
      <c r="L75" s="187" t="s">
        <v>0</v>
      </c>
      <c r="M75" s="175">
        <v>3600</v>
      </c>
    </row>
    <row r="76" spans="1:13">
      <c r="A76" s="62"/>
      <c r="B76" s="64"/>
      <c r="C76" s="64"/>
      <c r="D76" s="64"/>
      <c r="E76" s="64"/>
      <c r="F76" s="103"/>
      <c r="G76" s="180"/>
      <c r="H76" s="106"/>
      <c r="I76" s="218"/>
      <c r="J76" s="150"/>
      <c r="K76" s="206" t="s">
        <v>282</v>
      </c>
      <c r="L76" s="189" t="s">
        <v>0</v>
      </c>
      <c r="M76" s="181">
        <v>1200</v>
      </c>
    </row>
    <row r="77" spans="1:13">
      <c r="A77" s="62"/>
      <c r="B77" s="64"/>
      <c r="C77" s="64"/>
      <c r="D77" s="64"/>
      <c r="E77" s="64"/>
      <c r="F77" s="103"/>
      <c r="G77" s="184" t="s">
        <v>8</v>
      </c>
      <c r="H77" s="104">
        <f>M77+M81</f>
        <v>21120</v>
      </c>
      <c r="I77" s="75">
        <v>21120</v>
      </c>
      <c r="J77" s="105">
        <f>H77-I77</f>
        <v>0</v>
      </c>
      <c r="K77" s="233" t="s">
        <v>500</v>
      </c>
      <c r="L77" s="187"/>
      <c r="M77" s="178">
        <f>SUM(M78:M80)</f>
        <v>12480</v>
      </c>
    </row>
    <row r="78" spans="1:13">
      <c r="A78" s="62"/>
      <c r="B78" s="64"/>
      <c r="C78" s="64"/>
      <c r="D78" s="64"/>
      <c r="E78" s="64"/>
      <c r="F78" s="103"/>
      <c r="G78" s="182"/>
      <c r="H78" s="104"/>
      <c r="I78" s="215"/>
      <c r="J78" s="105"/>
      <c r="K78" s="204" t="s">
        <v>501</v>
      </c>
      <c r="L78" s="187" t="s">
        <v>0</v>
      </c>
      <c r="M78" s="175">
        <v>1680</v>
      </c>
    </row>
    <row r="79" spans="1:13">
      <c r="A79" s="62"/>
      <c r="B79" s="64"/>
      <c r="C79" s="64"/>
      <c r="D79" s="64"/>
      <c r="E79" s="64"/>
      <c r="F79" s="103"/>
      <c r="G79" s="182"/>
      <c r="H79" s="104"/>
      <c r="I79" s="215"/>
      <c r="J79" s="105"/>
      <c r="K79" s="204" t="s">
        <v>502</v>
      </c>
      <c r="L79" s="187" t="s">
        <v>498</v>
      </c>
      <c r="M79" s="175">
        <v>3600</v>
      </c>
    </row>
    <row r="80" spans="1:13">
      <c r="A80" s="62"/>
      <c r="B80" s="64"/>
      <c r="C80" s="64"/>
      <c r="D80" s="64"/>
      <c r="E80" s="64"/>
      <c r="F80" s="103"/>
      <c r="G80" s="182"/>
      <c r="H80" s="104"/>
      <c r="I80" s="215"/>
      <c r="J80" s="105"/>
      <c r="K80" s="204" t="s">
        <v>503</v>
      </c>
      <c r="L80" s="187" t="s">
        <v>495</v>
      </c>
      <c r="M80" s="175">
        <v>7200</v>
      </c>
    </row>
    <row r="81" spans="1:13">
      <c r="A81" s="62"/>
      <c r="B81" s="64"/>
      <c r="C81" s="64"/>
      <c r="D81" s="64"/>
      <c r="E81" s="64"/>
      <c r="F81" s="103"/>
      <c r="G81" s="182"/>
      <c r="H81" s="104"/>
      <c r="I81" s="215"/>
      <c r="J81" s="105"/>
      <c r="K81" s="233" t="s">
        <v>108</v>
      </c>
      <c r="L81" s="187"/>
      <c r="M81" s="178">
        <v>8640</v>
      </c>
    </row>
    <row r="82" spans="1:13">
      <c r="A82" s="62"/>
      <c r="B82" s="64"/>
      <c r="C82" s="64"/>
      <c r="D82" s="64"/>
      <c r="E82" s="64"/>
      <c r="F82" s="217"/>
      <c r="G82" s="322"/>
      <c r="H82" s="106"/>
      <c r="I82" s="218"/>
      <c r="J82" s="150"/>
      <c r="K82" s="206" t="s">
        <v>283</v>
      </c>
      <c r="L82" s="189" t="s">
        <v>33</v>
      </c>
      <c r="M82" s="181">
        <v>8640</v>
      </c>
    </row>
    <row r="83" spans="1:13">
      <c r="A83" s="62"/>
      <c r="B83" s="64"/>
      <c r="C83" s="64"/>
      <c r="D83" s="64"/>
      <c r="E83" s="64"/>
      <c r="F83" s="130" t="s">
        <v>51</v>
      </c>
      <c r="G83" s="134"/>
      <c r="H83" s="71">
        <f>SUM(H84)</f>
        <v>18000</v>
      </c>
      <c r="I83" s="71">
        <v>18000</v>
      </c>
      <c r="J83" s="96">
        <f>H83-I83</f>
        <v>0</v>
      </c>
      <c r="K83" s="138"/>
      <c r="L83" s="35"/>
      <c r="M83" s="229"/>
    </row>
    <row r="84" spans="1:13">
      <c r="A84" s="62"/>
      <c r="B84" s="64"/>
      <c r="C84" s="64"/>
      <c r="D84" s="64"/>
      <c r="E84" s="64"/>
      <c r="F84" s="137"/>
      <c r="G84" s="184" t="s">
        <v>449</v>
      </c>
      <c r="H84" s="75">
        <f>M84</f>
        <v>18000</v>
      </c>
      <c r="I84" s="75">
        <v>18000</v>
      </c>
      <c r="J84" s="45">
        <f>H84-I84</f>
        <v>0</v>
      </c>
      <c r="K84" s="33" t="s">
        <v>77</v>
      </c>
      <c r="L84" s="36"/>
      <c r="M84" s="178">
        <f>SUM(M85:M86)</f>
        <v>18000</v>
      </c>
    </row>
    <row r="85" spans="1:13">
      <c r="A85" s="62"/>
      <c r="B85" s="64"/>
      <c r="C85" s="64"/>
      <c r="D85" s="64"/>
      <c r="E85" s="64"/>
      <c r="F85" s="137"/>
      <c r="G85" s="64"/>
      <c r="H85" s="75"/>
      <c r="I85" s="75"/>
      <c r="J85" s="45"/>
      <c r="K85" s="204" t="s">
        <v>448</v>
      </c>
      <c r="L85" s="49" t="s">
        <v>285</v>
      </c>
      <c r="M85" s="175">
        <v>4800</v>
      </c>
    </row>
    <row r="86" spans="1:13">
      <c r="A86" s="62"/>
      <c r="B86" s="64"/>
      <c r="C86" s="64"/>
      <c r="D86" s="64"/>
      <c r="E86" s="64"/>
      <c r="F86" s="331"/>
      <c r="G86" s="66"/>
      <c r="H86" s="76"/>
      <c r="I86" s="76"/>
      <c r="J86" s="46"/>
      <c r="K86" s="206" t="s">
        <v>447</v>
      </c>
      <c r="L86" s="275" t="s">
        <v>286</v>
      </c>
      <c r="M86" s="181">
        <v>13200</v>
      </c>
    </row>
    <row r="87" spans="1:13">
      <c r="A87" s="62"/>
      <c r="B87" s="64"/>
      <c r="C87" s="64"/>
      <c r="D87" s="64"/>
      <c r="E87" s="64"/>
      <c r="F87" s="130" t="s">
        <v>80</v>
      </c>
      <c r="G87" s="134"/>
      <c r="H87" s="71">
        <f>H88</f>
        <v>38400</v>
      </c>
      <c r="I87" s="71">
        <v>38400</v>
      </c>
      <c r="J87" s="96">
        <f>H87-I87</f>
        <v>0</v>
      </c>
      <c r="K87" s="138"/>
      <c r="L87" s="35"/>
      <c r="M87" s="229"/>
    </row>
    <row r="88" spans="1:13">
      <c r="A88" s="62"/>
      <c r="B88" s="64"/>
      <c r="C88" s="64"/>
      <c r="D88" s="64"/>
      <c r="E88" s="64"/>
      <c r="F88" s="137"/>
      <c r="G88" s="64" t="s">
        <v>81</v>
      </c>
      <c r="H88" s="75">
        <f>SUM(M88,M91)</f>
        <v>38400</v>
      </c>
      <c r="I88" s="75">
        <v>38400</v>
      </c>
      <c r="J88" s="45">
        <f>H88-I88</f>
        <v>0</v>
      </c>
      <c r="K88" s="33" t="s">
        <v>82</v>
      </c>
      <c r="L88" s="36"/>
      <c r="M88" s="209">
        <f>SUM(M89:M90)</f>
        <v>16600</v>
      </c>
    </row>
    <row r="89" spans="1:13">
      <c r="A89" s="62"/>
      <c r="B89" s="64"/>
      <c r="C89" s="64"/>
      <c r="D89" s="64"/>
      <c r="E89" s="64"/>
      <c r="F89" s="103"/>
      <c r="G89" s="182"/>
      <c r="H89" s="104"/>
      <c r="I89" s="215"/>
      <c r="J89" s="105"/>
      <c r="K89" s="204" t="s">
        <v>507</v>
      </c>
      <c r="L89" s="187" t="s">
        <v>0</v>
      </c>
      <c r="M89" s="175">
        <v>10000</v>
      </c>
    </row>
    <row r="90" spans="1:13">
      <c r="A90" s="62"/>
      <c r="B90" s="64"/>
      <c r="C90" s="64"/>
      <c r="D90" s="64"/>
      <c r="E90" s="64"/>
      <c r="F90" s="103"/>
      <c r="G90" s="182"/>
      <c r="H90" s="104"/>
      <c r="I90" s="215"/>
      <c r="J90" s="105"/>
      <c r="K90" s="204" t="s">
        <v>284</v>
      </c>
      <c r="L90" s="187" t="s">
        <v>0</v>
      </c>
      <c r="M90" s="175">
        <v>6600</v>
      </c>
    </row>
    <row r="91" spans="1:13">
      <c r="A91" s="62"/>
      <c r="B91" s="64"/>
      <c r="C91" s="64"/>
      <c r="D91" s="64"/>
      <c r="E91" s="64"/>
      <c r="F91" s="103"/>
      <c r="G91" s="182"/>
      <c r="H91" s="104"/>
      <c r="I91" s="215"/>
      <c r="J91" s="105"/>
      <c r="K91" s="203" t="s">
        <v>83</v>
      </c>
      <c r="L91" s="208"/>
      <c r="M91" s="178">
        <f>SUM(M92:M94)</f>
        <v>21800</v>
      </c>
    </row>
    <row r="92" spans="1:13">
      <c r="A92" s="62"/>
      <c r="B92" s="64"/>
      <c r="C92" s="64"/>
      <c r="D92" s="64"/>
      <c r="E92" s="64"/>
      <c r="F92" s="103"/>
      <c r="G92" s="182"/>
      <c r="H92" s="104"/>
      <c r="I92" s="215"/>
      <c r="J92" s="105"/>
      <c r="K92" s="204" t="s">
        <v>508</v>
      </c>
      <c r="L92" s="187" t="s">
        <v>0</v>
      </c>
      <c r="M92" s="175">
        <v>15000</v>
      </c>
    </row>
    <row r="93" spans="1:13">
      <c r="A93" s="62"/>
      <c r="B93" s="64"/>
      <c r="C93" s="64"/>
      <c r="D93" s="64"/>
      <c r="E93" s="64"/>
      <c r="F93" s="103"/>
      <c r="G93" s="182"/>
      <c r="H93" s="104"/>
      <c r="I93" s="215"/>
      <c r="J93" s="105"/>
      <c r="K93" s="204" t="s">
        <v>362</v>
      </c>
      <c r="L93" s="187" t="s">
        <v>0</v>
      </c>
      <c r="M93" s="175">
        <v>4800</v>
      </c>
    </row>
    <row r="94" spans="1:13">
      <c r="A94" s="62"/>
      <c r="B94" s="64"/>
      <c r="C94" s="170"/>
      <c r="D94" s="171"/>
      <c r="E94" s="210"/>
      <c r="F94" s="236"/>
      <c r="G94" s="213"/>
      <c r="H94" s="73"/>
      <c r="I94" s="73"/>
      <c r="J94" s="73"/>
      <c r="K94" s="204" t="s">
        <v>509</v>
      </c>
      <c r="L94" s="42" t="s">
        <v>0</v>
      </c>
      <c r="M94" s="175">
        <v>2000</v>
      </c>
    </row>
    <row r="95" spans="1:13">
      <c r="A95" s="62"/>
      <c r="B95" s="64"/>
      <c r="C95" s="64"/>
      <c r="D95" s="64"/>
      <c r="E95" s="64"/>
      <c r="F95" s="130" t="s">
        <v>84</v>
      </c>
      <c r="G95" s="134"/>
      <c r="H95" s="71">
        <f>SUM(H96,H99)</f>
        <v>25920</v>
      </c>
      <c r="I95" s="71">
        <v>25920</v>
      </c>
      <c r="J95" s="96">
        <f>H95-I95</f>
        <v>0</v>
      </c>
      <c r="K95" s="138"/>
      <c r="L95" s="35"/>
      <c r="M95" s="229"/>
    </row>
    <row r="96" spans="1:13">
      <c r="A96" s="62"/>
      <c r="B96" s="64"/>
      <c r="C96" s="64"/>
      <c r="D96" s="64"/>
      <c r="E96" s="64"/>
      <c r="F96" s="137"/>
      <c r="G96" s="64" t="s">
        <v>85</v>
      </c>
      <c r="H96" s="75">
        <f>M96</f>
        <v>19200</v>
      </c>
      <c r="I96" s="75">
        <v>19200</v>
      </c>
      <c r="J96" s="45">
        <f>H96-I96</f>
        <v>0</v>
      </c>
      <c r="K96" s="33" t="s">
        <v>86</v>
      </c>
      <c r="L96" s="36"/>
      <c r="M96" s="209">
        <f>SUM(M97:M98)</f>
        <v>19200</v>
      </c>
    </row>
    <row r="97" spans="1:13">
      <c r="A97" s="62"/>
      <c r="B97" s="64"/>
      <c r="C97" s="64"/>
      <c r="D97" s="64"/>
      <c r="E97" s="64"/>
      <c r="F97" s="103"/>
      <c r="G97" s="182"/>
      <c r="H97" s="104"/>
      <c r="I97" s="215"/>
      <c r="J97" s="105"/>
      <c r="K97" s="204" t="s">
        <v>287</v>
      </c>
      <c r="L97" s="187" t="s">
        <v>0</v>
      </c>
      <c r="M97" s="175">
        <v>8400</v>
      </c>
    </row>
    <row r="98" spans="1:13">
      <c r="A98" s="62"/>
      <c r="B98" s="64"/>
      <c r="C98" s="64"/>
      <c r="D98" s="64"/>
      <c r="E98" s="64"/>
      <c r="F98" s="103"/>
      <c r="G98" s="180"/>
      <c r="H98" s="106"/>
      <c r="I98" s="218"/>
      <c r="J98" s="150"/>
      <c r="K98" s="206" t="s">
        <v>361</v>
      </c>
      <c r="L98" s="189" t="s">
        <v>0</v>
      </c>
      <c r="M98" s="181">
        <v>10800</v>
      </c>
    </row>
    <row r="99" spans="1:13">
      <c r="A99" s="62"/>
      <c r="B99" s="64"/>
      <c r="C99" s="64"/>
      <c r="D99" s="64"/>
      <c r="E99" s="64"/>
      <c r="F99" s="103"/>
      <c r="G99" s="182" t="s">
        <v>107</v>
      </c>
      <c r="H99" s="104">
        <f>M99</f>
        <v>6720</v>
      </c>
      <c r="I99" s="75">
        <v>6720</v>
      </c>
      <c r="J99" s="105">
        <f>H99-I99</f>
        <v>0</v>
      </c>
      <c r="K99" s="203" t="s">
        <v>87</v>
      </c>
      <c r="L99" s="208"/>
      <c r="M99" s="178">
        <f>M100</f>
        <v>6720</v>
      </c>
    </row>
    <row r="100" spans="1:13">
      <c r="A100" s="62"/>
      <c r="B100" s="64"/>
      <c r="C100" s="64"/>
      <c r="D100" s="64"/>
      <c r="E100" s="64"/>
      <c r="F100" s="103"/>
      <c r="G100" s="182"/>
      <c r="H100" s="104"/>
      <c r="I100" s="215"/>
      <c r="J100" s="105"/>
      <c r="K100" s="204" t="s">
        <v>288</v>
      </c>
      <c r="L100" s="187" t="s">
        <v>0</v>
      </c>
      <c r="M100" s="175">
        <v>6720</v>
      </c>
    </row>
    <row r="101" spans="1:13">
      <c r="A101" s="62"/>
      <c r="B101" s="64"/>
      <c r="C101" s="64"/>
      <c r="D101" s="64"/>
      <c r="E101" s="64"/>
      <c r="F101" s="130" t="s">
        <v>88</v>
      </c>
      <c r="G101" s="134"/>
      <c r="H101" s="71">
        <f>H102</f>
        <v>5000</v>
      </c>
      <c r="I101" s="71">
        <v>5000</v>
      </c>
      <c r="J101" s="96">
        <f>H101-I101</f>
        <v>0</v>
      </c>
      <c r="K101" s="138"/>
      <c r="L101" s="35"/>
      <c r="M101" s="229"/>
    </row>
    <row r="102" spans="1:13">
      <c r="A102" s="62"/>
      <c r="B102" s="64"/>
      <c r="C102" s="64"/>
      <c r="D102" s="64"/>
      <c r="E102" s="64"/>
      <c r="F102" s="137"/>
      <c r="G102" s="64" t="s">
        <v>54</v>
      </c>
      <c r="H102" s="75">
        <f>M102</f>
        <v>5000</v>
      </c>
      <c r="I102" s="75">
        <v>5000</v>
      </c>
      <c r="J102" s="45">
        <f>H102-I102</f>
        <v>0</v>
      </c>
      <c r="K102" s="33" t="s">
        <v>91</v>
      </c>
      <c r="L102" s="36"/>
      <c r="M102" s="209">
        <f>M103</f>
        <v>5000</v>
      </c>
    </row>
    <row r="103" spans="1:13">
      <c r="A103" s="62"/>
      <c r="B103" s="64"/>
      <c r="C103" s="64"/>
      <c r="D103" s="64"/>
      <c r="E103" s="64"/>
      <c r="F103" s="103"/>
      <c r="G103" s="182"/>
      <c r="H103" s="104"/>
      <c r="I103" s="215"/>
      <c r="J103" s="105"/>
      <c r="K103" s="204" t="s">
        <v>358</v>
      </c>
      <c r="L103" s="187" t="s">
        <v>0</v>
      </c>
      <c r="M103" s="175">
        <v>5000</v>
      </c>
    </row>
    <row r="104" spans="1:13">
      <c r="A104" s="62"/>
      <c r="B104" s="64"/>
      <c r="C104" s="64"/>
      <c r="D104" s="64"/>
      <c r="E104" s="64"/>
      <c r="F104" s="130" t="s">
        <v>89</v>
      </c>
      <c r="G104" s="134"/>
      <c r="H104" s="71">
        <f>SUM(H105,H107)</f>
        <v>4740</v>
      </c>
      <c r="I104" s="71">
        <v>4740</v>
      </c>
      <c r="J104" s="96">
        <f>H104-I104</f>
        <v>0</v>
      </c>
      <c r="K104" s="138"/>
      <c r="L104" s="35"/>
      <c r="M104" s="229"/>
    </row>
    <row r="105" spans="1:13">
      <c r="A105" s="62"/>
      <c r="B105" s="64"/>
      <c r="C105" s="64"/>
      <c r="D105" s="64"/>
      <c r="E105" s="64"/>
      <c r="F105" s="137"/>
      <c r="G105" s="64" t="s">
        <v>90</v>
      </c>
      <c r="H105" s="75">
        <f>M105</f>
        <v>2640</v>
      </c>
      <c r="I105" s="75">
        <v>2640</v>
      </c>
      <c r="J105" s="45">
        <f>H105-I105</f>
        <v>0</v>
      </c>
      <c r="K105" s="33" t="s">
        <v>92</v>
      </c>
      <c r="L105" s="36"/>
      <c r="M105" s="209">
        <f>M106</f>
        <v>2640</v>
      </c>
    </row>
    <row r="106" spans="1:13">
      <c r="A106" s="62"/>
      <c r="B106" s="64"/>
      <c r="C106" s="64"/>
      <c r="D106" s="64"/>
      <c r="E106" s="64"/>
      <c r="F106" s="103"/>
      <c r="G106" s="180"/>
      <c r="H106" s="106"/>
      <c r="I106" s="218"/>
      <c r="J106" s="150"/>
      <c r="K106" s="206" t="s">
        <v>359</v>
      </c>
      <c r="L106" s="189" t="s">
        <v>0</v>
      </c>
      <c r="M106" s="181">
        <v>2640</v>
      </c>
    </row>
    <row r="107" spans="1:13">
      <c r="A107" s="62"/>
      <c r="B107" s="64"/>
      <c r="C107" s="64"/>
      <c r="D107" s="64"/>
      <c r="E107" s="64"/>
      <c r="F107" s="103"/>
      <c r="G107" s="347" t="s">
        <v>93</v>
      </c>
      <c r="H107" s="104">
        <f>M107</f>
        <v>2100</v>
      </c>
      <c r="I107" s="75">
        <v>2100</v>
      </c>
      <c r="J107" s="105">
        <f>H107-I107</f>
        <v>0</v>
      </c>
      <c r="K107" s="203" t="s">
        <v>360</v>
      </c>
      <c r="L107" s="208"/>
      <c r="M107" s="178">
        <f>M108</f>
        <v>2100</v>
      </c>
    </row>
    <row r="108" spans="1:13">
      <c r="A108" s="62"/>
      <c r="B108" s="64"/>
      <c r="C108" s="64"/>
      <c r="D108" s="64"/>
      <c r="E108" s="66"/>
      <c r="F108" s="217"/>
      <c r="G108" s="322"/>
      <c r="H108" s="106"/>
      <c r="I108" s="218"/>
      <c r="J108" s="150"/>
      <c r="K108" s="206" t="s">
        <v>357</v>
      </c>
      <c r="L108" s="189" t="s">
        <v>0</v>
      </c>
      <c r="M108" s="181">
        <v>2100</v>
      </c>
    </row>
    <row r="109" spans="1:13">
      <c r="A109" s="10"/>
      <c r="B109" s="6"/>
      <c r="C109" s="237"/>
      <c r="D109" s="237"/>
      <c r="E109" s="123" t="s">
        <v>289</v>
      </c>
      <c r="F109" s="124"/>
      <c r="G109" s="125"/>
      <c r="H109" s="89">
        <f>H110</f>
        <v>19597</v>
      </c>
      <c r="I109" s="89">
        <v>19597</v>
      </c>
      <c r="J109" s="90">
        <f>H109-I109</f>
        <v>0</v>
      </c>
      <c r="K109" s="84"/>
      <c r="L109" s="91"/>
      <c r="M109" s="228"/>
    </row>
    <row r="110" spans="1:13">
      <c r="A110" s="62"/>
      <c r="B110" s="64"/>
      <c r="C110" s="64"/>
      <c r="D110" s="64"/>
      <c r="E110" s="64"/>
      <c r="F110" s="130" t="s">
        <v>290</v>
      </c>
      <c r="G110" s="134"/>
      <c r="H110" s="71">
        <f>H111</f>
        <v>19597</v>
      </c>
      <c r="I110" s="71">
        <v>19597</v>
      </c>
      <c r="J110" s="96">
        <f>H110-I110</f>
        <v>0</v>
      </c>
      <c r="K110" s="138"/>
      <c r="L110" s="35"/>
      <c r="M110" s="229"/>
    </row>
    <row r="111" spans="1:13">
      <c r="A111" s="62"/>
      <c r="B111" s="64"/>
      <c r="C111" s="64"/>
      <c r="D111" s="64"/>
      <c r="E111" s="64"/>
      <c r="F111" s="137"/>
      <c r="G111" s="64" t="s">
        <v>291</v>
      </c>
      <c r="H111" s="75">
        <f>SUM(M111,M117,M122)</f>
        <v>19597</v>
      </c>
      <c r="I111" s="75">
        <v>19597</v>
      </c>
      <c r="J111" s="45">
        <f>H111-I111</f>
        <v>0</v>
      </c>
      <c r="K111" s="33" t="s">
        <v>292</v>
      </c>
      <c r="L111" s="36"/>
      <c r="M111" s="209">
        <f>SUM(M112:M116)</f>
        <v>10942</v>
      </c>
    </row>
    <row r="112" spans="1:13">
      <c r="A112" s="53"/>
      <c r="B112" s="55"/>
      <c r="C112" s="64"/>
      <c r="D112" s="64"/>
      <c r="E112" s="64"/>
      <c r="F112" s="214"/>
      <c r="G112" s="54"/>
      <c r="H112" s="98"/>
      <c r="I112" s="98"/>
      <c r="J112" s="47"/>
      <c r="K112" s="204" t="s">
        <v>518</v>
      </c>
      <c r="L112" s="187" t="s">
        <v>0</v>
      </c>
      <c r="M112" s="175">
        <v>4573</v>
      </c>
    </row>
    <row r="113" spans="1:13">
      <c r="A113" s="53"/>
      <c r="B113" s="55"/>
      <c r="C113" s="64"/>
      <c r="D113" s="64"/>
      <c r="E113" s="64"/>
      <c r="F113" s="214"/>
      <c r="G113" s="54"/>
      <c r="H113" s="98"/>
      <c r="I113" s="98"/>
      <c r="J113" s="47"/>
      <c r="K113" s="204" t="s">
        <v>519</v>
      </c>
      <c r="L113" s="187" t="s">
        <v>0</v>
      </c>
      <c r="M113" s="175">
        <v>3659</v>
      </c>
    </row>
    <row r="114" spans="1:13">
      <c r="A114" s="53"/>
      <c r="B114" s="55"/>
      <c r="C114" s="64"/>
      <c r="D114" s="64"/>
      <c r="E114" s="64"/>
      <c r="F114" s="214"/>
      <c r="G114" s="54"/>
      <c r="H114" s="98"/>
      <c r="I114" s="98"/>
      <c r="J114" s="47"/>
      <c r="K114" s="204" t="s">
        <v>520</v>
      </c>
      <c r="L114" s="187" t="s">
        <v>0</v>
      </c>
      <c r="M114" s="175">
        <v>1220</v>
      </c>
    </row>
    <row r="115" spans="1:13">
      <c r="A115" s="53"/>
      <c r="B115" s="55"/>
      <c r="C115" s="64"/>
      <c r="D115" s="64"/>
      <c r="E115" s="64"/>
      <c r="F115" s="214"/>
      <c r="G115" s="54"/>
      <c r="H115" s="98"/>
      <c r="I115" s="98"/>
      <c r="J115" s="47"/>
      <c r="K115" s="204" t="s">
        <v>521</v>
      </c>
      <c r="L115" s="187" t="s">
        <v>0</v>
      </c>
      <c r="M115" s="175">
        <v>1017</v>
      </c>
    </row>
    <row r="116" spans="1:13">
      <c r="A116" s="53"/>
      <c r="B116" s="55"/>
      <c r="C116" s="64"/>
      <c r="D116" s="64"/>
      <c r="E116" s="64"/>
      <c r="F116" s="214"/>
      <c r="G116" s="54"/>
      <c r="H116" s="98"/>
      <c r="I116" s="98"/>
      <c r="J116" s="47"/>
      <c r="K116" s="204" t="s">
        <v>522</v>
      </c>
      <c r="L116" s="187" t="s">
        <v>0</v>
      </c>
      <c r="M116" s="175">
        <v>473</v>
      </c>
    </row>
    <row r="117" spans="1:13">
      <c r="A117" s="53"/>
      <c r="B117" s="55"/>
      <c r="C117" s="64"/>
      <c r="D117" s="64"/>
      <c r="E117" s="64"/>
      <c r="F117" s="214"/>
      <c r="G117" s="54"/>
      <c r="H117" s="98"/>
      <c r="I117" s="98"/>
      <c r="J117" s="47"/>
      <c r="K117" s="203" t="s">
        <v>293</v>
      </c>
      <c r="L117" s="49"/>
      <c r="M117" s="178">
        <f>SUM(M118:M121)</f>
        <v>5263</v>
      </c>
    </row>
    <row r="118" spans="1:13">
      <c r="A118" s="53"/>
      <c r="B118" s="55"/>
      <c r="C118" s="64"/>
      <c r="D118" s="64"/>
      <c r="E118" s="64"/>
      <c r="F118" s="214"/>
      <c r="G118" s="54"/>
      <c r="H118" s="98"/>
      <c r="I118" s="98"/>
      <c r="J118" s="47"/>
      <c r="K118" s="204" t="s">
        <v>295</v>
      </c>
      <c r="L118" s="187" t="s">
        <v>0</v>
      </c>
      <c r="M118" s="175">
        <v>3024</v>
      </c>
    </row>
    <row r="119" spans="1:13">
      <c r="A119" s="53"/>
      <c r="B119" s="55"/>
      <c r="C119" s="64"/>
      <c r="D119" s="64"/>
      <c r="E119" s="64"/>
      <c r="F119" s="214"/>
      <c r="G119" s="54"/>
      <c r="H119" s="98"/>
      <c r="I119" s="98"/>
      <c r="J119" s="47"/>
      <c r="K119" s="204" t="s">
        <v>296</v>
      </c>
      <c r="L119" s="187" t="s">
        <v>0</v>
      </c>
      <c r="M119" s="175">
        <v>1008</v>
      </c>
    </row>
    <row r="120" spans="1:13">
      <c r="A120" s="53"/>
      <c r="B120" s="55"/>
      <c r="C120" s="64"/>
      <c r="D120" s="64"/>
      <c r="E120" s="64"/>
      <c r="F120" s="214"/>
      <c r="G120" s="54"/>
      <c r="H120" s="98"/>
      <c r="I120" s="98"/>
      <c r="J120" s="47"/>
      <c r="K120" s="204" t="s">
        <v>297</v>
      </c>
      <c r="L120" s="187" t="s">
        <v>0</v>
      </c>
      <c r="M120" s="175">
        <v>840</v>
      </c>
    </row>
    <row r="121" spans="1:13">
      <c r="A121" s="53"/>
      <c r="B121" s="55"/>
      <c r="C121" s="64"/>
      <c r="D121" s="64"/>
      <c r="E121" s="64"/>
      <c r="F121" s="214"/>
      <c r="G121" s="54"/>
      <c r="H121" s="98"/>
      <c r="I121" s="98"/>
      <c r="J121" s="47"/>
      <c r="K121" s="204" t="s">
        <v>298</v>
      </c>
      <c r="L121" s="187" t="s">
        <v>495</v>
      </c>
      <c r="M121" s="175">
        <v>391</v>
      </c>
    </row>
    <row r="122" spans="1:13">
      <c r="A122" s="53"/>
      <c r="B122" s="55"/>
      <c r="C122" s="64"/>
      <c r="D122" s="64"/>
      <c r="E122" s="64"/>
      <c r="F122" s="214"/>
      <c r="G122" s="54"/>
      <c r="H122" s="98"/>
      <c r="I122" s="98"/>
      <c r="J122" s="47"/>
      <c r="K122" s="203" t="s">
        <v>294</v>
      </c>
      <c r="L122" s="49"/>
      <c r="M122" s="178">
        <f>M123</f>
        <v>3392</v>
      </c>
    </row>
    <row r="123" spans="1:13" ht="17.25" thickBot="1">
      <c r="A123" s="219"/>
      <c r="B123" s="220"/>
      <c r="C123" s="68"/>
      <c r="D123" s="68"/>
      <c r="E123" s="68"/>
      <c r="F123" s="221"/>
      <c r="G123" s="222"/>
      <c r="H123" s="201"/>
      <c r="I123" s="201"/>
      <c r="J123" s="223"/>
      <c r="K123" s="224" t="s">
        <v>302</v>
      </c>
      <c r="L123" s="225" t="s">
        <v>0</v>
      </c>
      <c r="M123" s="235">
        <v>3392</v>
      </c>
    </row>
    <row r="131" spans="12:13">
      <c r="L131" s="230"/>
      <c r="M131"/>
    </row>
    <row r="132" spans="12:13">
      <c r="L132" s="230"/>
      <c r="M132"/>
    </row>
    <row r="133" spans="12:13">
      <c r="L133" s="230"/>
      <c r="M133"/>
    </row>
    <row r="134" spans="12:13">
      <c r="L134" s="230"/>
      <c r="M134"/>
    </row>
    <row r="135" spans="12:13">
      <c r="L135" s="230"/>
      <c r="M135"/>
    </row>
    <row r="136" spans="12:13">
      <c r="L136" s="230"/>
      <c r="M136"/>
    </row>
    <row r="137" spans="12:13">
      <c r="L137" s="230"/>
      <c r="M137"/>
    </row>
    <row r="138" spans="12:13">
      <c r="L138" s="230"/>
      <c r="M138"/>
    </row>
    <row r="139" spans="12:13">
      <c r="L139" s="230"/>
      <c r="M139"/>
    </row>
    <row r="140" spans="12:13">
      <c r="L140" s="230"/>
      <c r="M140"/>
    </row>
    <row r="141" spans="12:13">
      <c r="L141" s="230"/>
      <c r="M141"/>
    </row>
    <row r="142" spans="12:13">
      <c r="L142" s="230"/>
      <c r="M142"/>
    </row>
    <row r="143" spans="12:13">
      <c r="L143" s="230"/>
      <c r="M143"/>
    </row>
    <row r="144" spans="12:13">
      <c r="L144" s="230"/>
      <c r="M144"/>
    </row>
    <row r="145" spans="12:13">
      <c r="L145" s="230"/>
      <c r="M145"/>
    </row>
    <row r="146" spans="12:13">
      <c r="L146" s="230"/>
      <c r="M146"/>
    </row>
    <row r="147" spans="12:13">
      <c r="L147" s="230"/>
      <c r="M147"/>
    </row>
  </sheetData>
  <autoFilter ref="A3:M123">
    <filterColumn colId="10" showButton="0"/>
    <filterColumn colId="11" showButton="0"/>
  </autoFilter>
  <mergeCells count="8"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2:J3">
    <cfRule type="containsText" dxfId="1691" priority="595" operator="containsText" text="허하나로">
      <formula>NOT(ISERROR(SEARCH("허하나로",H764)))</formula>
    </cfRule>
    <cfRule type="containsText" dxfId="1690" priority="596" operator="containsText" text="한별">
      <formula>NOT(ISERROR(SEARCH("한별",H764)))</formula>
    </cfRule>
    <cfRule type="containsText" dxfId="1689" priority="597" operator="containsText" text="정홍조">
      <formula>NOT(ISERROR(SEARCH("정홍조",H764)))</formula>
    </cfRule>
    <cfRule type="containsText" dxfId="1688" priority="598" operator="containsText" text="김지윤">
      <formula>NOT(ISERROR(SEARCH("김지윤",H764)))</formula>
    </cfRule>
    <cfRule type="containsText" dxfId="1687" priority="599" operator="containsText" text="전준영">
      <formula>NOT(ISERROR(SEARCH("전준영",H764)))</formula>
    </cfRule>
    <cfRule type="containsText" dxfId="1686" priority="600" operator="containsText" text="차재성">
      <formula>NOT(ISERROR(SEARCH("차재성",H764)))</formula>
    </cfRule>
  </conditionalFormatting>
  <conditionalFormatting sqref="J6:J7">
    <cfRule type="containsText" dxfId="1685" priority="589" operator="containsText" text="허하나로">
      <formula>NOT(ISERROR(SEARCH("허하나로",H762)))</formula>
    </cfRule>
    <cfRule type="containsText" dxfId="1684" priority="590" operator="containsText" text="한별">
      <formula>NOT(ISERROR(SEARCH("한별",H762)))</formula>
    </cfRule>
    <cfRule type="containsText" dxfId="1683" priority="591" operator="containsText" text="정홍조">
      <formula>NOT(ISERROR(SEARCH("정홍조",H762)))</formula>
    </cfRule>
    <cfRule type="containsText" dxfId="1682" priority="592" operator="containsText" text="김지윤">
      <formula>NOT(ISERROR(SEARCH("김지윤",H762)))</formula>
    </cfRule>
    <cfRule type="containsText" dxfId="1681" priority="593" operator="containsText" text="전준영">
      <formula>NOT(ISERROR(SEARCH("전준영",H762)))</formula>
    </cfRule>
    <cfRule type="containsText" dxfId="1680" priority="594" operator="containsText" text="차재성">
      <formula>NOT(ISERROR(SEARCH("차재성",H762)))</formula>
    </cfRule>
  </conditionalFormatting>
  <conditionalFormatting sqref="J5">
    <cfRule type="containsText" dxfId="1679" priority="583" operator="containsText" text="허하나로">
      <formula>NOT(ISERROR(SEARCH("허하나로",H761)))</formula>
    </cfRule>
    <cfRule type="containsText" dxfId="1678" priority="584" operator="containsText" text="한별">
      <formula>NOT(ISERROR(SEARCH("한별",H761)))</formula>
    </cfRule>
    <cfRule type="containsText" dxfId="1677" priority="585" operator="containsText" text="정홍조">
      <formula>NOT(ISERROR(SEARCH("정홍조",H761)))</formula>
    </cfRule>
    <cfRule type="containsText" dxfId="1676" priority="586" operator="containsText" text="김지윤">
      <formula>NOT(ISERROR(SEARCH("김지윤",H761)))</formula>
    </cfRule>
    <cfRule type="containsText" dxfId="1675" priority="587" operator="containsText" text="전준영">
      <formula>NOT(ISERROR(SEARCH("전준영",H761)))</formula>
    </cfRule>
    <cfRule type="containsText" dxfId="1674" priority="588" operator="containsText" text="차재성">
      <formula>NOT(ISERROR(SEARCH("차재성",H761)))</formula>
    </cfRule>
  </conditionalFormatting>
  <conditionalFormatting sqref="J30">
    <cfRule type="containsText" dxfId="1673" priority="571" operator="containsText" text="허하나로">
      <formula>NOT(ISERROR(SEARCH("허하나로",H895)))</formula>
    </cfRule>
    <cfRule type="containsText" dxfId="1672" priority="572" operator="containsText" text="한별">
      <formula>NOT(ISERROR(SEARCH("한별",H895)))</formula>
    </cfRule>
    <cfRule type="containsText" dxfId="1671" priority="573" operator="containsText" text="정홍조">
      <formula>NOT(ISERROR(SEARCH("정홍조",H895)))</formula>
    </cfRule>
    <cfRule type="containsText" dxfId="1670" priority="574" operator="containsText" text="김지윤">
      <formula>NOT(ISERROR(SEARCH("김지윤",H895)))</formula>
    </cfRule>
    <cfRule type="containsText" dxfId="1669" priority="575" operator="containsText" text="전준영">
      <formula>NOT(ISERROR(SEARCH("전준영",H895)))</formula>
    </cfRule>
    <cfRule type="containsText" dxfId="1668" priority="576" operator="containsText" text="차재성">
      <formula>NOT(ISERROR(SEARCH("차재성",H895)))</formula>
    </cfRule>
  </conditionalFormatting>
  <conditionalFormatting sqref="J66:J68">
    <cfRule type="containsText" dxfId="1667" priority="565" operator="containsText" text="허하나로">
      <formula>NOT(ISERROR(SEARCH("허하나로",H1105)))</formula>
    </cfRule>
    <cfRule type="containsText" dxfId="1666" priority="566" operator="containsText" text="한별">
      <formula>NOT(ISERROR(SEARCH("한별",H1105)))</formula>
    </cfRule>
    <cfRule type="containsText" dxfId="1665" priority="567" operator="containsText" text="정홍조">
      <formula>NOT(ISERROR(SEARCH("정홍조",H1105)))</formula>
    </cfRule>
    <cfRule type="containsText" dxfId="1664" priority="568" operator="containsText" text="김지윤">
      <formula>NOT(ISERROR(SEARCH("김지윤",H1105)))</formula>
    </cfRule>
    <cfRule type="containsText" dxfId="1663" priority="569" operator="containsText" text="전준영">
      <formula>NOT(ISERROR(SEARCH("전준영",H1105)))</formula>
    </cfRule>
    <cfRule type="containsText" dxfId="1662" priority="570" operator="containsText" text="차재성">
      <formula>NOT(ISERROR(SEARCH("차재성",H1105)))</formula>
    </cfRule>
  </conditionalFormatting>
  <conditionalFormatting sqref="J69">
    <cfRule type="containsText" dxfId="1661" priority="559" operator="containsText" text="허하나로">
      <formula>NOT(ISERROR(SEARCH("허하나로",H1094)))</formula>
    </cfRule>
    <cfRule type="containsText" dxfId="1660" priority="560" operator="containsText" text="한별">
      <formula>NOT(ISERROR(SEARCH("한별",H1094)))</formula>
    </cfRule>
    <cfRule type="containsText" dxfId="1659" priority="561" operator="containsText" text="정홍조">
      <formula>NOT(ISERROR(SEARCH("정홍조",H1094)))</formula>
    </cfRule>
    <cfRule type="containsText" dxfId="1658" priority="562" operator="containsText" text="김지윤">
      <formula>NOT(ISERROR(SEARCH("김지윤",H1094)))</formula>
    </cfRule>
    <cfRule type="containsText" dxfId="1657" priority="563" operator="containsText" text="전준영">
      <formula>NOT(ISERROR(SEARCH("전준영",H1094)))</formula>
    </cfRule>
    <cfRule type="containsText" dxfId="1656" priority="564" operator="containsText" text="차재성">
      <formula>NOT(ISERROR(SEARCH("차재성",H1094)))</formula>
    </cfRule>
  </conditionalFormatting>
  <conditionalFormatting sqref="J32">
    <cfRule type="containsText" dxfId="1655" priority="601" operator="containsText" text="허하나로">
      <formula>NOT(ISERROR(SEARCH("허하나로",H1092)))</formula>
    </cfRule>
    <cfRule type="containsText" dxfId="1654" priority="602" operator="containsText" text="한별">
      <formula>NOT(ISERROR(SEARCH("한별",H1092)))</formula>
    </cfRule>
    <cfRule type="containsText" dxfId="1653" priority="603" operator="containsText" text="정홍조">
      <formula>NOT(ISERROR(SEARCH("정홍조",H1092)))</formula>
    </cfRule>
    <cfRule type="containsText" dxfId="1652" priority="604" operator="containsText" text="김지윤">
      <formula>NOT(ISERROR(SEARCH("김지윤",H1092)))</formula>
    </cfRule>
    <cfRule type="containsText" dxfId="1651" priority="605" operator="containsText" text="전준영">
      <formula>NOT(ISERROR(SEARCH("전준영",H1092)))</formula>
    </cfRule>
    <cfRule type="containsText" dxfId="1650" priority="606" operator="containsText" text="차재성">
      <formula>NOT(ISERROR(SEARCH("차재성",H1092)))</formula>
    </cfRule>
  </conditionalFormatting>
  <conditionalFormatting sqref="J14:J19">
    <cfRule type="containsText" dxfId="1649" priority="1843" operator="containsText" text="허하나로">
      <formula>NOT(ISERROR(SEARCH("허하나로",H1100)))</formula>
    </cfRule>
    <cfRule type="containsText" dxfId="1648" priority="1844" operator="containsText" text="한별">
      <formula>NOT(ISERROR(SEARCH("한별",H1100)))</formula>
    </cfRule>
    <cfRule type="containsText" dxfId="1647" priority="1845" operator="containsText" text="정홍조">
      <formula>NOT(ISERROR(SEARCH("정홍조",H1100)))</formula>
    </cfRule>
    <cfRule type="containsText" dxfId="1646" priority="1846" operator="containsText" text="김지윤">
      <formula>NOT(ISERROR(SEARCH("김지윤",H1100)))</formula>
    </cfRule>
    <cfRule type="containsText" dxfId="1645" priority="1847" operator="containsText" text="전준영">
      <formula>NOT(ISERROR(SEARCH("전준영",H1100)))</formula>
    </cfRule>
    <cfRule type="containsText" dxfId="1644" priority="1848" operator="containsText" text="차재성">
      <formula>NOT(ISERROR(SEARCH("차재성",H1100)))</formula>
    </cfRule>
  </conditionalFormatting>
  <conditionalFormatting sqref="J24:J25">
    <cfRule type="containsText" dxfId="1643" priority="1849" operator="containsText" text="허하나로">
      <formula>NOT(ISERROR(SEARCH("허하나로",H1105)))</formula>
    </cfRule>
    <cfRule type="containsText" dxfId="1642" priority="1850" operator="containsText" text="한별">
      <formula>NOT(ISERROR(SEARCH("한별",H1105)))</formula>
    </cfRule>
    <cfRule type="containsText" dxfId="1641" priority="1851" operator="containsText" text="정홍조">
      <formula>NOT(ISERROR(SEARCH("정홍조",H1105)))</formula>
    </cfRule>
    <cfRule type="containsText" dxfId="1640" priority="1852" operator="containsText" text="김지윤">
      <formula>NOT(ISERROR(SEARCH("김지윤",H1105)))</formula>
    </cfRule>
    <cfRule type="containsText" dxfId="1639" priority="1853" operator="containsText" text="전준영">
      <formula>NOT(ISERROR(SEARCH("전준영",H1105)))</formula>
    </cfRule>
    <cfRule type="containsText" dxfId="1638" priority="1854" operator="containsText" text="차재성">
      <formula>NOT(ISERROR(SEARCH("차재성",H1105)))</formula>
    </cfRule>
  </conditionalFormatting>
  <conditionalFormatting sqref="J38">
    <cfRule type="containsText" dxfId="1637" priority="1861" operator="containsText" text="허하나로">
      <formula>NOT(ISERROR(SEARCH("허하나로",H1105)))</formula>
    </cfRule>
    <cfRule type="containsText" dxfId="1636" priority="1862" operator="containsText" text="한별">
      <formula>NOT(ISERROR(SEARCH("한별",H1105)))</formula>
    </cfRule>
    <cfRule type="containsText" dxfId="1635" priority="1863" operator="containsText" text="정홍조">
      <formula>NOT(ISERROR(SEARCH("정홍조",H1105)))</formula>
    </cfRule>
    <cfRule type="containsText" dxfId="1634" priority="1864" operator="containsText" text="김지윤">
      <formula>NOT(ISERROR(SEARCH("김지윤",H1105)))</formula>
    </cfRule>
    <cfRule type="containsText" dxfId="1633" priority="1865" operator="containsText" text="전준영">
      <formula>NOT(ISERROR(SEARCH("전준영",H1105)))</formula>
    </cfRule>
    <cfRule type="containsText" dxfId="1632" priority="1866" operator="containsText" text="차재성">
      <formula>NOT(ISERROR(SEARCH("차재성",H1105)))</formula>
    </cfRule>
  </conditionalFormatting>
  <conditionalFormatting sqref="J28">
    <cfRule type="containsText" dxfId="1631" priority="487" operator="containsText" text="허하나로">
      <formula>NOT(ISERROR(SEARCH("허하나로",H1104)))</formula>
    </cfRule>
    <cfRule type="containsText" dxfId="1630" priority="488" operator="containsText" text="한별">
      <formula>NOT(ISERROR(SEARCH("한별",H1104)))</formula>
    </cfRule>
    <cfRule type="containsText" dxfId="1629" priority="489" operator="containsText" text="정홍조">
      <formula>NOT(ISERROR(SEARCH("정홍조",H1104)))</formula>
    </cfRule>
    <cfRule type="containsText" dxfId="1628" priority="490" operator="containsText" text="김지윤">
      <formula>NOT(ISERROR(SEARCH("김지윤",H1104)))</formula>
    </cfRule>
    <cfRule type="containsText" dxfId="1627" priority="491" operator="containsText" text="전준영">
      <formula>NOT(ISERROR(SEARCH("전준영",H1104)))</formula>
    </cfRule>
    <cfRule type="containsText" dxfId="1626" priority="492" operator="containsText" text="차재성">
      <formula>NOT(ISERROR(SEARCH("차재성",H1104)))</formula>
    </cfRule>
  </conditionalFormatting>
  <conditionalFormatting sqref="J29">
    <cfRule type="containsText" dxfId="1625" priority="523" operator="containsText" text="허하나로">
      <formula>NOT(ISERROR(SEARCH("허하나로",H1104)))</formula>
    </cfRule>
    <cfRule type="containsText" dxfId="1624" priority="524" operator="containsText" text="한별">
      <formula>NOT(ISERROR(SEARCH("한별",H1104)))</formula>
    </cfRule>
    <cfRule type="containsText" dxfId="1623" priority="525" operator="containsText" text="정홍조">
      <formula>NOT(ISERROR(SEARCH("정홍조",H1104)))</formula>
    </cfRule>
    <cfRule type="containsText" dxfId="1622" priority="526" operator="containsText" text="김지윤">
      <formula>NOT(ISERROR(SEARCH("김지윤",H1104)))</formula>
    </cfRule>
    <cfRule type="containsText" dxfId="1621" priority="527" operator="containsText" text="전준영">
      <formula>NOT(ISERROR(SEARCH("전준영",H1104)))</formula>
    </cfRule>
    <cfRule type="containsText" dxfId="1620" priority="528" operator="containsText" text="차재성">
      <formula>NOT(ISERROR(SEARCH("차재성",H1104)))</formula>
    </cfRule>
  </conditionalFormatting>
  <conditionalFormatting sqref="J22">
    <cfRule type="containsText" dxfId="1619" priority="1945" operator="containsText" text="허하나로">
      <formula>NOT(ISERROR(SEARCH("허하나로",H1105)))</formula>
    </cfRule>
    <cfRule type="containsText" dxfId="1618" priority="1946" operator="containsText" text="한별">
      <formula>NOT(ISERROR(SEARCH("한별",H1105)))</formula>
    </cfRule>
    <cfRule type="containsText" dxfId="1617" priority="1947" operator="containsText" text="정홍조">
      <formula>NOT(ISERROR(SEARCH("정홍조",H1105)))</formula>
    </cfRule>
    <cfRule type="containsText" dxfId="1616" priority="1948" operator="containsText" text="김지윤">
      <formula>NOT(ISERROR(SEARCH("김지윤",H1105)))</formula>
    </cfRule>
    <cfRule type="containsText" dxfId="1615" priority="1949" operator="containsText" text="전준영">
      <formula>NOT(ISERROR(SEARCH("전준영",H1105)))</formula>
    </cfRule>
    <cfRule type="containsText" dxfId="1614" priority="1950" operator="containsText" text="차재성">
      <formula>NOT(ISERROR(SEARCH("차재성",H1105)))</formula>
    </cfRule>
  </conditionalFormatting>
  <conditionalFormatting sqref="J21">
    <cfRule type="containsText" dxfId="1613" priority="1957" operator="containsText" text="허하나로">
      <formula>NOT(ISERROR(SEARCH("허하나로",H1105)))</formula>
    </cfRule>
    <cfRule type="containsText" dxfId="1612" priority="1958" operator="containsText" text="한별">
      <formula>NOT(ISERROR(SEARCH("한별",H1105)))</formula>
    </cfRule>
    <cfRule type="containsText" dxfId="1611" priority="1959" operator="containsText" text="정홍조">
      <formula>NOT(ISERROR(SEARCH("정홍조",H1105)))</formula>
    </cfRule>
    <cfRule type="containsText" dxfId="1610" priority="1960" operator="containsText" text="김지윤">
      <formula>NOT(ISERROR(SEARCH("김지윤",H1105)))</formula>
    </cfRule>
    <cfRule type="containsText" dxfId="1609" priority="1961" operator="containsText" text="전준영">
      <formula>NOT(ISERROR(SEARCH("전준영",H1105)))</formula>
    </cfRule>
    <cfRule type="containsText" dxfId="1608" priority="1962" operator="containsText" text="차재성">
      <formula>NOT(ISERROR(SEARCH("차재성",H1105)))</formula>
    </cfRule>
  </conditionalFormatting>
  <conditionalFormatting sqref="J20">
    <cfRule type="containsText" dxfId="1607" priority="1969" operator="containsText" text="허하나로">
      <formula>NOT(ISERROR(SEARCH("허하나로",H1105)))</formula>
    </cfRule>
    <cfRule type="containsText" dxfId="1606" priority="1970" operator="containsText" text="한별">
      <formula>NOT(ISERROR(SEARCH("한별",H1105)))</formula>
    </cfRule>
    <cfRule type="containsText" dxfId="1605" priority="1971" operator="containsText" text="정홍조">
      <formula>NOT(ISERROR(SEARCH("정홍조",H1105)))</formula>
    </cfRule>
    <cfRule type="containsText" dxfId="1604" priority="1972" operator="containsText" text="김지윤">
      <formula>NOT(ISERROR(SEARCH("김지윤",H1105)))</formula>
    </cfRule>
    <cfRule type="containsText" dxfId="1603" priority="1973" operator="containsText" text="전준영">
      <formula>NOT(ISERROR(SEARCH("전준영",H1105)))</formula>
    </cfRule>
    <cfRule type="containsText" dxfId="1602" priority="1974" operator="containsText" text="차재성">
      <formula>NOT(ISERROR(SEARCH("차재성",H1105)))</formula>
    </cfRule>
  </conditionalFormatting>
  <conditionalFormatting sqref="J73">
    <cfRule type="containsText" dxfId="1601" priority="1975" operator="containsText" text="허하나로">
      <formula>NOT(ISERROR(SEARCH("허하나로",H1105)))</formula>
    </cfRule>
    <cfRule type="containsText" dxfId="1600" priority="1976" operator="containsText" text="한별">
      <formula>NOT(ISERROR(SEARCH("한별",H1105)))</formula>
    </cfRule>
    <cfRule type="containsText" dxfId="1599" priority="1977" operator="containsText" text="정홍조">
      <formula>NOT(ISERROR(SEARCH("정홍조",H1105)))</formula>
    </cfRule>
    <cfRule type="containsText" dxfId="1598" priority="1978" operator="containsText" text="김지윤">
      <formula>NOT(ISERROR(SEARCH("김지윤",H1105)))</formula>
    </cfRule>
    <cfRule type="containsText" dxfId="1597" priority="1979" operator="containsText" text="전준영">
      <formula>NOT(ISERROR(SEARCH("전준영",H1105)))</formula>
    </cfRule>
    <cfRule type="containsText" dxfId="1596" priority="1980" operator="containsText" text="차재성">
      <formula>NOT(ISERROR(SEARCH("차재성",H1105)))</formula>
    </cfRule>
  </conditionalFormatting>
  <conditionalFormatting sqref="J65">
    <cfRule type="containsText" dxfId="1595" priority="1993" operator="containsText" text="허하나로">
      <formula>NOT(ISERROR(SEARCH("허하나로",H1106)))</formula>
    </cfRule>
    <cfRule type="containsText" dxfId="1594" priority="1994" operator="containsText" text="한별">
      <formula>NOT(ISERROR(SEARCH("한별",H1106)))</formula>
    </cfRule>
    <cfRule type="containsText" dxfId="1593" priority="1995" operator="containsText" text="정홍조">
      <formula>NOT(ISERROR(SEARCH("정홍조",H1106)))</formula>
    </cfRule>
    <cfRule type="containsText" dxfId="1592" priority="1996" operator="containsText" text="김지윤">
      <formula>NOT(ISERROR(SEARCH("김지윤",H1106)))</formula>
    </cfRule>
    <cfRule type="containsText" dxfId="1591" priority="1997" operator="containsText" text="전준영">
      <formula>NOT(ISERROR(SEARCH("전준영",H1106)))</formula>
    </cfRule>
    <cfRule type="containsText" dxfId="1590" priority="1998" operator="containsText" text="차재성">
      <formula>NOT(ISERROR(SEARCH("차재성",H1106)))</formula>
    </cfRule>
  </conditionalFormatting>
  <conditionalFormatting sqref="J62:J63">
    <cfRule type="containsText" dxfId="1589" priority="2011" operator="containsText" text="허하나로">
      <formula>NOT(ISERROR(SEARCH("허하나로",H1106)))</formula>
    </cfRule>
    <cfRule type="containsText" dxfId="1588" priority="2012" operator="containsText" text="한별">
      <formula>NOT(ISERROR(SEARCH("한별",H1106)))</formula>
    </cfRule>
    <cfRule type="containsText" dxfId="1587" priority="2013" operator="containsText" text="정홍조">
      <formula>NOT(ISERROR(SEARCH("정홍조",H1106)))</formula>
    </cfRule>
    <cfRule type="containsText" dxfId="1586" priority="2014" operator="containsText" text="김지윤">
      <formula>NOT(ISERROR(SEARCH("김지윤",H1106)))</formula>
    </cfRule>
    <cfRule type="containsText" dxfId="1585" priority="2015" operator="containsText" text="전준영">
      <formula>NOT(ISERROR(SEARCH("전준영",H1106)))</formula>
    </cfRule>
    <cfRule type="containsText" dxfId="1584" priority="2016" operator="containsText" text="차재성">
      <formula>NOT(ISERROR(SEARCH("차재성",H1106)))</formula>
    </cfRule>
  </conditionalFormatting>
  <conditionalFormatting sqref="J54">
    <cfRule type="containsText" dxfId="1583" priority="2029" operator="containsText" text="허하나로">
      <formula>NOT(ISERROR(SEARCH("허하나로",H1105)))</formula>
    </cfRule>
    <cfRule type="containsText" dxfId="1582" priority="2030" operator="containsText" text="한별">
      <formula>NOT(ISERROR(SEARCH("한별",H1105)))</formula>
    </cfRule>
    <cfRule type="containsText" dxfId="1581" priority="2031" operator="containsText" text="정홍조">
      <formula>NOT(ISERROR(SEARCH("정홍조",H1105)))</formula>
    </cfRule>
    <cfRule type="containsText" dxfId="1580" priority="2032" operator="containsText" text="김지윤">
      <formula>NOT(ISERROR(SEARCH("김지윤",H1105)))</formula>
    </cfRule>
    <cfRule type="containsText" dxfId="1579" priority="2033" operator="containsText" text="전준영">
      <formula>NOT(ISERROR(SEARCH("전준영",H1105)))</formula>
    </cfRule>
    <cfRule type="containsText" dxfId="1578" priority="2034" operator="containsText" text="차재성">
      <formula>NOT(ISERROR(SEARCH("차재성",H1105)))</formula>
    </cfRule>
  </conditionalFormatting>
  <conditionalFormatting sqref="J47">
    <cfRule type="containsText" dxfId="1577" priority="2155" operator="containsText" text="허하나로">
      <formula>NOT(ISERROR(SEARCH("허하나로",H1114)))</formula>
    </cfRule>
    <cfRule type="containsText" dxfId="1576" priority="2156" operator="containsText" text="한별">
      <formula>NOT(ISERROR(SEARCH("한별",H1114)))</formula>
    </cfRule>
    <cfRule type="containsText" dxfId="1575" priority="2157" operator="containsText" text="정홍조">
      <formula>NOT(ISERROR(SEARCH("정홍조",H1114)))</formula>
    </cfRule>
    <cfRule type="containsText" dxfId="1574" priority="2158" operator="containsText" text="김지윤">
      <formula>NOT(ISERROR(SEARCH("김지윤",H1114)))</formula>
    </cfRule>
    <cfRule type="containsText" dxfId="1573" priority="2159" operator="containsText" text="전준영">
      <formula>NOT(ISERROR(SEARCH("전준영",H1114)))</formula>
    </cfRule>
    <cfRule type="containsText" dxfId="1572" priority="2160" operator="containsText" text="차재성">
      <formula>NOT(ISERROR(SEARCH("차재성",H1114)))</formula>
    </cfRule>
  </conditionalFormatting>
  <conditionalFormatting sqref="J51">
    <cfRule type="containsText" dxfId="1571" priority="481" operator="containsText" text="허하나로">
      <formula>NOT(ISERROR(SEARCH("허하나로",H1099)))</formula>
    </cfRule>
    <cfRule type="containsText" dxfId="1570" priority="482" operator="containsText" text="한별">
      <formula>NOT(ISERROR(SEARCH("한별",H1099)))</formula>
    </cfRule>
    <cfRule type="containsText" dxfId="1569" priority="483" operator="containsText" text="정홍조">
      <formula>NOT(ISERROR(SEARCH("정홍조",H1099)))</formula>
    </cfRule>
    <cfRule type="containsText" dxfId="1568" priority="484" operator="containsText" text="김지윤">
      <formula>NOT(ISERROR(SEARCH("김지윤",H1099)))</formula>
    </cfRule>
    <cfRule type="containsText" dxfId="1567" priority="485" operator="containsText" text="전준영">
      <formula>NOT(ISERROR(SEARCH("전준영",H1099)))</formula>
    </cfRule>
    <cfRule type="containsText" dxfId="1566" priority="486" operator="containsText" text="차재성">
      <formula>NOT(ISERROR(SEARCH("차재성",H1099)))</formula>
    </cfRule>
  </conditionalFormatting>
  <conditionalFormatting sqref="J52:J53">
    <cfRule type="containsText" dxfId="1565" priority="475" operator="containsText" text="허하나로">
      <formula>NOT(ISERROR(SEARCH("허하나로",H1128)))</formula>
    </cfRule>
    <cfRule type="containsText" dxfId="1564" priority="476" operator="containsText" text="한별">
      <formula>NOT(ISERROR(SEARCH("한별",H1128)))</formula>
    </cfRule>
    <cfRule type="containsText" dxfId="1563" priority="477" operator="containsText" text="정홍조">
      <formula>NOT(ISERROR(SEARCH("정홍조",H1128)))</formula>
    </cfRule>
    <cfRule type="containsText" dxfId="1562" priority="478" operator="containsText" text="김지윤">
      <formula>NOT(ISERROR(SEARCH("김지윤",H1128)))</formula>
    </cfRule>
    <cfRule type="containsText" dxfId="1561" priority="479" operator="containsText" text="전준영">
      <formula>NOT(ISERROR(SEARCH("전준영",H1128)))</formula>
    </cfRule>
    <cfRule type="containsText" dxfId="1560" priority="480" operator="containsText" text="차재성">
      <formula>NOT(ISERROR(SEARCH("차재성",H1128)))</formula>
    </cfRule>
  </conditionalFormatting>
  <conditionalFormatting sqref="J122">
    <cfRule type="containsText" dxfId="1559" priority="2173" operator="containsText" text="허하나로">
      <formula>NOT(ISERROR(SEARCH("허하나로",H1157)))</formula>
    </cfRule>
    <cfRule type="containsText" dxfId="1558" priority="2174" operator="containsText" text="한별">
      <formula>NOT(ISERROR(SEARCH("한별",H1157)))</formula>
    </cfRule>
    <cfRule type="containsText" dxfId="1557" priority="2175" operator="containsText" text="정홍조">
      <formula>NOT(ISERROR(SEARCH("정홍조",H1157)))</formula>
    </cfRule>
    <cfRule type="containsText" dxfId="1556" priority="2176" operator="containsText" text="김지윤">
      <formula>NOT(ISERROR(SEARCH("김지윤",H1157)))</formula>
    </cfRule>
    <cfRule type="containsText" dxfId="1555" priority="2177" operator="containsText" text="전준영">
      <formula>NOT(ISERROR(SEARCH("전준영",H1157)))</formula>
    </cfRule>
    <cfRule type="containsText" dxfId="1554" priority="2178" operator="containsText" text="차재성">
      <formula>NOT(ISERROR(SEARCH("차재성",H1157)))</formula>
    </cfRule>
  </conditionalFormatting>
  <conditionalFormatting sqref="J118:J119">
    <cfRule type="containsText" dxfId="1553" priority="2191" operator="containsText" text="허하나로">
      <formula>NOT(ISERROR(SEARCH("허하나로",H1156)))</formula>
    </cfRule>
    <cfRule type="containsText" dxfId="1552" priority="2192" operator="containsText" text="한별">
      <formula>NOT(ISERROR(SEARCH("한별",H1156)))</formula>
    </cfRule>
    <cfRule type="containsText" dxfId="1551" priority="2193" operator="containsText" text="정홍조">
      <formula>NOT(ISERROR(SEARCH("정홍조",H1156)))</formula>
    </cfRule>
    <cfRule type="containsText" dxfId="1550" priority="2194" operator="containsText" text="김지윤">
      <formula>NOT(ISERROR(SEARCH("김지윤",H1156)))</formula>
    </cfRule>
    <cfRule type="containsText" dxfId="1549" priority="2195" operator="containsText" text="전준영">
      <formula>NOT(ISERROR(SEARCH("전준영",H1156)))</formula>
    </cfRule>
    <cfRule type="containsText" dxfId="1548" priority="2196" operator="containsText" text="차재성">
      <formula>NOT(ISERROR(SEARCH("차재성",H1156)))</formula>
    </cfRule>
  </conditionalFormatting>
  <conditionalFormatting sqref="J59">
    <cfRule type="containsText" dxfId="1547" priority="2209" operator="containsText" text="허하나로">
      <formula>NOT(ISERROR(SEARCH("허하나로",H1106)))</formula>
    </cfRule>
    <cfRule type="containsText" dxfId="1546" priority="2210" operator="containsText" text="한별">
      <formula>NOT(ISERROR(SEARCH("한별",H1106)))</formula>
    </cfRule>
    <cfRule type="containsText" dxfId="1545" priority="2211" operator="containsText" text="정홍조">
      <formula>NOT(ISERROR(SEARCH("정홍조",H1106)))</formula>
    </cfRule>
    <cfRule type="containsText" dxfId="1544" priority="2212" operator="containsText" text="김지윤">
      <formula>NOT(ISERROR(SEARCH("김지윤",H1106)))</formula>
    </cfRule>
    <cfRule type="containsText" dxfId="1543" priority="2213" operator="containsText" text="전준영">
      <formula>NOT(ISERROR(SEARCH("전준영",H1106)))</formula>
    </cfRule>
    <cfRule type="containsText" dxfId="1542" priority="2214" operator="containsText" text="차재성">
      <formula>NOT(ISERROR(SEARCH("차재성",H1106)))</formula>
    </cfRule>
  </conditionalFormatting>
  <conditionalFormatting sqref="J58">
    <cfRule type="containsText" dxfId="1541" priority="2227" operator="containsText" text="허하나로">
      <formula>NOT(ISERROR(SEARCH("허하나로",H1106)))</formula>
    </cfRule>
    <cfRule type="containsText" dxfId="1540" priority="2228" operator="containsText" text="한별">
      <formula>NOT(ISERROR(SEARCH("한별",H1106)))</formula>
    </cfRule>
    <cfRule type="containsText" dxfId="1539" priority="2229" operator="containsText" text="정홍조">
      <formula>NOT(ISERROR(SEARCH("정홍조",H1106)))</formula>
    </cfRule>
    <cfRule type="containsText" dxfId="1538" priority="2230" operator="containsText" text="김지윤">
      <formula>NOT(ISERROR(SEARCH("김지윤",H1106)))</formula>
    </cfRule>
    <cfRule type="containsText" dxfId="1537" priority="2231" operator="containsText" text="전준영">
      <formula>NOT(ISERROR(SEARCH("전준영",H1106)))</formula>
    </cfRule>
    <cfRule type="containsText" dxfId="1536" priority="2232" operator="containsText" text="차재성">
      <formula>NOT(ISERROR(SEARCH("차재성",H1106)))</formula>
    </cfRule>
  </conditionalFormatting>
  <conditionalFormatting sqref="J57">
    <cfRule type="containsText" dxfId="1535" priority="2245" operator="containsText" text="허하나로">
      <formula>NOT(ISERROR(SEARCH("허하나로",H1106)))</formula>
    </cfRule>
    <cfRule type="containsText" dxfId="1534" priority="2246" operator="containsText" text="한별">
      <formula>NOT(ISERROR(SEARCH("한별",H1106)))</formula>
    </cfRule>
    <cfRule type="containsText" dxfId="1533" priority="2247" operator="containsText" text="정홍조">
      <formula>NOT(ISERROR(SEARCH("정홍조",H1106)))</formula>
    </cfRule>
    <cfRule type="containsText" dxfId="1532" priority="2248" operator="containsText" text="김지윤">
      <formula>NOT(ISERROR(SEARCH("김지윤",H1106)))</formula>
    </cfRule>
    <cfRule type="containsText" dxfId="1531" priority="2249" operator="containsText" text="전준영">
      <formula>NOT(ISERROR(SEARCH("전준영",H1106)))</formula>
    </cfRule>
    <cfRule type="containsText" dxfId="1530" priority="2250" operator="containsText" text="차재성">
      <formula>NOT(ISERROR(SEARCH("차재성",H1106)))</formula>
    </cfRule>
  </conditionalFormatting>
  <conditionalFormatting sqref="J55:J56">
    <cfRule type="containsText" dxfId="1529" priority="2263" operator="containsText" text="허하나로">
      <formula>NOT(ISERROR(SEARCH("허하나로",H1105)))</formula>
    </cfRule>
    <cfRule type="containsText" dxfId="1528" priority="2264" operator="containsText" text="한별">
      <formula>NOT(ISERROR(SEARCH("한별",H1105)))</formula>
    </cfRule>
    <cfRule type="containsText" dxfId="1527" priority="2265" operator="containsText" text="정홍조">
      <formula>NOT(ISERROR(SEARCH("정홍조",H1105)))</formula>
    </cfRule>
    <cfRule type="containsText" dxfId="1526" priority="2266" operator="containsText" text="김지윤">
      <formula>NOT(ISERROR(SEARCH("김지윤",H1105)))</formula>
    </cfRule>
    <cfRule type="containsText" dxfId="1525" priority="2267" operator="containsText" text="전준영">
      <formula>NOT(ISERROR(SEARCH("전준영",H1105)))</formula>
    </cfRule>
    <cfRule type="containsText" dxfId="1524" priority="2268" operator="containsText" text="차재성">
      <formula>NOT(ISERROR(SEARCH("차재성",H1105)))</formula>
    </cfRule>
  </conditionalFormatting>
  <conditionalFormatting sqref="J75">
    <cfRule type="containsText" dxfId="1523" priority="2269" operator="containsText" text="허하나로">
      <formula>NOT(ISERROR(SEARCH("허하나로",H1107)))</formula>
    </cfRule>
    <cfRule type="containsText" dxfId="1522" priority="2270" operator="containsText" text="한별">
      <formula>NOT(ISERROR(SEARCH("한별",H1107)))</formula>
    </cfRule>
    <cfRule type="containsText" dxfId="1521" priority="2271" operator="containsText" text="정홍조">
      <formula>NOT(ISERROR(SEARCH("정홍조",H1107)))</formula>
    </cfRule>
    <cfRule type="containsText" dxfId="1520" priority="2272" operator="containsText" text="김지윤">
      <formula>NOT(ISERROR(SEARCH("김지윤",H1107)))</formula>
    </cfRule>
    <cfRule type="containsText" dxfId="1519" priority="2273" operator="containsText" text="전준영">
      <formula>NOT(ISERROR(SEARCH("전준영",H1107)))</formula>
    </cfRule>
    <cfRule type="containsText" dxfId="1518" priority="2274" operator="containsText" text="차재성">
      <formula>NOT(ISERROR(SEARCH("차재성",H1107)))</formula>
    </cfRule>
  </conditionalFormatting>
  <conditionalFormatting sqref="J74">
    <cfRule type="containsText" dxfId="1517" priority="2299" operator="containsText" text="허하나로">
      <formula>NOT(ISERROR(SEARCH("허하나로",H1107)))</formula>
    </cfRule>
    <cfRule type="containsText" dxfId="1516" priority="2300" operator="containsText" text="한별">
      <formula>NOT(ISERROR(SEARCH("한별",H1107)))</formula>
    </cfRule>
    <cfRule type="containsText" dxfId="1515" priority="2301" operator="containsText" text="정홍조">
      <formula>NOT(ISERROR(SEARCH("정홍조",H1107)))</formula>
    </cfRule>
    <cfRule type="containsText" dxfId="1514" priority="2302" operator="containsText" text="김지윤">
      <formula>NOT(ISERROR(SEARCH("김지윤",H1107)))</formula>
    </cfRule>
    <cfRule type="containsText" dxfId="1513" priority="2303" operator="containsText" text="전준영">
      <formula>NOT(ISERROR(SEARCH("전준영",H1107)))</formula>
    </cfRule>
    <cfRule type="containsText" dxfId="1512" priority="2304" operator="containsText" text="차재성">
      <formula>NOT(ISERROR(SEARCH("차재성",H1107)))</formula>
    </cfRule>
  </conditionalFormatting>
  <conditionalFormatting sqref="L74">
    <cfRule type="containsText" dxfId="1511" priority="2311" operator="containsText" text="허하나로">
      <formula>NOT(ISERROR(SEARCH("허하나로",J1241)))</formula>
    </cfRule>
    <cfRule type="containsText" dxfId="1510" priority="2312" operator="containsText" text="한별">
      <formula>NOT(ISERROR(SEARCH("한별",J1241)))</formula>
    </cfRule>
    <cfRule type="containsText" dxfId="1509" priority="2313" operator="containsText" text="정홍조">
      <formula>NOT(ISERROR(SEARCH("정홍조",J1241)))</formula>
    </cfRule>
    <cfRule type="containsText" dxfId="1508" priority="2314" operator="containsText" text="김지윤">
      <formula>NOT(ISERROR(SEARCH("김지윤",J1241)))</formula>
    </cfRule>
    <cfRule type="containsText" dxfId="1507" priority="2315" operator="containsText" text="전준영">
      <formula>NOT(ISERROR(SEARCH("전준영",J1241)))</formula>
    </cfRule>
    <cfRule type="containsText" dxfId="1506" priority="2316" operator="containsText" text="차재성">
      <formula>NOT(ISERROR(SEARCH("차재성",J1241)))</formula>
    </cfRule>
  </conditionalFormatting>
  <conditionalFormatting sqref="J72">
    <cfRule type="containsText" dxfId="1505" priority="2329" operator="containsText" text="허하나로">
      <formula>NOT(ISERROR(SEARCH("허하나로",H1107)))</formula>
    </cfRule>
    <cfRule type="containsText" dxfId="1504" priority="2330" operator="containsText" text="한별">
      <formula>NOT(ISERROR(SEARCH("한별",H1107)))</formula>
    </cfRule>
    <cfRule type="containsText" dxfId="1503" priority="2331" operator="containsText" text="정홍조">
      <formula>NOT(ISERROR(SEARCH("정홍조",H1107)))</formula>
    </cfRule>
    <cfRule type="containsText" dxfId="1502" priority="2332" operator="containsText" text="김지윤">
      <formula>NOT(ISERROR(SEARCH("김지윤",H1107)))</formula>
    </cfRule>
    <cfRule type="containsText" dxfId="1501" priority="2333" operator="containsText" text="전준영">
      <formula>NOT(ISERROR(SEARCH("전준영",H1107)))</formula>
    </cfRule>
    <cfRule type="containsText" dxfId="1500" priority="2334" operator="containsText" text="차재성">
      <formula>NOT(ISERROR(SEARCH("차재성",H1107)))</formula>
    </cfRule>
  </conditionalFormatting>
  <conditionalFormatting sqref="J70:J71">
    <cfRule type="containsText" dxfId="1499" priority="2359" operator="containsText" text="허하나로">
      <formula>NOT(ISERROR(SEARCH("허하나로",H1106)))</formula>
    </cfRule>
    <cfRule type="containsText" dxfId="1498" priority="2360" operator="containsText" text="한별">
      <formula>NOT(ISERROR(SEARCH("한별",H1106)))</formula>
    </cfRule>
    <cfRule type="containsText" dxfId="1497" priority="2361" operator="containsText" text="정홍조">
      <formula>NOT(ISERROR(SEARCH("정홍조",H1106)))</formula>
    </cfRule>
    <cfRule type="containsText" dxfId="1496" priority="2362" operator="containsText" text="김지윤">
      <formula>NOT(ISERROR(SEARCH("김지윤",H1106)))</formula>
    </cfRule>
    <cfRule type="containsText" dxfId="1495" priority="2363" operator="containsText" text="전준영">
      <formula>NOT(ISERROR(SEARCH("전준영",H1106)))</formula>
    </cfRule>
    <cfRule type="containsText" dxfId="1494" priority="2364" operator="containsText" text="차재성">
      <formula>NOT(ISERROR(SEARCH("차재성",H1106)))</formula>
    </cfRule>
  </conditionalFormatting>
  <conditionalFormatting sqref="L70">
    <cfRule type="containsText" dxfId="1493" priority="2371" operator="containsText" text="허하나로">
      <formula>NOT(ISERROR(SEARCH("허하나로",J1240)))</formula>
    </cfRule>
    <cfRule type="containsText" dxfId="1492" priority="2372" operator="containsText" text="한별">
      <formula>NOT(ISERROR(SEARCH("한별",J1240)))</formula>
    </cfRule>
    <cfRule type="containsText" dxfId="1491" priority="2373" operator="containsText" text="정홍조">
      <formula>NOT(ISERROR(SEARCH("정홍조",J1240)))</formula>
    </cfRule>
    <cfRule type="containsText" dxfId="1490" priority="2374" operator="containsText" text="김지윤">
      <formula>NOT(ISERROR(SEARCH("김지윤",J1240)))</formula>
    </cfRule>
    <cfRule type="containsText" dxfId="1489" priority="2375" operator="containsText" text="전준영">
      <formula>NOT(ISERROR(SEARCH("전준영",J1240)))</formula>
    </cfRule>
    <cfRule type="containsText" dxfId="1488" priority="2376" operator="containsText" text="차재성">
      <formula>NOT(ISERROR(SEARCH("차재성",J1240)))</formula>
    </cfRule>
  </conditionalFormatting>
  <conditionalFormatting sqref="J108">
    <cfRule type="containsText" dxfId="1487" priority="2377" operator="containsText" text="허하나로">
      <formula>NOT(ISERROR(SEARCH("허하나로",H1109)))</formula>
    </cfRule>
    <cfRule type="containsText" dxfId="1486" priority="2378" operator="containsText" text="한별">
      <formula>NOT(ISERROR(SEARCH("한별",H1109)))</formula>
    </cfRule>
    <cfRule type="containsText" dxfId="1485" priority="2379" operator="containsText" text="정홍조">
      <formula>NOT(ISERROR(SEARCH("정홍조",H1109)))</formula>
    </cfRule>
    <cfRule type="containsText" dxfId="1484" priority="2380" operator="containsText" text="김지윤">
      <formula>NOT(ISERROR(SEARCH("김지윤",H1109)))</formula>
    </cfRule>
    <cfRule type="containsText" dxfId="1483" priority="2381" operator="containsText" text="전준영">
      <formula>NOT(ISERROR(SEARCH("전준영",H1109)))</formula>
    </cfRule>
    <cfRule type="containsText" dxfId="1482" priority="2382" operator="containsText" text="차재성">
      <formula>NOT(ISERROR(SEARCH("차재성",H1109)))</formula>
    </cfRule>
  </conditionalFormatting>
  <conditionalFormatting sqref="J97">
    <cfRule type="containsText" dxfId="1481" priority="2407" operator="containsText" text="허하나로">
      <formula>NOT(ISERROR(SEARCH("허하나로",H1108)))</formula>
    </cfRule>
    <cfRule type="containsText" dxfId="1480" priority="2408" operator="containsText" text="한별">
      <formula>NOT(ISERROR(SEARCH("한별",H1108)))</formula>
    </cfRule>
    <cfRule type="containsText" dxfId="1479" priority="2409" operator="containsText" text="정홍조">
      <formula>NOT(ISERROR(SEARCH("정홍조",H1108)))</formula>
    </cfRule>
    <cfRule type="containsText" dxfId="1478" priority="2410" operator="containsText" text="김지윤">
      <formula>NOT(ISERROR(SEARCH("김지윤",H1108)))</formula>
    </cfRule>
    <cfRule type="containsText" dxfId="1477" priority="2411" operator="containsText" text="전준영">
      <formula>NOT(ISERROR(SEARCH("전준영",H1108)))</formula>
    </cfRule>
    <cfRule type="containsText" dxfId="1476" priority="2412" operator="containsText" text="차재성">
      <formula>NOT(ISERROR(SEARCH("차재성",H1108)))</formula>
    </cfRule>
  </conditionalFormatting>
  <conditionalFormatting sqref="J93">
    <cfRule type="containsText" dxfId="1475" priority="2497" operator="containsText" text="허하나로">
      <formula>NOT(ISERROR(SEARCH("허하나로",H1108)))</formula>
    </cfRule>
    <cfRule type="containsText" dxfId="1474" priority="2498" operator="containsText" text="한별">
      <formula>NOT(ISERROR(SEARCH("한별",H1108)))</formula>
    </cfRule>
    <cfRule type="containsText" dxfId="1473" priority="2499" operator="containsText" text="정홍조">
      <formula>NOT(ISERROR(SEARCH("정홍조",H1108)))</formula>
    </cfRule>
    <cfRule type="containsText" dxfId="1472" priority="2500" operator="containsText" text="김지윤">
      <formula>NOT(ISERROR(SEARCH("김지윤",H1108)))</formula>
    </cfRule>
    <cfRule type="containsText" dxfId="1471" priority="2501" operator="containsText" text="전준영">
      <formula>NOT(ISERROR(SEARCH("전준영",H1108)))</formula>
    </cfRule>
    <cfRule type="containsText" dxfId="1470" priority="2502" operator="containsText" text="차재성">
      <formula>NOT(ISERROR(SEARCH("차재성",H1108)))</formula>
    </cfRule>
  </conditionalFormatting>
  <conditionalFormatting sqref="J91">
    <cfRule type="containsText" dxfId="1469" priority="2527" operator="containsText" text="허하나로">
      <formula>NOT(ISERROR(SEARCH("허하나로",H1108)))</formula>
    </cfRule>
    <cfRule type="containsText" dxfId="1468" priority="2528" operator="containsText" text="한별">
      <formula>NOT(ISERROR(SEARCH("한별",H1108)))</formula>
    </cfRule>
    <cfRule type="containsText" dxfId="1467" priority="2529" operator="containsText" text="정홍조">
      <formula>NOT(ISERROR(SEARCH("정홍조",H1108)))</formula>
    </cfRule>
    <cfRule type="containsText" dxfId="1466" priority="2530" operator="containsText" text="김지윤">
      <formula>NOT(ISERROR(SEARCH("김지윤",H1108)))</formula>
    </cfRule>
    <cfRule type="containsText" dxfId="1465" priority="2531" operator="containsText" text="전준영">
      <formula>NOT(ISERROR(SEARCH("전준영",H1108)))</formula>
    </cfRule>
    <cfRule type="containsText" dxfId="1464" priority="2532" operator="containsText" text="차재성">
      <formula>NOT(ISERROR(SEARCH("차재성",H1108)))</formula>
    </cfRule>
  </conditionalFormatting>
  <conditionalFormatting sqref="J90">
    <cfRule type="containsText" dxfId="1463" priority="2557" operator="containsText" text="허하나로">
      <formula>NOT(ISERROR(SEARCH("허하나로",H1108)))</formula>
    </cfRule>
    <cfRule type="containsText" dxfId="1462" priority="2558" operator="containsText" text="한별">
      <formula>NOT(ISERROR(SEARCH("한별",H1108)))</formula>
    </cfRule>
    <cfRule type="containsText" dxfId="1461" priority="2559" operator="containsText" text="정홍조">
      <formula>NOT(ISERROR(SEARCH("정홍조",H1108)))</formula>
    </cfRule>
    <cfRule type="containsText" dxfId="1460" priority="2560" operator="containsText" text="김지윤">
      <formula>NOT(ISERROR(SEARCH("김지윤",H1108)))</formula>
    </cfRule>
    <cfRule type="containsText" dxfId="1459" priority="2561" operator="containsText" text="전준영">
      <formula>NOT(ISERROR(SEARCH("전준영",H1108)))</formula>
    </cfRule>
    <cfRule type="containsText" dxfId="1458" priority="2562" operator="containsText" text="차재성">
      <formula>NOT(ISERROR(SEARCH("차재성",H1108)))</formula>
    </cfRule>
  </conditionalFormatting>
  <conditionalFormatting sqref="J81:J82">
    <cfRule type="containsText" dxfId="1457" priority="2767" operator="containsText" text="허하나로">
      <formula>NOT(ISERROR(SEARCH("허하나로",H1110)))</formula>
    </cfRule>
    <cfRule type="containsText" dxfId="1456" priority="2768" operator="containsText" text="한별">
      <formula>NOT(ISERROR(SEARCH("한별",H1110)))</formula>
    </cfRule>
    <cfRule type="containsText" dxfId="1455" priority="2769" operator="containsText" text="정홍조">
      <formula>NOT(ISERROR(SEARCH("정홍조",H1110)))</formula>
    </cfRule>
    <cfRule type="containsText" dxfId="1454" priority="2770" operator="containsText" text="김지윤">
      <formula>NOT(ISERROR(SEARCH("김지윤",H1110)))</formula>
    </cfRule>
    <cfRule type="containsText" dxfId="1453" priority="2771" operator="containsText" text="전준영">
      <formula>NOT(ISERROR(SEARCH("전준영",H1110)))</formula>
    </cfRule>
    <cfRule type="containsText" dxfId="1452" priority="2772" operator="containsText" text="차재성">
      <formula>NOT(ISERROR(SEARCH("차재성",H1110)))</formula>
    </cfRule>
  </conditionalFormatting>
  <conditionalFormatting sqref="J83:J85">
    <cfRule type="containsText" dxfId="1451" priority="469" operator="containsText" text="허하나로">
      <formula>NOT(ISERROR(SEARCH("허하나로",H1149)))</formula>
    </cfRule>
    <cfRule type="containsText" dxfId="1450" priority="470" operator="containsText" text="한별">
      <formula>NOT(ISERROR(SEARCH("한별",H1149)))</formula>
    </cfRule>
    <cfRule type="containsText" dxfId="1449" priority="471" operator="containsText" text="정홍조">
      <formula>NOT(ISERROR(SEARCH("정홍조",H1149)))</formula>
    </cfRule>
    <cfRule type="containsText" dxfId="1448" priority="472" operator="containsText" text="김지윤">
      <formula>NOT(ISERROR(SEARCH("김지윤",H1149)))</formula>
    </cfRule>
    <cfRule type="containsText" dxfId="1447" priority="473" operator="containsText" text="전준영">
      <formula>NOT(ISERROR(SEARCH("전준영",H1149)))</formula>
    </cfRule>
    <cfRule type="containsText" dxfId="1446" priority="474" operator="containsText" text="차재성">
      <formula>NOT(ISERROR(SEARCH("차재성",H1149)))</formula>
    </cfRule>
  </conditionalFormatting>
  <conditionalFormatting sqref="J86">
    <cfRule type="containsText" dxfId="1445" priority="457" operator="containsText" text="허하나로">
      <formula>NOT(ISERROR(SEARCH("허하나로",H1151)))</formula>
    </cfRule>
    <cfRule type="containsText" dxfId="1444" priority="458" operator="containsText" text="한별">
      <formula>NOT(ISERROR(SEARCH("한별",H1151)))</formula>
    </cfRule>
    <cfRule type="containsText" dxfId="1443" priority="459" operator="containsText" text="정홍조">
      <formula>NOT(ISERROR(SEARCH("정홍조",H1151)))</formula>
    </cfRule>
    <cfRule type="containsText" dxfId="1442" priority="460" operator="containsText" text="김지윤">
      <formula>NOT(ISERROR(SEARCH("김지윤",H1151)))</formula>
    </cfRule>
    <cfRule type="containsText" dxfId="1441" priority="461" operator="containsText" text="전준영">
      <formula>NOT(ISERROR(SEARCH("전준영",H1151)))</formula>
    </cfRule>
    <cfRule type="containsText" dxfId="1440" priority="462" operator="containsText" text="차재성">
      <formula>NOT(ISERROR(SEARCH("차재성",H1151)))</formula>
    </cfRule>
  </conditionalFormatting>
  <conditionalFormatting sqref="J87">
    <cfRule type="containsText" dxfId="1439" priority="451" operator="containsText" text="허하나로">
      <formula>NOT(ISERROR(SEARCH("허하나로",H1154)))</formula>
    </cfRule>
    <cfRule type="containsText" dxfId="1438" priority="452" operator="containsText" text="한별">
      <formula>NOT(ISERROR(SEARCH("한별",H1154)))</formula>
    </cfRule>
    <cfRule type="containsText" dxfId="1437" priority="453" operator="containsText" text="정홍조">
      <formula>NOT(ISERROR(SEARCH("정홍조",H1154)))</formula>
    </cfRule>
    <cfRule type="containsText" dxfId="1436" priority="454" operator="containsText" text="김지윤">
      <formula>NOT(ISERROR(SEARCH("김지윤",H1154)))</formula>
    </cfRule>
    <cfRule type="containsText" dxfId="1435" priority="455" operator="containsText" text="전준영">
      <formula>NOT(ISERROR(SEARCH("전준영",H1154)))</formula>
    </cfRule>
    <cfRule type="containsText" dxfId="1434" priority="456" operator="containsText" text="차재성">
      <formula>NOT(ISERROR(SEARCH("차재성",H1154)))</formula>
    </cfRule>
  </conditionalFormatting>
  <conditionalFormatting sqref="J88">
    <cfRule type="containsText" dxfId="1433" priority="445" operator="containsText" text="허하나로">
      <formula>NOT(ISERROR(SEARCH("허하나로",H1155)))</formula>
    </cfRule>
    <cfRule type="containsText" dxfId="1432" priority="446" operator="containsText" text="한별">
      <formula>NOT(ISERROR(SEARCH("한별",H1155)))</formula>
    </cfRule>
    <cfRule type="containsText" dxfId="1431" priority="447" operator="containsText" text="정홍조">
      <formula>NOT(ISERROR(SEARCH("정홍조",H1155)))</formula>
    </cfRule>
    <cfRule type="containsText" dxfId="1430" priority="448" operator="containsText" text="김지윤">
      <formula>NOT(ISERROR(SEARCH("김지윤",H1155)))</formula>
    </cfRule>
    <cfRule type="containsText" dxfId="1429" priority="449" operator="containsText" text="전준영">
      <formula>NOT(ISERROR(SEARCH("전준영",H1155)))</formula>
    </cfRule>
    <cfRule type="containsText" dxfId="1428" priority="450" operator="containsText" text="차재성">
      <formula>NOT(ISERROR(SEARCH("차재성",H1155)))</formula>
    </cfRule>
  </conditionalFormatting>
  <conditionalFormatting sqref="J95">
    <cfRule type="containsText" dxfId="1427" priority="439" operator="containsText" text="허하나로">
      <formula>NOT(ISERROR(SEARCH("허하나로",H1159)))</formula>
    </cfRule>
    <cfRule type="containsText" dxfId="1426" priority="440" operator="containsText" text="한별">
      <formula>NOT(ISERROR(SEARCH("한별",H1159)))</formula>
    </cfRule>
    <cfRule type="containsText" dxfId="1425" priority="441" operator="containsText" text="정홍조">
      <formula>NOT(ISERROR(SEARCH("정홍조",H1159)))</formula>
    </cfRule>
    <cfRule type="containsText" dxfId="1424" priority="442" operator="containsText" text="김지윤">
      <formula>NOT(ISERROR(SEARCH("김지윤",H1159)))</formula>
    </cfRule>
    <cfRule type="containsText" dxfId="1423" priority="443" operator="containsText" text="전준영">
      <formula>NOT(ISERROR(SEARCH("전준영",H1159)))</formula>
    </cfRule>
    <cfRule type="containsText" dxfId="1422" priority="444" operator="containsText" text="차재성">
      <formula>NOT(ISERROR(SEARCH("차재성",H1159)))</formula>
    </cfRule>
  </conditionalFormatting>
  <conditionalFormatting sqref="J96">
    <cfRule type="containsText" dxfId="1421" priority="433" operator="containsText" text="허하나로">
      <formula>NOT(ISERROR(SEARCH("허하나로",H1160)))</formula>
    </cfRule>
    <cfRule type="containsText" dxfId="1420" priority="434" operator="containsText" text="한별">
      <formula>NOT(ISERROR(SEARCH("한별",H1160)))</formula>
    </cfRule>
    <cfRule type="containsText" dxfId="1419" priority="435" operator="containsText" text="정홍조">
      <formula>NOT(ISERROR(SEARCH("정홍조",H1160)))</formula>
    </cfRule>
    <cfRule type="containsText" dxfId="1418" priority="436" operator="containsText" text="김지윤">
      <formula>NOT(ISERROR(SEARCH("김지윤",H1160)))</formula>
    </cfRule>
    <cfRule type="containsText" dxfId="1417" priority="437" operator="containsText" text="전준영">
      <formula>NOT(ISERROR(SEARCH("전준영",H1160)))</formula>
    </cfRule>
    <cfRule type="containsText" dxfId="1416" priority="438" operator="containsText" text="차재성">
      <formula>NOT(ISERROR(SEARCH("차재성",H1160)))</formula>
    </cfRule>
  </conditionalFormatting>
  <conditionalFormatting sqref="J107">
    <cfRule type="containsText" dxfId="1415" priority="2785" operator="containsText" text="허하나로">
      <formula>NOT(ISERROR(SEARCH("허하나로",H1109)))</formula>
    </cfRule>
    <cfRule type="containsText" dxfId="1414" priority="2786" operator="containsText" text="한별">
      <formula>NOT(ISERROR(SEARCH("한별",H1109)))</formula>
    </cfRule>
    <cfRule type="containsText" dxfId="1413" priority="2787" operator="containsText" text="정홍조">
      <formula>NOT(ISERROR(SEARCH("정홍조",H1109)))</formula>
    </cfRule>
    <cfRule type="containsText" dxfId="1412" priority="2788" operator="containsText" text="김지윤">
      <formula>NOT(ISERROR(SEARCH("김지윤",H1109)))</formula>
    </cfRule>
    <cfRule type="containsText" dxfId="1411" priority="2789" operator="containsText" text="전준영">
      <formula>NOT(ISERROR(SEARCH("전준영",H1109)))</formula>
    </cfRule>
    <cfRule type="containsText" dxfId="1410" priority="2790" operator="containsText" text="차재성">
      <formula>NOT(ISERROR(SEARCH("차재성",H1109)))</formula>
    </cfRule>
  </conditionalFormatting>
  <conditionalFormatting sqref="J100">
    <cfRule type="containsText" dxfId="1409" priority="2965" operator="containsText" text="허하나로">
      <formula>NOT(ISERROR(SEARCH("허하나로",H1109)))</formula>
    </cfRule>
    <cfRule type="containsText" dxfId="1408" priority="2966" operator="containsText" text="한별">
      <formula>NOT(ISERROR(SEARCH("한별",H1109)))</formula>
    </cfRule>
    <cfRule type="containsText" dxfId="1407" priority="2967" operator="containsText" text="정홍조">
      <formula>NOT(ISERROR(SEARCH("정홍조",H1109)))</formula>
    </cfRule>
    <cfRule type="containsText" dxfId="1406" priority="2968" operator="containsText" text="김지윤">
      <formula>NOT(ISERROR(SEARCH("김지윤",H1109)))</formula>
    </cfRule>
    <cfRule type="containsText" dxfId="1405" priority="2969" operator="containsText" text="전준영">
      <formula>NOT(ISERROR(SEARCH("전준영",H1109)))</formula>
    </cfRule>
    <cfRule type="containsText" dxfId="1404" priority="2970" operator="containsText" text="차재성">
      <formula>NOT(ISERROR(SEARCH("차재성",H1109)))</formula>
    </cfRule>
  </conditionalFormatting>
  <conditionalFormatting sqref="J98:J99">
    <cfRule type="containsText" dxfId="1403" priority="2983" operator="containsText" text="허하나로">
      <formula>NOT(ISERROR(SEARCH("허하나로",H1108)))</formula>
    </cfRule>
    <cfRule type="containsText" dxfId="1402" priority="2984" operator="containsText" text="한별">
      <formula>NOT(ISERROR(SEARCH("한별",H1108)))</formula>
    </cfRule>
    <cfRule type="containsText" dxfId="1401" priority="2985" operator="containsText" text="정홍조">
      <formula>NOT(ISERROR(SEARCH("정홍조",H1108)))</formula>
    </cfRule>
    <cfRule type="containsText" dxfId="1400" priority="2986" operator="containsText" text="김지윤">
      <formula>NOT(ISERROR(SEARCH("김지윤",H1108)))</formula>
    </cfRule>
    <cfRule type="containsText" dxfId="1399" priority="2987" operator="containsText" text="전준영">
      <formula>NOT(ISERROR(SEARCH("전준영",H1108)))</formula>
    </cfRule>
    <cfRule type="containsText" dxfId="1398" priority="2988" operator="containsText" text="차재성">
      <formula>NOT(ISERROR(SEARCH("차재성",H1108)))</formula>
    </cfRule>
  </conditionalFormatting>
  <conditionalFormatting sqref="J103">
    <cfRule type="containsText" dxfId="1397" priority="415" operator="containsText" text="허하나로">
      <formula>NOT(ISERROR(SEARCH("허하나로",H1112)))</formula>
    </cfRule>
    <cfRule type="containsText" dxfId="1396" priority="416" operator="containsText" text="한별">
      <formula>NOT(ISERROR(SEARCH("한별",H1112)))</formula>
    </cfRule>
    <cfRule type="containsText" dxfId="1395" priority="417" operator="containsText" text="정홍조">
      <formula>NOT(ISERROR(SEARCH("정홍조",H1112)))</formula>
    </cfRule>
    <cfRule type="containsText" dxfId="1394" priority="418" operator="containsText" text="김지윤">
      <formula>NOT(ISERROR(SEARCH("김지윤",H1112)))</formula>
    </cfRule>
    <cfRule type="containsText" dxfId="1393" priority="419" operator="containsText" text="전준영">
      <formula>NOT(ISERROR(SEARCH("전준영",H1112)))</formula>
    </cfRule>
    <cfRule type="containsText" dxfId="1392" priority="420" operator="containsText" text="차재성">
      <formula>NOT(ISERROR(SEARCH("차재성",H1112)))</formula>
    </cfRule>
  </conditionalFormatting>
  <conditionalFormatting sqref="J101">
    <cfRule type="containsText" dxfId="1391" priority="409" operator="containsText" text="허하나로">
      <formula>NOT(ISERROR(SEARCH("허하나로",H1168)))</formula>
    </cfRule>
    <cfRule type="containsText" dxfId="1390" priority="410" operator="containsText" text="한별">
      <formula>NOT(ISERROR(SEARCH("한별",H1168)))</formula>
    </cfRule>
    <cfRule type="containsText" dxfId="1389" priority="411" operator="containsText" text="정홍조">
      <formula>NOT(ISERROR(SEARCH("정홍조",H1168)))</formula>
    </cfRule>
    <cfRule type="containsText" dxfId="1388" priority="412" operator="containsText" text="김지윤">
      <formula>NOT(ISERROR(SEARCH("김지윤",H1168)))</formula>
    </cfRule>
    <cfRule type="containsText" dxfId="1387" priority="413" operator="containsText" text="전준영">
      <formula>NOT(ISERROR(SEARCH("전준영",H1168)))</formula>
    </cfRule>
    <cfRule type="containsText" dxfId="1386" priority="414" operator="containsText" text="차재성">
      <formula>NOT(ISERROR(SEARCH("차재성",H1168)))</formula>
    </cfRule>
  </conditionalFormatting>
  <conditionalFormatting sqref="J102">
    <cfRule type="containsText" dxfId="1385" priority="403" operator="containsText" text="허하나로">
      <formula>NOT(ISERROR(SEARCH("허하나로",H1169)))</formula>
    </cfRule>
    <cfRule type="containsText" dxfId="1384" priority="404" operator="containsText" text="한별">
      <formula>NOT(ISERROR(SEARCH("한별",H1169)))</formula>
    </cfRule>
    <cfRule type="containsText" dxfId="1383" priority="405" operator="containsText" text="정홍조">
      <formula>NOT(ISERROR(SEARCH("정홍조",H1169)))</formula>
    </cfRule>
    <cfRule type="containsText" dxfId="1382" priority="406" operator="containsText" text="김지윤">
      <formula>NOT(ISERROR(SEARCH("김지윤",H1169)))</formula>
    </cfRule>
    <cfRule type="containsText" dxfId="1381" priority="407" operator="containsText" text="전준영">
      <formula>NOT(ISERROR(SEARCH("전준영",H1169)))</formula>
    </cfRule>
    <cfRule type="containsText" dxfId="1380" priority="408" operator="containsText" text="차재성">
      <formula>NOT(ISERROR(SEARCH("차재성",H1169)))</formula>
    </cfRule>
  </conditionalFormatting>
  <conditionalFormatting sqref="J106">
    <cfRule type="containsText" dxfId="1379" priority="397" operator="containsText" text="허하나로">
      <formula>NOT(ISERROR(SEARCH("허하나로",H1115)))</formula>
    </cfRule>
    <cfRule type="containsText" dxfId="1378" priority="398" operator="containsText" text="한별">
      <formula>NOT(ISERROR(SEARCH("한별",H1115)))</formula>
    </cfRule>
    <cfRule type="containsText" dxfId="1377" priority="399" operator="containsText" text="정홍조">
      <formula>NOT(ISERROR(SEARCH("정홍조",H1115)))</formula>
    </cfRule>
    <cfRule type="containsText" dxfId="1376" priority="400" operator="containsText" text="김지윤">
      <formula>NOT(ISERROR(SEARCH("김지윤",H1115)))</formula>
    </cfRule>
    <cfRule type="containsText" dxfId="1375" priority="401" operator="containsText" text="전준영">
      <formula>NOT(ISERROR(SEARCH("전준영",H1115)))</formula>
    </cfRule>
    <cfRule type="containsText" dxfId="1374" priority="402" operator="containsText" text="차재성">
      <formula>NOT(ISERROR(SEARCH("차재성",H1115)))</formula>
    </cfRule>
  </conditionalFormatting>
  <conditionalFormatting sqref="J104">
    <cfRule type="containsText" dxfId="1373" priority="391" operator="containsText" text="허하나로">
      <formula>NOT(ISERROR(SEARCH("허하나로",H1171)))</formula>
    </cfRule>
    <cfRule type="containsText" dxfId="1372" priority="392" operator="containsText" text="한별">
      <formula>NOT(ISERROR(SEARCH("한별",H1171)))</formula>
    </cfRule>
    <cfRule type="containsText" dxfId="1371" priority="393" operator="containsText" text="정홍조">
      <formula>NOT(ISERROR(SEARCH("정홍조",H1171)))</formula>
    </cfRule>
    <cfRule type="containsText" dxfId="1370" priority="394" operator="containsText" text="김지윤">
      <formula>NOT(ISERROR(SEARCH("김지윤",H1171)))</formula>
    </cfRule>
    <cfRule type="containsText" dxfId="1369" priority="395" operator="containsText" text="전준영">
      <formula>NOT(ISERROR(SEARCH("전준영",H1171)))</formula>
    </cfRule>
    <cfRule type="containsText" dxfId="1368" priority="396" operator="containsText" text="차재성">
      <formula>NOT(ISERROR(SEARCH("차재성",H1171)))</formula>
    </cfRule>
  </conditionalFormatting>
  <conditionalFormatting sqref="J105">
    <cfRule type="containsText" dxfId="1367" priority="385" operator="containsText" text="허하나로">
      <formula>NOT(ISERROR(SEARCH("허하나로",H1172)))</formula>
    </cfRule>
    <cfRule type="containsText" dxfId="1366" priority="386" operator="containsText" text="한별">
      <formula>NOT(ISERROR(SEARCH("한별",H1172)))</formula>
    </cfRule>
    <cfRule type="containsText" dxfId="1365" priority="387" operator="containsText" text="정홍조">
      <formula>NOT(ISERROR(SEARCH("정홍조",H1172)))</formula>
    </cfRule>
    <cfRule type="containsText" dxfId="1364" priority="388" operator="containsText" text="김지윤">
      <formula>NOT(ISERROR(SEARCH("김지윤",H1172)))</formula>
    </cfRule>
    <cfRule type="containsText" dxfId="1363" priority="389" operator="containsText" text="전준영">
      <formula>NOT(ISERROR(SEARCH("전준영",H1172)))</formula>
    </cfRule>
    <cfRule type="containsText" dxfId="1362" priority="390" operator="containsText" text="차재성">
      <formula>NOT(ISERROR(SEARCH("차재성",H1172)))</formula>
    </cfRule>
  </conditionalFormatting>
  <conditionalFormatting sqref="J76:J77">
    <cfRule type="containsText" dxfId="1361" priority="3331" operator="containsText" text="허하나로">
      <formula>NOT(ISERROR(SEARCH("허하나로",H1107)))</formula>
    </cfRule>
    <cfRule type="containsText" dxfId="1360" priority="3332" operator="containsText" text="한별">
      <formula>NOT(ISERROR(SEARCH("한별",H1107)))</formula>
    </cfRule>
    <cfRule type="containsText" dxfId="1359" priority="3333" operator="containsText" text="정홍조">
      <formula>NOT(ISERROR(SEARCH("정홍조",H1107)))</formula>
    </cfRule>
    <cfRule type="containsText" dxfId="1358" priority="3334" operator="containsText" text="김지윤">
      <formula>NOT(ISERROR(SEARCH("김지윤",H1107)))</formula>
    </cfRule>
    <cfRule type="containsText" dxfId="1357" priority="3335" operator="containsText" text="전준영">
      <formula>NOT(ISERROR(SEARCH("전준영",H1107)))</formula>
    </cfRule>
    <cfRule type="containsText" dxfId="1356" priority="3336" operator="containsText" text="차재성">
      <formula>NOT(ISERROR(SEARCH("차재성",H1107)))</formula>
    </cfRule>
  </conditionalFormatting>
  <conditionalFormatting sqref="J44:J45">
    <cfRule type="containsText" dxfId="1355" priority="3349" operator="containsText" text="허하나로">
      <formula>NOT(ISERROR(SEARCH("허하나로",H1113)))</formula>
    </cfRule>
    <cfRule type="containsText" dxfId="1354" priority="3350" operator="containsText" text="한별">
      <formula>NOT(ISERROR(SEARCH("한별",H1113)))</formula>
    </cfRule>
    <cfRule type="containsText" dxfId="1353" priority="3351" operator="containsText" text="정홍조">
      <formula>NOT(ISERROR(SEARCH("정홍조",H1113)))</formula>
    </cfRule>
    <cfRule type="containsText" dxfId="1352" priority="3352" operator="containsText" text="김지윤">
      <formula>NOT(ISERROR(SEARCH("김지윤",H1113)))</formula>
    </cfRule>
    <cfRule type="containsText" dxfId="1351" priority="3353" operator="containsText" text="전준영">
      <formula>NOT(ISERROR(SEARCH("전준영",H1113)))</formula>
    </cfRule>
    <cfRule type="containsText" dxfId="1350" priority="3354" operator="containsText" text="차재성">
      <formula>NOT(ISERROR(SEARCH("차재성",H1113)))</formula>
    </cfRule>
  </conditionalFormatting>
  <conditionalFormatting sqref="J37">
    <cfRule type="containsText" dxfId="1349" priority="3355" operator="containsText" text="허하나로">
      <formula>NOT(ISERROR(SEARCH("허하나로",H1105)))</formula>
    </cfRule>
    <cfRule type="containsText" dxfId="1348" priority="3356" operator="containsText" text="한별">
      <formula>NOT(ISERROR(SEARCH("한별",H1105)))</formula>
    </cfRule>
    <cfRule type="containsText" dxfId="1347" priority="3357" operator="containsText" text="정홍조">
      <formula>NOT(ISERROR(SEARCH("정홍조",H1105)))</formula>
    </cfRule>
    <cfRule type="containsText" dxfId="1346" priority="3358" operator="containsText" text="김지윤">
      <formula>NOT(ISERROR(SEARCH("김지윤",H1105)))</formula>
    </cfRule>
    <cfRule type="containsText" dxfId="1345" priority="3359" operator="containsText" text="전준영">
      <formula>NOT(ISERROR(SEARCH("전준영",H1105)))</formula>
    </cfRule>
    <cfRule type="containsText" dxfId="1344" priority="3360" operator="containsText" text="차재성">
      <formula>NOT(ISERROR(SEARCH("차재성",H1105)))</formula>
    </cfRule>
  </conditionalFormatting>
  <conditionalFormatting sqref="J8:J9">
    <cfRule type="containsText" dxfId="1343" priority="247" operator="containsText" text="허하나로">
      <formula>NOT(ISERROR(SEARCH("허하나로",H795)))</formula>
    </cfRule>
    <cfRule type="containsText" dxfId="1342" priority="248" operator="containsText" text="한별">
      <formula>NOT(ISERROR(SEARCH("한별",H795)))</formula>
    </cfRule>
    <cfRule type="containsText" dxfId="1341" priority="249" operator="containsText" text="정홍조">
      <formula>NOT(ISERROR(SEARCH("정홍조",H795)))</formula>
    </cfRule>
    <cfRule type="containsText" dxfId="1340" priority="250" operator="containsText" text="김지윤">
      <formula>NOT(ISERROR(SEARCH("김지윤",H795)))</formula>
    </cfRule>
    <cfRule type="containsText" dxfId="1339" priority="251" operator="containsText" text="전준영">
      <formula>NOT(ISERROR(SEARCH("전준영",H795)))</formula>
    </cfRule>
    <cfRule type="containsText" dxfId="1338" priority="252" operator="containsText" text="차재성">
      <formula>NOT(ISERROR(SEARCH("차재성",H795)))</formula>
    </cfRule>
  </conditionalFormatting>
  <conditionalFormatting sqref="J43">
    <cfRule type="containsText" dxfId="1337" priority="145" operator="containsText" text="허하나로">
      <formula>NOT(ISERROR(SEARCH("허하나로",H1110)))</formula>
    </cfRule>
    <cfRule type="containsText" dxfId="1336" priority="146" operator="containsText" text="한별">
      <formula>NOT(ISERROR(SEARCH("한별",H1110)))</formula>
    </cfRule>
    <cfRule type="containsText" dxfId="1335" priority="147" operator="containsText" text="정홍조">
      <formula>NOT(ISERROR(SEARCH("정홍조",H1110)))</formula>
    </cfRule>
    <cfRule type="containsText" dxfId="1334" priority="148" operator="containsText" text="김지윤">
      <formula>NOT(ISERROR(SEARCH("김지윤",H1110)))</formula>
    </cfRule>
    <cfRule type="containsText" dxfId="1333" priority="149" operator="containsText" text="전준영">
      <formula>NOT(ISERROR(SEARCH("전준영",H1110)))</formula>
    </cfRule>
    <cfRule type="containsText" dxfId="1332" priority="150" operator="containsText" text="차재성">
      <formula>NOT(ISERROR(SEARCH("차재성",H1110)))</formula>
    </cfRule>
  </conditionalFormatting>
  <conditionalFormatting sqref="J33:J35 J39:J41">
    <cfRule type="containsText" dxfId="1331" priority="157" operator="containsText" text="허하나로">
      <formula>NOT(ISERROR(SEARCH("허하나로",H1103)))</formula>
    </cfRule>
    <cfRule type="containsText" dxfId="1330" priority="158" operator="containsText" text="한별">
      <formula>NOT(ISERROR(SEARCH("한별",H1103)))</formula>
    </cfRule>
    <cfRule type="containsText" dxfId="1329" priority="159" operator="containsText" text="정홍조">
      <formula>NOT(ISERROR(SEARCH("정홍조",H1103)))</formula>
    </cfRule>
    <cfRule type="containsText" dxfId="1328" priority="160" operator="containsText" text="김지윤">
      <formula>NOT(ISERROR(SEARCH("김지윤",H1103)))</formula>
    </cfRule>
    <cfRule type="containsText" dxfId="1327" priority="161" operator="containsText" text="전준영">
      <formula>NOT(ISERROR(SEARCH("전준영",H1103)))</formula>
    </cfRule>
    <cfRule type="containsText" dxfId="1326" priority="162" operator="containsText" text="차재성">
      <formula>NOT(ISERROR(SEARCH("차재성",H1103)))</formula>
    </cfRule>
  </conditionalFormatting>
  <conditionalFormatting sqref="J42">
    <cfRule type="containsText" dxfId="1325" priority="163" operator="containsText" text="허하나로">
      <formula>NOT(ISERROR(SEARCH("허하나로",H1110)))</formula>
    </cfRule>
    <cfRule type="containsText" dxfId="1324" priority="164" operator="containsText" text="한별">
      <formula>NOT(ISERROR(SEARCH("한별",H1110)))</formula>
    </cfRule>
    <cfRule type="containsText" dxfId="1323" priority="165" operator="containsText" text="정홍조">
      <formula>NOT(ISERROR(SEARCH("정홍조",H1110)))</formula>
    </cfRule>
    <cfRule type="containsText" dxfId="1322" priority="166" operator="containsText" text="김지윤">
      <formula>NOT(ISERROR(SEARCH("김지윤",H1110)))</formula>
    </cfRule>
    <cfRule type="containsText" dxfId="1321" priority="167" operator="containsText" text="전준영">
      <formula>NOT(ISERROR(SEARCH("전준영",H1110)))</formula>
    </cfRule>
    <cfRule type="containsText" dxfId="1320" priority="168" operator="containsText" text="차재성">
      <formula>NOT(ISERROR(SEARCH("차재성",H1110)))</formula>
    </cfRule>
  </conditionalFormatting>
  <conditionalFormatting sqref="J46">
    <cfRule type="containsText" dxfId="1319" priority="121" operator="containsText" text="허하나로">
      <formula>NOT(ISERROR(SEARCH("허하나로",H1113)))</formula>
    </cfRule>
    <cfRule type="containsText" dxfId="1318" priority="122" operator="containsText" text="한별">
      <formula>NOT(ISERROR(SEARCH("한별",H1113)))</formula>
    </cfRule>
    <cfRule type="containsText" dxfId="1317" priority="123" operator="containsText" text="정홍조">
      <formula>NOT(ISERROR(SEARCH("정홍조",H1113)))</formula>
    </cfRule>
    <cfRule type="containsText" dxfId="1316" priority="124" operator="containsText" text="김지윤">
      <formula>NOT(ISERROR(SEARCH("김지윤",H1113)))</formula>
    </cfRule>
    <cfRule type="containsText" dxfId="1315" priority="125" operator="containsText" text="전준영">
      <formula>NOT(ISERROR(SEARCH("전준영",H1113)))</formula>
    </cfRule>
    <cfRule type="containsText" dxfId="1314" priority="126" operator="containsText" text="차재성">
      <formula>NOT(ISERROR(SEARCH("차재성",H1113)))</formula>
    </cfRule>
  </conditionalFormatting>
  <conditionalFormatting sqref="J48:J50">
    <cfRule type="containsText" dxfId="1313" priority="115" operator="containsText" text="허하나로">
      <formula>NOT(ISERROR(SEARCH("허하나로",H1117)))</formula>
    </cfRule>
    <cfRule type="containsText" dxfId="1312" priority="116" operator="containsText" text="한별">
      <formula>NOT(ISERROR(SEARCH("한별",H1117)))</formula>
    </cfRule>
    <cfRule type="containsText" dxfId="1311" priority="117" operator="containsText" text="정홍조">
      <formula>NOT(ISERROR(SEARCH("정홍조",H1117)))</formula>
    </cfRule>
    <cfRule type="containsText" dxfId="1310" priority="118" operator="containsText" text="김지윤">
      <formula>NOT(ISERROR(SEARCH("김지윤",H1117)))</formula>
    </cfRule>
    <cfRule type="containsText" dxfId="1309" priority="119" operator="containsText" text="전준영">
      <formula>NOT(ISERROR(SEARCH("전준영",H1117)))</formula>
    </cfRule>
    <cfRule type="containsText" dxfId="1308" priority="120" operator="containsText" text="차재성">
      <formula>NOT(ISERROR(SEARCH("차재성",H1117)))</formula>
    </cfRule>
  </conditionalFormatting>
  <conditionalFormatting sqref="J89">
    <cfRule type="containsText" dxfId="1307" priority="109" operator="containsText" text="허하나로">
      <formula>NOT(ISERROR(SEARCH("허하나로",H1107)))</formula>
    </cfRule>
    <cfRule type="containsText" dxfId="1306" priority="110" operator="containsText" text="한별">
      <formula>NOT(ISERROR(SEARCH("한별",H1107)))</formula>
    </cfRule>
    <cfRule type="containsText" dxfId="1305" priority="111" operator="containsText" text="정홍조">
      <formula>NOT(ISERROR(SEARCH("정홍조",H1107)))</formula>
    </cfRule>
    <cfRule type="containsText" dxfId="1304" priority="112" operator="containsText" text="김지윤">
      <formula>NOT(ISERROR(SEARCH("김지윤",H1107)))</formula>
    </cfRule>
    <cfRule type="containsText" dxfId="1303" priority="113" operator="containsText" text="전준영">
      <formula>NOT(ISERROR(SEARCH("전준영",H1107)))</formula>
    </cfRule>
    <cfRule type="containsText" dxfId="1302" priority="114" operator="containsText" text="차재성">
      <formula>NOT(ISERROR(SEARCH("차재성",H1107)))</formula>
    </cfRule>
  </conditionalFormatting>
  <conditionalFormatting sqref="J92">
    <cfRule type="containsText" dxfId="1301" priority="103" operator="containsText" text="허하나로">
      <formula>NOT(ISERROR(SEARCH("허하나로",H1107)))</formula>
    </cfRule>
    <cfRule type="containsText" dxfId="1300" priority="104" operator="containsText" text="한별">
      <formula>NOT(ISERROR(SEARCH("한별",H1107)))</formula>
    </cfRule>
    <cfRule type="containsText" dxfId="1299" priority="105" operator="containsText" text="정홍조">
      <formula>NOT(ISERROR(SEARCH("정홍조",H1107)))</formula>
    </cfRule>
    <cfRule type="containsText" dxfId="1298" priority="106" operator="containsText" text="김지윤">
      <formula>NOT(ISERROR(SEARCH("김지윤",H1107)))</formula>
    </cfRule>
    <cfRule type="containsText" dxfId="1297" priority="107" operator="containsText" text="전준영">
      <formula>NOT(ISERROR(SEARCH("전준영",H1107)))</formula>
    </cfRule>
    <cfRule type="containsText" dxfId="1296" priority="108" operator="containsText" text="차재성">
      <formula>NOT(ISERROR(SEARCH("차재성",H1107)))</formula>
    </cfRule>
  </conditionalFormatting>
  <conditionalFormatting sqref="J112">
    <cfRule type="containsText" dxfId="1295" priority="61" operator="containsText" text="허하나로">
      <formula>NOT(ISERROR(SEARCH("허하나로",H1155)))</formula>
    </cfRule>
    <cfRule type="containsText" dxfId="1294" priority="62" operator="containsText" text="한별">
      <formula>NOT(ISERROR(SEARCH("한별",H1155)))</formula>
    </cfRule>
    <cfRule type="containsText" dxfId="1293" priority="63" operator="containsText" text="정홍조">
      <formula>NOT(ISERROR(SEARCH("정홍조",H1155)))</formula>
    </cfRule>
    <cfRule type="containsText" dxfId="1292" priority="64" operator="containsText" text="김지윤">
      <formula>NOT(ISERROR(SEARCH("김지윤",H1155)))</formula>
    </cfRule>
    <cfRule type="containsText" dxfId="1291" priority="65" operator="containsText" text="전준영">
      <formula>NOT(ISERROR(SEARCH("전준영",H1155)))</formula>
    </cfRule>
    <cfRule type="containsText" dxfId="1290" priority="66" operator="containsText" text="차재성">
      <formula>NOT(ISERROR(SEARCH("차재성",H1155)))</formula>
    </cfRule>
  </conditionalFormatting>
  <conditionalFormatting sqref="J109">
    <cfRule type="containsText" dxfId="1289" priority="49" operator="containsText" text="허하나로">
      <formula>NOT(ISERROR(SEARCH("허하나로",H1149)))</formula>
    </cfRule>
    <cfRule type="containsText" dxfId="1288" priority="50" operator="containsText" text="한별">
      <formula>NOT(ISERROR(SEARCH("한별",H1149)))</formula>
    </cfRule>
    <cfRule type="containsText" dxfId="1287" priority="51" operator="containsText" text="정홍조">
      <formula>NOT(ISERROR(SEARCH("정홍조",H1149)))</formula>
    </cfRule>
    <cfRule type="containsText" dxfId="1286" priority="52" operator="containsText" text="김지윤">
      <formula>NOT(ISERROR(SEARCH("김지윤",H1149)))</formula>
    </cfRule>
    <cfRule type="containsText" dxfId="1285" priority="53" operator="containsText" text="전준영">
      <formula>NOT(ISERROR(SEARCH("전준영",H1149)))</formula>
    </cfRule>
    <cfRule type="containsText" dxfId="1284" priority="54" operator="containsText" text="차재성">
      <formula>NOT(ISERROR(SEARCH("차재성",H1149)))</formula>
    </cfRule>
  </conditionalFormatting>
  <conditionalFormatting sqref="J110:J111">
    <cfRule type="containsText" dxfId="1283" priority="43" operator="containsText" text="허하나로">
      <formula>NOT(ISERROR(SEARCH("허하나로",H1178)))</formula>
    </cfRule>
    <cfRule type="containsText" dxfId="1282" priority="44" operator="containsText" text="한별">
      <formula>NOT(ISERROR(SEARCH("한별",H1178)))</formula>
    </cfRule>
    <cfRule type="containsText" dxfId="1281" priority="45" operator="containsText" text="정홍조">
      <formula>NOT(ISERROR(SEARCH("정홍조",H1178)))</formula>
    </cfRule>
    <cfRule type="containsText" dxfId="1280" priority="46" operator="containsText" text="김지윤">
      <formula>NOT(ISERROR(SEARCH("김지윤",H1178)))</formula>
    </cfRule>
    <cfRule type="containsText" dxfId="1279" priority="47" operator="containsText" text="전준영">
      <formula>NOT(ISERROR(SEARCH("전준영",H1178)))</formula>
    </cfRule>
    <cfRule type="containsText" dxfId="1278" priority="48" operator="containsText" text="차재성">
      <formula>NOT(ISERROR(SEARCH("차재성",H1178)))</formula>
    </cfRule>
  </conditionalFormatting>
  <conditionalFormatting sqref="J123">
    <cfRule type="containsText" dxfId="1277" priority="67" operator="containsText" text="허하나로">
      <formula>NOT(ISERROR(SEARCH("허하나로",H1156)))</formula>
    </cfRule>
    <cfRule type="containsText" dxfId="1276" priority="68" operator="containsText" text="한별">
      <formula>NOT(ISERROR(SEARCH("한별",H1156)))</formula>
    </cfRule>
    <cfRule type="containsText" dxfId="1275" priority="69" operator="containsText" text="정홍조">
      <formula>NOT(ISERROR(SEARCH("정홍조",H1156)))</formula>
    </cfRule>
    <cfRule type="containsText" dxfId="1274" priority="70" operator="containsText" text="김지윤">
      <formula>NOT(ISERROR(SEARCH("김지윤",H1156)))</formula>
    </cfRule>
    <cfRule type="containsText" dxfId="1273" priority="71" operator="containsText" text="전준영">
      <formula>NOT(ISERROR(SEARCH("전준영",H1156)))</formula>
    </cfRule>
    <cfRule type="containsText" dxfId="1272" priority="72" operator="containsText" text="차재성">
      <formula>NOT(ISERROR(SEARCH("차재성",H1156)))</formula>
    </cfRule>
  </conditionalFormatting>
  <conditionalFormatting sqref="J117">
    <cfRule type="containsText" dxfId="1271" priority="79" operator="containsText" text="허하나로">
      <formula>NOT(ISERROR(SEARCH("허하나로",H1156)))</formula>
    </cfRule>
    <cfRule type="containsText" dxfId="1270" priority="80" operator="containsText" text="한별">
      <formula>NOT(ISERROR(SEARCH("한별",H1156)))</formula>
    </cfRule>
    <cfRule type="containsText" dxfId="1269" priority="81" operator="containsText" text="정홍조">
      <formula>NOT(ISERROR(SEARCH("정홍조",H1156)))</formula>
    </cfRule>
    <cfRule type="containsText" dxfId="1268" priority="82" operator="containsText" text="김지윤">
      <formula>NOT(ISERROR(SEARCH("김지윤",H1156)))</formula>
    </cfRule>
    <cfRule type="containsText" dxfId="1267" priority="83" operator="containsText" text="전준영">
      <formula>NOT(ISERROR(SEARCH("전준영",H1156)))</formula>
    </cfRule>
    <cfRule type="containsText" dxfId="1266" priority="84" operator="containsText" text="차재성">
      <formula>NOT(ISERROR(SEARCH("차재성",H1156)))</formula>
    </cfRule>
  </conditionalFormatting>
  <conditionalFormatting sqref="J116">
    <cfRule type="containsText" dxfId="1265" priority="85" operator="containsText" text="허하나로">
      <formula>NOT(ISERROR(SEARCH("허하나로",H1156)))</formula>
    </cfRule>
    <cfRule type="containsText" dxfId="1264" priority="86" operator="containsText" text="한별">
      <formula>NOT(ISERROR(SEARCH("한별",H1156)))</formula>
    </cfRule>
    <cfRule type="containsText" dxfId="1263" priority="87" operator="containsText" text="정홍조">
      <formula>NOT(ISERROR(SEARCH("정홍조",H1156)))</formula>
    </cfRule>
    <cfRule type="containsText" dxfId="1262" priority="88" operator="containsText" text="김지윤">
      <formula>NOT(ISERROR(SEARCH("김지윤",H1156)))</formula>
    </cfRule>
    <cfRule type="containsText" dxfId="1261" priority="89" operator="containsText" text="전준영">
      <formula>NOT(ISERROR(SEARCH("전준영",H1156)))</formula>
    </cfRule>
    <cfRule type="containsText" dxfId="1260" priority="90" operator="containsText" text="차재성">
      <formula>NOT(ISERROR(SEARCH("차재성",H1156)))</formula>
    </cfRule>
  </conditionalFormatting>
  <conditionalFormatting sqref="J115">
    <cfRule type="containsText" dxfId="1259" priority="91" operator="containsText" text="허하나로">
      <formula>NOT(ISERROR(SEARCH("허하나로",H1156)))</formula>
    </cfRule>
    <cfRule type="containsText" dxfId="1258" priority="92" operator="containsText" text="한별">
      <formula>NOT(ISERROR(SEARCH("한별",H1156)))</formula>
    </cfRule>
    <cfRule type="containsText" dxfId="1257" priority="93" operator="containsText" text="정홍조">
      <formula>NOT(ISERROR(SEARCH("정홍조",H1156)))</formula>
    </cfRule>
    <cfRule type="containsText" dxfId="1256" priority="94" operator="containsText" text="김지윤">
      <formula>NOT(ISERROR(SEARCH("김지윤",H1156)))</formula>
    </cfRule>
    <cfRule type="containsText" dxfId="1255" priority="95" operator="containsText" text="전준영">
      <formula>NOT(ISERROR(SEARCH("전준영",H1156)))</formula>
    </cfRule>
    <cfRule type="containsText" dxfId="1254" priority="96" operator="containsText" text="차재성">
      <formula>NOT(ISERROR(SEARCH("차재성",H1156)))</formula>
    </cfRule>
  </conditionalFormatting>
  <conditionalFormatting sqref="J113:J114 J64">
    <cfRule type="containsText" dxfId="1253" priority="97" operator="containsText" text="허하나로">
      <formula>NOT(ISERROR(SEARCH("허하나로",H1106)))</formula>
    </cfRule>
    <cfRule type="containsText" dxfId="1252" priority="98" operator="containsText" text="한별">
      <formula>NOT(ISERROR(SEARCH("한별",H1106)))</formula>
    </cfRule>
    <cfRule type="containsText" dxfId="1251" priority="99" operator="containsText" text="정홍조">
      <formula>NOT(ISERROR(SEARCH("정홍조",H1106)))</formula>
    </cfRule>
    <cfRule type="containsText" dxfId="1250" priority="100" operator="containsText" text="김지윤">
      <formula>NOT(ISERROR(SEARCH("김지윤",H1106)))</formula>
    </cfRule>
    <cfRule type="containsText" dxfId="1249" priority="101" operator="containsText" text="전준영">
      <formula>NOT(ISERROR(SEARCH("전준영",H1106)))</formula>
    </cfRule>
    <cfRule type="containsText" dxfId="1248" priority="102" operator="containsText" text="차재성">
      <formula>NOT(ISERROR(SEARCH("차재성",H1106)))</formula>
    </cfRule>
  </conditionalFormatting>
  <conditionalFormatting sqref="J121">
    <cfRule type="containsText" dxfId="1247" priority="3373" operator="containsText" text="허하나로">
      <formula>NOT(ISERROR(SEARCH("허하나로",H1157)))</formula>
    </cfRule>
    <cfRule type="containsText" dxfId="1246" priority="3374" operator="containsText" text="한별">
      <formula>NOT(ISERROR(SEARCH("한별",H1157)))</formula>
    </cfRule>
    <cfRule type="containsText" dxfId="1245" priority="3375" operator="containsText" text="정홍조">
      <formula>NOT(ISERROR(SEARCH("정홍조",H1157)))</formula>
    </cfRule>
    <cfRule type="containsText" dxfId="1244" priority="3376" operator="containsText" text="김지윤">
      <formula>NOT(ISERROR(SEARCH("김지윤",H1157)))</formula>
    </cfRule>
    <cfRule type="containsText" dxfId="1243" priority="3377" operator="containsText" text="전준영">
      <formula>NOT(ISERROR(SEARCH("전준영",H1157)))</formula>
    </cfRule>
    <cfRule type="containsText" dxfId="1242" priority="3378" operator="containsText" text="차재성">
      <formula>NOT(ISERROR(SEARCH("차재성",H1157)))</formula>
    </cfRule>
  </conditionalFormatting>
  <conditionalFormatting sqref="J120">
    <cfRule type="containsText" dxfId="1241" priority="3385" operator="containsText" text="허하나로">
      <formula>NOT(ISERROR(SEARCH("허하나로",H1157)))</formula>
    </cfRule>
    <cfRule type="containsText" dxfId="1240" priority="3386" operator="containsText" text="한별">
      <formula>NOT(ISERROR(SEARCH("한별",H1157)))</formula>
    </cfRule>
    <cfRule type="containsText" dxfId="1239" priority="3387" operator="containsText" text="정홍조">
      <formula>NOT(ISERROR(SEARCH("정홍조",H1157)))</formula>
    </cfRule>
    <cfRule type="containsText" dxfId="1238" priority="3388" operator="containsText" text="김지윤">
      <formula>NOT(ISERROR(SEARCH("김지윤",H1157)))</formula>
    </cfRule>
    <cfRule type="containsText" dxfId="1237" priority="3389" operator="containsText" text="전준영">
      <formula>NOT(ISERROR(SEARCH("전준영",H1157)))</formula>
    </cfRule>
    <cfRule type="containsText" dxfId="1236" priority="3390" operator="containsText" text="차재성">
      <formula>NOT(ISERROR(SEARCH("차재성",H1157)))</formula>
    </cfRule>
  </conditionalFormatting>
  <conditionalFormatting sqref="J23">
    <cfRule type="containsText" dxfId="1235" priority="37" operator="containsText" text="허하나로">
      <formula>NOT(ISERROR(SEARCH("허하나로",H1107)))</formula>
    </cfRule>
    <cfRule type="containsText" dxfId="1234" priority="38" operator="containsText" text="한별">
      <formula>NOT(ISERROR(SEARCH("한별",H1107)))</formula>
    </cfRule>
    <cfRule type="containsText" dxfId="1233" priority="39" operator="containsText" text="정홍조">
      <formula>NOT(ISERROR(SEARCH("정홍조",H1107)))</formula>
    </cfRule>
    <cfRule type="containsText" dxfId="1232" priority="40" operator="containsText" text="김지윤">
      <formula>NOT(ISERROR(SEARCH("김지윤",H1107)))</formula>
    </cfRule>
    <cfRule type="containsText" dxfId="1231" priority="41" operator="containsText" text="전준영">
      <formula>NOT(ISERROR(SEARCH("전준영",H1107)))</formula>
    </cfRule>
    <cfRule type="containsText" dxfId="1230" priority="42" operator="containsText" text="차재성">
      <formula>NOT(ISERROR(SEARCH("차재성",H1107)))</formula>
    </cfRule>
  </conditionalFormatting>
  <conditionalFormatting sqref="J27">
    <cfRule type="containsText" dxfId="1229" priority="19" operator="containsText" text="허하나로">
      <formula>NOT(ISERROR(SEARCH("허하나로",H1111)))</formula>
    </cfRule>
    <cfRule type="containsText" dxfId="1228" priority="20" operator="containsText" text="한별">
      <formula>NOT(ISERROR(SEARCH("한별",H1111)))</formula>
    </cfRule>
    <cfRule type="containsText" dxfId="1227" priority="21" operator="containsText" text="정홍조">
      <formula>NOT(ISERROR(SEARCH("정홍조",H1111)))</formula>
    </cfRule>
    <cfRule type="containsText" dxfId="1226" priority="22" operator="containsText" text="김지윤">
      <formula>NOT(ISERROR(SEARCH("김지윤",H1111)))</formula>
    </cfRule>
    <cfRule type="containsText" dxfId="1225" priority="23" operator="containsText" text="전준영">
      <formula>NOT(ISERROR(SEARCH("전준영",H1111)))</formula>
    </cfRule>
    <cfRule type="containsText" dxfId="1224" priority="24" operator="containsText" text="차재성">
      <formula>NOT(ISERROR(SEARCH("차재성",H1111)))</formula>
    </cfRule>
  </conditionalFormatting>
  <conditionalFormatting sqref="J26">
    <cfRule type="containsText" dxfId="1223" priority="25" operator="containsText" text="허하나로">
      <formula>NOT(ISERROR(SEARCH("허하나로",H1111)))</formula>
    </cfRule>
    <cfRule type="containsText" dxfId="1222" priority="26" operator="containsText" text="한별">
      <formula>NOT(ISERROR(SEARCH("한별",H1111)))</formula>
    </cfRule>
    <cfRule type="containsText" dxfId="1221" priority="27" operator="containsText" text="정홍조">
      <formula>NOT(ISERROR(SEARCH("정홍조",H1111)))</formula>
    </cfRule>
    <cfRule type="containsText" dxfId="1220" priority="28" operator="containsText" text="김지윤">
      <formula>NOT(ISERROR(SEARCH("김지윤",H1111)))</formula>
    </cfRule>
    <cfRule type="containsText" dxfId="1219" priority="29" operator="containsText" text="전준영">
      <formula>NOT(ISERROR(SEARCH("전준영",H1111)))</formula>
    </cfRule>
    <cfRule type="containsText" dxfId="1218" priority="30" operator="containsText" text="차재성">
      <formula>NOT(ISERROR(SEARCH("차재성",H1111)))</formula>
    </cfRule>
  </conditionalFormatting>
  <conditionalFormatting sqref="J36">
    <cfRule type="containsText" dxfId="1217" priority="3979" operator="containsText" text="허하나로">
      <formula>NOT(ISERROR(SEARCH("허하나로",H1105)))</formula>
    </cfRule>
    <cfRule type="containsText" dxfId="1216" priority="3980" operator="containsText" text="한별">
      <formula>NOT(ISERROR(SEARCH("한별",H1105)))</formula>
    </cfRule>
    <cfRule type="containsText" dxfId="1215" priority="3981" operator="containsText" text="정홍조">
      <formula>NOT(ISERROR(SEARCH("정홍조",H1105)))</formula>
    </cfRule>
    <cfRule type="containsText" dxfId="1214" priority="3982" operator="containsText" text="김지윤">
      <formula>NOT(ISERROR(SEARCH("김지윤",H1105)))</formula>
    </cfRule>
    <cfRule type="containsText" dxfId="1213" priority="3983" operator="containsText" text="전준영">
      <formula>NOT(ISERROR(SEARCH("전준영",H1105)))</formula>
    </cfRule>
    <cfRule type="containsText" dxfId="1212" priority="3984" operator="containsText" text="차재성">
      <formula>NOT(ISERROR(SEARCH("차재성",H1105)))</formula>
    </cfRule>
  </conditionalFormatting>
  <conditionalFormatting sqref="J61">
    <cfRule type="containsText" dxfId="1211" priority="3991" operator="containsText" text="허하나로">
      <formula>NOT(ISERROR(SEARCH("허하나로",H1106)))</formula>
    </cfRule>
    <cfRule type="containsText" dxfId="1210" priority="3992" operator="containsText" text="한별">
      <formula>NOT(ISERROR(SEARCH("한별",H1106)))</formula>
    </cfRule>
    <cfRule type="containsText" dxfId="1209" priority="3993" operator="containsText" text="정홍조">
      <formula>NOT(ISERROR(SEARCH("정홍조",H1106)))</formula>
    </cfRule>
    <cfRule type="containsText" dxfId="1208" priority="3994" operator="containsText" text="김지윤">
      <formula>NOT(ISERROR(SEARCH("김지윤",H1106)))</formula>
    </cfRule>
    <cfRule type="containsText" dxfId="1207" priority="3995" operator="containsText" text="전준영">
      <formula>NOT(ISERROR(SEARCH("전준영",H1106)))</formula>
    </cfRule>
    <cfRule type="containsText" dxfId="1206" priority="3996" operator="containsText" text="차재성">
      <formula>NOT(ISERROR(SEARCH("차재성",H1106)))</formula>
    </cfRule>
  </conditionalFormatting>
  <conditionalFormatting sqref="J60">
    <cfRule type="containsText" dxfId="1205" priority="3997" operator="containsText" text="허하나로">
      <formula>NOT(ISERROR(SEARCH("허하나로",H1106)))</formula>
    </cfRule>
    <cfRule type="containsText" dxfId="1204" priority="3998" operator="containsText" text="한별">
      <formula>NOT(ISERROR(SEARCH("한별",H1106)))</formula>
    </cfRule>
    <cfRule type="containsText" dxfId="1203" priority="3999" operator="containsText" text="정홍조">
      <formula>NOT(ISERROR(SEARCH("정홍조",H1106)))</formula>
    </cfRule>
    <cfRule type="containsText" dxfId="1202" priority="4000" operator="containsText" text="김지윤">
      <formula>NOT(ISERROR(SEARCH("김지윤",H1106)))</formula>
    </cfRule>
    <cfRule type="containsText" dxfId="1201" priority="4001" operator="containsText" text="전준영">
      <formula>NOT(ISERROR(SEARCH("전준영",H1106)))</formula>
    </cfRule>
    <cfRule type="containsText" dxfId="1200" priority="4002" operator="containsText" text="차재성">
      <formula>NOT(ISERROR(SEARCH("차재성",H1106)))</formula>
    </cfRule>
  </conditionalFormatting>
  <conditionalFormatting sqref="J78:J80">
    <cfRule type="containsText" dxfId="1199" priority="4027" operator="containsText" text="허하나로">
      <formula>NOT(ISERROR(SEARCH("허하나로",H1108)))</formula>
    </cfRule>
    <cfRule type="containsText" dxfId="1198" priority="4028" operator="containsText" text="한별">
      <formula>NOT(ISERROR(SEARCH("한별",H1108)))</formula>
    </cfRule>
    <cfRule type="containsText" dxfId="1197" priority="4029" operator="containsText" text="정홍조">
      <formula>NOT(ISERROR(SEARCH("정홍조",H1108)))</formula>
    </cfRule>
    <cfRule type="containsText" dxfId="1196" priority="4030" operator="containsText" text="김지윤">
      <formula>NOT(ISERROR(SEARCH("김지윤",H1108)))</formula>
    </cfRule>
    <cfRule type="containsText" dxfId="1195" priority="4031" operator="containsText" text="전준영">
      <formula>NOT(ISERROR(SEARCH("전준영",H1108)))</formula>
    </cfRule>
    <cfRule type="containsText" dxfId="1194" priority="4032" operator="containsText" text="차재성">
      <formula>NOT(ISERROR(SEARCH("차재성",H1108)))</formula>
    </cfRule>
  </conditionalFormatting>
  <pageMargins left="0.70866141732283472" right="0.70866141732283472" top="0.74803149606299213" bottom="0.74803149606299213" header="0.31496062992125984" footer="0.31496062992125984"/>
  <pageSetup paperSize="9" scale="68" fitToHeight="0" orientation="landscape" r:id="rId1"/>
  <rowBreaks count="2" manualBreakCount="2">
    <brk id="41" max="16383" man="1"/>
    <brk id="82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O68"/>
  <sheetViews>
    <sheetView zoomScale="85" zoomScaleNormal="85" workbookViewId="0">
      <selection activeCell="B7" sqref="B7"/>
    </sheetView>
  </sheetViews>
  <sheetFormatPr defaultRowHeight="16.5"/>
  <cols>
    <col min="1" max="6" width="3.875" customWidth="1"/>
    <col min="7" max="7" width="32.625" customWidth="1"/>
    <col min="8" max="10" width="14.625" customWidth="1"/>
    <col min="11" max="11" width="57.5" customWidth="1"/>
    <col min="12" max="12" width="3.875" customWidth="1"/>
    <col min="13" max="13" width="14.625" customWidth="1"/>
  </cols>
  <sheetData>
    <row r="1" spans="1:15" ht="17.25" thickBot="1">
      <c r="A1" s="86" t="s">
        <v>137</v>
      </c>
      <c r="B1" s="40"/>
      <c r="C1" s="86"/>
      <c r="D1" s="86"/>
      <c r="E1" s="86"/>
      <c r="F1" s="86"/>
      <c r="G1" s="167"/>
      <c r="H1" s="168"/>
      <c r="I1" s="168"/>
      <c r="J1" s="167"/>
      <c r="K1" s="167"/>
      <c r="L1" s="167"/>
      <c r="M1" s="166" t="s">
        <v>28</v>
      </c>
    </row>
    <row r="2" spans="1:15" ht="16.5" customHeight="1">
      <c r="A2" s="423" t="s">
        <v>17</v>
      </c>
      <c r="B2" s="425" t="s">
        <v>18</v>
      </c>
      <c r="C2" s="426"/>
      <c r="D2" s="427"/>
      <c r="E2" s="425" t="s">
        <v>19</v>
      </c>
      <c r="F2" s="426"/>
      <c r="G2" s="427"/>
      <c r="H2" s="403" t="s">
        <v>544</v>
      </c>
      <c r="I2" s="403" t="s">
        <v>545</v>
      </c>
      <c r="J2" s="428" t="s">
        <v>546</v>
      </c>
      <c r="K2" s="414" t="s">
        <v>1</v>
      </c>
      <c r="L2" s="415"/>
      <c r="M2" s="416"/>
    </row>
    <row r="3" spans="1:15" ht="17.25" thickBot="1">
      <c r="A3" s="424"/>
      <c r="B3" s="113" t="s">
        <v>20</v>
      </c>
      <c r="C3" s="113" t="s">
        <v>21</v>
      </c>
      <c r="D3" s="113" t="s">
        <v>22</v>
      </c>
      <c r="E3" s="113" t="s">
        <v>23</v>
      </c>
      <c r="F3" s="113" t="s">
        <v>24</v>
      </c>
      <c r="G3" s="113" t="s">
        <v>25</v>
      </c>
      <c r="H3" s="404"/>
      <c r="I3" s="432"/>
      <c r="J3" s="429"/>
      <c r="K3" s="417"/>
      <c r="L3" s="418"/>
      <c r="M3" s="419"/>
    </row>
    <row r="4" spans="1:15" ht="17.25" thickBot="1">
      <c r="A4" s="420" t="s">
        <v>111</v>
      </c>
      <c r="B4" s="421"/>
      <c r="C4" s="421"/>
      <c r="D4" s="421"/>
      <c r="E4" s="421"/>
      <c r="F4" s="421"/>
      <c r="G4" s="422"/>
      <c r="H4" s="169">
        <f>H5</f>
        <v>261892</v>
      </c>
      <c r="I4" s="169">
        <v>151892</v>
      </c>
      <c r="J4" s="114">
        <f>H4-I4</f>
        <v>110000</v>
      </c>
      <c r="K4" s="87"/>
      <c r="L4" s="88"/>
      <c r="M4" s="115"/>
    </row>
    <row r="5" spans="1:15">
      <c r="A5" s="190" t="s">
        <v>2</v>
      </c>
      <c r="B5" s="116"/>
      <c r="C5" s="117"/>
      <c r="D5" s="117"/>
      <c r="E5" s="117"/>
      <c r="F5" s="117"/>
      <c r="G5" s="118"/>
      <c r="H5" s="92">
        <f>H6</f>
        <v>261892</v>
      </c>
      <c r="I5" s="92">
        <v>151892</v>
      </c>
      <c r="J5" s="93">
        <f t="shared" ref="J5:J11" si="0">H5-I5</f>
        <v>110000</v>
      </c>
      <c r="K5" s="78"/>
      <c r="L5" s="79"/>
      <c r="M5" s="80"/>
    </row>
    <row r="6" spans="1:15">
      <c r="A6" s="10"/>
      <c r="B6" s="123" t="s">
        <v>227</v>
      </c>
      <c r="C6" s="123"/>
      <c r="D6" s="124"/>
      <c r="E6" s="124"/>
      <c r="F6" s="124"/>
      <c r="G6" s="125"/>
      <c r="H6" s="92">
        <f>SUM(H7,H25,H31,H49)</f>
        <v>261892</v>
      </c>
      <c r="I6" s="92">
        <v>151892</v>
      </c>
      <c r="J6" s="93">
        <f t="shared" si="0"/>
        <v>110000</v>
      </c>
      <c r="K6" s="78"/>
      <c r="L6" s="79"/>
      <c r="M6" s="80"/>
    </row>
    <row r="7" spans="1:15">
      <c r="A7" s="10"/>
      <c r="B7" s="6"/>
      <c r="C7" s="123" t="s">
        <v>105</v>
      </c>
      <c r="D7" s="124"/>
      <c r="E7" s="124"/>
      <c r="F7" s="124"/>
      <c r="G7" s="125"/>
      <c r="H7" s="92">
        <f>H8+H14</f>
        <v>38600</v>
      </c>
      <c r="I7" s="92">
        <v>28600</v>
      </c>
      <c r="J7" s="93">
        <f t="shared" si="0"/>
        <v>10000</v>
      </c>
      <c r="K7" s="78"/>
      <c r="L7" s="79"/>
      <c r="M7" s="80"/>
    </row>
    <row r="8" spans="1:15">
      <c r="A8" s="10"/>
      <c r="B8" s="6"/>
      <c r="C8" s="7"/>
      <c r="D8" s="354" t="s">
        <v>550</v>
      </c>
      <c r="E8" s="124"/>
      <c r="F8" s="124"/>
      <c r="G8" s="125"/>
      <c r="H8" s="126">
        <f>SUM(H9)</f>
        <v>10000</v>
      </c>
      <c r="I8" s="126">
        <v>0</v>
      </c>
      <c r="J8" s="93">
        <f t="shared" si="0"/>
        <v>10000</v>
      </c>
      <c r="K8" s="363"/>
      <c r="L8" s="127"/>
      <c r="M8" s="266"/>
    </row>
    <row r="9" spans="1:15">
      <c r="A9" s="10"/>
      <c r="B9" s="6"/>
      <c r="C9" s="128"/>
      <c r="D9" s="129"/>
      <c r="E9" s="123" t="s">
        <v>551</v>
      </c>
      <c r="F9" s="124"/>
      <c r="G9" s="125"/>
      <c r="H9" s="89">
        <f>SUM(H10)</f>
        <v>10000</v>
      </c>
      <c r="I9" s="89">
        <v>0</v>
      </c>
      <c r="J9" s="93">
        <f t="shared" si="0"/>
        <v>10000</v>
      </c>
      <c r="K9" s="364"/>
      <c r="L9" s="91"/>
      <c r="M9" s="268"/>
    </row>
    <row r="10" spans="1:15">
      <c r="A10" s="62"/>
      <c r="B10" s="64"/>
      <c r="C10" s="170"/>
      <c r="D10" s="171"/>
      <c r="E10" s="171"/>
      <c r="F10" s="130" t="s">
        <v>552</v>
      </c>
      <c r="G10" s="173"/>
      <c r="H10" s="71">
        <f>H11</f>
        <v>10000</v>
      </c>
      <c r="I10" s="71">
        <v>0</v>
      </c>
      <c r="J10" s="269">
        <f t="shared" si="0"/>
        <v>10000</v>
      </c>
      <c r="K10" s="365"/>
      <c r="L10" s="366"/>
      <c r="M10" s="367"/>
    </row>
    <row r="11" spans="1:15">
      <c r="A11" s="62"/>
      <c r="B11" s="64"/>
      <c r="C11" s="64"/>
      <c r="D11" s="139"/>
      <c r="E11" s="174"/>
      <c r="F11" s="174"/>
      <c r="G11" s="67" t="s">
        <v>553</v>
      </c>
      <c r="H11" s="72">
        <f>M11</f>
        <v>10000</v>
      </c>
      <c r="I11" s="72">
        <v>0</v>
      </c>
      <c r="J11" s="271">
        <f t="shared" si="0"/>
        <v>10000</v>
      </c>
      <c r="K11" s="368" t="s">
        <v>554</v>
      </c>
      <c r="L11" s="41"/>
      <c r="M11" s="369">
        <f>M13</f>
        <v>10000</v>
      </c>
    </row>
    <row r="12" spans="1:15">
      <c r="A12" s="62"/>
      <c r="B12" s="64"/>
      <c r="C12" s="64"/>
      <c r="D12" s="139"/>
      <c r="E12" s="174"/>
      <c r="F12" s="174"/>
      <c r="G12" s="67"/>
      <c r="H12" s="73"/>
      <c r="I12" s="73"/>
      <c r="J12" s="73"/>
      <c r="K12" s="370" t="s">
        <v>555</v>
      </c>
      <c r="L12" s="42"/>
      <c r="M12" s="371"/>
    </row>
    <row r="13" spans="1:15" s="377" customFormat="1">
      <c r="A13" s="372"/>
      <c r="B13" s="373"/>
      <c r="C13" s="373"/>
      <c r="D13" s="374"/>
      <c r="E13" s="375"/>
      <c r="F13" s="375"/>
      <c r="G13" s="376"/>
      <c r="H13" s="47"/>
      <c r="I13" s="47"/>
      <c r="J13" s="47"/>
      <c r="K13" s="380" t="s">
        <v>556</v>
      </c>
      <c r="L13" s="381" t="s">
        <v>0</v>
      </c>
      <c r="M13" s="382">
        <v>10000</v>
      </c>
      <c r="O13" s="378"/>
    </row>
    <row r="14" spans="1:15">
      <c r="A14" s="10"/>
      <c r="B14" s="6"/>
      <c r="C14" s="6"/>
      <c r="D14" s="123" t="s">
        <v>252</v>
      </c>
      <c r="E14" s="124"/>
      <c r="F14" s="124"/>
      <c r="G14" s="125"/>
      <c r="H14" s="126">
        <f>H15</f>
        <v>28600</v>
      </c>
      <c r="I14" s="126">
        <v>28600</v>
      </c>
      <c r="J14" s="90">
        <f>H14-I14</f>
        <v>0</v>
      </c>
      <c r="K14" s="379"/>
      <c r="L14" s="127"/>
      <c r="M14" s="80"/>
    </row>
    <row r="15" spans="1:15">
      <c r="A15" s="10"/>
      <c r="B15" s="6"/>
      <c r="C15" s="128"/>
      <c r="D15" s="129"/>
      <c r="E15" s="123" t="s">
        <v>27</v>
      </c>
      <c r="F15" s="124"/>
      <c r="G15" s="125"/>
      <c r="H15" s="89">
        <f>SUM(H16)</f>
        <v>28600</v>
      </c>
      <c r="I15" s="89">
        <v>28600</v>
      </c>
      <c r="J15" s="90">
        <f>H15-I15</f>
        <v>0</v>
      </c>
      <c r="K15" s="84"/>
      <c r="L15" s="91"/>
      <c r="M15" s="228"/>
    </row>
    <row r="16" spans="1:15">
      <c r="A16" s="62"/>
      <c r="B16" s="64"/>
      <c r="C16" s="64"/>
      <c r="D16" s="64"/>
      <c r="E16" s="64"/>
      <c r="F16" s="130" t="s">
        <v>59</v>
      </c>
      <c r="G16" s="134"/>
      <c r="H16" s="71">
        <f>SUM(H17,H21,H23)</f>
        <v>28600</v>
      </c>
      <c r="I16" s="71">
        <v>28600</v>
      </c>
      <c r="J16" s="96">
        <f>H16-I16</f>
        <v>0</v>
      </c>
      <c r="K16" s="138"/>
      <c r="L16" s="35"/>
      <c r="M16" s="229"/>
    </row>
    <row r="17" spans="1:13">
      <c r="A17" s="62"/>
      <c r="B17" s="64"/>
      <c r="C17" s="64"/>
      <c r="D17" s="64"/>
      <c r="E17" s="64"/>
      <c r="F17" s="137"/>
      <c r="G17" s="64" t="s">
        <v>32</v>
      </c>
      <c r="H17" s="75">
        <f>M17</f>
        <v>28000</v>
      </c>
      <c r="I17" s="75">
        <v>28000</v>
      </c>
      <c r="J17" s="45">
        <f>H17-I17</f>
        <v>0</v>
      </c>
      <c r="K17" s="33" t="s">
        <v>60</v>
      </c>
      <c r="L17" s="36"/>
      <c r="M17" s="209">
        <f>SUM(M18:M20)</f>
        <v>28000</v>
      </c>
    </row>
    <row r="18" spans="1:13">
      <c r="A18" s="62"/>
      <c r="B18" s="64"/>
      <c r="C18" s="64"/>
      <c r="D18" s="64"/>
      <c r="E18" s="64"/>
      <c r="F18" s="137"/>
      <c r="G18" s="64"/>
      <c r="H18" s="75"/>
      <c r="I18" s="75"/>
      <c r="J18" s="45"/>
      <c r="K18" s="204" t="s">
        <v>442</v>
      </c>
      <c r="L18" s="49" t="s">
        <v>387</v>
      </c>
      <c r="M18" s="175">
        <v>14400</v>
      </c>
    </row>
    <row r="19" spans="1:13">
      <c r="A19" s="62"/>
      <c r="B19" s="64"/>
      <c r="C19" s="64"/>
      <c r="D19" s="64"/>
      <c r="E19" s="64"/>
      <c r="F19" s="137"/>
      <c r="G19" s="64"/>
      <c r="H19" s="75"/>
      <c r="I19" s="75"/>
      <c r="J19" s="45"/>
      <c r="K19" s="204" t="s">
        <v>443</v>
      </c>
      <c r="L19" s="187" t="s">
        <v>0</v>
      </c>
      <c r="M19" s="175">
        <v>9600</v>
      </c>
    </row>
    <row r="20" spans="1:13">
      <c r="A20" s="62"/>
      <c r="B20" s="64"/>
      <c r="C20" s="64"/>
      <c r="D20" s="64"/>
      <c r="E20" s="64"/>
      <c r="F20" s="137"/>
      <c r="G20" s="64"/>
      <c r="H20" s="75"/>
      <c r="I20" s="75"/>
      <c r="J20" s="46"/>
      <c r="K20" s="204" t="s">
        <v>441</v>
      </c>
      <c r="L20" s="187" t="s">
        <v>0</v>
      </c>
      <c r="M20" s="175">
        <v>4000</v>
      </c>
    </row>
    <row r="21" spans="1:13">
      <c r="A21" s="62"/>
      <c r="B21" s="64"/>
      <c r="C21" s="64"/>
      <c r="D21" s="64"/>
      <c r="E21" s="64"/>
      <c r="F21" s="137"/>
      <c r="G21" s="63" t="s">
        <v>61</v>
      </c>
      <c r="H21" s="74">
        <f>M21</f>
        <v>300</v>
      </c>
      <c r="I21" s="74">
        <v>300</v>
      </c>
      <c r="J21" s="45">
        <f>H21-I21</f>
        <v>0</v>
      </c>
      <c r="K21" s="33" t="s">
        <v>62</v>
      </c>
      <c r="L21" s="36"/>
      <c r="M21" s="209">
        <f>M22</f>
        <v>300</v>
      </c>
    </row>
    <row r="22" spans="1:13">
      <c r="A22" s="62"/>
      <c r="B22" s="64"/>
      <c r="C22" s="64"/>
      <c r="D22" s="64"/>
      <c r="E22" s="64"/>
      <c r="F22" s="137"/>
      <c r="G22" s="66"/>
      <c r="H22" s="76"/>
      <c r="I22" s="76"/>
      <c r="J22" s="46"/>
      <c r="K22" s="206" t="s">
        <v>444</v>
      </c>
      <c r="L22" s="189" t="s">
        <v>0</v>
      </c>
      <c r="M22" s="175">
        <v>300</v>
      </c>
    </row>
    <row r="23" spans="1:13">
      <c r="A23" s="62"/>
      <c r="B23" s="64"/>
      <c r="C23" s="64"/>
      <c r="D23" s="64"/>
      <c r="E23" s="64"/>
      <c r="F23" s="137"/>
      <c r="G23" s="64" t="s">
        <v>64</v>
      </c>
      <c r="H23" s="75">
        <f>M23</f>
        <v>300</v>
      </c>
      <c r="I23" s="75">
        <v>300</v>
      </c>
      <c r="J23" s="45">
        <f>H23-I23</f>
        <v>0</v>
      </c>
      <c r="K23" s="203" t="s">
        <v>63</v>
      </c>
      <c r="L23" s="49"/>
      <c r="M23" s="209">
        <f>M24</f>
        <v>300</v>
      </c>
    </row>
    <row r="24" spans="1:13">
      <c r="A24" s="62"/>
      <c r="B24" s="64"/>
      <c r="C24" s="64"/>
      <c r="D24" s="64"/>
      <c r="E24" s="64"/>
      <c r="F24" s="137"/>
      <c r="G24" s="64"/>
      <c r="H24" s="75"/>
      <c r="I24" s="70"/>
      <c r="J24" s="45"/>
      <c r="K24" s="206" t="s">
        <v>493</v>
      </c>
      <c r="L24" s="189" t="s">
        <v>0</v>
      </c>
      <c r="M24" s="181">
        <v>300</v>
      </c>
    </row>
    <row r="25" spans="1:13">
      <c r="A25" s="10"/>
      <c r="B25" s="6"/>
      <c r="C25" s="123" t="s">
        <v>106</v>
      </c>
      <c r="D25" s="124"/>
      <c r="E25" s="124"/>
      <c r="F25" s="124"/>
      <c r="G25" s="125"/>
      <c r="H25" s="89">
        <f>H26</f>
        <v>50000</v>
      </c>
      <c r="I25" s="92">
        <v>50000</v>
      </c>
      <c r="J25" s="90">
        <f t="shared" ref="J25" si="1">H25-I25</f>
        <v>0</v>
      </c>
      <c r="K25" s="78"/>
      <c r="L25" s="79"/>
      <c r="M25" s="80"/>
    </row>
    <row r="26" spans="1:13">
      <c r="A26" s="10"/>
      <c r="B26" s="6"/>
      <c r="C26" s="6"/>
      <c r="D26" s="123" t="s">
        <v>52</v>
      </c>
      <c r="E26" s="124"/>
      <c r="F26" s="124"/>
      <c r="G26" s="125"/>
      <c r="H26" s="126">
        <f>H27</f>
        <v>50000</v>
      </c>
      <c r="I26" s="126">
        <v>50000</v>
      </c>
      <c r="J26" s="90">
        <f>H26-I26</f>
        <v>0</v>
      </c>
      <c r="K26" s="81"/>
      <c r="L26" s="143"/>
      <c r="M26" s="80"/>
    </row>
    <row r="27" spans="1:13">
      <c r="A27" s="10"/>
      <c r="B27" s="6"/>
      <c r="C27" s="128"/>
      <c r="D27" s="129"/>
      <c r="E27" s="123" t="s">
        <v>27</v>
      </c>
      <c r="F27" s="124"/>
      <c r="G27" s="125"/>
      <c r="H27" s="89">
        <f>H28</f>
        <v>50000</v>
      </c>
      <c r="I27" s="89">
        <v>50000</v>
      </c>
      <c r="J27" s="90">
        <f>H27-I27</f>
        <v>0</v>
      </c>
      <c r="K27" s="84"/>
      <c r="L27" s="91"/>
      <c r="M27" s="82"/>
    </row>
    <row r="28" spans="1:13">
      <c r="A28" s="62"/>
      <c r="B28" s="64"/>
      <c r="C28" s="64"/>
      <c r="D28" s="64"/>
      <c r="E28" s="64"/>
      <c r="F28" s="130" t="s">
        <v>53</v>
      </c>
      <c r="G28" s="134"/>
      <c r="H28" s="71">
        <f>H29</f>
        <v>50000</v>
      </c>
      <c r="I28" s="71">
        <v>50000</v>
      </c>
      <c r="J28" s="96">
        <f>H28-I28</f>
        <v>0</v>
      </c>
      <c r="K28" s="138"/>
      <c r="L28" s="35"/>
      <c r="M28" s="34"/>
    </row>
    <row r="29" spans="1:13">
      <c r="A29" s="62"/>
      <c r="B29" s="64"/>
      <c r="C29" s="64"/>
      <c r="D29" s="64"/>
      <c r="E29" s="64"/>
      <c r="F29" s="137"/>
      <c r="G29" s="64" t="s">
        <v>54</v>
      </c>
      <c r="H29" s="75">
        <f>M29</f>
        <v>50000</v>
      </c>
      <c r="I29" s="75">
        <v>50000</v>
      </c>
      <c r="J29" s="45">
        <f>H29-I29</f>
        <v>0</v>
      </c>
      <c r="K29" s="33" t="s">
        <v>55</v>
      </c>
      <c r="L29" s="36"/>
      <c r="M29" s="209">
        <f>SUM(M30:M30)</f>
        <v>50000</v>
      </c>
    </row>
    <row r="30" spans="1:13">
      <c r="A30" s="62"/>
      <c r="B30" s="64"/>
      <c r="C30" s="64"/>
      <c r="D30" s="64"/>
      <c r="E30" s="64"/>
      <c r="F30" s="137"/>
      <c r="G30" s="64"/>
      <c r="H30" s="75"/>
      <c r="I30" s="75"/>
      <c r="J30" s="45"/>
      <c r="K30" s="206" t="s">
        <v>349</v>
      </c>
      <c r="L30" s="189" t="s">
        <v>0</v>
      </c>
      <c r="M30" s="175">
        <v>50000</v>
      </c>
    </row>
    <row r="31" spans="1:13">
      <c r="A31" s="10"/>
      <c r="B31" s="6"/>
      <c r="C31" s="164" t="s">
        <v>242</v>
      </c>
      <c r="D31" s="124"/>
      <c r="E31" s="124"/>
      <c r="F31" s="124"/>
      <c r="G31" s="125"/>
      <c r="H31" s="89">
        <f>H32</f>
        <v>28292</v>
      </c>
      <c r="I31" s="89">
        <v>28292</v>
      </c>
      <c r="J31" s="90">
        <f>H31-I31</f>
        <v>0</v>
      </c>
      <c r="K31" s="153"/>
      <c r="L31" s="143"/>
      <c r="M31" s="144"/>
    </row>
    <row r="32" spans="1:13">
      <c r="A32" s="10"/>
      <c r="B32" s="6"/>
      <c r="C32" s="141"/>
      <c r="D32" s="123" t="s">
        <v>30</v>
      </c>
      <c r="E32" s="124"/>
      <c r="F32" s="124"/>
      <c r="G32" s="125"/>
      <c r="H32" s="126">
        <f>H33</f>
        <v>28292</v>
      </c>
      <c r="I32" s="126">
        <v>28292</v>
      </c>
      <c r="J32" s="9">
        <f>H32-I32</f>
        <v>0</v>
      </c>
      <c r="K32" s="142"/>
      <c r="L32" s="143"/>
      <c r="M32" s="144"/>
    </row>
    <row r="33" spans="1:13">
      <c r="A33" s="10"/>
      <c r="B33" s="6"/>
      <c r="C33" s="128"/>
      <c r="D33" s="129"/>
      <c r="E33" s="123" t="s">
        <v>29</v>
      </c>
      <c r="F33" s="124"/>
      <c r="G33" s="125"/>
      <c r="H33" s="89">
        <f>SUM(H34,H39,H43,H46)</f>
        <v>28292</v>
      </c>
      <c r="I33" s="89">
        <v>28292</v>
      </c>
      <c r="J33" s="90">
        <f>H33-I33</f>
        <v>0</v>
      </c>
      <c r="K33" s="84"/>
      <c r="L33" s="91"/>
      <c r="M33" s="82"/>
    </row>
    <row r="34" spans="1:13">
      <c r="A34" s="62"/>
      <c r="B34" s="64"/>
      <c r="C34" s="64"/>
      <c r="D34" s="64"/>
      <c r="E34" s="64"/>
      <c r="F34" s="130" t="s">
        <v>31</v>
      </c>
      <c r="G34" s="134"/>
      <c r="H34" s="71">
        <f>H35+H37</f>
        <v>9792</v>
      </c>
      <c r="I34" s="71">
        <v>9792</v>
      </c>
      <c r="J34" s="96">
        <f>H34-I34</f>
        <v>0</v>
      </c>
      <c r="K34" s="138"/>
      <c r="L34" s="35"/>
      <c r="M34" s="34"/>
    </row>
    <row r="35" spans="1:13">
      <c r="A35" s="53"/>
      <c r="B35" s="55"/>
      <c r="C35" s="64"/>
      <c r="D35" s="64"/>
      <c r="E35" s="64"/>
      <c r="F35" s="176"/>
      <c r="G35" s="193" t="s">
        <v>32</v>
      </c>
      <c r="H35" s="194">
        <f>M35</f>
        <v>2880</v>
      </c>
      <c r="I35" s="194">
        <v>2880</v>
      </c>
      <c r="J35" s="38">
        <f>H35-I35</f>
        <v>0</v>
      </c>
      <c r="K35" s="33" t="s">
        <v>50</v>
      </c>
      <c r="L35" s="196"/>
      <c r="M35" s="209">
        <f>SUM(M36:M36)</f>
        <v>2880</v>
      </c>
    </row>
    <row r="36" spans="1:13">
      <c r="A36" s="53"/>
      <c r="B36" s="55"/>
      <c r="C36" s="64"/>
      <c r="D36" s="64"/>
      <c r="E36" s="64"/>
      <c r="F36" s="54"/>
      <c r="G36" s="191"/>
      <c r="H36" s="98"/>
      <c r="I36" s="98"/>
      <c r="J36" s="100"/>
      <c r="K36" s="192" t="s">
        <v>366</v>
      </c>
      <c r="L36" s="189" t="s">
        <v>33</v>
      </c>
      <c r="M36" s="175">
        <v>2880</v>
      </c>
    </row>
    <row r="37" spans="1:13">
      <c r="A37" s="53"/>
      <c r="B37" s="55"/>
      <c r="C37" s="64"/>
      <c r="D37" s="64"/>
      <c r="E37" s="64"/>
      <c r="F37" s="214"/>
      <c r="G37" s="54" t="s">
        <v>109</v>
      </c>
      <c r="H37" s="194">
        <f>M37</f>
        <v>6912</v>
      </c>
      <c r="I37" s="194">
        <v>6912</v>
      </c>
      <c r="J37" s="38">
        <f>H37-I37</f>
        <v>0</v>
      </c>
      <c r="K37" s="203" t="s">
        <v>108</v>
      </c>
      <c r="L37" s="196"/>
      <c r="M37" s="209">
        <f>SUM(M38:M38)</f>
        <v>6912</v>
      </c>
    </row>
    <row r="38" spans="1:13">
      <c r="A38" s="53"/>
      <c r="B38" s="55"/>
      <c r="C38" s="64"/>
      <c r="D38" s="64"/>
      <c r="E38" s="64"/>
      <c r="F38" s="54"/>
      <c r="G38" s="54"/>
      <c r="H38" s="98"/>
      <c r="I38" s="98"/>
      <c r="J38" s="100"/>
      <c r="K38" s="206" t="s">
        <v>351</v>
      </c>
      <c r="L38" s="189" t="s">
        <v>33</v>
      </c>
      <c r="M38" s="175">
        <v>6912</v>
      </c>
    </row>
    <row r="39" spans="1:13">
      <c r="A39" s="62"/>
      <c r="B39" s="64"/>
      <c r="C39" s="64"/>
      <c r="D39" s="64"/>
      <c r="E39" s="64"/>
      <c r="F39" s="430" t="s">
        <v>36</v>
      </c>
      <c r="G39" s="431"/>
      <c r="H39" s="146">
        <f>H40</f>
        <v>14400</v>
      </c>
      <c r="I39" s="71">
        <v>14400</v>
      </c>
      <c r="J39" s="147">
        <f>H39-I39</f>
        <v>0</v>
      </c>
      <c r="K39" s="348"/>
      <c r="L39" s="459"/>
      <c r="M39" s="57"/>
    </row>
    <row r="40" spans="1:13">
      <c r="A40" s="62"/>
      <c r="B40" s="64"/>
      <c r="C40" s="64"/>
      <c r="D40" s="64"/>
      <c r="E40" s="64"/>
      <c r="F40" s="107"/>
      <c r="G40" s="184" t="s">
        <v>37</v>
      </c>
      <c r="H40" s="197">
        <f>M40</f>
        <v>14400</v>
      </c>
      <c r="I40" s="75">
        <v>14400</v>
      </c>
      <c r="J40" s="186">
        <f>H40-I40</f>
        <v>0</v>
      </c>
      <c r="K40" s="33" t="s">
        <v>48</v>
      </c>
      <c r="L40" s="199"/>
      <c r="M40" s="209">
        <f>SUM(M41:M42)</f>
        <v>14400</v>
      </c>
    </row>
    <row r="41" spans="1:13">
      <c r="A41" s="62"/>
      <c r="B41" s="64"/>
      <c r="C41" s="64"/>
      <c r="D41" s="64"/>
      <c r="E41" s="64"/>
      <c r="F41" s="179"/>
      <c r="G41" s="179"/>
      <c r="H41" s="98"/>
      <c r="I41" s="98"/>
      <c r="J41" s="100"/>
      <c r="K41" s="204" t="s">
        <v>434</v>
      </c>
      <c r="L41" s="94" t="s">
        <v>0</v>
      </c>
      <c r="M41" s="175">
        <v>3840</v>
      </c>
    </row>
    <row r="42" spans="1:13">
      <c r="A42" s="62"/>
      <c r="B42" s="64"/>
      <c r="C42" s="64"/>
      <c r="D42" s="139"/>
      <c r="E42" s="174"/>
      <c r="F42" s="236"/>
      <c r="G42" s="69"/>
      <c r="H42" s="70"/>
      <c r="I42" s="70"/>
      <c r="J42" s="70"/>
      <c r="K42" s="206" t="s">
        <v>433</v>
      </c>
      <c r="L42" s="136" t="s">
        <v>0</v>
      </c>
      <c r="M42" s="181">
        <v>10560</v>
      </c>
    </row>
    <row r="43" spans="1:13">
      <c r="A43" s="62"/>
      <c r="B43" s="64"/>
      <c r="C43" s="64"/>
      <c r="D43" s="64"/>
      <c r="E43" s="64"/>
      <c r="F43" s="430" t="s">
        <v>38</v>
      </c>
      <c r="G43" s="431"/>
      <c r="H43" s="146">
        <f>H44</f>
        <v>2000</v>
      </c>
      <c r="I43" s="71">
        <v>2000</v>
      </c>
      <c r="J43" s="147">
        <f>H43-I43</f>
        <v>0</v>
      </c>
      <c r="K43" s="348"/>
      <c r="L43" s="459"/>
      <c r="M43" s="57"/>
    </row>
    <row r="44" spans="1:13">
      <c r="A44" s="53"/>
      <c r="B44" s="55"/>
      <c r="C44" s="64"/>
      <c r="D44" s="64"/>
      <c r="E44" s="64"/>
      <c r="F44" s="179"/>
      <c r="G44" s="107" t="s">
        <v>39</v>
      </c>
      <c r="H44" s="197">
        <f>M44</f>
        <v>2000</v>
      </c>
      <c r="I44" s="75">
        <v>2000</v>
      </c>
      <c r="J44" s="186">
        <f>H44-I44</f>
        <v>0</v>
      </c>
      <c r="K44" s="200" t="s">
        <v>113</v>
      </c>
      <c r="L44" s="196"/>
      <c r="M44" s="209">
        <f>M45</f>
        <v>2000</v>
      </c>
    </row>
    <row r="45" spans="1:13">
      <c r="A45" s="320"/>
      <c r="B45" s="321"/>
      <c r="C45" s="321"/>
      <c r="D45" s="321"/>
      <c r="E45" s="321"/>
      <c r="F45" s="180"/>
      <c r="G45" s="180"/>
      <c r="H45" s="101"/>
      <c r="I45" s="101"/>
      <c r="J45" s="149"/>
      <c r="K45" s="183" t="s">
        <v>510</v>
      </c>
      <c r="L45" s="198" t="s">
        <v>0</v>
      </c>
      <c r="M45" s="175">
        <v>2000</v>
      </c>
    </row>
    <row r="46" spans="1:13">
      <c r="A46" s="62"/>
      <c r="B46" s="64"/>
      <c r="C46" s="64"/>
      <c r="D46" s="64"/>
      <c r="E46" s="64"/>
      <c r="F46" s="130" t="s">
        <v>89</v>
      </c>
      <c r="G46" s="134"/>
      <c r="H46" s="71">
        <f>H47</f>
        <v>2100</v>
      </c>
      <c r="I46" s="71">
        <v>2100</v>
      </c>
      <c r="J46" s="96">
        <f>H46-I46</f>
        <v>0</v>
      </c>
      <c r="K46" s="138"/>
      <c r="L46" s="35"/>
      <c r="M46" s="229"/>
    </row>
    <row r="47" spans="1:13">
      <c r="A47" s="62"/>
      <c r="B47" s="64"/>
      <c r="C47" s="64"/>
      <c r="D47" s="64"/>
      <c r="E47" s="64"/>
      <c r="F47" s="137"/>
      <c r="G47" s="64" t="s">
        <v>93</v>
      </c>
      <c r="H47" s="75">
        <f>M47</f>
        <v>2100</v>
      </c>
      <c r="I47" s="75">
        <v>2100</v>
      </c>
      <c r="J47" s="45">
        <f>H47-I47</f>
        <v>0</v>
      </c>
      <c r="K47" s="33" t="s">
        <v>360</v>
      </c>
      <c r="L47" s="36"/>
      <c r="M47" s="209">
        <f>M48</f>
        <v>2100</v>
      </c>
    </row>
    <row r="48" spans="1:13">
      <c r="A48" s="62"/>
      <c r="B48" s="64"/>
      <c r="C48" s="64"/>
      <c r="D48" s="64"/>
      <c r="E48" s="64"/>
      <c r="F48" s="103"/>
      <c r="G48" s="180"/>
      <c r="H48" s="106"/>
      <c r="I48" s="218"/>
      <c r="J48" s="150"/>
      <c r="K48" s="206" t="s">
        <v>363</v>
      </c>
      <c r="L48" s="189" t="s">
        <v>0</v>
      </c>
      <c r="M48" s="181">
        <v>2100</v>
      </c>
    </row>
    <row r="49" spans="1:13">
      <c r="A49" s="10"/>
      <c r="B49" s="6"/>
      <c r="C49" s="164" t="s">
        <v>95</v>
      </c>
      <c r="D49" s="124"/>
      <c r="E49" s="124"/>
      <c r="F49" s="124"/>
      <c r="G49" s="125"/>
      <c r="H49" s="89">
        <f>H50</f>
        <v>145000</v>
      </c>
      <c r="I49" s="89">
        <v>45000</v>
      </c>
      <c r="J49" s="90">
        <f>H49-I49</f>
        <v>100000</v>
      </c>
      <c r="K49" s="153"/>
      <c r="L49" s="143"/>
      <c r="M49" s="144"/>
    </row>
    <row r="50" spans="1:13">
      <c r="A50" s="10"/>
      <c r="B50" s="6"/>
      <c r="C50" s="141"/>
      <c r="D50" s="123" t="s">
        <v>96</v>
      </c>
      <c r="E50" s="124"/>
      <c r="F50" s="124"/>
      <c r="G50" s="125"/>
      <c r="H50" s="126">
        <f>H51</f>
        <v>145000</v>
      </c>
      <c r="I50" s="126">
        <v>45000</v>
      </c>
      <c r="J50" s="9">
        <f>H50-I50</f>
        <v>100000</v>
      </c>
      <c r="K50" s="142"/>
      <c r="L50" s="143"/>
      <c r="M50" s="144"/>
    </row>
    <row r="51" spans="1:13">
      <c r="A51" s="10"/>
      <c r="B51" s="6"/>
      <c r="C51" s="128"/>
      <c r="D51" s="129"/>
      <c r="E51" s="123" t="s">
        <v>29</v>
      </c>
      <c r="F51" s="124"/>
      <c r="G51" s="125"/>
      <c r="H51" s="89">
        <f>SUM(H52,H59,H66)</f>
        <v>145000</v>
      </c>
      <c r="I51" s="89">
        <v>45000</v>
      </c>
      <c r="J51" s="90">
        <f>H51-I51</f>
        <v>100000</v>
      </c>
      <c r="K51" s="84"/>
      <c r="L51" s="91"/>
      <c r="M51" s="228"/>
    </row>
    <row r="52" spans="1:13">
      <c r="A52" s="62"/>
      <c r="B52" s="64"/>
      <c r="C52" s="64"/>
      <c r="D52" s="64"/>
      <c r="E52" s="64"/>
      <c r="F52" s="130" t="s">
        <v>58</v>
      </c>
      <c r="G52" s="134"/>
      <c r="H52" s="71">
        <f>SUM(H53,H55,H57)</f>
        <v>15000</v>
      </c>
      <c r="I52" s="71">
        <v>15000</v>
      </c>
      <c r="J52" s="96">
        <f>H52-I52</f>
        <v>0</v>
      </c>
      <c r="K52" s="138"/>
      <c r="L52" s="35"/>
      <c r="M52" s="229"/>
    </row>
    <row r="53" spans="1:13">
      <c r="A53" s="53"/>
      <c r="B53" s="55"/>
      <c r="C53" s="64"/>
      <c r="D53" s="64"/>
      <c r="E53" s="64"/>
      <c r="F53" s="176"/>
      <c r="G53" s="193" t="s">
        <v>32</v>
      </c>
      <c r="H53" s="194">
        <f>M53</f>
        <v>5000</v>
      </c>
      <c r="I53" s="194">
        <v>5000</v>
      </c>
      <c r="J53" s="38">
        <f>H53-I53</f>
        <v>0</v>
      </c>
      <c r="K53" s="203" t="s">
        <v>101</v>
      </c>
      <c r="L53" s="196"/>
      <c r="M53" s="209">
        <f>M54</f>
        <v>5000</v>
      </c>
    </row>
    <row r="54" spans="1:13">
      <c r="A54" s="53"/>
      <c r="B54" s="55"/>
      <c r="C54" s="64"/>
      <c r="D54" s="64"/>
      <c r="E54" s="64"/>
      <c r="F54" s="214"/>
      <c r="G54" s="191"/>
      <c r="H54" s="101"/>
      <c r="I54" s="101"/>
      <c r="J54" s="140"/>
      <c r="K54" s="206" t="s">
        <v>99</v>
      </c>
      <c r="L54" s="189" t="s">
        <v>0</v>
      </c>
      <c r="M54" s="181">
        <v>5000</v>
      </c>
    </row>
    <row r="55" spans="1:13">
      <c r="A55" s="53"/>
      <c r="B55" s="55"/>
      <c r="C55" s="64"/>
      <c r="D55" s="64"/>
      <c r="E55" s="64"/>
      <c r="F55" s="214"/>
      <c r="G55" s="54" t="s">
        <v>7</v>
      </c>
      <c r="H55" s="98">
        <f>M55</f>
        <v>5000</v>
      </c>
      <c r="I55" s="98">
        <v>5000</v>
      </c>
      <c r="J55" s="38">
        <f t="shared" ref="J55" si="2">H55-I55</f>
        <v>0</v>
      </c>
      <c r="K55" s="234" t="s">
        <v>97</v>
      </c>
      <c r="L55" s="48"/>
      <c r="M55" s="209">
        <f>M56</f>
        <v>5000</v>
      </c>
    </row>
    <row r="56" spans="1:13">
      <c r="A56" s="53"/>
      <c r="B56" s="55"/>
      <c r="C56" s="64"/>
      <c r="D56" s="64"/>
      <c r="E56" s="64"/>
      <c r="F56" s="214"/>
      <c r="G56" s="191"/>
      <c r="H56" s="101"/>
      <c r="I56" s="101"/>
      <c r="J56" s="140"/>
      <c r="K56" s="206" t="s">
        <v>98</v>
      </c>
      <c r="L56" s="189" t="s">
        <v>0</v>
      </c>
      <c r="M56" s="181">
        <v>5000</v>
      </c>
    </row>
    <row r="57" spans="1:13">
      <c r="A57" s="53"/>
      <c r="B57" s="55"/>
      <c r="C57" s="64"/>
      <c r="D57" s="64"/>
      <c r="E57" s="64"/>
      <c r="F57" s="214"/>
      <c r="G57" s="54" t="s">
        <v>109</v>
      </c>
      <c r="H57" s="98">
        <f>M57</f>
        <v>5000</v>
      </c>
      <c r="I57" s="98">
        <v>5000</v>
      </c>
      <c r="J57" s="47">
        <f>H57-I57</f>
        <v>0</v>
      </c>
      <c r="K57" s="203" t="s">
        <v>108</v>
      </c>
      <c r="L57" s="187"/>
      <c r="M57" s="178">
        <f>M58</f>
        <v>5000</v>
      </c>
    </row>
    <row r="58" spans="1:13">
      <c r="A58" s="53"/>
      <c r="B58" s="55"/>
      <c r="C58" s="64"/>
      <c r="D58" s="64"/>
      <c r="E58" s="64"/>
      <c r="F58" s="214"/>
      <c r="G58" s="191"/>
      <c r="H58" s="101"/>
      <c r="I58" s="101"/>
      <c r="J58" s="140"/>
      <c r="K58" s="204" t="s">
        <v>104</v>
      </c>
      <c r="L58" s="187" t="s">
        <v>0</v>
      </c>
      <c r="M58" s="175">
        <v>5000</v>
      </c>
    </row>
    <row r="59" spans="1:13">
      <c r="A59" s="62"/>
      <c r="B59" s="64"/>
      <c r="C59" s="64"/>
      <c r="D59" s="64"/>
      <c r="E59" s="64"/>
      <c r="F59" s="130" t="s">
        <v>43</v>
      </c>
      <c r="G59" s="134"/>
      <c r="H59" s="71">
        <f>SUM(H60,H62)</f>
        <v>125000</v>
      </c>
      <c r="I59" s="71">
        <v>25000</v>
      </c>
      <c r="J59" s="96">
        <f>H59-I59</f>
        <v>100000</v>
      </c>
      <c r="K59" s="138"/>
      <c r="L59" s="35"/>
      <c r="M59" s="229"/>
    </row>
    <row r="60" spans="1:13">
      <c r="A60" s="53"/>
      <c r="B60" s="55"/>
      <c r="C60" s="64"/>
      <c r="D60" s="64"/>
      <c r="E60" s="64"/>
      <c r="F60" s="214"/>
      <c r="G60" s="54" t="s">
        <v>37</v>
      </c>
      <c r="H60" s="98">
        <f>M60</f>
        <v>5000</v>
      </c>
      <c r="I60" s="98">
        <v>5000</v>
      </c>
      <c r="J60" s="47">
        <f>H60-I60</f>
        <v>0</v>
      </c>
      <c r="K60" s="203" t="s">
        <v>77</v>
      </c>
      <c r="L60" s="187"/>
      <c r="M60" s="178">
        <f>M61</f>
        <v>5000</v>
      </c>
    </row>
    <row r="61" spans="1:13">
      <c r="A61" s="53"/>
      <c r="B61" s="55"/>
      <c r="C61" s="64"/>
      <c r="D61" s="64"/>
      <c r="E61" s="64"/>
      <c r="F61" s="214"/>
      <c r="G61" s="191"/>
      <c r="H61" s="101"/>
      <c r="I61" s="101"/>
      <c r="J61" s="140"/>
      <c r="K61" s="206" t="s">
        <v>110</v>
      </c>
      <c r="L61" s="189" t="s">
        <v>0</v>
      </c>
      <c r="M61" s="181">
        <v>5000</v>
      </c>
    </row>
    <row r="62" spans="1:13">
      <c r="A62" s="53"/>
      <c r="B62" s="55"/>
      <c r="C62" s="64"/>
      <c r="D62" s="64"/>
      <c r="E62" s="64"/>
      <c r="F62" s="214"/>
      <c r="G62" s="54" t="s">
        <v>79</v>
      </c>
      <c r="H62" s="98">
        <f>M62</f>
        <v>120000</v>
      </c>
      <c r="I62" s="98">
        <v>20000</v>
      </c>
      <c r="J62" s="47">
        <f>H62-I62</f>
        <v>100000</v>
      </c>
      <c r="K62" s="203" t="s">
        <v>78</v>
      </c>
      <c r="L62" s="187"/>
      <c r="M62" s="178">
        <f>M65</f>
        <v>120000</v>
      </c>
    </row>
    <row r="63" spans="1:13">
      <c r="A63" s="53"/>
      <c r="B63" s="55"/>
      <c r="C63" s="64"/>
      <c r="D63" s="64"/>
      <c r="E63" s="64"/>
      <c r="F63" s="214"/>
      <c r="G63" s="54"/>
      <c r="H63" s="98"/>
      <c r="I63" s="98"/>
      <c r="J63" s="47"/>
      <c r="K63" s="204" t="s">
        <v>100</v>
      </c>
      <c r="L63" s="187" t="s">
        <v>0</v>
      </c>
      <c r="M63" s="175">
        <v>20000</v>
      </c>
    </row>
    <row r="64" spans="1:13">
      <c r="A64" s="53"/>
      <c r="B64" s="55"/>
      <c r="C64" s="64"/>
      <c r="D64" s="64"/>
      <c r="E64" s="64"/>
      <c r="F64" s="214"/>
      <c r="G64" s="54"/>
      <c r="H64" s="98"/>
      <c r="I64" s="98"/>
      <c r="J64" s="47"/>
      <c r="K64" s="203" t="s">
        <v>548</v>
      </c>
      <c r="L64" s="187"/>
      <c r="M64" s="175"/>
    </row>
    <row r="65" spans="1:13">
      <c r="A65" s="53"/>
      <c r="B65" s="55"/>
      <c r="C65" s="64"/>
      <c r="D65" s="64"/>
      <c r="E65" s="64"/>
      <c r="F65" s="214"/>
      <c r="G65" s="54"/>
      <c r="H65" s="98"/>
      <c r="I65" s="98"/>
      <c r="J65" s="47"/>
      <c r="K65" s="361" t="s">
        <v>549</v>
      </c>
      <c r="L65" s="362" t="s">
        <v>0</v>
      </c>
      <c r="M65" s="358">
        <v>120000</v>
      </c>
    </row>
    <row r="66" spans="1:13">
      <c r="A66" s="62"/>
      <c r="B66" s="64"/>
      <c r="C66" s="64"/>
      <c r="D66" s="64"/>
      <c r="E66" s="64"/>
      <c r="F66" s="130" t="s">
        <v>80</v>
      </c>
      <c r="G66" s="134"/>
      <c r="H66" s="71">
        <f>H67</f>
        <v>5000</v>
      </c>
      <c r="I66" s="71">
        <v>5000</v>
      </c>
      <c r="J66" s="96">
        <f>H66-I66</f>
        <v>0</v>
      </c>
      <c r="K66" s="138"/>
      <c r="L66" s="35"/>
      <c r="M66" s="229"/>
    </row>
    <row r="67" spans="1:13">
      <c r="A67" s="53"/>
      <c r="B67" s="55"/>
      <c r="C67" s="64"/>
      <c r="D67" s="64"/>
      <c r="E67" s="64"/>
      <c r="F67" s="214"/>
      <c r="G67" s="54" t="s">
        <v>39</v>
      </c>
      <c r="H67" s="98">
        <f>M67</f>
        <v>5000</v>
      </c>
      <c r="I67" s="98">
        <v>5000</v>
      </c>
      <c r="J67" s="47">
        <f>H67-I67</f>
        <v>0</v>
      </c>
      <c r="K67" s="203" t="s">
        <v>103</v>
      </c>
      <c r="L67" s="187"/>
      <c r="M67" s="178">
        <f>M68</f>
        <v>5000</v>
      </c>
    </row>
    <row r="68" spans="1:13" ht="17.25" thickBot="1">
      <c r="A68" s="219"/>
      <c r="B68" s="220"/>
      <c r="C68" s="68"/>
      <c r="D68" s="68"/>
      <c r="E68" s="68"/>
      <c r="F68" s="221"/>
      <c r="G68" s="222"/>
      <c r="H68" s="201"/>
      <c r="I68" s="201"/>
      <c r="J68" s="223"/>
      <c r="K68" s="224" t="s">
        <v>102</v>
      </c>
      <c r="L68" s="225" t="s">
        <v>0</v>
      </c>
      <c r="M68" s="235">
        <v>5000</v>
      </c>
    </row>
  </sheetData>
  <protectedRanges>
    <protectedRange password="ECE8" sqref="N2:AB4" name="작성자만수정"/>
    <protectedRange password="ECE8" sqref="N155:AB155 N102:AB145 N49:AB99 N5:AB7 N14:AB45" name="작성자만수정_2_1"/>
    <protectedRange password="ECE8" sqref="N202:AB203 N100:AB101" name="작성자만수정_2_1_1"/>
    <protectedRange password="ECE8" sqref="N219:AB221 N208:AB212" name="작성자만수정_2_1_2"/>
  </protectedRanges>
  <autoFilter ref="A3:M68">
    <filterColumn colId="10" showButton="0"/>
    <filterColumn colId="11" showButton="0"/>
  </autoFilter>
  <mergeCells count="10">
    <mergeCell ref="F39:G39"/>
    <mergeCell ref="F43:G43"/>
    <mergeCell ref="H2:H3"/>
    <mergeCell ref="K2:M3"/>
    <mergeCell ref="A4:G4"/>
    <mergeCell ref="I2:I3"/>
    <mergeCell ref="J2:J3"/>
    <mergeCell ref="A2:A3"/>
    <mergeCell ref="B2:D2"/>
    <mergeCell ref="E2:G2"/>
  </mergeCells>
  <phoneticPr fontId="12" type="noConversion"/>
  <conditionalFormatting sqref="J44:J45">
    <cfRule type="containsText" dxfId="1193" priority="235" operator="containsText" text="허하나로">
      <formula>NOT(ISERROR(SEARCH("허하나로",H1075)))</formula>
    </cfRule>
    <cfRule type="containsText" dxfId="1192" priority="236" operator="containsText" text="한별">
      <formula>NOT(ISERROR(SEARCH("한별",H1075)))</formula>
    </cfRule>
    <cfRule type="containsText" dxfId="1191" priority="237" operator="containsText" text="정홍조">
      <formula>NOT(ISERROR(SEARCH("정홍조",H1075)))</formula>
    </cfRule>
    <cfRule type="containsText" dxfId="1190" priority="238" operator="containsText" text="김지윤">
      <formula>NOT(ISERROR(SEARCH("김지윤",H1075)))</formula>
    </cfRule>
    <cfRule type="containsText" dxfId="1189" priority="239" operator="containsText" text="전준영">
      <formula>NOT(ISERROR(SEARCH("전준영",H1075)))</formula>
    </cfRule>
    <cfRule type="containsText" dxfId="1188" priority="240" operator="containsText" text="차재성">
      <formula>NOT(ISERROR(SEARCH("차재성",H1075)))</formula>
    </cfRule>
  </conditionalFormatting>
  <conditionalFormatting sqref="J25">
    <cfRule type="containsText" dxfId="1187" priority="247" operator="containsText" text="허하나로">
      <formula>NOT(ISERROR(SEARCH("허하나로",H713)))</formula>
    </cfRule>
    <cfRule type="containsText" dxfId="1186" priority="248" operator="containsText" text="한별">
      <formula>NOT(ISERROR(SEARCH("한별",H713)))</formula>
    </cfRule>
    <cfRule type="containsText" dxfId="1185" priority="249" operator="containsText" text="정홍조">
      <formula>NOT(ISERROR(SEARCH("정홍조",H713)))</formula>
    </cfRule>
    <cfRule type="containsText" dxfId="1184" priority="250" operator="containsText" text="김지윤">
      <formula>NOT(ISERROR(SEARCH("김지윤",H713)))</formula>
    </cfRule>
    <cfRule type="containsText" dxfId="1183" priority="251" operator="containsText" text="전준영">
      <formula>NOT(ISERROR(SEARCH("전준영",H713)))</formula>
    </cfRule>
    <cfRule type="containsText" dxfId="1182" priority="252" operator="containsText" text="차재성">
      <formula>NOT(ISERROR(SEARCH("차재성",H713)))</formula>
    </cfRule>
  </conditionalFormatting>
  <conditionalFormatting sqref="J5">
    <cfRule type="containsText" dxfId="1181" priority="241" operator="containsText" text="허하나로">
      <formula>NOT(ISERROR(SEARCH("허하나로",H711)))</formula>
    </cfRule>
    <cfRule type="containsText" dxfId="1180" priority="242" operator="containsText" text="한별">
      <formula>NOT(ISERROR(SEARCH("한별",H711)))</formula>
    </cfRule>
    <cfRule type="containsText" dxfId="1179" priority="243" operator="containsText" text="정홍조">
      <formula>NOT(ISERROR(SEARCH("정홍조",H711)))</formula>
    </cfRule>
    <cfRule type="containsText" dxfId="1178" priority="244" operator="containsText" text="김지윤">
      <formula>NOT(ISERROR(SEARCH("김지윤",H711)))</formula>
    </cfRule>
    <cfRule type="containsText" dxfId="1177" priority="245" operator="containsText" text="전준영">
      <formula>NOT(ISERROR(SEARCH("전준영",H711)))</formula>
    </cfRule>
    <cfRule type="containsText" dxfId="1176" priority="246" operator="containsText" text="차재성">
      <formula>NOT(ISERROR(SEARCH("차재성",H711)))</formula>
    </cfRule>
  </conditionalFormatting>
  <conditionalFormatting sqref="J31">
    <cfRule type="containsText" dxfId="1175" priority="229" operator="containsText" text="허하나로">
      <formula>NOT(ISERROR(SEARCH("허하나로",H845)))</formula>
    </cfRule>
    <cfRule type="containsText" dxfId="1174" priority="230" operator="containsText" text="한별">
      <formula>NOT(ISERROR(SEARCH("한별",H845)))</formula>
    </cfRule>
    <cfRule type="containsText" dxfId="1173" priority="231" operator="containsText" text="정홍조">
      <formula>NOT(ISERROR(SEARCH("정홍조",H845)))</formula>
    </cfRule>
    <cfRule type="containsText" dxfId="1172" priority="232" operator="containsText" text="김지윤">
      <formula>NOT(ISERROR(SEARCH("김지윤",H845)))</formula>
    </cfRule>
    <cfRule type="containsText" dxfId="1171" priority="233" operator="containsText" text="전준영">
      <formula>NOT(ISERROR(SEARCH("전준영",H845)))</formula>
    </cfRule>
    <cfRule type="containsText" dxfId="1170" priority="234" operator="containsText" text="차재성">
      <formula>NOT(ISERROR(SEARCH("차재성",H845)))</formula>
    </cfRule>
  </conditionalFormatting>
  <conditionalFormatting sqref="J34:J35">
    <cfRule type="containsText" dxfId="1169" priority="223" operator="containsText" text="허하나로">
      <formula>NOT(ISERROR(SEARCH("허하나로",H1053)))</formula>
    </cfRule>
    <cfRule type="containsText" dxfId="1168" priority="224" operator="containsText" text="한별">
      <formula>NOT(ISERROR(SEARCH("한별",H1053)))</formula>
    </cfRule>
    <cfRule type="containsText" dxfId="1167" priority="225" operator="containsText" text="정홍조">
      <formula>NOT(ISERROR(SEARCH("정홍조",H1053)))</formula>
    </cfRule>
    <cfRule type="containsText" dxfId="1166" priority="226" operator="containsText" text="김지윤">
      <formula>NOT(ISERROR(SEARCH("김지윤",H1053)))</formula>
    </cfRule>
    <cfRule type="containsText" dxfId="1165" priority="227" operator="containsText" text="전준영">
      <formula>NOT(ISERROR(SEARCH("전준영",H1053)))</formula>
    </cfRule>
    <cfRule type="containsText" dxfId="1164" priority="228" operator="containsText" text="차재성">
      <formula>NOT(ISERROR(SEARCH("차재성",H1053)))</formula>
    </cfRule>
  </conditionalFormatting>
  <conditionalFormatting sqref="J36">
    <cfRule type="containsText" dxfId="1163" priority="217" operator="containsText" text="허하나로">
      <formula>NOT(ISERROR(SEARCH("허하나로",H1044)))</formula>
    </cfRule>
    <cfRule type="containsText" dxfId="1162" priority="218" operator="containsText" text="한별">
      <formula>NOT(ISERROR(SEARCH("한별",H1044)))</formula>
    </cfRule>
    <cfRule type="containsText" dxfId="1161" priority="219" operator="containsText" text="정홍조">
      <formula>NOT(ISERROR(SEARCH("정홍조",H1044)))</formula>
    </cfRule>
    <cfRule type="containsText" dxfId="1160" priority="220" operator="containsText" text="김지윤">
      <formula>NOT(ISERROR(SEARCH("김지윤",H1044)))</formula>
    </cfRule>
    <cfRule type="containsText" dxfId="1159" priority="221" operator="containsText" text="전준영">
      <formula>NOT(ISERROR(SEARCH("전준영",H1044)))</formula>
    </cfRule>
    <cfRule type="containsText" dxfId="1158" priority="222" operator="containsText" text="차재성">
      <formula>NOT(ISERROR(SEARCH("차재성",H1044)))</formula>
    </cfRule>
  </conditionalFormatting>
  <conditionalFormatting sqref="J33">
    <cfRule type="containsText" dxfId="1157" priority="265" operator="containsText" text="허하나로">
      <formula>NOT(ISERROR(SEARCH("허하나로",H1042)))</formula>
    </cfRule>
    <cfRule type="containsText" dxfId="1156" priority="266" operator="containsText" text="한별">
      <formula>NOT(ISERROR(SEARCH("한별",H1042)))</formula>
    </cfRule>
    <cfRule type="containsText" dxfId="1155" priority="267" operator="containsText" text="정홍조">
      <formula>NOT(ISERROR(SEARCH("정홍조",H1042)))</formula>
    </cfRule>
    <cfRule type="containsText" dxfId="1154" priority="268" operator="containsText" text="김지윤">
      <formula>NOT(ISERROR(SEARCH("김지윤",H1042)))</formula>
    </cfRule>
    <cfRule type="containsText" dxfId="1153" priority="269" operator="containsText" text="전준영">
      <formula>NOT(ISERROR(SEARCH("전준영",H1042)))</formula>
    </cfRule>
    <cfRule type="containsText" dxfId="1152" priority="270" operator="containsText" text="차재성">
      <formula>NOT(ISERROR(SEARCH("차재성",H1042)))</formula>
    </cfRule>
  </conditionalFormatting>
  <conditionalFormatting sqref="J43">
    <cfRule type="containsText" dxfId="1151" priority="211" operator="containsText" text="허하나로">
      <formula>NOT(ISERROR(SEARCH("허하나로",H1059)))</formula>
    </cfRule>
    <cfRule type="containsText" dxfId="1150" priority="212" operator="containsText" text="한별">
      <formula>NOT(ISERROR(SEARCH("한별",H1059)))</formula>
    </cfRule>
    <cfRule type="containsText" dxfId="1149" priority="213" operator="containsText" text="정홍조">
      <formula>NOT(ISERROR(SEARCH("정홍조",H1059)))</formula>
    </cfRule>
    <cfRule type="containsText" dxfId="1148" priority="214" operator="containsText" text="김지윤">
      <formula>NOT(ISERROR(SEARCH("김지윤",H1059)))</formula>
    </cfRule>
    <cfRule type="containsText" dxfId="1147" priority="215" operator="containsText" text="전준영">
      <formula>NOT(ISERROR(SEARCH("전준영",H1059)))</formula>
    </cfRule>
    <cfRule type="containsText" dxfId="1146" priority="216" operator="containsText" text="차재성">
      <formula>NOT(ISERROR(SEARCH("차재성",H1059)))</formula>
    </cfRule>
  </conditionalFormatting>
  <conditionalFormatting sqref="L40">
    <cfRule type="containsText" dxfId="1145" priority="205" operator="containsText" text="허하나로">
      <formula>NOT(ISERROR(SEARCH("허하나로",J1190)))</formula>
    </cfRule>
    <cfRule type="containsText" dxfId="1144" priority="206" operator="containsText" text="한별">
      <formula>NOT(ISERROR(SEARCH("한별",J1190)))</formula>
    </cfRule>
    <cfRule type="containsText" dxfId="1143" priority="207" operator="containsText" text="정홍조">
      <formula>NOT(ISERROR(SEARCH("정홍조",J1190)))</formula>
    </cfRule>
    <cfRule type="containsText" dxfId="1142" priority="208" operator="containsText" text="김지윤">
      <formula>NOT(ISERROR(SEARCH("김지윤",J1190)))</formula>
    </cfRule>
    <cfRule type="containsText" dxfId="1141" priority="209" operator="containsText" text="전준영">
      <formula>NOT(ISERROR(SEARCH("전준영",J1190)))</formula>
    </cfRule>
    <cfRule type="containsText" dxfId="1140" priority="210" operator="containsText" text="차재성">
      <formula>NOT(ISERROR(SEARCH("차재성",J1190)))</formula>
    </cfRule>
  </conditionalFormatting>
  <conditionalFormatting sqref="J26:J30">
    <cfRule type="containsText" dxfId="1139" priority="289" operator="containsText" text="허하나로">
      <formula>NOT(ISERROR(SEARCH("허하나로",H1039)))</formula>
    </cfRule>
    <cfRule type="containsText" dxfId="1138" priority="290" operator="containsText" text="한별">
      <formula>NOT(ISERROR(SEARCH("한별",H1039)))</formula>
    </cfRule>
    <cfRule type="containsText" dxfId="1137" priority="291" operator="containsText" text="정홍조">
      <formula>NOT(ISERROR(SEARCH("정홍조",H1039)))</formula>
    </cfRule>
    <cfRule type="containsText" dxfId="1136" priority="292" operator="containsText" text="김지윤">
      <formula>NOT(ISERROR(SEARCH("김지윤",H1039)))</formula>
    </cfRule>
    <cfRule type="containsText" dxfId="1135" priority="293" operator="containsText" text="전준영">
      <formula>NOT(ISERROR(SEARCH("전준영",H1039)))</formula>
    </cfRule>
    <cfRule type="containsText" dxfId="1134" priority="294" operator="containsText" text="차재성">
      <formula>NOT(ISERROR(SEARCH("차재성",H1039)))</formula>
    </cfRule>
  </conditionalFormatting>
  <conditionalFormatting sqref="J68">
    <cfRule type="containsText" dxfId="1133" priority="103" operator="containsText" text="허하나로">
      <formula>NOT(ISERROR(SEARCH("허하나로",H1121)))</formula>
    </cfRule>
    <cfRule type="containsText" dxfId="1132" priority="104" operator="containsText" text="한별">
      <formula>NOT(ISERROR(SEARCH("한별",H1121)))</formula>
    </cfRule>
    <cfRule type="containsText" dxfId="1131" priority="105" operator="containsText" text="정홍조">
      <formula>NOT(ISERROR(SEARCH("정홍조",H1121)))</formula>
    </cfRule>
    <cfRule type="containsText" dxfId="1130" priority="106" operator="containsText" text="김지윤">
      <formula>NOT(ISERROR(SEARCH("김지윤",H1121)))</formula>
    </cfRule>
    <cfRule type="containsText" dxfId="1129" priority="107" operator="containsText" text="전준영">
      <formula>NOT(ISERROR(SEARCH("전준영",H1121)))</formula>
    </cfRule>
    <cfRule type="containsText" dxfId="1128" priority="108" operator="containsText" text="차재성">
      <formula>NOT(ISERROR(SEARCH("차재성",H1121)))</formula>
    </cfRule>
  </conditionalFormatting>
  <conditionalFormatting sqref="J57">
    <cfRule type="containsText" dxfId="1127" priority="109" operator="containsText" text="허하나로">
      <formula>NOT(ISERROR(SEARCH("허하나로",H1116)))</formula>
    </cfRule>
    <cfRule type="containsText" dxfId="1126" priority="110" operator="containsText" text="한별">
      <formula>NOT(ISERROR(SEARCH("한별",H1116)))</formula>
    </cfRule>
    <cfRule type="containsText" dxfId="1125" priority="111" operator="containsText" text="정홍조">
      <formula>NOT(ISERROR(SEARCH("정홍조",H1116)))</formula>
    </cfRule>
    <cfRule type="containsText" dxfId="1124" priority="112" operator="containsText" text="김지윤">
      <formula>NOT(ISERROR(SEARCH("김지윤",H1116)))</formula>
    </cfRule>
    <cfRule type="containsText" dxfId="1123" priority="113" operator="containsText" text="전준영">
      <formula>NOT(ISERROR(SEARCH("전준영",H1116)))</formula>
    </cfRule>
    <cfRule type="containsText" dxfId="1122" priority="114" operator="containsText" text="차재성">
      <formula>NOT(ISERROR(SEARCH("차재성",H1116)))</formula>
    </cfRule>
  </conditionalFormatting>
  <conditionalFormatting sqref="J58">
    <cfRule type="containsText" dxfId="1121" priority="115" operator="containsText" text="허하나로">
      <formula>NOT(ISERROR(SEARCH("허하나로",H1115)))</formula>
    </cfRule>
    <cfRule type="containsText" dxfId="1120" priority="116" operator="containsText" text="한별">
      <formula>NOT(ISERROR(SEARCH("한별",H1115)))</formula>
    </cfRule>
    <cfRule type="containsText" dxfId="1119" priority="117" operator="containsText" text="정홍조">
      <formula>NOT(ISERROR(SEARCH("정홍조",H1115)))</formula>
    </cfRule>
    <cfRule type="containsText" dxfId="1118" priority="118" operator="containsText" text="김지윤">
      <formula>NOT(ISERROR(SEARCH("김지윤",H1115)))</formula>
    </cfRule>
    <cfRule type="containsText" dxfId="1117" priority="119" operator="containsText" text="전준영">
      <formula>NOT(ISERROR(SEARCH("전준영",H1115)))</formula>
    </cfRule>
    <cfRule type="containsText" dxfId="1116" priority="120" operator="containsText" text="차재성">
      <formula>NOT(ISERROR(SEARCH("차재성",H1115)))</formula>
    </cfRule>
  </conditionalFormatting>
  <conditionalFormatting sqref="J49">
    <cfRule type="containsText" dxfId="1115" priority="91" operator="containsText" text="허하나로">
      <formula>NOT(ISERROR(SEARCH("허하나로",H905)))</formula>
    </cfRule>
    <cfRule type="containsText" dxfId="1114" priority="92" operator="containsText" text="한별">
      <formula>NOT(ISERROR(SEARCH("한별",H905)))</formula>
    </cfRule>
    <cfRule type="containsText" dxfId="1113" priority="93" operator="containsText" text="정홍조">
      <formula>NOT(ISERROR(SEARCH("정홍조",H905)))</formula>
    </cfRule>
    <cfRule type="containsText" dxfId="1112" priority="94" operator="containsText" text="김지윤">
      <formula>NOT(ISERROR(SEARCH("김지윤",H905)))</formula>
    </cfRule>
    <cfRule type="containsText" dxfId="1111" priority="95" operator="containsText" text="전준영">
      <formula>NOT(ISERROR(SEARCH("전준영",H905)))</formula>
    </cfRule>
    <cfRule type="containsText" dxfId="1110" priority="96" operator="containsText" text="차재성">
      <formula>NOT(ISERROR(SEARCH("차재성",H905)))</formula>
    </cfRule>
  </conditionalFormatting>
  <conditionalFormatting sqref="J51">
    <cfRule type="containsText" dxfId="1109" priority="97" operator="containsText" text="허하나로">
      <formula>NOT(ISERROR(SEARCH("허하나로",H1102)))</formula>
    </cfRule>
    <cfRule type="containsText" dxfId="1108" priority="98" operator="containsText" text="한별">
      <formula>NOT(ISERROR(SEARCH("한별",H1102)))</formula>
    </cfRule>
    <cfRule type="containsText" dxfId="1107" priority="99" operator="containsText" text="정홍조">
      <formula>NOT(ISERROR(SEARCH("정홍조",H1102)))</formula>
    </cfRule>
    <cfRule type="containsText" dxfId="1106" priority="100" operator="containsText" text="김지윤">
      <formula>NOT(ISERROR(SEARCH("김지윤",H1102)))</formula>
    </cfRule>
    <cfRule type="containsText" dxfId="1105" priority="101" operator="containsText" text="전준영">
      <formula>NOT(ISERROR(SEARCH("전준영",H1102)))</formula>
    </cfRule>
    <cfRule type="containsText" dxfId="1104" priority="102" operator="containsText" text="차재성">
      <formula>NOT(ISERROR(SEARCH("차재성",H1102)))</formula>
    </cfRule>
  </conditionalFormatting>
  <conditionalFormatting sqref="J65">
    <cfRule type="containsText" dxfId="1103" priority="121" operator="containsText" text="허하나로">
      <formula>NOT(ISERROR(SEARCH("허하나로",H1116)))</formula>
    </cfRule>
    <cfRule type="containsText" dxfId="1102" priority="122" operator="containsText" text="한별">
      <formula>NOT(ISERROR(SEARCH("한별",H1116)))</formula>
    </cfRule>
    <cfRule type="containsText" dxfId="1101" priority="123" operator="containsText" text="정홍조">
      <formula>NOT(ISERROR(SEARCH("정홍조",H1116)))</formula>
    </cfRule>
    <cfRule type="containsText" dxfId="1100" priority="124" operator="containsText" text="김지윤">
      <formula>NOT(ISERROR(SEARCH("김지윤",H1116)))</formula>
    </cfRule>
    <cfRule type="containsText" dxfId="1099" priority="125" operator="containsText" text="전준영">
      <formula>NOT(ISERROR(SEARCH("전준영",H1116)))</formula>
    </cfRule>
    <cfRule type="containsText" dxfId="1098" priority="126" operator="containsText" text="차재성">
      <formula>NOT(ISERROR(SEARCH("차재성",H1116)))</formula>
    </cfRule>
  </conditionalFormatting>
  <conditionalFormatting sqref="J61">
    <cfRule type="containsText" dxfId="1097" priority="127" operator="containsText" text="허하나로">
      <formula>NOT(ISERROR(SEARCH("허하나로",H1116)))</formula>
    </cfRule>
    <cfRule type="containsText" dxfId="1096" priority="128" operator="containsText" text="한별">
      <formula>NOT(ISERROR(SEARCH("한별",H1116)))</formula>
    </cfRule>
    <cfRule type="containsText" dxfId="1095" priority="129" operator="containsText" text="정홍조">
      <formula>NOT(ISERROR(SEARCH("정홍조",H1116)))</formula>
    </cfRule>
    <cfRule type="containsText" dxfId="1094" priority="130" operator="containsText" text="김지윤">
      <formula>NOT(ISERROR(SEARCH("김지윤",H1116)))</formula>
    </cfRule>
    <cfRule type="containsText" dxfId="1093" priority="131" operator="containsText" text="전준영">
      <formula>NOT(ISERROR(SEARCH("전준영",H1116)))</formula>
    </cfRule>
    <cfRule type="containsText" dxfId="1092" priority="132" operator="containsText" text="차재성">
      <formula>NOT(ISERROR(SEARCH("차재성",H1116)))</formula>
    </cfRule>
  </conditionalFormatting>
  <conditionalFormatting sqref="J60">
    <cfRule type="containsText" dxfId="1091" priority="133" operator="containsText" text="허하나로">
      <formula>NOT(ISERROR(SEARCH("허하나로",H1116)))</formula>
    </cfRule>
    <cfRule type="containsText" dxfId="1090" priority="134" operator="containsText" text="한별">
      <formula>NOT(ISERROR(SEARCH("한별",H1116)))</formula>
    </cfRule>
    <cfRule type="containsText" dxfId="1089" priority="135" operator="containsText" text="정홍조">
      <formula>NOT(ISERROR(SEARCH("정홍조",H1116)))</formula>
    </cfRule>
    <cfRule type="containsText" dxfId="1088" priority="136" operator="containsText" text="김지윤">
      <formula>NOT(ISERROR(SEARCH("김지윤",H1116)))</formula>
    </cfRule>
    <cfRule type="containsText" dxfId="1087" priority="137" operator="containsText" text="전준영">
      <formula>NOT(ISERROR(SEARCH("전준영",H1116)))</formula>
    </cfRule>
    <cfRule type="containsText" dxfId="1086" priority="138" operator="containsText" text="차재성">
      <formula>NOT(ISERROR(SEARCH("차재성",H1116)))</formula>
    </cfRule>
  </conditionalFormatting>
  <conditionalFormatting sqref="J59">
    <cfRule type="containsText" dxfId="1085" priority="85" operator="containsText" text="허하나로">
      <formula>NOT(ISERROR(SEARCH("허하나로",H1118)))</formula>
    </cfRule>
    <cfRule type="containsText" dxfId="1084" priority="86" operator="containsText" text="한별">
      <formula>NOT(ISERROR(SEARCH("한별",H1118)))</formula>
    </cfRule>
    <cfRule type="containsText" dxfId="1083" priority="87" operator="containsText" text="정홍조">
      <formula>NOT(ISERROR(SEARCH("정홍조",H1118)))</formula>
    </cfRule>
    <cfRule type="containsText" dxfId="1082" priority="88" operator="containsText" text="김지윤">
      <formula>NOT(ISERROR(SEARCH("김지윤",H1118)))</formula>
    </cfRule>
    <cfRule type="containsText" dxfId="1081" priority="89" operator="containsText" text="전준영">
      <formula>NOT(ISERROR(SEARCH("전준영",H1118)))</formula>
    </cfRule>
    <cfRule type="containsText" dxfId="1080" priority="90" operator="containsText" text="차재성">
      <formula>NOT(ISERROR(SEARCH("차재성",H1118)))</formula>
    </cfRule>
  </conditionalFormatting>
  <conditionalFormatting sqref="J67">
    <cfRule type="containsText" dxfId="1079" priority="79" operator="containsText" text="허하나로">
      <formula>NOT(ISERROR(SEARCH("허하나로",H1121)))</formula>
    </cfRule>
    <cfRule type="containsText" dxfId="1078" priority="80" operator="containsText" text="한별">
      <formula>NOT(ISERROR(SEARCH("한별",H1121)))</formula>
    </cfRule>
    <cfRule type="containsText" dxfId="1077" priority="81" operator="containsText" text="정홍조">
      <formula>NOT(ISERROR(SEARCH("정홍조",H1121)))</formula>
    </cfRule>
    <cfRule type="containsText" dxfId="1076" priority="82" operator="containsText" text="김지윤">
      <formula>NOT(ISERROR(SEARCH("김지윤",H1121)))</formula>
    </cfRule>
    <cfRule type="containsText" dxfId="1075" priority="83" operator="containsText" text="전준영">
      <formula>NOT(ISERROR(SEARCH("전준영",H1121)))</formula>
    </cfRule>
    <cfRule type="containsText" dxfId="1074" priority="84" operator="containsText" text="차재성">
      <formula>NOT(ISERROR(SEARCH("차재성",H1121)))</formula>
    </cfRule>
  </conditionalFormatting>
  <conditionalFormatting sqref="J66">
    <cfRule type="containsText" dxfId="1073" priority="73" operator="containsText" text="허하나로">
      <formula>NOT(ISERROR(SEARCH("허하나로",H1123)))</formula>
    </cfRule>
    <cfRule type="containsText" dxfId="1072" priority="74" operator="containsText" text="한별">
      <formula>NOT(ISERROR(SEARCH("한별",H1123)))</formula>
    </cfRule>
    <cfRule type="containsText" dxfId="1071" priority="75" operator="containsText" text="정홍조">
      <formula>NOT(ISERROR(SEARCH("정홍조",H1123)))</formula>
    </cfRule>
    <cfRule type="containsText" dxfId="1070" priority="76" operator="containsText" text="김지윤">
      <formula>NOT(ISERROR(SEARCH("김지윤",H1123)))</formula>
    </cfRule>
    <cfRule type="containsText" dxfId="1069" priority="77" operator="containsText" text="전준영">
      <formula>NOT(ISERROR(SEARCH("전준영",H1123)))</formula>
    </cfRule>
    <cfRule type="containsText" dxfId="1068" priority="78" operator="containsText" text="차재성">
      <formula>NOT(ISERROR(SEARCH("차재성",H1123)))</formula>
    </cfRule>
  </conditionalFormatting>
  <conditionalFormatting sqref="J62:J64">
    <cfRule type="containsText" dxfId="1067" priority="139" operator="containsText" text="허하나로">
      <formula>NOT(ISERROR(SEARCH("허하나로",H1116)))</formula>
    </cfRule>
    <cfRule type="containsText" dxfId="1066" priority="140" operator="containsText" text="한별">
      <formula>NOT(ISERROR(SEARCH("한별",H1116)))</formula>
    </cfRule>
    <cfRule type="containsText" dxfId="1065" priority="141" operator="containsText" text="정홍조">
      <formula>NOT(ISERROR(SEARCH("정홍조",H1116)))</formula>
    </cfRule>
    <cfRule type="containsText" dxfId="1064" priority="142" operator="containsText" text="김지윤">
      <formula>NOT(ISERROR(SEARCH("김지윤",H1116)))</formula>
    </cfRule>
    <cfRule type="containsText" dxfId="1063" priority="143" operator="containsText" text="전준영">
      <formula>NOT(ISERROR(SEARCH("전준영",H1116)))</formula>
    </cfRule>
    <cfRule type="containsText" dxfId="1062" priority="144" operator="containsText" text="차재성">
      <formula>NOT(ISERROR(SEARCH("차재성",H1116)))</formula>
    </cfRule>
  </conditionalFormatting>
  <conditionalFormatting sqref="J52:J55">
    <cfRule type="containsText" dxfId="1061" priority="145" operator="containsText" text="허하나로">
      <formula>NOT(ISERROR(SEARCH("허하나로",H1113)))</formula>
    </cfRule>
    <cfRule type="containsText" dxfId="1060" priority="146" operator="containsText" text="한별">
      <formula>NOT(ISERROR(SEARCH("한별",H1113)))</formula>
    </cfRule>
    <cfRule type="containsText" dxfId="1059" priority="147" operator="containsText" text="정홍조">
      <formula>NOT(ISERROR(SEARCH("정홍조",H1113)))</formula>
    </cfRule>
    <cfRule type="containsText" dxfId="1058" priority="148" operator="containsText" text="김지윤">
      <formula>NOT(ISERROR(SEARCH("김지윤",H1113)))</formula>
    </cfRule>
    <cfRule type="containsText" dxfId="1057" priority="149" operator="containsText" text="전준영">
      <formula>NOT(ISERROR(SEARCH("전준영",H1113)))</formula>
    </cfRule>
    <cfRule type="containsText" dxfId="1056" priority="150" operator="containsText" text="차재성">
      <formula>NOT(ISERROR(SEARCH("차재성",H1113)))</formula>
    </cfRule>
  </conditionalFormatting>
  <conditionalFormatting sqref="J56">
    <cfRule type="containsText" dxfId="1055" priority="67" operator="containsText" text="허하나로">
      <formula>NOT(ISERROR(SEARCH("허하나로",H1111)))</formula>
    </cfRule>
    <cfRule type="containsText" dxfId="1054" priority="68" operator="containsText" text="한별">
      <formula>NOT(ISERROR(SEARCH("한별",H1111)))</formula>
    </cfRule>
    <cfRule type="containsText" dxfId="1053" priority="69" operator="containsText" text="정홍조">
      <formula>NOT(ISERROR(SEARCH("정홍조",H1111)))</formula>
    </cfRule>
    <cfRule type="containsText" dxfId="1052" priority="70" operator="containsText" text="김지윤">
      <formula>NOT(ISERROR(SEARCH("김지윤",H1111)))</formula>
    </cfRule>
    <cfRule type="containsText" dxfId="1051" priority="71" operator="containsText" text="전준영">
      <formula>NOT(ISERROR(SEARCH("전준영",H1111)))</formula>
    </cfRule>
    <cfRule type="containsText" dxfId="1050" priority="72" operator="containsText" text="차재성">
      <formula>NOT(ISERROR(SEARCH("차재성",H1111)))</formula>
    </cfRule>
  </conditionalFormatting>
  <conditionalFormatting sqref="J37">
    <cfRule type="containsText" dxfId="1049" priority="49" operator="containsText" text="허하나로">
      <formula>NOT(ISERROR(SEARCH("허하나로",H1056)))</formula>
    </cfRule>
    <cfRule type="containsText" dxfId="1048" priority="50" operator="containsText" text="한별">
      <formula>NOT(ISERROR(SEARCH("한별",H1056)))</formula>
    </cfRule>
    <cfRule type="containsText" dxfId="1047" priority="51" operator="containsText" text="정홍조">
      <formula>NOT(ISERROR(SEARCH("정홍조",H1056)))</formula>
    </cfRule>
    <cfRule type="containsText" dxfId="1046" priority="52" operator="containsText" text="김지윤">
      <formula>NOT(ISERROR(SEARCH("김지윤",H1056)))</formula>
    </cfRule>
    <cfRule type="containsText" dxfId="1045" priority="53" operator="containsText" text="전준영">
      <formula>NOT(ISERROR(SEARCH("전준영",H1056)))</formula>
    </cfRule>
    <cfRule type="containsText" dxfId="1044" priority="54" operator="containsText" text="차재성">
      <formula>NOT(ISERROR(SEARCH("차재성",H1056)))</formula>
    </cfRule>
  </conditionalFormatting>
  <conditionalFormatting sqref="J38">
    <cfRule type="containsText" dxfId="1043" priority="43" operator="containsText" text="허하나로">
      <formula>NOT(ISERROR(SEARCH("허하나로",H1046)))</formula>
    </cfRule>
    <cfRule type="containsText" dxfId="1042" priority="44" operator="containsText" text="한별">
      <formula>NOT(ISERROR(SEARCH("한별",H1046)))</formula>
    </cfRule>
    <cfRule type="containsText" dxfId="1041" priority="45" operator="containsText" text="정홍조">
      <formula>NOT(ISERROR(SEARCH("정홍조",H1046)))</formula>
    </cfRule>
    <cfRule type="containsText" dxfId="1040" priority="46" operator="containsText" text="김지윤">
      <formula>NOT(ISERROR(SEARCH("김지윤",H1046)))</formula>
    </cfRule>
    <cfRule type="containsText" dxfId="1039" priority="47" operator="containsText" text="전준영">
      <formula>NOT(ISERROR(SEARCH("전준영",H1046)))</formula>
    </cfRule>
    <cfRule type="containsText" dxfId="1038" priority="48" operator="containsText" text="차재성">
      <formula>NOT(ISERROR(SEARCH("차재성",H1046)))</formula>
    </cfRule>
  </conditionalFormatting>
  <conditionalFormatting sqref="J39:J40">
    <cfRule type="containsText" dxfId="1037" priority="3481" operator="containsText" text="허하나로">
      <formula>NOT(ISERROR(SEARCH("허하나로",H1055)))</formula>
    </cfRule>
    <cfRule type="containsText" dxfId="1036" priority="3482" operator="containsText" text="한별">
      <formula>NOT(ISERROR(SEARCH("한별",H1055)))</formula>
    </cfRule>
    <cfRule type="containsText" dxfId="1035" priority="3483" operator="containsText" text="정홍조">
      <formula>NOT(ISERROR(SEARCH("정홍조",H1055)))</formula>
    </cfRule>
    <cfRule type="containsText" dxfId="1034" priority="3484" operator="containsText" text="김지윤">
      <formula>NOT(ISERROR(SEARCH("김지윤",H1055)))</formula>
    </cfRule>
    <cfRule type="containsText" dxfId="1033" priority="3485" operator="containsText" text="전준영">
      <formula>NOT(ISERROR(SEARCH("전준영",H1055)))</formula>
    </cfRule>
    <cfRule type="containsText" dxfId="1032" priority="3486" operator="containsText" text="차재성">
      <formula>NOT(ISERROR(SEARCH("차재성",H1055)))</formula>
    </cfRule>
  </conditionalFormatting>
  <conditionalFormatting sqref="J41">
    <cfRule type="containsText" dxfId="1031" priority="37" operator="containsText" text="허하나로">
      <formula>NOT(ISERROR(SEARCH("허하나로",H1055)))</formula>
    </cfRule>
    <cfRule type="containsText" dxfId="1030" priority="38" operator="containsText" text="한별">
      <formula>NOT(ISERROR(SEARCH("한별",H1055)))</formula>
    </cfRule>
    <cfRule type="containsText" dxfId="1029" priority="39" operator="containsText" text="정홍조">
      <formula>NOT(ISERROR(SEARCH("정홍조",H1055)))</formula>
    </cfRule>
    <cfRule type="containsText" dxfId="1028" priority="40" operator="containsText" text="김지윤">
      <formula>NOT(ISERROR(SEARCH("김지윤",H1055)))</formula>
    </cfRule>
    <cfRule type="containsText" dxfId="1027" priority="41" operator="containsText" text="전준영">
      <formula>NOT(ISERROR(SEARCH("전준영",H1055)))</formula>
    </cfRule>
    <cfRule type="containsText" dxfId="1026" priority="42" operator="containsText" text="차재성">
      <formula>NOT(ISERROR(SEARCH("차재성",H1055)))</formula>
    </cfRule>
  </conditionalFormatting>
  <conditionalFormatting sqref="J2:J3">
    <cfRule type="containsText" dxfId="1025" priority="13" operator="containsText" text="허하나로">
      <formula>NOT(ISERROR(SEARCH("허하나로",H770)))</formula>
    </cfRule>
    <cfRule type="containsText" dxfId="1024" priority="14" operator="containsText" text="한별">
      <formula>NOT(ISERROR(SEARCH("한별",H770)))</formula>
    </cfRule>
    <cfRule type="containsText" dxfId="1023" priority="15" operator="containsText" text="정홍조">
      <formula>NOT(ISERROR(SEARCH("정홍조",H770)))</formula>
    </cfRule>
    <cfRule type="containsText" dxfId="1022" priority="16" operator="containsText" text="김지윤">
      <formula>NOT(ISERROR(SEARCH("김지윤",H770)))</formula>
    </cfRule>
    <cfRule type="containsText" dxfId="1021" priority="17" operator="containsText" text="전준영">
      <formula>NOT(ISERROR(SEARCH("전준영",H770)))</formula>
    </cfRule>
    <cfRule type="containsText" dxfId="1020" priority="18" operator="containsText" text="차재성">
      <formula>NOT(ISERROR(SEARCH("차재성",H770)))</formula>
    </cfRule>
  </conditionalFormatting>
  <conditionalFormatting sqref="J10:J11">
    <cfRule type="containsText" dxfId="1019" priority="1" operator="containsText" text="허하나로">
      <formula>NOT(ISERROR(SEARCH("허하나로",H922)))</formula>
    </cfRule>
    <cfRule type="containsText" dxfId="1018" priority="2" operator="containsText" text="한별">
      <formula>NOT(ISERROR(SEARCH("한별",H922)))</formula>
    </cfRule>
    <cfRule type="containsText" dxfId="1017" priority="3" operator="containsText" text="정홍조">
      <formula>NOT(ISERROR(SEARCH("정홍조",H922)))</formula>
    </cfRule>
    <cfRule type="containsText" dxfId="1016" priority="4" operator="containsText" text="김지윤">
      <formula>NOT(ISERROR(SEARCH("김지윤",H922)))</formula>
    </cfRule>
    <cfRule type="containsText" dxfId="1015" priority="5" operator="containsText" text="전준영">
      <formula>NOT(ISERROR(SEARCH("전준영",H922)))</formula>
    </cfRule>
    <cfRule type="containsText" dxfId="1014" priority="6" operator="containsText" text="차재성">
      <formula>NOT(ISERROR(SEARCH("차재성",H922)))</formula>
    </cfRule>
  </conditionalFormatting>
  <conditionalFormatting sqref="J8:J9">
    <cfRule type="containsText" dxfId="1013" priority="7" operator="containsText" text="허하나로">
      <formula>NOT(ISERROR(SEARCH("허하나로",H920)))</formula>
    </cfRule>
    <cfRule type="containsText" dxfId="1012" priority="8" operator="containsText" text="한별">
      <formula>NOT(ISERROR(SEARCH("한별",H920)))</formula>
    </cfRule>
    <cfRule type="containsText" dxfId="1011" priority="9" operator="containsText" text="정홍조">
      <formula>NOT(ISERROR(SEARCH("정홍조",H920)))</formula>
    </cfRule>
    <cfRule type="containsText" dxfId="1010" priority="10" operator="containsText" text="김지윤">
      <formula>NOT(ISERROR(SEARCH("김지윤",H920)))</formula>
    </cfRule>
    <cfRule type="containsText" dxfId="1009" priority="11" operator="containsText" text="전준영">
      <formula>NOT(ISERROR(SEARCH("전준영",H920)))</formula>
    </cfRule>
    <cfRule type="containsText" dxfId="1008" priority="12" operator="containsText" text="차재성">
      <formula>NOT(ISERROR(SEARCH("차재성",H920)))</formula>
    </cfRule>
  </conditionalFormatting>
  <pageMargins left="0.70866141732283472" right="0.70866141732283472" top="0.74803149606299213" bottom="0.74803149606299213" header="0.31496062992125984" footer="0.31496062992125984"/>
  <pageSetup paperSize="9" scale="69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69" operator="containsText" text="허하나로" id="{24FD43E4-20DE-437E-AD59-68C9BC13BAF7}">
            <xm:f>NOT(ISERROR(SEARCH("허하나로",행정관리부!H762)))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70" operator="containsText" text="한별" id="{60F8BA74-FE42-4F1F-B322-10590855B08A}">
            <xm:f>NOT(ISERROR(SEARCH("한별",행정관리부!H762)))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71" operator="containsText" text="정홍조" id="{C6EEC022-9C16-4D2D-953D-977281EE8274}">
            <xm:f>NOT(ISERROR(SEARCH("정홍조",행정관리부!H762)))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72" operator="containsText" text="김지윤" id="{AB358A13-B26B-4E8E-AF46-CDDEDBE21BB2}">
            <xm:f>NOT(ISERROR(SEARCH("김지윤",행정관리부!H762)))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3" operator="containsText" text="전준영" id="{BC518656-669C-4B9D-BDF8-B8CED81A0E35}">
            <xm:f>NOT(ISERROR(SEARCH("전준영",행정관리부!H762)))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74" operator="containsText" text="차재성" id="{34134193-752B-443B-8DD6-E4B873E2D494}">
            <xm:f>NOT(ISERROR(SEARCH("차재성",행정관리부!H762)))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J6:J7</xm:sqref>
        </x14:conditionalFormatting>
        <x14:conditionalFormatting xmlns:xm="http://schemas.microsoft.com/office/excel/2006/main">
          <x14:cfRule type="containsText" priority="175" operator="containsText" text="허하나로" id="{1EB00C52-6782-449F-B675-F5701B702752}">
            <xm:f>NOT(ISERROR(SEARCH("허하나로",행정관리부!H1089)))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76" operator="containsText" text="한별" id="{CF2A2941-03C0-4637-B6CB-F816BB26EA32}">
            <xm:f>NOT(ISERROR(SEARCH("한별",행정관리부!H1089)))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77" operator="containsText" text="정홍조" id="{1DB369BD-79B5-49B0-95DA-7B2207AC2F37}">
            <xm:f>NOT(ISERROR(SEARCH("정홍조",행정관리부!H1089)))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78" operator="containsText" text="김지윤" id="{C2FE386E-0A07-48A5-85CC-48AD572F6029}">
            <xm:f>NOT(ISERROR(SEARCH("김지윤",행정관리부!H1089)))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9" operator="containsText" text="전준영" id="{36CDD458-810E-4539-B8EE-1637B8378362}">
            <xm:f>NOT(ISERROR(SEARCH("전준영",행정관리부!H1089)))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80" operator="containsText" text="차재성" id="{C5D09E41-1AAB-4D47-9969-73F6179D6D7E}">
            <xm:f>NOT(ISERROR(SEARCH("차재성",행정관리부!H1089)))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J14:J18 J20:J24</xm:sqref>
        </x14:conditionalFormatting>
        <x14:conditionalFormatting xmlns:xm="http://schemas.microsoft.com/office/excel/2006/main">
          <x14:cfRule type="containsText" priority="31" operator="containsText" text="허하나로" id="{C8DFF365-DAED-48F2-89EF-BF9FBA637E0A}">
            <xm:f>NOT(ISERROR(SEARCH("허하나로",행정관리부!H1090)))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2" operator="containsText" text="한별" id="{77A51C8F-45A6-4C9A-A89A-9F148E12E284}">
            <xm:f>NOT(ISERROR(SEARCH("한별",행정관리부!H1090)))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3" operator="containsText" text="정홍조" id="{B3E9070C-92EC-4C38-97B0-A19E56B49D7A}">
            <xm:f>NOT(ISERROR(SEARCH("정홍조",행정관리부!H1090)))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34" operator="containsText" text="김지윤" id="{925272BA-11B1-47AB-97CC-EEF990D3811B}">
            <xm:f>NOT(ISERROR(SEARCH("김지윤",행정관리부!H1090)))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5" operator="containsText" text="전준영" id="{672FB15A-F652-47AA-B252-7B9563F34B4B}">
            <xm:f>NOT(ISERROR(SEARCH("전준영",행정관리부!H1090)))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6" operator="containsText" text="차재성" id="{15D30090-086C-41E9-BB68-D54731507161}">
            <xm:f>NOT(ISERROR(SEARCH("차재성",행정관리부!H1090)))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J48</xm:sqref>
        </x14:conditionalFormatting>
        <x14:conditionalFormatting xmlns:xm="http://schemas.microsoft.com/office/excel/2006/main">
          <x14:cfRule type="containsText" priority="25" operator="containsText" text="허하나로" id="{E34DF48F-6D6F-42AC-AC0D-B1642F7FC0DB}">
            <xm:f>NOT(ISERROR(SEARCH("허하나로",행정관리부!H1146)))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6" operator="containsText" text="한별" id="{60EBE7BB-FB13-4A36-AAF5-259BFE896885}">
            <xm:f>NOT(ISERROR(SEARCH("한별",행정관리부!H1146)))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7" operator="containsText" text="정홍조" id="{A45C6314-BBF4-4499-99F0-A2373DB51757}">
            <xm:f>NOT(ISERROR(SEARCH("정홍조",행정관리부!H1146)))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8" operator="containsText" text="김지윤" id="{BC33EAB8-E47C-4841-A578-76E995917D97}">
            <xm:f>NOT(ISERROR(SEARCH("김지윤",행정관리부!H1146)))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9" operator="containsText" text="전준영" id="{85215C64-2EB0-452B-B013-1F3C1AF3E18F}">
            <xm:f>NOT(ISERROR(SEARCH("전준영",행정관리부!H1146)))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0" operator="containsText" text="차재성" id="{0ABA230F-C9FA-4850-BEA1-30945FD5DABF}">
            <xm:f>NOT(ISERROR(SEARCH("차재성",행정관리부!H1146)))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J46:J47</xm:sqref>
        </x14:conditionalFormatting>
        <x14:conditionalFormatting xmlns:xm="http://schemas.microsoft.com/office/excel/2006/main">
          <x14:cfRule type="containsText" priority="3919" operator="containsText" text="허하나로" id="{1EB00C52-6782-449F-B675-F5701B702752}">
            <xm:f>NOT(ISERROR(SEARCH("허하나로",행정관리부!H1093)))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920" operator="containsText" text="한별" id="{CF2A2941-03C0-4637-B6CB-F816BB26EA32}">
            <xm:f>NOT(ISERROR(SEARCH("한별",행정관리부!H1093)))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921" operator="containsText" text="정홍조" id="{1DB369BD-79B5-49B0-95DA-7B2207AC2F37}">
            <xm:f>NOT(ISERROR(SEARCH("정홍조",행정관리부!H1093)))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3922" operator="containsText" text="김지윤" id="{C2FE386E-0A07-48A5-85CC-48AD572F6029}">
            <xm:f>NOT(ISERROR(SEARCH("김지윤",행정관리부!H1093)))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923" operator="containsText" text="전준영" id="{36CDD458-810E-4539-B8EE-1637B8378362}">
            <xm:f>NOT(ISERROR(SEARCH("전준영",행정관리부!H1093)))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924" operator="containsText" text="차재성" id="{C5D09E41-1AAB-4D47-9969-73F6179D6D7E}">
            <xm:f>NOT(ISERROR(SEARCH("차재성",행정관리부!H1093)))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AY220"/>
  <sheetViews>
    <sheetView zoomScale="85" zoomScaleNormal="85" workbookViewId="0">
      <selection activeCell="B7" sqref="B7"/>
    </sheetView>
  </sheetViews>
  <sheetFormatPr defaultRowHeight="13.5"/>
  <cols>
    <col min="1" max="6" width="3.875" style="21" customWidth="1"/>
    <col min="7" max="7" width="32.625" style="21" customWidth="1"/>
    <col min="8" max="9" width="14.625" style="77" customWidth="1"/>
    <col min="10" max="10" width="14.625" style="23" customWidth="1"/>
    <col min="11" max="11" width="55.875" style="18" customWidth="1"/>
    <col min="12" max="12" width="3.875" style="19" customWidth="1"/>
    <col min="13" max="13" width="14.625" style="22" customWidth="1"/>
    <col min="14" max="14" width="57.125" style="20" hidden="1" customWidth="1"/>
    <col min="15" max="15" width="14" style="31" hidden="1" customWidth="1"/>
    <col min="16" max="16" width="16" style="32" hidden="1" customWidth="1"/>
    <col min="17" max="17" width="10" style="32" hidden="1" customWidth="1"/>
    <col min="18" max="18" width="12.75" style="32" hidden="1" customWidth="1"/>
    <col min="19" max="19" width="12.5" style="32" hidden="1" customWidth="1"/>
    <col min="20" max="20" width="11.75" style="32" hidden="1" customWidth="1"/>
    <col min="21" max="21" width="10" style="32" hidden="1" customWidth="1"/>
    <col min="22" max="24" width="9" style="32" hidden="1" customWidth="1"/>
    <col min="25" max="29" width="9" style="31" hidden="1" customWidth="1"/>
    <col min="30" max="16384" width="9" style="31"/>
  </cols>
  <sheetData>
    <row r="1" spans="1:29" ht="17.25" customHeight="1" thickBot="1">
      <c r="A1" s="86" t="s">
        <v>136</v>
      </c>
      <c r="B1" s="40"/>
      <c r="C1" s="86"/>
      <c r="D1" s="86"/>
      <c r="E1" s="86"/>
      <c r="F1" s="86"/>
      <c r="G1" s="167"/>
      <c r="H1" s="168"/>
      <c r="I1" s="168"/>
      <c r="J1" s="167"/>
      <c r="K1" s="167"/>
      <c r="L1" s="167"/>
      <c r="M1" s="166" t="s">
        <v>28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</row>
    <row r="2" spans="1:29" s="1" customFormat="1" ht="18" customHeight="1">
      <c r="A2" s="423" t="s">
        <v>17</v>
      </c>
      <c r="B2" s="425" t="s">
        <v>18</v>
      </c>
      <c r="C2" s="426"/>
      <c r="D2" s="427"/>
      <c r="E2" s="425" t="s">
        <v>19</v>
      </c>
      <c r="F2" s="426"/>
      <c r="G2" s="427"/>
      <c r="H2" s="403" t="s">
        <v>544</v>
      </c>
      <c r="I2" s="403" t="s">
        <v>545</v>
      </c>
      <c r="J2" s="428" t="s">
        <v>546</v>
      </c>
      <c r="K2" s="414" t="s">
        <v>1</v>
      </c>
      <c r="L2" s="415"/>
      <c r="M2" s="416"/>
      <c r="N2" s="13"/>
      <c r="O2" s="4"/>
      <c r="P2" s="8"/>
      <c r="Q2" s="4"/>
      <c r="R2" s="4"/>
      <c r="S2" s="4"/>
      <c r="T2" s="5"/>
      <c r="U2" s="3"/>
    </row>
    <row r="3" spans="1:29" s="1" customFormat="1" ht="18" customHeight="1" thickBot="1">
      <c r="A3" s="424"/>
      <c r="B3" s="113" t="s">
        <v>20</v>
      </c>
      <c r="C3" s="113" t="s">
        <v>21</v>
      </c>
      <c r="D3" s="113" t="s">
        <v>22</v>
      </c>
      <c r="E3" s="113" t="s">
        <v>23</v>
      </c>
      <c r="F3" s="113" t="s">
        <v>24</v>
      </c>
      <c r="G3" s="113" t="s">
        <v>25</v>
      </c>
      <c r="H3" s="404"/>
      <c r="I3" s="404"/>
      <c r="J3" s="429"/>
      <c r="K3" s="417"/>
      <c r="L3" s="418"/>
      <c r="M3" s="419"/>
      <c r="N3" s="13"/>
      <c r="O3" s="4"/>
      <c r="P3" s="8"/>
      <c r="Q3" s="4"/>
      <c r="R3" s="4"/>
      <c r="S3" s="4"/>
      <c r="T3" s="5"/>
      <c r="U3" s="3"/>
    </row>
    <row r="4" spans="1:29" s="60" customFormat="1" ht="18" customHeight="1" thickBot="1">
      <c r="A4" s="420" t="s">
        <v>26</v>
      </c>
      <c r="B4" s="421"/>
      <c r="C4" s="421"/>
      <c r="D4" s="421"/>
      <c r="E4" s="421"/>
      <c r="F4" s="421"/>
      <c r="G4" s="422"/>
      <c r="H4" s="169">
        <f>H5</f>
        <v>91166</v>
      </c>
      <c r="I4" s="169">
        <v>86166</v>
      </c>
      <c r="J4" s="114">
        <f>H4-I4</f>
        <v>5000</v>
      </c>
      <c r="K4" s="87"/>
      <c r="L4" s="88"/>
      <c r="M4" s="115"/>
      <c r="N4" s="65"/>
      <c r="O4" s="14"/>
      <c r="P4" s="15"/>
      <c r="Q4" s="16"/>
      <c r="R4" s="17"/>
      <c r="S4" s="17"/>
      <c r="T4" s="61"/>
      <c r="X4" s="61"/>
      <c r="Y4" s="61"/>
      <c r="Z4" s="61"/>
      <c r="AA4" s="61"/>
      <c r="AB4" s="61"/>
    </row>
    <row r="5" spans="1:29" s="1" customFormat="1" ht="18" customHeight="1">
      <c r="A5" s="190" t="s">
        <v>2</v>
      </c>
      <c r="B5" s="116"/>
      <c r="C5" s="117"/>
      <c r="D5" s="117"/>
      <c r="E5" s="117"/>
      <c r="F5" s="117"/>
      <c r="G5" s="118"/>
      <c r="H5" s="92">
        <f>H6</f>
        <v>91166</v>
      </c>
      <c r="I5" s="92">
        <v>86166</v>
      </c>
      <c r="J5" s="93">
        <f>H5-I5</f>
        <v>5000</v>
      </c>
      <c r="K5" s="78"/>
      <c r="L5" s="79"/>
      <c r="M5" s="80"/>
      <c r="N5" s="119"/>
      <c r="O5" s="2"/>
      <c r="P5" s="11"/>
      <c r="Q5" s="120"/>
      <c r="R5" s="120"/>
      <c r="S5" s="120"/>
      <c r="T5" s="121"/>
      <c r="U5" s="122"/>
    </row>
    <row r="6" spans="1:29" s="1" customFormat="1" ht="18" customHeight="1">
      <c r="A6" s="10"/>
      <c r="B6" s="123" t="s">
        <v>213</v>
      </c>
      <c r="C6" s="123"/>
      <c r="D6" s="124"/>
      <c r="E6" s="124"/>
      <c r="F6" s="124"/>
      <c r="G6" s="125"/>
      <c r="H6" s="92">
        <f>SUM(H7,H40)</f>
        <v>91166</v>
      </c>
      <c r="I6" s="92">
        <v>86166</v>
      </c>
      <c r="J6" s="93">
        <f>H6-I6</f>
        <v>5000</v>
      </c>
      <c r="K6" s="78"/>
      <c r="L6" s="79"/>
      <c r="M6" s="80"/>
      <c r="N6" s="119"/>
      <c r="O6" s="2"/>
      <c r="P6" s="11"/>
      <c r="Q6" s="120"/>
      <c r="R6" s="120"/>
      <c r="S6" s="120"/>
      <c r="T6" s="121"/>
      <c r="U6" s="122"/>
    </row>
    <row r="7" spans="1:29" s="1" customFormat="1" ht="18" customHeight="1">
      <c r="A7" s="10"/>
      <c r="B7" s="6"/>
      <c r="C7" s="123" t="s">
        <v>213</v>
      </c>
      <c r="D7" s="124"/>
      <c r="E7" s="124"/>
      <c r="F7" s="124"/>
      <c r="G7" s="125"/>
      <c r="H7" s="92">
        <f>SUM(H8,H18,H24,H34)</f>
        <v>58850</v>
      </c>
      <c r="I7" s="92">
        <v>53850</v>
      </c>
      <c r="J7" s="93">
        <f t="shared" ref="J7:J11" si="0">H7-I7</f>
        <v>5000</v>
      </c>
      <c r="K7" s="78"/>
      <c r="L7" s="79"/>
      <c r="M7" s="80"/>
      <c r="N7" s="433"/>
      <c r="O7" s="433"/>
      <c r="P7" s="433"/>
      <c r="Q7" s="433"/>
      <c r="R7" s="433"/>
      <c r="S7" s="433"/>
      <c r="T7" s="433"/>
      <c r="U7" s="433"/>
    </row>
    <row r="8" spans="1:29" s="1" customFormat="1" ht="18" customHeight="1">
      <c r="A8" s="10"/>
      <c r="B8" s="6"/>
      <c r="C8" s="7"/>
      <c r="D8" s="123" t="s">
        <v>474</v>
      </c>
      <c r="E8" s="124"/>
      <c r="F8" s="124"/>
      <c r="G8" s="125"/>
      <c r="H8" s="126">
        <f>H9</f>
        <v>14450</v>
      </c>
      <c r="I8" s="126">
        <v>14450</v>
      </c>
      <c r="J8" s="93">
        <f t="shared" si="0"/>
        <v>0</v>
      </c>
      <c r="K8" s="81"/>
      <c r="L8" s="127"/>
      <c r="M8" s="80"/>
      <c r="N8" s="119"/>
      <c r="O8" s="2"/>
      <c r="P8" s="11"/>
      <c r="Q8" s="120"/>
      <c r="R8" s="120"/>
      <c r="S8" s="120"/>
      <c r="T8" s="121"/>
      <c r="U8" s="122"/>
    </row>
    <row r="9" spans="1:29" s="1" customFormat="1" ht="18" customHeight="1">
      <c r="A9" s="10"/>
      <c r="B9" s="6"/>
      <c r="C9" s="128"/>
      <c r="D9" s="129"/>
      <c r="E9" s="123" t="s">
        <v>29</v>
      </c>
      <c r="F9" s="124"/>
      <c r="G9" s="125"/>
      <c r="H9" s="89">
        <f>H10</f>
        <v>14450</v>
      </c>
      <c r="I9" s="89">
        <v>14450</v>
      </c>
      <c r="J9" s="93">
        <f t="shared" si="0"/>
        <v>0</v>
      </c>
      <c r="K9" s="84"/>
      <c r="L9" s="91"/>
      <c r="M9" s="82"/>
      <c r="N9" s="119"/>
      <c r="O9" s="2"/>
      <c r="P9" s="11"/>
      <c r="Q9" s="120"/>
      <c r="R9" s="120"/>
      <c r="S9" s="120"/>
      <c r="T9" s="12"/>
      <c r="U9" s="122"/>
    </row>
    <row r="10" spans="1:29" s="60" customFormat="1" ht="18" customHeight="1">
      <c r="A10" s="62"/>
      <c r="B10" s="64"/>
      <c r="C10" s="170"/>
      <c r="D10" s="171"/>
      <c r="E10" s="172"/>
      <c r="F10" s="130" t="s">
        <v>471</v>
      </c>
      <c r="G10" s="173"/>
      <c r="H10" s="71">
        <f>H11+H16</f>
        <v>14450</v>
      </c>
      <c r="I10" s="71">
        <v>14450</v>
      </c>
      <c r="J10" s="71">
        <f t="shared" si="0"/>
        <v>0</v>
      </c>
      <c r="K10" s="50"/>
      <c r="L10" s="51"/>
      <c r="M10" s="37"/>
      <c r="N10" s="446"/>
    </row>
    <row r="11" spans="1:29" s="60" customFormat="1" ht="18" customHeight="1">
      <c r="A11" s="62"/>
      <c r="B11" s="64"/>
      <c r="C11" s="64"/>
      <c r="D11" s="139"/>
      <c r="E11" s="174"/>
      <c r="F11" s="174"/>
      <c r="G11" s="132" t="s">
        <v>475</v>
      </c>
      <c r="H11" s="72">
        <f>M11</f>
        <v>10450</v>
      </c>
      <c r="I11" s="72">
        <v>10450</v>
      </c>
      <c r="J11" s="72">
        <f t="shared" si="0"/>
        <v>0</v>
      </c>
      <c r="K11" s="33" t="s">
        <v>44</v>
      </c>
      <c r="L11" s="41"/>
      <c r="M11" s="209">
        <f>SUM(M12:M15)</f>
        <v>10450</v>
      </c>
      <c r="N11" s="447"/>
      <c r="O11" s="44"/>
    </row>
    <row r="12" spans="1:29" s="60" customFormat="1" ht="18" customHeight="1">
      <c r="A12" s="62"/>
      <c r="B12" s="64"/>
      <c r="C12" s="64"/>
      <c r="D12" s="139"/>
      <c r="E12" s="174"/>
      <c r="F12" s="174"/>
      <c r="G12" s="67"/>
      <c r="H12" s="73"/>
      <c r="I12" s="73"/>
      <c r="J12" s="73"/>
      <c r="K12" s="204" t="s">
        <v>477</v>
      </c>
      <c r="L12" s="42" t="s">
        <v>476</v>
      </c>
      <c r="M12" s="175">
        <v>5000</v>
      </c>
      <c r="N12" s="446"/>
      <c r="O12" s="44"/>
    </row>
    <row r="13" spans="1:29" s="60" customFormat="1" ht="18" customHeight="1">
      <c r="A13" s="62"/>
      <c r="B13" s="64"/>
      <c r="C13" s="64"/>
      <c r="D13" s="139"/>
      <c r="E13" s="174"/>
      <c r="F13" s="174"/>
      <c r="G13" s="67"/>
      <c r="H13" s="73"/>
      <c r="I13" s="73"/>
      <c r="J13" s="73"/>
      <c r="K13" s="204" t="s">
        <v>478</v>
      </c>
      <c r="L13" s="42" t="s">
        <v>476</v>
      </c>
      <c r="M13" s="339">
        <v>1750</v>
      </c>
      <c r="N13" s="446"/>
      <c r="O13" s="44"/>
    </row>
    <row r="14" spans="1:29" s="60" customFormat="1" ht="18" customHeight="1">
      <c r="A14" s="62"/>
      <c r="B14" s="64"/>
      <c r="C14" s="64"/>
      <c r="D14" s="139"/>
      <c r="E14" s="174"/>
      <c r="F14" s="174"/>
      <c r="G14" s="67"/>
      <c r="H14" s="73"/>
      <c r="I14" s="73"/>
      <c r="J14" s="73"/>
      <c r="K14" s="204" t="s">
        <v>492</v>
      </c>
      <c r="L14" s="42" t="s">
        <v>165</v>
      </c>
      <c r="M14" s="339">
        <v>700</v>
      </c>
      <c r="N14" s="446"/>
      <c r="O14" s="44"/>
    </row>
    <row r="15" spans="1:29" s="60" customFormat="1" ht="18" customHeight="1">
      <c r="A15" s="62"/>
      <c r="B15" s="64"/>
      <c r="C15" s="64"/>
      <c r="D15" s="139"/>
      <c r="E15" s="139"/>
      <c r="F15" s="174"/>
      <c r="G15" s="67"/>
      <c r="H15" s="73"/>
      <c r="I15" s="73"/>
      <c r="J15" s="45"/>
      <c r="K15" s="204" t="s">
        <v>479</v>
      </c>
      <c r="L15" s="136" t="s">
        <v>0</v>
      </c>
      <c r="M15" s="226">
        <v>3000</v>
      </c>
      <c r="N15" s="448" t="s">
        <v>14</v>
      </c>
      <c r="O15" s="44"/>
      <c r="P15" s="43"/>
    </row>
    <row r="16" spans="1:29" s="60" customFormat="1" ht="18" customHeight="1">
      <c r="A16" s="62"/>
      <c r="B16" s="64"/>
      <c r="C16" s="64"/>
      <c r="D16" s="139"/>
      <c r="E16" s="174"/>
      <c r="F16" s="174"/>
      <c r="G16" s="132" t="s">
        <v>42</v>
      </c>
      <c r="H16" s="72">
        <f>M16</f>
        <v>4000</v>
      </c>
      <c r="I16" s="72">
        <v>4000</v>
      </c>
      <c r="J16" s="72">
        <f t="shared" ref="J16" si="1">H16-I16</f>
        <v>0</v>
      </c>
      <c r="K16" s="33" t="s">
        <v>480</v>
      </c>
      <c r="L16" s="41"/>
      <c r="M16" s="209">
        <f>SUM(M17:M17)</f>
        <v>4000</v>
      </c>
      <c r="N16" s="447"/>
      <c r="O16" s="44"/>
    </row>
    <row r="17" spans="1:21" s="60" customFormat="1" ht="18" customHeight="1">
      <c r="A17" s="62"/>
      <c r="B17" s="64"/>
      <c r="C17" s="64"/>
      <c r="D17" s="139"/>
      <c r="E17" s="139"/>
      <c r="F17" s="174"/>
      <c r="G17" s="67"/>
      <c r="H17" s="73"/>
      <c r="I17" s="73"/>
      <c r="J17" s="73"/>
      <c r="K17" s="204" t="s">
        <v>490</v>
      </c>
      <c r="L17" s="42" t="s">
        <v>476</v>
      </c>
      <c r="M17" s="175">
        <v>4000</v>
      </c>
      <c r="N17" s="446"/>
      <c r="O17" s="44"/>
    </row>
    <row r="18" spans="1:21" s="1" customFormat="1" ht="18" customHeight="1">
      <c r="A18" s="10"/>
      <c r="B18" s="6"/>
      <c r="C18" s="141"/>
      <c r="D18" s="123" t="s">
        <v>482</v>
      </c>
      <c r="E18" s="124"/>
      <c r="F18" s="124"/>
      <c r="G18" s="125"/>
      <c r="H18" s="126">
        <f>SUM(H19)</f>
        <v>7000</v>
      </c>
      <c r="I18" s="126">
        <v>7000</v>
      </c>
      <c r="J18" s="90">
        <f t="shared" ref="J18:J21" si="2">H18-I18</f>
        <v>0</v>
      </c>
      <c r="K18" s="142"/>
      <c r="L18" s="143"/>
      <c r="M18" s="144"/>
      <c r="N18" s="119"/>
      <c r="O18" s="2"/>
      <c r="P18" s="11"/>
      <c r="Q18" s="120"/>
      <c r="R18" s="120"/>
      <c r="S18" s="120"/>
      <c r="T18" s="121"/>
      <c r="U18" s="122"/>
    </row>
    <row r="19" spans="1:21" s="1" customFormat="1" ht="18" customHeight="1">
      <c r="A19" s="10"/>
      <c r="B19" s="6"/>
      <c r="C19" s="128"/>
      <c r="D19" s="129"/>
      <c r="E19" s="123" t="s">
        <v>27</v>
      </c>
      <c r="F19" s="124"/>
      <c r="G19" s="125"/>
      <c r="H19" s="89">
        <f>H20</f>
        <v>7000</v>
      </c>
      <c r="I19" s="89">
        <v>7000</v>
      </c>
      <c r="J19" s="93">
        <f t="shared" si="2"/>
        <v>0</v>
      </c>
      <c r="K19" s="84"/>
      <c r="L19" s="91"/>
      <c r="M19" s="82"/>
      <c r="N19" s="119"/>
      <c r="O19" s="2"/>
      <c r="P19" s="11"/>
      <c r="Q19" s="120"/>
      <c r="R19" s="120"/>
      <c r="S19" s="120"/>
      <c r="T19" s="12"/>
      <c r="U19" s="122"/>
    </row>
    <row r="20" spans="1:21" s="60" customFormat="1" ht="18" customHeight="1">
      <c r="A20" s="62"/>
      <c r="B20" s="64"/>
      <c r="C20" s="170"/>
      <c r="D20" s="171"/>
      <c r="E20" s="172"/>
      <c r="F20" s="130" t="s">
        <v>471</v>
      </c>
      <c r="G20" s="173"/>
      <c r="H20" s="71">
        <f>H21</f>
        <v>7000</v>
      </c>
      <c r="I20" s="71">
        <v>7000</v>
      </c>
      <c r="J20" s="71">
        <f t="shared" si="2"/>
        <v>0</v>
      </c>
      <c r="K20" s="50"/>
      <c r="L20" s="51"/>
      <c r="M20" s="37"/>
      <c r="N20" s="446"/>
    </row>
    <row r="21" spans="1:21" s="60" customFormat="1" ht="18" customHeight="1">
      <c r="A21" s="62"/>
      <c r="B21" s="64"/>
      <c r="C21" s="64"/>
      <c r="D21" s="139"/>
      <c r="E21" s="174"/>
      <c r="F21" s="174"/>
      <c r="G21" s="132" t="s">
        <v>475</v>
      </c>
      <c r="H21" s="72">
        <f>M21</f>
        <v>7000</v>
      </c>
      <c r="I21" s="72">
        <v>7000</v>
      </c>
      <c r="J21" s="72">
        <f t="shared" si="2"/>
        <v>0</v>
      </c>
      <c r="K21" s="33" t="s">
        <v>44</v>
      </c>
      <c r="L21" s="41"/>
      <c r="M21" s="209">
        <f>SUM(M22:M23)</f>
        <v>7000</v>
      </c>
      <c r="N21" s="447"/>
      <c r="O21" s="44"/>
    </row>
    <row r="22" spans="1:21" s="60" customFormat="1" ht="18" customHeight="1">
      <c r="A22" s="62"/>
      <c r="B22" s="64"/>
      <c r="C22" s="64"/>
      <c r="D22" s="139"/>
      <c r="E22" s="174"/>
      <c r="F22" s="174"/>
      <c r="G22" s="67"/>
      <c r="H22" s="73"/>
      <c r="I22" s="73"/>
      <c r="J22" s="73"/>
      <c r="K22" s="204" t="s">
        <v>491</v>
      </c>
      <c r="L22" s="42" t="s">
        <v>476</v>
      </c>
      <c r="M22" s="175">
        <v>3000</v>
      </c>
      <c r="N22" s="446"/>
      <c r="O22" s="44"/>
    </row>
    <row r="23" spans="1:21" s="60" customFormat="1" ht="18" customHeight="1">
      <c r="A23" s="62"/>
      <c r="B23" s="64"/>
      <c r="C23" s="64"/>
      <c r="D23" s="139"/>
      <c r="E23" s="174"/>
      <c r="F23" s="174"/>
      <c r="G23" s="67"/>
      <c r="H23" s="73"/>
      <c r="I23" s="73"/>
      <c r="J23" s="73"/>
      <c r="K23" s="206" t="s">
        <v>483</v>
      </c>
      <c r="L23" s="136" t="s">
        <v>476</v>
      </c>
      <c r="M23" s="226">
        <v>4000</v>
      </c>
      <c r="N23" s="446"/>
      <c r="O23" s="44"/>
    </row>
    <row r="24" spans="1:21" s="1" customFormat="1" ht="18" customHeight="1">
      <c r="A24" s="10"/>
      <c r="B24" s="6"/>
      <c r="C24" s="141"/>
      <c r="D24" s="123" t="s">
        <v>484</v>
      </c>
      <c r="E24" s="124"/>
      <c r="F24" s="124"/>
      <c r="G24" s="125"/>
      <c r="H24" s="126">
        <f>SUM(H25,H30)</f>
        <v>32400</v>
      </c>
      <c r="I24" s="126">
        <v>32400</v>
      </c>
      <c r="J24" s="90">
        <f t="shared" ref="J24:J27" si="3">H24-I24</f>
        <v>0</v>
      </c>
      <c r="K24" s="81"/>
      <c r="L24" s="127"/>
      <c r="M24" s="80"/>
      <c r="N24" s="119"/>
      <c r="O24" s="2"/>
      <c r="P24" s="11"/>
      <c r="Q24" s="120"/>
      <c r="R24" s="120"/>
      <c r="S24" s="120"/>
      <c r="T24" s="121"/>
      <c r="U24" s="122"/>
    </row>
    <row r="25" spans="1:21" s="1" customFormat="1" ht="18" customHeight="1">
      <c r="A25" s="10"/>
      <c r="B25" s="6"/>
      <c r="C25" s="128"/>
      <c r="D25" s="129"/>
      <c r="E25" s="123" t="s">
        <v>27</v>
      </c>
      <c r="F25" s="124"/>
      <c r="G25" s="125"/>
      <c r="H25" s="89">
        <f>H26</f>
        <v>22400</v>
      </c>
      <c r="I25" s="89">
        <v>22400</v>
      </c>
      <c r="J25" s="93">
        <f t="shared" si="3"/>
        <v>0</v>
      </c>
      <c r="K25" s="84"/>
      <c r="L25" s="91"/>
      <c r="M25" s="82"/>
      <c r="N25" s="119"/>
      <c r="O25" s="2"/>
      <c r="P25" s="11"/>
      <c r="Q25" s="120"/>
      <c r="R25" s="120"/>
      <c r="S25" s="120"/>
      <c r="T25" s="12"/>
      <c r="U25" s="122"/>
    </row>
    <row r="26" spans="1:21" s="60" customFormat="1" ht="18" customHeight="1">
      <c r="A26" s="62"/>
      <c r="B26" s="64"/>
      <c r="C26" s="170"/>
      <c r="D26" s="171"/>
      <c r="E26" s="172"/>
      <c r="F26" s="130" t="s">
        <v>471</v>
      </c>
      <c r="G26" s="173"/>
      <c r="H26" s="71">
        <f>H27</f>
        <v>22400</v>
      </c>
      <c r="I26" s="71">
        <v>22400</v>
      </c>
      <c r="J26" s="71">
        <f t="shared" si="3"/>
        <v>0</v>
      </c>
      <c r="K26" s="50"/>
      <c r="L26" s="51"/>
      <c r="M26" s="37"/>
      <c r="N26" s="446"/>
    </row>
    <row r="27" spans="1:21" s="60" customFormat="1" ht="18" customHeight="1">
      <c r="A27" s="62"/>
      <c r="B27" s="64"/>
      <c r="C27" s="64"/>
      <c r="D27" s="139"/>
      <c r="E27" s="174"/>
      <c r="F27" s="174"/>
      <c r="G27" s="132" t="s">
        <v>475</v>
      </c>
      <c r="H27" s="72">
        <f>M27</f>
        <v>22400</v>
      </c>
      <c r="I27" s="72">
        <v>22400</v>
      </c>
      <c r="J27" s="72">
        <f t="shared" si="3"/>
        <v>0</v>
      </c>
      <c r="K27" s="33" t="s">
        <v>44</v>
      </c>
      <c r="L27" s="41"/>
      <c r="M27" s="209">
        <f>SUM(M28:M29)</f>
        <v>22400</v>
      </c>
      <c r="N27" s="447"/>
      <c r="O27" s="44"/>
    </row>
    <row r="28" spans="1:21" s="60" customFormat="1" ht="18" customHeight="1">
      <c r="A28" s="62"/>
      <c r="B28" s="64"/>
      <c r="C28" s="64"/>
      <c r="D28" s="139"/>
      <c r="E28" s="174"/>
      <c r="F28" s="174"/>
      <c r="G28" s="67"/>
      <c r="H28" s="73"/>
      <c r="I28" s="73"/>
      <c r="J28" s="73"/>
      <c r="K28" s="204" t="s">
        <v>485</v>
      </c>
      <c r="L28" s="42" t="s">
        <v>476</v>
      </c>
      <c r="M28" s="175">
        <v>20000</v>
      </c>
      <c r="N28" s="446"/>
      <c r="O28" s="44"/>
    </row>
    <row r="29" spans="1:21" s="60" customFormat="1" ht="18" customHeight="1">
      <c r="A29" s="62"/>
      <c r="B29" s="64"/>
      <c r="C29" s="64"/>
      <c r="D29" s="139"/>
      <c r="E29" s="174"/>
      <c r="F29" s="174"/>
      <c r="G29" s="67"/>
      <c r="H29" s="73"/>
      <c r="I29" s="73"/>
      <c r="J29" s="73"/>
      <c r="K29" s="204" t="s">
        <v>486</v>
      </c>
      <c r="L29" s="42" t="s">
        <v>476</v>
      </c>
      <c r="M29" s="339">
        <v>2400</v>
      </c>
      <c r="N29" s="446"/>
      <c r="O29" s="44"/>
    </row>
    <row r="30" spans="1:21" s="1" customFormat="1" ht="18" customHeight="1">
      <c r="A30" s="10"/>
      <c r="B30" s="6"/>
      <c r="C30" s="128"/>
      <c r="D30" s="237"/>
      <c r="E30" s="123" t="s">
        <v>56</v>
      </c>
      <c r="F30" s="124"/>
      <c r="G30" s="125"/>
      <c r="H30" s="89">
        <f>H31</f>
        <v>10000</v>
      </c>
      <c r="I30" s="89">
        <v>10000</v>
      </c>
      <c r="J30" s="90">
        <f t="shared" ref="J30:J32" si="4">H30-I30</f>
        <v>0</v>
      </c>
      <c r="K30" s="84"/>
      <c r="L30" s="91"/>
      <c r="M30" s="82"/>
      <c r="N30" s="119"/>
      <c r="O30" s="2"/>
      <c r="P30" s="11"/>
      <c r="Q30" s="120"/>
      <c r="R30" s="120"/>
      <c r="S30" s="120"/>
      <c r="T30" s="12"/>
      <c r="U30" s="122"/>
    </row>
    <row r="31" spans="1:21" s="60" customFormat="1" ht="18" customHeight="1">
      <c r="A31" s="62"/>
      <c r="B31" s="64"/>
      <c r="C31" s="170"/>
      <c r="D31" s="171"/>
      <c r="E31" s="172"/>
      <c r="F31" s="130" t="s">
        <v>57</v>
      </c>
      <c r="G31" s="173"/>
      <c r="H31" s="71">
        <f>H32</f>
        <v>10000</v>
      </c>
      <c r="I31" s="71">
        <v>10000</v>
      </c>
      <c r="J31" s="71">
        <f t="shared" si="4"/>
        <v>0</v>
      </c>
      <c r="K31" s="50"/>
      <c r="L31" s="51"/>
      <c r="M31" s="37"/>
      <c r="N31" s="446"/>
    </row>
    <row r="32" spans="1:21" s="60" customFormat="1" ht="18" customHeight="1">
      <c r="A32" s="62"/>
      <c r="B32" s="64"/>
      <c r="C32" s="64"/>
      <c r="D32" s="139"/>
      <c r="E32" s="174"/>
      <c r="F32" s="174"/>
      <c r="G32" s="132" t="s">
        <v>487</v>
      </c>
      <c r="H32" s="72">
        <f>M32</f>
        <v>10000</v>
      </c>
      <c r="I32" s="72">
        <v>10000</v>
      </c>
      <c r="J32" s="72">
        <f t="shared" si="4"/>
        <v>0</v>
      </c>
      <c r="K32" s="33" t="s">
        <v>488</v>
      </c>
      <c r="L32" s="41"/>
      <c r="M32" s="209">
        <f>M33</f>
        <v>10000</v>
      </c>
      <c r="N32" s="447"/>
      <c r="O32" s="44"/>
    </row>
    <row r="33" spans="1:51" s="60" customFormat="1" ht="18" customHeight="1">
      <c r="A33" s="62"/>
      <c r="B33" s="64"/>
      <c r="C33" s="64"/>
      <c r="D33" s="139"/>
      <c r="E33" s="174"/>
      <c r="F33" s="174"/>
      <c r="G33" s="67"/>
      <c r="H33" s="73"/>
      <c r="I33" s="73"/>
      <c r="J33" s="73"/>
      <c r="K33" s="204" t="s">
        <v>489</v>
      </c>
      <c r="L33" s="42" t="s">
        <v>476</v>
      </c>
      <c r="M33" s="175">
        <v>10000</v>
      </c>
      <c r="N33" s="446"/>
      <c r="O33" s="44"/>
    </row>
    <row r="34" spans="1:51" s="1" customFormat="1" ht="18" customHeight="1">
      <c r="A34" s="10"/>
      <c r="B34" s="6"/>
      <c r="C34" s="141"/>
      <c r="D34" s="123" t="s">
        <v>557</v>
      </c>
      <c r="E34" s="124"/>
      <c r="F34" s="124"/>
      <c r="G34" s="125"/>
      <c r="H34" s="126">
        <f>SUM(H35)</f>
        <v>5000</v>
      </c>
      <c r="I34" s="126">
        <v>0</v>
      </c>
      <c r="J34" s="90">
        <f t="shared" ref="J34:J37" si="5">H34-I34</f>
        <v>5000</v>
      </c>
      <c r="K34" s="142"/>
      <c r="L34" s="143"/>
      <c r="M34" s="144"/>
      <c r="N34" s="119"/>
      <c r="O34" s="2"/>
      <c r="P34" s="11"/>
      <c r="Q34" s="120"/>
      <c r="R34" s="120"/>
      <c r="S34" s="120"/>
      <c r="T34" s="121"/>
      <c r="U34" s="122"/>
    </row>
    <row r="35" spans="1:51" s="1" customFormat="1" ht="18" customHeight="1">
      <c r="A35" s="10"/>
      <c r="B35" s="6"/>
      <c r="C35" s="128"/>
      <c r="D35" s="129"/>
      <c r="E35" s="123" t="s">
        <v>27</v>
      </c>
      <c r="F35" s="124"/>
      <c r="G35" s="125"/>
      <c r="H35" s="89">
        <f>H36</f>
        <v>5000</v>
      </c>
      <c r="I35" s="89">
        <v>0</v>
      </c>
      <c r="J35" s="93">
        <f t="shared" si="5"/>
        <v>5000</v>
      </c>
      <c r="K35" s="84"/>
      <c r="L35" s="91"/>
      <c r="M35" s="82"/>
      <c r="N35" s="119"/>
      <c r="O35" s="2"/>
      <c r="P35" s="11"/>
      <c r="Q35" s="120"/>
      <c r="R35" s="120"/>
      <c r="S35" s="120"/>
      <c r="T35" s="12"/>
      <c r="U35" s="122"/>
    </row>
    <row r="36" spans="1:51" s="60" customFormat="1" ht="18" customHeight="1">
      <c r="A36" s="62"/>
      <c r="B36" s="64"/>
      <c r="C36" s="170"/>
      <c r="D36" s="171"/>
      <c r="E36" s="172"/>
      <c r="F36" s="130" t="s">
        <v>181</v>
      </c>
      <c r="G36" s="173"/>
      <c r="H36" s="71">
        <f>H37</f>
        <v>5000</v>
      </c>
      <c r="I36" s="71">
        <v>0</v>
      </c>
      <c r="J36" s="71">
        <f t="shared" si="5"/>
        <v>5000</v>
      </c>
      <c r="K36" s="50"/>
      <c r="L36" s="51"/>
      <c r="M36" s="37"/>
      <c r="N36" s="446"/>
    </row>
    <row r="37" spans="1:51" s="60" customFormat="1" ht="18" customHeight="1">
      <c r="A37" s="62"/>
      <c r="B37" s="64"/>
      <c r="C37" s="64"/>
      <c r="D37" s="139"/>
      <c r="E37" s="174"/>
      <c r="F37" s="174"/>
      <c r="G37" s="132" t="s">
        <v>182</v>
      </c>
      <c r="H37" s="72">
        <f>M37</f>
        <v>5000</v>
      </c>
      <c r="I37" s="72">
        <v>0</v>
      </c>
      <c r="J37" s="72">
        <f t="shared" si="5"/>
        <v>5000</v>
      </c>
      <c r="K37" s="33" t="s">
        <v>44</v>
      </c>
      <c r="L37" s="41"/>
      <c r="M37" s="209">
        <f>SUM(M38:M39)</f>
        <v>5000</v>
      </c>
      <c r="N37" s="447"/>
      <c r="O37" s="44"/>
    </row>
    <row r="38" spans="1:51" s="60" customFormat="1" ht="18" customHeight="1">
      <c r="A38" s="62"/>
      <c r="B38" s="64"/>
      <c r="C38" s="64"/>
      <c r="D38" s="139"/>
      <c r="E38" s="174"/>
      <c r="F38" s="174"/>
      <c r="G38" s="67"/>
      <c r="H38" s="73"/>
      <c r="I38" s="73"/>
      <c r="J38" s="73"/>
      <c r="K38" s="203" t="s">
        <v>558</v>
      </c>
      <c r="L38" s="42"/>
      <c r="M38" s="175"/>
      <c r="N38" s="446"/>
      <c r="O38" s="44"/>
    </row>
    <row r="39" spans="1:51" s="60" customFormat="1" ht="18" customHeight="1">
      <c r="A39" s="62"/>
      <c r="B39" s="64"/>
      <c r="C39" s="66"/>
      <c r="D39" s="236"/>
      <c r="E39" s="263"/>
      <c r="F39" s="263"/>
      <c r="G39" s="69"/>
      <c r="H39" s="70"/>
      <c r="I39" s="70"/>
      <c r="J39" s="70"/>
      <c r="K39" s="383" t="s">
        <v>560</v>
      </c>
      <c r="L39" s="381" t="s">
        <v>165</v>
      </c>
      <c r="M39" s="384">
        <v>5000</v>
      </c>
      <c r="N39" s="446"/>
      <c r="O39" s="44"/>
    </row>
    <row r="40" spans="1:51" s="1" customFormat="1" ht="18" customHeight="1">
      <c r="A40" s="10"/>
      <c r="B40" s="6"/>
      <c r="C40" s="164" t="s">
        <v>214</v>
      </c>
      <c r="D40" s="124"/>
      <c r="E40" s="124"/>
      <c r="F40" s="124"/>
      <c r="G40" s="125"/>
      <c r="H40" s="89">
        <f>H41</f>
        <v>32316</v>
      </c>
      <c r="I40" s="89">
        <v>32316</v>
      </c>
      <c r="J40" s="90">
        <f>H40-I40</f>
        <v>0</v>
      </c>
      <c r="K40" s="153"/>
      <c r="L40" s="143"/>
      <c r="M40" s="144"/>
      <c r="N40" s="433"/>
      <c r="O40" s="433"/>
      <c r="P40" s="433"/>
      <c r="Q40" s="433"/>
      <c r="R40" s="433"/>
      <c r="S40" s="433"/>
      <c r="T40" s="433"/>
      <c r="U40" s="433"/>
    </row>
    <row r="41" spans="1:51" s="1" customFormat="1" ht="18" customHeight="1">
      <c r="A41" s="10"/>
      <c r="B41" s="6"/>
      <c r="C41" s="141"/>
      <c r="D41" s="123" t="s">
        <v>30</v>
      </c>
      <c r="E41" s="124"/>
      <c r="F41" s="124"/>
      <c r="G41" s="125"/>
      <c r="H41" s="126">
        <f>H42</f>
        <v>32316</v>
      </c>
      <c r="I41" s="126">
        <v>32316</v>
      </c>
      <c r="J41" s="9">
        <f>H41-I41</f>
        <v>0</v>
      </c>
      <c r="K41" s="142"/>
      <c r="L41" s="143"/>
      <c r="M41" s="144"/>
      <c r="N41" s="119"/>
      <c r="O41" s="2"/>
      <c r="P41" s="11"/>
      <c r="Q41" s="120"/>
      <c r="R41" s="120"/>
      <c r="S41" s="120"/>
      <c r="T41" s="121"/>
      <c r="U41" s="122"/>
    </row>
    <row r="42" spans="1:51" s="1" customFormat="1" ht="18" customHeight="1">
      <c r="A42" s="10"/>
      <c r="B42" s="6"/>
      <c r="C42" s="128"/>
      <c r="D42" s="129"/>
      <c r="E42" s="123" t="s">
        <v>29</v>
      </c>
      <c r="F42" s="124"/>
      <c r="G42" s="125"/>
      <c r="H42" s="89">
        <f>SUM(H43,H50,H54,H57)</f>
        <v>32316</v>
      </c>
      <c r="I42" s="89">
        <v>32316</v>
      </c>
      <c r="J42" s="90">
        <f>H42-I42</f>
        <v>0</v>
      </c>
      <c r="K42" s="84"/>
      <c r="L42" s="91"/>
      <c r="M42" s="82"/>
      <c r="N42" s="119"/>
      <c r="O42" s="2"/>
      <c r="P42" s="11"/>
      <c r="Q42" s="120"/>
      <c r="R42" s="120"/>
      <c r="S42" s="120"/>
      <c r="T42" s="12"/>
      <c r="U42" s="122"/>
    </row>
    <row r="43" spans="1:51" s="135" customFormat="1" ht="18" customHeight="1">
      <c r="A43" s="62"/>
      <c r="B43" s="64"/>
      <c r="C43" s="64"/>
      <c r="D43" s="64"/>
      <c r="E43" s="64"/>
      <c r="F43" s="130" t="s">
        <v>31</v>
      </c>
      <c r="G43" s="134"/>
      <c r="H43" s="71">
        <f>SUM(H44,H46,H48)</f>
        <v>12016</v>
      </c>
      <c r="I43" s="71">
        <v>12016</v>
      </c>
      <c r="J43" s="96">
        <f>H43-I43</f>
        <v>0</v>
      </c>
      <c r="K43" s="138"/>
      <c r="L43" s="35"/>
      <c r="M43" s="34"/>
      <c r="N43" s="449"/>
      <c r="O43" s="131"/>
      <c r="P43" s="131"/>
      <c r="Q43" s="131"/>
      <c r="R43" s="131"/>
      <c r="S43" s="131"/>
      <c r="T43" s="131"/>
      <c r="U43" s="131"/>
      <c r="V43" s="131"/>
      <c r="W43" s="131"/>
      <c r="X43" s="131"/>
    </row>
    <row r="44" spans="1:51" s="131" customFormat="1" ht="18" customHeight="1">
      <c r="A44" s="53"/>
      <c r="B44" s="55"/>
      <c r="C44" s="64"/>
      <c r="D44" s="64"/>
      <c r="E44" s="64"/>
      <c r="F44" s="176"/>
      <c r="G44" s="193" t="s">
        <v>32</v>
      </c>
      <c r="H44" s="194">
        <f>M44</f>
        <v>3240</v>
      </c>
      <c r="I44" s="194">
        <v>3240</v>
      </c>
      <c r="J44" s="38">
        <f>H44-I44</f>
        <v>0</v>
      </c>
      <c r="K44" s="33" t="s">
        <v>44</v>
      </c>
      <c r="L44" s="196"/>
      <c r="M44" s="209">
        <f>SUM(M45:M45)</f>
        <v>3240</v>
      </c>
      <c r="N44" s="450"/>
      <c r="O44" s="59"/>
      <c r="P44" s="95"/>
      <c r="Q44" s="52"/>
      <c r="R44" s="52"/>
      <c r="S44" s="52"/>
      <c r="T44" s="52"/>
      <c r="U44" s="52"/>
      <c r="V44" s="52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</row>
    <row r="45" spans="1:51" s="58" customFormat="1" ht="18" customHeight="1">
      <c r="A45" s="53"/>
      <c r="B45" s="55"/>
      <c r="C45" s="64"/>
      <c r="D45" s="64"/>
      <c r="E45" s="64"/>
      <c r="F45" s="54"/>
      <c r="G45" s="54"/>
      <c r="H45" s="98"/>
      <c r="I45" s="98"/>
      <c r="J45" s="100"/>
      <c r="K45" s="177" t="s">
        <v>367</v>
      </c>
      <c r="L45" s="187" t="s">
        <v>33</v>
      </c>
      <c r="M45" s="175">
        <v>3240</v>
      </c>
      <c r="N45" s="451" t="s">
        <v>9</v>
      </c>
      <c r="P45" s="97"/>
      <c r="Q45" s="52"/>
      <c r="R45" s="52"/>
      <c r="S45" s="52"/>
      <c r="T45" s="52"/>
      <c r="U45" s="52"/>
      <c r="V45" s="52"/>
    </row>
    <row r="46" spans="1:51" s="131" customFormat="1" ht="18" customHeight="1">
      <c r="A46" s="53"/>
      <c r="B46" s="55"/>
      <c r="C46" s="64"/>
      <c r="D46" s="64"/>
      <c r="E46" s="64"/>
      <c r="F46" s="54"/>
      <c r="G46" s="193" t="s">
        <v>34</v>
      </c>
      <c r="H46" s="194">
        <f>M46</f>
        <v>1000</v>
      </c>
      <c r="I46" s="194">
        <v>1000</v>
      </c>
      <c r="J46" s="195">
        <f>H46-I46</f>
        <v>0</v>
      </c>
      <c r="K46" s="33" t="s">
        <v>45</v>
      </c>
      <c r="L46" s="48"/>
      <c r="M46" s="209">
        <f>SUM(M47)</f>
        <v>1000</v>
      </c>
      <c r="N46" s="452" t="s">
        <v>10</v>
      </c>
      <c r="O46" s="145"/>
      <c r="P46" s="133">
        <v>10380</v>
      </c>
      <c r="Q46" s="99">
        <v>0.5</v>
      </c>
      <c r="R46" s="99">
        <v>0.5</v>
      </c>
      <c r="S46" s="99">
        <v>4</v>
      </c>
      <c r="T46" s="99">
        <v>5</v>
      </c>
      <c r="U46" s="99">
        <v>52</v>
      </c>
    </row>
    <row r="47" spans="1:51" s="131" customFormat="1" ht="18" customHeight="1">
      <c r="A47" s="62"/>
      <c r="B47" s="64"/>
      <c r="C47" s="64"/>
      <c r="D47" s="64"/>
      <c r="E47" s="64"/>
      <c r="F47" s="54"/>
      <c r="G47" s="54"/>
      <c r="H47" s="98"/>
      <c r="I47" s="98"/>
      <c r="J47" s="100"/>
      <c r="K47" s="192" t="s">
        <v>481</v>
      </c>
      <c r="L47" s="189" t="s">
        <v>35</v>
      </c>
      <c r="M47" s="175">
        <v>1000</v>
      </c>
      <c r="N47" s="453" t="s">
        <v>4</v>
      </c>
      <c r="O47" s="145"/>
      <c r="P47" s="133">
        <v>10380</v>
      </c>
      <c r="Q47" s="99">
        <v>8</v>
      </c>
      <c r="R47" s="99">
        <v>4</v>
      </c>
      <c r="S47" s="99">
        <v>12</v>
      </c>
      <c r="T47" s="99"/>
      <c r="U47" s="99"/>
    </row>
    <row r="48" spans="1:51" s="131" customFormat="1" ht="18" customHeight="1">
      <c r="A48" s="53"/>
      <c r="B48" s="55"/>
      <c r="C48" s="64"/>
      <c r="D48" s="64"/>
      <c r="E48" s="64"/>
      <c r="F48" s="54"/>
      <c r="G48" s="193" t="s">
        <v>247</v>
      </c>
      <c r="H48" s="194">
        <f>M48</f>
        <v>7776</v>
      </c>
      <c r="I48" s="194">
        <v>7776</v>
      </c>
      <c r="J48" s="195">
        <f>H48-I48</f>
        <v>0</v>
      </c>
      <c r="K48" s="33" t="s">
        <v>248</v>
      </c>
      <c r="L48" s="48"/>
      <c r="M48" s="209">
        <f>SUM(M49)</f>
        <v>7776</v>
      </c>
      <c r="N48" s="452" t="s">
        <v>10</v>
      </c>
      <c r="O48" s="145"/>
      <c r="P48" s="133">
        <v>10380</v>
      </c>
      <c r="Q48" s="99">
        <v>0.5</v>
      </c>
      <c r="R48" s="99">
        <v>0.5</v>
      </c>
      <c r="S48" s="99">
        <v>4</v>
      </c>
      <c r="T48" s="99">
        <v>5</v>
      </c>
      <c r="U48" s="99">
        <v>52</v>
      </c>
    </row>
    <row r="49" spans="1:51" s="131" customFormat="1" ht="18" customHeight="1">
      <c r="A49" s="62"/>
      <c r="B49" s="64"/>
      <c r="C49" s="64"/>
      <c r="D49" s="64"/>
      <c r="E49" s="64"/>
      <c r="F49" s="54"/>
      <c r="G49" s="54"/>
      <c r="H49" s="98"/>
      <c r="I49" s="98"/>
      <c r="J49" s="100"/>
      <c r="K49" s="206" t="s">
        <v>374</v>
      </c>
      <c r="L49" s="189" t="s">
        <v>33</v>
      </c>
      <c r="M49" s="175">
        <v>7776</v>
      </c>
      <c r="N49" s="453" t="s">
        <v>4</v>
      </c>
      <c r="O49" s="145"/>
      <c r="P49" s="133">
        <v>10380</v>
      </c>
      <c r="Q49" s="99">
        <v>8</v>
      </c>
      <c r="R49" s="99">
        <v>4</v>
      </c>
      <c r="S49" s="99">
        <v>12</v>
      </c>
      <c r="T49" s="99"/>
      <c r="U49" s="99"/>
    </row>
    <row r="50" spans="1:51" s="131" customFormat="1" ht="18" customHeight="1">
      <c r="A50" s="62"/>
      <c r="B50" s="64"/>
      <c r="C50" s="64"/>
      <c r="D50" s="64"/>
      <c r="E50" s="64"/>
      <c r="F50" s="430" t="s">
        <v>36</v>
      </c>
      <c r="G50" s="431"/>
      <c r="H50" s="146">
        <f>H51</f>
        <v>16200</v>
      </c>
      <c r="I50" s="146">
        <v>16200</v>
      </c>
      <c r="J50" s="147">
        <f>H50-I50</f>
        <v>0</v>
      </c>
      <c r="K50" s="148"/>
      <c r="L50" s="56"/>
      <c r="M50" s="57"/>
      <c r="N50" s="454"/>
      <c r="P50" s="135"/>
      <c r="V50" s="52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</row>
    <row r="51" spans="1:51" s="131" customFormat="1" ht="18" customHeight="1">
      <c r="A51" s="62"/>
      <c r="B51" s="64"/>
      <c r="C51" s="64"/>
      <c r="D51" s="64"/>
      <c r="E51" s="64"/>
      <c r="F51" s="107"/>
      <c r="G51" s="184" t="s">
        <v>37</v>
      </c>
      <c r="H51" s="197">
        <f>M51</f>
        <v>16200</v>
      </c>
      <c r="I51" s="194">
        <v>16200</v>
      </c>
      <c r="J51" s="186">
        <f>H51-I51</f>
        <v>0</v>
      </c>
      <c r="K51" s="33" t="s">
        <v>46</v>
      </c>
      <c r="L51" s="199"/>
      <c r="M51" s="209">
        <f>SUM(M52:M53)</f>
        <v>16200</v>
      </c>
      <c r="N51" s="455"/>
      <c r="O51" s="145"/>
      <c r="P51" s="133"/>
      <c r="Q51" s="99"/>
      <c r="R51" s="99"/>
      <c r="S51" s="99"/>
      <c r="V51" s="52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</row>
    <row r="52" spans="1:51" s="131" customFormat="1" ht="18" customHeight="1">
      <c r="A52" s="62"/>
      <c r="B52" s="64"/>
      <c r="C52" s="64"/>
      <c r="D52" s="64"/>
      <c r="E52" s="64"/>
      <c r="F52" s="179"/>
      <c r="G52" s="179"/>
      <c r="H52" s="98"/>
      <c r="I52" s="102"/>
      <c r="J52" s="100"/>
      <c r="K52" s="204" t="s">
        <v>432</v>
      </c>
      <c r="L52" s="94" t="s">
        <v>0</v>
      </c>
      <c r="M52" s="175">
        <v>4320</v>
      </c>
      <c r="N52" s="456" t="s">
        <v>15</v>
      </c>
      <c r="O52" s="145"/>
      <c r="P52" s="133">
        <v>670000</v>
      </c>
      <c r="Q52" s="99">
        <v>1</v>
      </c>
      <c r="R52" s="99">
        <v>1</v>
      </c>
      <c r="S52" s="99"/>
      <c r="V52" s="52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</row>
    <row r="53" spans="1:51" s="131" customFormat="1" ht="18" customHeight="1">
      <c r="A53" s="62"/>
      <c r="B53" s="64"/>
      <c r="C53" s="64"/>
      <c r="D53" s="64"/>
      <c r="E53" s="64"/>
      <c r="F53" s="179"/>
      <c r="G53" s="179"/>
      <c r="H53" s="98"/>
      <c r="I53" s="102"/>
      <c r="J53" s="100"/>
      <c r="K53" s="206" t="s">
        <v>527</v>
      </c>
      <c r="L53" s="198" t="s">
        <v>0</v>
      </c>
      <c r="M53" s="175">
        <v>11880</v>
      </c>
      <c r="N53" s="456" t="s">
        <v>16</v>
      </c>
      <c r="O53" s="145"/>
      <c r="P53" s="133">
        <v>26000</v>
      </c>
      <c r="Q53" s="99">
        <v>16</v>
      </c>
      <c r="R53" s="99"/>
      <c r="S53" s="99"/>
    </row>
    <row r="54" spans="1:51" s="131" customFormat="1" ht="18" customHeight="1">
      <c r="A54" s="62"/>
      <c r="B54" s="64"/>
      <c r="C54" s="64"/>
      <c r="D54" s="64"/>
      <c r="E54" s="64"/>
      <c r="F54" s="430" t="s">
        <v>38</v>
      </c>
      <c r="G54" s="431"/>
      <c r="H54" s="146">
        <f>H55</f>
        <v>2000</v>
      </c>
      <c r="I54" s="146">
        <v>2000</v>
      </c>
      <c r="J54" s="147">
        <f>H54-I54</f>
        <v>0</v>
      </c>
      <c r="K54" s="148"/>
      <c r="L54" s="56"/>
      <c r="M54" s="57"/>
      <c r="N54" s="454"/>
      <c r="P54" s="135"/>
      <c r="V54" s="52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</row>
    <row r="55" spans="1:51" s="131" customFormat="1" ht="18" customHeight="1">
      <c r="A55" s="62"/>
      <c r="B55" s="64"/>
      <c r="C55" s="64"/>
      <c r="D55" s="64"/>
      <c r="E55" s="64"/>
      <c r="F55" s="179"/>
      <c r="G55" s="107" t="s">
        <v>39</v>
      </c>
      <c r="H55" s="197">
        <f>M55</f>
        <v>2000</v>
      </c>
      <c r="I55" s="197">
        <v>2000</v>
      </c>
      <c r="J55" s="186">
        <f>H55-I55</f>
        <v>0</v>
      </c>
      <c r="K55" s="33" t="s">
        <v>47</v>
      </c>
      <c r="L55" s="196"/>
      <c r="M55" s="209">
        <f>SUM(M56)</f>
        <v>2000</v>
      </c>
      <c r="N55" s="457"/>
      <c r="O55" s="145"/>
      <c r="P55" s="133"/>
      <c r="Q55" s="99"/>
      <c r="R55" s="99"/>
      <c r="S55" s="99"/>
    </row>
    <row r="56" spans="1:51" s="131" customFormat="1" ht="18" customHeight="1">
      <c r="A56" s="320"/>
      <c r="B56" s="321"/>
      <c r="C56" s="321"/>
      <c r="D56" s="321"/>
      <c r="E56" s="321"/>
      <c r="F56" s="180"/>
      <c r="G56" s="180"/>
      <c r="H56" s="101"/>
      <c r="I56" s="149"/>
      <c r="J56" s="149"/>
      <c r="K56" s="183" t="s">
        <v>511</v>
      </c>
      <c r="L56" s="198" t="s">
        <v>0</v>
      </c>
      <c r="M56" s="181">
        <v>2000</v>
      </c>
      <c r="N56" s="458" t="s">
        <v>11</v>
      </c>
      <c r="O56" s="145"/>
      <c r="P56" s="133">
        <v>130000</v>
      </c>
      <c r="Q56" s="99">
        <v>1</v>
      </c>
      <c r="R56" s="99"/>
      <c r="S56" s="99"/>
    </row>
    <row r="57" spans="1:51" customFormat="1" ht="16.5">
      <c r="A57" s="62"/>
      <c r="B57" s="64"/>
      <c r="C57" s="64"/>
      <c r="D57" s="64"/>
      <c r="E57" s="64"/>
      <c r="F57" s="331" t="s">
        <v>89</v>
      </c>
      <c r="G57" s="69"/>
      <c r="H57" s="70">
        <f>H58</f>
        <v>2100</v>
      </c>
      <c r="I57" s="70">
        <v>2100</v>
      </c>
      <c r="J57" s="140">
        <f>H57-I57</f>
        <v>0</v>
      </c>
      <c r="K57" s="274"/>
      <c r="L57" s="275"/>
      <c r="M57" s="332"/>
    </row>
    <row r="58" spans="1:51" customFormat="1" ht="16.5">
      <c r="A58" s="62"/>
      <c r="B58" s="64"/>
      <c r="C58" s="64"/>
      <c r="D58" s="64"/>
      <c r="E58" s="64"/>
      <c r="F58" s="137"/>
      <c r="G58" s="64" t="s">
        <v>93</v>
      </c>
      <c r="H58" s="75">
        <f>M58</f>
        <v>2100</v>
      </c>
      <c r="I58" s="75">
        <v>2100</v>
      </c>
      <c r="J58" s="45">
        <f>H58-I58</f>
        <v>0</v>
      </c>
      <c r="K58" s="33" t="s">
        <v>360</v>
      </c>
      <c r="L58" s="36"/>
      <c r="M58" s="209">
        <f>M59</f>
        <v>2100</v>
      </c>
    </row>
    <row r="59" spans="1:51" customFormat="1" ht="17.25" thickBot="1">
      <c r="A59" s="288"/>
      <c r="B59" s="68"/>
      <c r="C59" s="68"/>
      <c r="D59" s="68"/>
      <c r="E59" s="68"/>
      <c r="F59" s="333"/>
      <c r="G59" s="185"/>
      <c r="H59" s="334"/>
      <c r="I59" s="335"/>
      <c r="J59" s="336"/>
      <c r="K59" s="224" t="s">
        <v>381</v>
      </c>
      <c r="L59" s="225" t="s">
        <v>0</v>
      </c>
      <c r="M59" s="235">
        <v>2100</v>
      </c>
      <c r="N59">
        <v>8</v>
      </c>
    </row>
    <row r="60" spans="1:51" s="131" customFormat="1" ht="18" customHeight="1"/>
    <row r="61" spans="1:51" s="131" customFormat="1" ht="18" customHeight="1"/>
    <row r="62" spans="1:51" s="131" customFormat="1" ht="18" customHeight="1"/>
    <row r="63" spans="1:51" s="131" customFormat="1" ht="18" customHeight="1"/>
    <row r="64" spans="1:51" s="131" customFormat="1" ht="18" customHeight="1"/>
    <row r="65" spans="1:1" s="131" customFormat="1" ht="18" customHeight="1"/>
    <row r="66" spans="1:1" s="131" customFormat="1" ht="18" customHeight="1"/>
    <row r="67" spans="1:1" s="131" customFormat="1" ht="18" customHeight="1"/>
    <row r="68" spans="1:1" s="131" customFormat="1" ht="18" customHeight="1"/>
    <row r="69" spans="1:1" s="131" customFormat="1" ht="18" customHeight="1"/>
    <row r="70" spans="1:1" s="131" customFormat="1" ht="18" customHeight="1"/>
    <row r="71" spans="1:1" s="131" customFormat="1" ht="18" customHeight="1">
      <c r="A71" s="1"/>
    </row>
    <row r="72" spans="1:1" s="131" customFormat="1" ht="18" customHeight="1">
      <c r="A72" s="1"/>
    </row>
    <row r="73" spans="1:1" s="131" customFormat="1" ht="18" customHeight="1">
      <c r="A73" s="1"/>
    </row>
    <row r="74" spans="1:1" s="131" customFormat="1" ht="18" customHeight="1">
      <c r="A74" s="1"/>
    </row>
    <row r="75" spans="1:1" s="131" customFormat="1" ht="18" customHeight="1">
      <c r="A75" s="1"/>
    </row>
    <row r="76" spans="1:1" s="131" customFormat="1" ht="18" customHeight="1">
      <c r="A76" s="152"/>
    </row>
    <row r="77" spans="1:1" s="131" customFormat="1" ht="18" customHeight="1">
      <c r="A77" s="152"/>
    </row>
    <row r="78" spans="1:1" s="131" customFormat="1" ht="18" customHeight="1"/>
    <row r="79" spans="1:1" s="131" customFormat="1" ht="18" customHeight="1"/>
    <row r="80" spans="1:1" s="131" customFormat="1" ht="18" customHeight="1"/>
    <row r="81" spans="1:8" s="131" customFormat="1" ht="18" customHeight="1">
      <c r="A81" s="1"/>
      <c r="B81" s="1"/>
      <c r="C81" s="1"/>
      <c r="D81" s="1"/>
      <c r="E81" s="1"/>
      <c r="F81" s="1"/>
      <c r="G81" s="1"/>
      <c r="H81" s="1"/>
    </row>
    <row r="82" spans="1:8" s="131" customFormat="1" ht="18" customHeight="1">
      <c r="A82" s="1"/>
      <c r="B82" s="1"/>
      <c r="C82" s="1"/>
      <c r="D82" s="1"/>
      <c r="E82" s="1"/>
      <c r="F82" s="1"/>
      <c r="G82" s="1"/>
      <c r="H82" s="1"/>
    </row>
    <row r="83" spans="1:8" s="1" customFormat="1" ht="18" customHeight="1"/>
    <row r="84" spans="1:8" s="1" customFormat="1" ht="18" customHeight="1"/>
    <row r="85" spans="1:8" s="131" customFormat="1" ht="18" customHeight="1">
      <c r="A85" s="1"/>
      <c r="B85" s="1"/>
      <c r="C85" s="1"/>
      <c r="D85" s="1"/>
      <c r="E85" s="1"/>
      <c r="F85" s="1"/>
      <c r="G85" s="1"/>
      <c r="H85" s="1"/>
    </row>
    <row r="86" spans="1:8" s="131" customFormat="1" ht="18" customHeight="1">
      <c r="A86" s="151"/>
      <c r="B86" s="152"/>
      <c r="C86" s="152"/>
      <c r="D86" s="152"/>
      <c r="E86" s="152"/>
      <c r="F86" s="152"/>
      <c r="G86" s="152"/>
      <c r="H86" s="152"/>
    </row>
    <row r="87" spans="1:8" s="131" customFormat="1" ht="18" customHeight="1">
      <c r="A87" s="21"/>
      <c r="B87" s="21"/>
      <c r="C87" s="21"/>
      <c r="D87" s="21"/>
      <c r="E87" s="21"/>
      <c r="F87" s="21"/>
      <c r="G87" s="21"/>
      <c r="H87" s="77"/>
    </row>
    <row r="88" spans="1:8" s="131" customFormat="1" ht="18" customHeight="1">
      <c r="A88" s="21"/>
      <c r="B88" s="21"/>
      <c r="C88" s="21"/>
      <c r="D88" s="21"/>
      <c r="E88" s="21"/>
      <c r="F88" s="21"/>
      <c r="G88" s="21"/>
      <c r="H88" s="77"/>
    </row>
    <row r="89" spans="1:8" s="131" customFormat="1" ht="18" customHeight="1">
      <c r="A89" s="21"/>
      <c r="B89" s="21"/>
      <c r="C89" s="21"/>
      <c r="D89" s="21"/>
      <c r="E89" s="21"/>
      <c r="F89" s="21"/>
      <c r="G89" s="21"/>
      <c r="H89" s="77"/>
    </row>
    <row r="90" spans="1:8" s="131" customFormat="1" ht="18" customHeight="1">
      <c r="A90" s="21"/>
      <c r="B90" s="21"/>
      <c r="C90" s="21"/>
      <c r="D90" s="21"/>
      <c r="E90" s="21"/>
      <c r="F90" s="21"/>
      <c r="G90" s="21"/>
      <c r="H90" s="77"/>
    </row>
    <row r="91" spans="1:8" s="131" customFormat="1" ht="18" customHeight="1">
      <c r="A91" s="21"/>
      <c r="B91" s="21"/>
      <c r="C91" s="21"/>
      <c r="D91" s="21"/>
      <c r="E91" s="21"/>
      <c r="F91" s="21"/>
      <c r="G91" s="21"/>
      <c r="H91" s="77"/>
    </row>
    <row r="92" spans="1:8" s="131" customFormat="1" ht="18" customHeight="1">
      <c r="A92" s="21"/>
      <c r="B92" s="21"/>
      <c r="C92" s="21"/>
      <c r="D92" s="21"/>
      <c r="E92" s="21"/>
      <c r="F92" s="21"/>
      <c r="G92" s="21"/>
      <c r="H92" s="77"/>
    </row>
    <row r="93" spans="1:8" s="131" customFormat="1" ht="18" customHeight="1">
      <c r="A93" s="21"/>
      <c r="B93" s="21"/>
      <c r="C93" s="21"/>
      <c r="D93" s="21"/>
      <c r="E93" s="21"/>
      <c r="F93" s="21"/>
      <c r="G93" s="21"/>
      <c r="H93" s="77"/>
    </row>
    <row r="94" spans="1:8" s="131" customFormat="1" ht="18" customHeight="1">
      <c r="A94" s="21"/>
      <c r="B94" s="21"/>
      <c r="C94" s="21"/>
      <c r="D94" s="21"/>
      <c r="E94" s="21"/>
      <c r="F94" s="21"/>
      <c r="G94" s="21"/>
      <c r="H94" s="77"/>
    </row>
    <row r="95" spans="1:8" s="131" customFormat="1" ht="18" customHeight="1">
      <c r="A95" s="21"/>
      <c r="B95" s="21"/>
      <c r="C95" s="21"/>
      <c r="D95" s="21"/>
      <c r="E95" s="21"/>
      <c r="F95" s="21"/>
      <c r="G95" s="21"/>
      <c r="H95" s="77"/>
    </row>
    <row r="96" spans="1:8" s="131" customFormat="1" ht="18" customHeight="1">
      <c r="A96" s="21"/>
      <c r="B96" s="21"/>
      <c r="C96" s="21"/>
      <c r="D96" s="21"/>
      <c r="E96" s="21"/>
      <c r="F96" s="21"/>
      <c r="G96" s="21"/>
      <c r="H96" s="77"/>
    </row>
    <row r="97" spans="1:8" s="131" customFormat="1" ht="18" customHeight="1">
      <c r="A97" s="21"/>
      <c r="B97" s="21"/>
      <c r="C97" s="21"/>
      <c r="D97" s="21"/>
      <c r="E97" s="21"/>
      <c r="F97" s="21"/>
      <c r="G97" s="21"/>
      <c r="H97" s="77"/>
    </row>
    <row r="98" spans="1:8" s="131" customFormat="1" ht="18" customHeight="1">
      <c r="A98" s="21"/>
      <c r="B98" s="21"/>
      <c r="C98" s="21"/>
      <c r="D98" s="21"/>
      <c r="E98" s="21"/>
      <c r="F98" s="21"/>
      <c r="G98" s="21"/>
      <c r="H98" s="77"/>
    </row>
    <row r="99" spans="1:8" s="131" customFormat="1" ht="18" customHeight="1">
      <c r="A99" s="21"/>
      <c r="B99" s="21"/>
      <c r="C99" s="21"/>
      <c r="D99" s="21"/>
      <c r="E99" s="21"/>
      <c r="F99" s="21"/>
      <c r="G99" s="21"/>
      <c r="H99" s="77"/>
    </row>
    <row r="100" spans="1:8" s="131" customFormat="1" ht="18" customHeight="1">
      <c r="A100" s="21"/>
      <c r="B100" s="21"/>
      <c r="C100" s="21"/>
      <c r="D100" s="21"/>
      <c r="E100" s="21"/>
      <c r="F100" s="21"/>
      <c r="G100" s="21"/>
      <c r="H100" s="77"/>
    </row>
    <row r="101" spans="1:8" s="131" customFormat="1" ht="18" customHeight="1">
      <c r="A101" s="21"/>
      <c r="B101" s="21"/>
      <c r="C101" s="21"/>
      <c r="D101" s="21"/>
      <c r="E101" s="21"/>
      <c r="F101" s="21"/>
      <c r="G101" s="21"/>
      <c r="H101" s="77"/>
    </row>
    <row r="102" spans="1:8" s="131" customFormat="1" ht="18" customHeight="1">
      <c r="A102" s="21"/>
      <c r="B102" s="21"/>
      <c r="C102" s="21"/>
      <c r="D102" s="21"/>
      <c r="E102" s="21"/>
      <c r="F102" s="21"/>
      <c r="G102" s="21"/>
      <c r="H102" s="77"/>
    </row>
    <row r="103" spans="1:8" s="131" customFormat="1" ht="18" customHeight="1">
      <c r="A103" s="21"/>
      <c r="B103" s="21"/>
      <c r="C103" s="21"/>
      <c r="D103" s="21"/>
      <c r="E103" s="21"/>
      <c r="F103" s="21"/>
      <c r="G103" s="21"/>
      <c r="H103" s="77"/>
    </row>
    <row r="104" spans="1:8" s="131" customFormat="1" ht="18" customHeight="1">
      <c r="A104" s="21"/>
      <c r="B104" s="21"/>
      <c r="C104" s="21"/>
      <c r="D104" s="21"/>
      <c r="E104" s="21"/>
      <c r="F104" s="21"/>
      <c r="G104" s="21"/>
      <c r="H104" s="77"/>
    </row>
    <row r="105" spans="1:8" s="131" customFormat="1" ht="18" customHeight="1">
      <c r="A105" s="21"/>
      <c r="B105" s="21"/>
      <c r="C105" s="21"/>
      <c r="D105" s="21"/>
      <c r="E105" s="21"/>
      <c r="F105" s="21"/>
      <c r="G105" s="21"/>
      <c r="H105" s="77"/>
    </row>
    <row r="106" spans="1:8" s="131" customFormat="1" ht="18" customHeight="1">
      <c r="A106" s="21"/>
      <c r="B106" s="21"/>
      <c r="C106" s="21"/>
      <c r="D106" s="21"/>
      <c r="E106" s="21"/>
      <c r="F106" s="21"/>
      <c r="G106" s="21"/>
      <c r="H106" s="77"/>
    </row>
    <row r="107" spans="1:8" s="131" customFormat="1" ht="18" customHeight="1">
      <c r="A107" s="21"/>
      <c r="B107" s="21"/>
      <c r="C107" s="21"/>
      <c r="D107" s="21"/>
      <c r="E107" s="21"/>
      <c r="F107" s="21"/>
      <c r="G107" s="21"/>
      <c r="H107" s="77"/>
    </row>
    <row r="108" spans="1:8" s="131" customFormat="1" ht="18" customHeight="1">
      <c r="A108" s="21"/>
      <c r="B108" s="21"/>
      <c r="C108" s="21"/>
      <c r="D108" s="21"/>
      <c r="E108" s="21"/>
      <c r="F108" s="21"/>
      <c r="G108" s="21"/>
      <c r="H108" s="77"/>
    </row>
    <row r="109" spans="1:8" s="131" customFormat="1" ht="18" customHeight="1">
      <c r="A109" s="21"/>
      <c r="B109" s="21"/>
      <c r="C109" s="21"/>
      <c r="D109" s="21"/>
      <c r="E109" s="21"/>
      <c r="F109" s="21"/>
      <c r="G109" s="21"/>
      <c r="H109" s="77"/>
    </row>
    <row r="110" spans="1:8" s="131" customFormat="1" ht="18" customHeight="1">
      <c r="A110" s="21"/>
      <c r="B110" s="21"/>
      <c r="C110" s="21"/>
      <c r="D110" s="21"/>
      <c r="E110" s="21"/>
      <c r="F110" s="21"/>
      <c r="G110" s="21"/>
      <c r="H110" s="77"/>
    </row>
    <row r="111" spans="1:8" s="131" customFormat="1" ht="18" customHeight="1">
      <c r="A111" s="21"/>
      <c r="B111" s="21"/>
      <c r="C111" s="21"/>
      <c r="D111" s="21"/>
      <c r="E111" s="21"/>
      <c r="F111" s="21"/>
      <c r="G111" s="21"/>
      <c r="H111" s="77"/>
    </row>
    <row r="112" spans="1:8" s="131" customFormat="1" ht="18" customHeight="1">
      <c r="A112" s="21"/>
      <c r="B112" s="21"/>
      <c r="C112" s="21"/>
      <c r="D112" s="21"/>
      <c r="E112" s="21"/>
      <c r="F112" s="21"/>
      <c r="G112" s="21"/>
      <c r="H112" s="77"/>
    </row>
    <row r="113" spans="1:38" s="131" customFormat="1" ht="18" customHeight="1">
      <c r="A113" s="21"/>
      <c r="B113" s="21"/>
      <c r="C113" s="21"/>
      <c r="D113" s="21"/>
      <c r="E113" s="21"/>
      <c r="F113" s="21"/>
      <c r="G113" s="21"/>
      <c r="H113" s="77"/>
    </row>
    <row r="114" spans="1:38" s="131" customFormat="1" ht="18" customHeight="1">
      <c r="A114" s="21"/>
      <c r="B114" s="21"/>
      <c r="C114" s="21"/>
      <c r="D114" s="21"/>
      <c r="E114" s="21"/>
      <c r="F114" s="21"/>
      <c r="G114" s="21"/>
      <c r="H114" s="77"/>
    </row>
    <row r="115" spans="1:38" s="131" customFormat="1" ht="18" customHeight="1">
      <c r="A115" s="21"/>
      <c r="B115" s="21"/>
      <c r="C115" s="21"/>
      <c r="D115" s="21"/>
      <c r="E115" s="21"/>
      <c r="F115" s="21"/>
      <c r="G115" s="21"/>
      <c r="H115" s="77"/>
      <c r="I115" s="52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</row>
    <row r="116" spans="1:38" s="131" customFormat="1" ht="18" customHeight="1">
      <c r="A116" s="21"/>
      <c r="B116" s="21"/>
      <c r="C116" s="21"/>
      <c r="D116" s="21"/>
      <c r="E116" s="21"/>
      <c r="F116" s="21"/>
      <c r="G116" s="21"/>
      <c r="H116" s="77"/>
      <c r="I116" s="52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</row>
    <row r="117" spans="1:38" s="1" customFormat="1" ht="18" customHeight="1">
      <c r="A117" s="21"/>
      <c r="B117" s="21"/>
      <c r="C117" s="21"/>
      <c r="D117" s="21"/>
      <c r="E117" s="21"/>
      <c r="F117" s="21"/>
      <c r="G117" s="21"/>
      <c r="H117" s="77"/>
    </row>
    <row r="118" spans="1:38" s="1" customFormat="1" ht="18" customHeight="1">
      <c r="A118" s="21"/>
      <c r="B118" s="21"/>
      <c r="C118" s="21"/>
      <c r="D118" s="21"/>
      <c r="E118" s="21"/>
      <c r="F118" s="21"/>
      <c r="G118" s="21"/>
      <c r="H118" s="77"/>
    </row>
    <row r="119" spans="1:38" s="1" customFormat="1" ht="18" customHeight="1">
      <c r="A119" s="21"/>
      <c r="B119" s="21"/>
      <c r="C119" s="21"/>
      <c r="D119" s="21"/>
      <c r="E119" s="21"/>
      <c r="F119" s="21"/>
      <c r="G119" s="21"/>
      <c r="H119" s="77"/>
    </row>
    <row r="120" spans="1:38" s="131" customFormat="1" ht="18" customHeight="1">
      <c r="A120" s="21"/>
      <c r="B120" s="21"/>
      <c r="C120" s="21"/>
      <c r="D120" s="21"/>
      <c r="E120" s="21"/>
      <c r="F120" s="21"/>
      <c r="G120" s="21"/>
      <c r="H120" s="77"/>
    </row>
    <row r="121" spans="1:38" s="131" customFormat="1" ht="18" customHeight="1">
      <c r="A121" s="21"/>
      <c r="B121" s="21"/>
      <c r="C121" s="21"/>
      <c r="D121" s="21"/>
      <c r="E121" s="21"/>
      <c r="F121" s="21"/>
      <c r="G121" s="21"/>
      <c r="H121" s="77"/>
      <c r="I121" s="52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</row>
    <row r="122" spans="1:38" s="131" customFormat="1" ht="18" customHeight="1">
      <c r="A122" s="21"/>
      <c r="B122" s="21"/>
      <c r="C122" s="21"/>
      <c r="D122" s="21"/>
      <c r="E122" s="21"/>
      <c r="F122" s="21"/>
      <c r="G122" s="21"/>
      <c r="H122" s="77"/>
      <c r="I122" s="52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</row>
    <row r="123" spans="1:38" s="131" customFormat="1" ht="18" customHeight="1">
      <c r="A123" s="21"/>
      <c r="B123" s="21"/>
      <c r="C123" s="21"/>
      <c r="D123" s="21"/>
      <c r="E123" s="21"/>
      <c r="F123" s="21"/>
      <c r="G123" s="21"/>
      <c r="H123" s="77"/>
      <c r="I123" s="52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</row>
    <row r="124" spans="1:38" s="131" customFormat="1" ht="18" customHeight="1">
      <c r="A124" s="21"/>
      <c r="B124" s="21"/>
      <c r="C124" s="21"/>
      <c r="D124" s="21"/>
      <c r="E124" s="21"/>
      <c r="F124" s="21"/>
      <c r="G124" s="21"/>
      <c r="H124" s="77"/>
      <c r="I124" s="52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</row>
    <row r="125" spans="1:38" s="131" customFormat="1" ht="18" customHeight="1">
      <c r="A125" s="21"/>
      <c r="B125" s="21"/>
      <c r="C125" s="21"/>
      <c r="D125" s="21"/>
      <c r="E125" s="21"/>
      <c r="F125" s="21"/>
      <c r="G125" s="21"/>
      <c r="H125" s="77"/>
      <c r="I125" s="52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</row>
    <row r="126" spans="1:38" s="131" customFormat="1" ht="18" customHeight="1">
      <c r="A126" s="21"/>
      <c r="B126" s="21"/>
      <c r="C126" s="21"/>
      <c r="D126" s="21"/>
      <c r="E126" s="21"/>
      <c r="F126" s="21"/>
      <c r="G126" s="21"/>
      <c r="H126" s="77"/>
      <c r="I126" s="52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</row>
    <row r="127" spans="1:38" s="131" customFormat="1" ht="18" customHeight="1">
      <c r="A127" s="21"/>
      <c r="B127" s="21"/>
      <c r="C127" s="21"/>
      <c r="D127" s="21"/>
      <c r="E127" s="21"/>
      <c r="F127" s="21"/>
      <c r="G127" s="21"/>
      <c r="H127" s="77"/>
      <c r="I127" s="52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</row>
    <row r="128" spans="1:38" s="131" customFormat="1" ht="18" customHeight="1">
      <c r="A128" s="21"/>
      <c r="B128" s="21"/>
      <c r="C128" s="21"/>
      <c r="D128" s="21"/>
      <c r="E128" s="21"/>
      <c r="F128" s="21"/>
      <c r="G128" s="21"/>
      <c r="H128" s="77"/>
      <c r="I128" s="52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</row>
    <row r="129" spans="1:38" s="131" customFormat="1" ht="18" customHeight="1">
      <c r="A129" s="21"/>
      <c r="B129" s="21"/>
      <c r="C129" s="21"/>
      <c r="D129" s="21"/>
      <c r="E129" s="21"/>
      <c r="F129" s="21"/>
      <c r="G129" s="21"/>
      <c r="H129" s="77"/>
      <c r="I129" s="52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</row>
    <row r="130" spans="1:38" s="131" customFormat="1" ht="18" customHeight="1">
      <c r="A130" s="21"/>
      <c r="B130" s="21"/>
      <c r="C130" s="21"/>
      <c r="D130" s="21"/>
      <c r="E130" s="21"/>
      <c r="F130" s="21"/>
      <c r="G130" s="21"/>
      <c r="H130" s="77"/>
      <c r="I130" s="52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</row>
    <row r="131" spans="1:38" s="131" customFormat="1" ht="18" customHeight="1">
      <c r="A131" s="21"/>
      <c r="B131" s="21"/>
      <c r="C131" s="21"/>
      <c r="D131" s="21"/>
      <c r="E131" s="21"/>
      <c r="F131" s="21"/>
      <c r="G131" s="21"/>
      <c r="H131" s="77"/>
      <c r="I131" s="52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</row>
    <row r="132" spans="1:38" s="131" customFormat="1" ht="18" customHeight="1">
      <c r="A132" s="21"/>
      <c r="B132" s="21"/>
      <c r="C132" s="21"/>
      <c r="D132" s="21"/>
      <c r="E132" s="21"/>
      <c r="F132" s="21"/>
      <c r="G132" s="21"/>
      <c r="H132" s="77"/>
      <c r="I132" s="52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</row>
    <row r="133" spans="1:38" s="131" customFormat="1" ht="18" customHeight="1">
      <c r="A133" s="21"/>
      <c r="B133" s="21"/>
      <c r="C133" s="21"/>
      <c r="D133" s="21"/>
      <c r="E133" s="21"/>
      <c r="F133" s="21"/>
      <c r="G133" s="21"/>
      <c r="H133" s="77"/>
      <c r="I133" s="52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</row>
    <row r="134" spans="1:38" s="131" customFormat="1" ht="18" customHeight="1">
      <c r="A134" s="21"/>
      <c r="B134" s="21"/>
      <c r="C134" s="21"/>
      <c r="D134" s="21"/>
      <c r="E134" s="21"/>
      <c r="F134" s="21"/>
      <c r="G134" s="21"/>
      <c r="H134" s="77"/>
      <c r="I134" s="52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</row>
    <row r="135" spans="1:38" s="131" customFormat="1" ht="18" customHeight="1">
      <c r="A135" s="21"/>
      <c r="B135" s="21"/>
      <c r="C135" s="21"/>
      <c r="D135" s="21"/>
      <c r="E135" s="21"/>
      <c r="F135" s="21"/>
      <c r="G135" s="21"/>
      <c r="H135" s="77"/>
      <c r="I135" s="52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</row>
    <row r="136" spans="1:38" s="131" customFormat="1" ht="18" customHeight="1">
      <c r="A136" s="21"/>
      <c r="B136" s="21"/>
      <c r="C136" s="21"/>
      <c r="D136" s="21"/>
      <c r="E136" s="21"/>
      <c r="F136" s="21"/>
      <c r="G136" s="21"/>
      <c r="H136" s="77"/>
      <c r="I136" s="52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</row>
    <row r="137" spans="1:38" s="131" customFormat="1" ht="18" customHeight="1">
      <c r="A137" s="21"/>
      <c r="B137" s="21"/>
      <c r="C137" s="21"/>
      <c r="D137" s="21"/>
      <c r="E137" s="21"/>
      <c r="F137" s="21"/>
      <c r="G137" s="21"/>
      <c r="H137" s="77"/>
      <c r="I137" s="52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</row>
    <row r="138" spans="1:38" s="131" customFormat="1" ht="18" customHeight="1">
      <c r="A138" s="21"/>
      <c r="B138" s="21"/>
      <c r="C138" s="21"/>
      <c r="D138" s="21"/>
      <c r="E138" s="21"/>
      <c r="F138" s="21"/>
      <c r="G138" s="21"/>
      <c r="H138" s="77"/>
      <c r="I138" s="52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</row>
    <row r="139" spans="1:38" s="131" customFormat="1" ht="18" customHeight="1">
      <c r="A139" s="21"/>
      <c r="B139" s="21"/>
      <c r="C139" s="21"/>
      <c r="D139" s="21"/>
      <c r="E139" s="21"/>
      <c r="F139" s="21"/>
      <c r="G139" s="21"/>
      <c r="H139" s="77"/>
      <c r="I139" s="52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</row>
    <row r="140" spans="1:38" s="131" customFormat="1" ht="18" customHeight="1">
      <c r="A140" s="21"/>
      <c r="B140" s="21"/>
      <c r="C140" s="21"/>
      <c r="D140" s="21"/>
      <c r="E140" s="21"/>
      <c r="F140" s="21"/>
      <c r="G140" s="21"/>
      <c r="H140" s="77"/>
      <c r="I140" s="52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</row>
    <row r="141" spans="1:38" s="131" customFormat="1" ht="18" customHeight="1">
      <c r="A141" s="21"/>
      <c r="B141" s="21"/>
      <c r="C141" s="21"/>
      <c r="D141" s="21"/>
      <c r="E141" s="21"/>
      <c r="F141" s="21"/>
      <c r="G141" s="21"/>
      <c r="H141" s="77"/>
      <c r="I141" s="52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</row>
    <row r="142" spans="1:38" s="131" customFormat="1" ht="18" customHeight="1">
      <c r="A142" s="21"/>
      <c r="B142" s="21"/>
      <c r="C142" s="21"/>
      <c r="D142" s="21"/>
      <c r="E142" s="21"/>
      <c r="F142" s="21"/>
      <c r="G142" s="21"/>
      <c r="H142" s="77"/>
      <c r="I142" s="52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</row>
    <row r="143" spans="1:38" s="131" customFormat="1" ht="18" customHeight="1">
      <c r="A143" s="21"/>
      <c r="B143" s="21"/>
      <c r="C143" s="21"/>
      <c r="D143" s="21"/>
      <c r="E143" s="21"/>
      <c r="F143" s="21"/>
      <c r="G143" s="21"/>
      <c r="H143" s="77"/>
      <c r="I143" s="52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</row>
    <row r="144" spans="1:38" s="131" customFormat="1" ht="18" customHeight="1">
      <c r="A144" s="21"/>
      <c r="B144" s="21"/>
      <c r="C144" s="21"/>
      <c r="D144" s="21"/>
      <c r="E144" s="21"/>
      <c r="F144" s="21"/>
      <c r="G144" s="21"/>
      <c r="H144" s="77"/>
      <c r="I144" s="52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</row>
    <row r="145" spans="1:38" s="131" customFormat="1" ht="18" customHeight="1">
      <c r="A145" s="21"/>
      <c r="B145" s="21"/>
      <c r="C145" s="21"/>
      <c r="D145" s="21"/>
      <c r="E145" s="21"/>
      <c r="F145" s="21"/>
      <c r="G145" s="21"/>
      <c r="H145" s="77"/>
      <c r="I145" s="52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</row>
    <row r="146" spans="1:38" s="131" customFormat="1" ht="18" customHeight="1">
      <c r="A146" s="21"/>
      <c r="B146" s="21"/>
      <c r="C146" s="21"/>
      <c r="D146" s="21"/>
      <c r="E146" s="21"/>
      <c r="F146" s="21"/>
      <c r="G146" s="21"/>
      <c r="H146" s="77"/>
      <c r="I146" s="52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</row>
    <row r="147" spans="1:38" s="131" customFormat="1" ht="18" customHeight="1">
      <c r="A147" s="21"/>
      <c r="B147" s="21"/>
      <c r="C147" s="21"/>
      <c r="D147" s="21"/>
      <c r="E147" s="21"/>
      <c r="F147" s="21"/>
      <c r="G147" s="21"/>
      <c r="H147" s="77"/>
      <c r="I147" s="52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</row>
    <row r="148" spans="1:38" s="131" customFormat="1" ht="18" customHeight="1">
      <c r="A148" s="21"/>
      <c r="B148" s="21"/>
      <c r="C148" s="21"/>
      <c r="D148" s="21"/>
      <c r="E148" s="21"/>
      <c r="F148" s="21"/>
      <c r="G148" s="21"/>
      <c r="H148" s="77"/>
      <c r="I148" s="52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</row>
    <row r="149" spans="1:38" s="131" customFormat="1" ht="18" customHeight="1">
      <c r="A149" s="21"/>
      <c r="B149" s="21"/>
      <c r="C149" s="21"/>
      <c r="D149" s="21"/>
      <c r="E149" s="21"/>
      <c r="F149" s="21"/>
      <c r="G149" s="21"/>
      <c r="H149" s="77"/>
      <c r="I149" s="52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</row>
    <row r="150" spans="1:38" s="131" customFormat="1" ht="18" customHeight="1">
      <c r="A150" s="21"/>
      <c r="B150" s="21"/>
      <c r="C150" s="21"/>
      <c r="D150" s="21"/>
      <c r="E150" s="21"/>
      <c r="F150" s="21"/>
      <c r="G150" s="21"/>
      <c r="H150" s="77"/>
      <c r="I150" s="52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</row>
    <row r="151" spans="1:38" s="131" customFormat="1" ht="18" customHeight="1">
      <c r="A151" s="21"/>
      <c r="B151" s="21"/>
      <c r="C151" s="21"/>
      <c r="D151" s="21"/>
      <c r="E151" s="21"/>
      <c r="F151" s="21"/>
      <c r="G151" s="21"/>
      <c r="H151" s="77"/>
      <c r="I151" s="52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</row>
    <row r="152" spans="1:38" s="131" customFormat="1" ht="18" customHeight="1">
      <c r="A152" s="21"/>
      <c r="B152" s="21"/>
      <c r="C152" s="21"/>
      <c r="D152" s="21"/>
      <c r="E152" s="21"/>
      <c r="F152" s="21"/>
      <c r="G152" s="21"/>
      <c r="H152" s="77"/>
      <c r="I152" s="52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</row>
    <row r="153" spans="1:38" s="131" customFormat="1" ht="18" customHeight="1">
      <c r="A153" s="21"/>
      <c r="B153" s="21"/>
      <c r="C153" s="21"/>
      <c r="D153" s="21"/>
      <c r="E153" s="21"/>
      <c r="F153" s="21"/>
      <c r="G153" s="21"/>
      <c r="H153" s="77"/>
      <c r="I153" s="52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</row>
    <row r="154" spans="1:38" s="131" customFormat="1" ht="18" customHeight="1">
      <c r="A154" s="21"/>
      <c r="B154" s="21"/>
      <c r="C154" s="21"/>
      <c r="D154" s="21"/>
      <c r="E154" s="21"/>
      <c r="F154" s="21"/>
      <c r="G154" s="21"/>
      <c r="H154" s="77"/>
      <c r="I154" s="52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</row>
    <row r="155" spans="1:38" s="131" customFormat="1" ht="18" customHeight="1">
      <c r="A155" s="21"/>
      <c r="B155" s="21"/>
      <c r="C155" s="21"/>
      <c r="D155" s="21"/>
      <c r="E155" s="21"/>
      <c r="F155" s="21"/>
      <c r="G155" s="21"/>
      <c r="H155" s="77"/>
      <c r="I155" s="52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</row>
    <row r="156" spans="1:38" s="131" customFormat="1" ht="18" customHeight="1">
      <c r="A156" s="21"/>
      <c r="B156" s="21"/>
      <c r="C156" s="21"/>
      <c r="D156" s="21"/>
      <c r="E156" s="21"/>
      <c r="F156" s="21"/>
      <c r="G156" s="21"/>
      <c r="H156" s="77"/>
      <c r="I156" s="52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</row>
    <row r="157" spans="1:38" s="131" customFormat="1" ht="18" customHeight="1">
      <c r="A157" s="21"/>
      <c r="B157" s="21"/>
      <c r="C157" s="21"/>
      <c r="D157" s="21"/>
      <c r="E157" s="21"/>
      <c r="F157" s="21"/>
      <c r="G157" s="21"/>
      <c r="H157" s="77"/>
      <c r="I157" s="52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</row>
    <row r="158" spans="1:38" s="131" customFormat="1" ht="18" customHeight="1">
      <c r="A158" s="21"/>
      <c r="B158" s="21"/>
      <c r="C158" s="21"/>
      <c r="D158" s="21"/>
      <c r="E158" s="21"/>
      <c r="F158" s="21"/>
      <c r="G158" s="21"/>
      <c r="H158" s="77"/>
      <c r="I158" s="52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</row>
    <row r="159" spans="1:38" s="131" customFormat="1" ht="18" customHeight="1">
      <c r="A159" s="21"/>
      <c r="B159" s="21"/>
      <c r="C159" s="21"/>
      <c r="D159" s="21"/>
      <c r="E159" s="21"/>
      <c r="F159" s="21"/>
      <c r="G159" s="21"/>
      <c r="H159" s="77"/>
      <c r="I159" s="52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</row>
    <row r="160" spans="1:38" s="131" customFormat="1" ht="18" customHeight="1">
      <c r="A160" s="21"/>
      <c r="B160" s="21"/>
      <c r="C160" s="21"/>
      <c r="D160" s="21"/>
      <c r="E160" s="21"/>
      <c r="F160" s="21"/>
      <c r="G160" s="21"/>
      <c r="H160" s="77"/>
      <c r="I160" s="52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</row>
    <row r="161" spans="1:38" s="131" customFormat="1" ht="18" customHeight="1">
      <c r="A161" s="21"/>
      <c r="B161" s="21"/>
      <c r="C161" s="21"/>
      <c r="D161" s="21"/>
      <c r="E161" s="21"/>
      <c r="F161" s="21"/>
      <c r="G161" s="21"/>
      <c r="H161" s="77"/>
      <c r="I161" s="52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</row>
    <row r="162" spans="1:38" s="131" customFormat="1" ht="18" customHeight="1">
      <c r="A162" s="21"/>
      <c r="B162" s="21"/>
      <c r="C162" s="21"/>
      <c r="D162" s="21"/>
      <c r="E162" s="21"/>
      <c r="F162" s="21"/>
      <c r="G162" s="21"/>
      <c r="H162" s="77"/>
      <c r="I162" s="52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</row>
    <row r="163" spans="1:38" s="131" customFormat="1" ht="18" customHeight="1">
      <c r="A163" s="21"/>
      <c r="B163" s="21"/>
      <c r="C163" s="21"/>
      <c r="D163" s="21"/>
      <c r="E163" s="21"/>
      <c r="F163" s="21"/>
      <c r="G163" s="21"/>
      <c r="H163" s="77"/>
      <c r="I163" s="52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</row>
    <row r="164" spans="1:38" s="131" customFormat="1" ht="18" customHeight="1">
      <c r="A164" s="21"/>
      <c r="B164" s="21"/>
      <c r="C164" s="21"/>
      <c r="D164" s="21"/>
      <c r="E164" s="21"/>
      <c r="F164" s="21"/>
      <c r="G164" s="21"/>
      <c r="H164" s="77"/>
      <c r="I164" s="52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</row>
    <row r="165" spans="1:38" s="131" customFormat="1" ht="18" customHeight="1">
      <c r="A165" s="21"/>
      <c r="B165" s="21"/>
      <c r="C165" s="21"/>
      <c r="D165" s="21"/>
      <c r="E165" s="21"/>
      <c r="F165" s="21"/>
      <c r="G165" s="21"/>
      <c r="H165" s="77"/>
      <c r="I165" s="52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</row>
    <row r="166" spans="1:38" s="131" customFormat="1" ht="18" customHeight="1">
      <c r="A166" s="21"/>
      <c r="B166" s="21"/>
      <c r="C166" s="21"/>
      <c r="D166" s="21"/>
      <c r="E166" s="21"/>
      <c r="F166" s="21"/>
      <c r="G166" s="21"/>
      <c r="H166" s="77"/>
      <c r="I166" s="52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</row>
    <row r="167" spans="1:38" s="131" customFormat="1" ht="18" customHeight="1">
      <c r="A167" s="21"/>
      <c r="B167" s="21"/>
      <c r="C167" s="21"/>
      <c r="D167" s="21"/>
      <c r="E167" s="21"/>
      <c r="F167" s="21"/>
      <c r="G167" s="21"/>
      <c r="H167" s="77"/>
      <c r="I167" s="52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</row>
    <row r="168" spans="1:38" s="131" customFormat="1" ht="18" customHeight="1">
      <c r="A168" s="21"/>
      <c r="B168" s="21"/>
      <c r="C168" s="21"/>
      <c r="D168" s="21"/>
      <c r="E168" s="21"/>
      <c r="F168" s="21"/>
      <c r="G168" s="21"/>
      <c r="H168" s="77"/>
      <c r="I168" s="52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</row>
    <row r="169" spans="1:38" s="131" customFormat="1" ht="18" customHeight="1">
      <c r="A169" s="21"/>
      <c r="B169" s="21"/>
      <c r="C169" s="21"/>
      <c r="D169" s="21"/>
      <c r="E169" s="21"/>
      <c r="F169" s="21"/>
      <c r="G169" s="21"/>
      <c r="H169" s="77"/>
      <c r="I169" s="52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</row>
    <row r="170" spans="1:38" s="131" customFormat="1" ht="18" customHeight="1">
      <c r="A170" s="21"/>
      <c r="B170" s="21"/>
      <c r="C170" s="21"/>
      <c r="D170" s="21"/>
      <c r="E170" s="21"/>
      <c r="F170" s="21"/>
      <c r="G170" s="21"/>
      <c r="H170" s="77"/>
      <c r="I170" s="52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</row>
    <row r="171" spans="1:38" s="1" customFormat="1" ht="18" customHeight="1">
      <c r="A171" s="21"/>
      <c r="B171" s="21"/>
      <c r="C171" s="21"/>
      <c r="D171" s="21"/>
      <c r="E171" s="21"/>
      <c r="F171" s="21"/>
      <c r="G171" s="21"/>
      <c r="H171" s="77"/>
    </row>
    <row r="172" spans="1:38" s="1" customFormat="1" ht="18" customHeight="1">
      <c r="A172" s="21"/>
      <c r="B172" s="21"/>
      <c r="C172" s="21"/>
      <c r="D172" s="21"/>
      <c r="E172" s="21"/>
      <c r="F172" s="21"/>
      <c r="G172" s="21"/>
      <c r="H172" s="77"/>
    </row>
    <row r="173" spans="1:38" s="131" customFormat="1" ht="18" customHeight="1">
      <c r="A173" s="21"/>
      <c r="B173" s="21"/>
      <c r="C173" s="21"/>
      <c r="D173" s="21"/>
      <c r="E173" s="21"/>
      <c r="F173" s="21"/>
      <c r="G173" s="21"/>
      <c r="H173" s="77"/>
      <c r="I173" s="52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</row>
    <row r="174" spans="1:38" s="131" customFormat="1" ht="18" customHeight="1">
      <c r="A174" s="21"/>
      <c r="B174" s="21"/>
      <c r="C174" s="21"/>
      <c r="D174" s="21"/>
      <c r="E174" s="21"/>
      <c r="F174" s="21"/>
      <c r="G174" s="21"/>
      <c r="H174" s="77"/>
      <c r="I174" s="52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</row>
    <row r="175" spans="1:38" s="131" customFormat="1" ht="18" customHeight="1">
      <c r="A175" s="21"/>
      <c r="B175" s="21"/>
      <c r="C175" s="21"/>
      <c r="D175" s="21"/>
      <c r="E175" s="21"/>
      <c r="F175" s="21"/>
      <c r="G175" s="21"/>
      <c r="H175" s="77"/>
      <c r="I175" s="52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</row>
    <row r="176" spans="1:38" s="131" customFormat="1" ht="18" customHeight="1">
      <c r="A176" s="21"/>
      <c r="B176" s="21"/>
      <c r="C176" s="21"/>
      <c r="D176" s="21"/>
      <c r="E176" s="21"/>
      <c r="F176" s="21"/>
      <c r="G176" s="21"/>
      <c r="H176" s="77"/>
      <c r="I176" s="52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</row>
    <row r="177" spans="1:38" s="131" customFormat="1" ht="18" customHeight="1">
      <c r="A177" s="21"/>
      <c r="B177" s="21"/>
      <c r="C177" s="21"/>
      <c r="D177" s="21"/>
      <c r="E177" s="21"/>
      <c r="F177" s="21"/>
      <c r="G177" s="21"/>
      <c r="H177" s="77"/>
      <c r="I177" s="52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</row>
    <row r="178" spans="1:38" s="131" customFormat="1" ht="18" customHeight="1">
      <c r="A178" s="21"/>
      <c r="B178" s="21"/>
      <c r="C178" s="21"/>
      <c r="D178" s="21"/>
      <c r="E178" s="21"/>
      <c r="F178" s="21"/>
      <c r="G178" s="21"/>
      <c r="H178" s="77"/>
      <c r="I178" s="52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</row>
    <row r="179" spans="1:38" s="131" customFormat="1" ht="18" customHeight="1">
      <c r="A179" s="21"/>
      <c r="B179" s="21"/>
      <c r="C179" s="21"/>
      <c r="D179" s="21"/>
      <c r="E179" s="21"/>
      <c r="F179" s="21"/>
      <c r="G179" s="21"/>
      <c r="H179" s="77"/>
      <c r="I179" s="52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</row>
    <row r="180" spans="1:38" s="131" customFormat="1" ht="18" customHeight="1">
      <c r="A180" s="21"/>
      <c r="B180" s="21"/>
      <c r="C180" s="21"/>
      <c r="D180" s="21"/>
      <c r="E180" s="21"/>
      <c r="F180" s="21"/>
      <c r="G180" s="21"/>
      <c r="H180" s="77"/>
      <c r="I180" s="52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</row>
    <row r="181" spans="1:38" s="131" customFormat="1" ht="18" customHeight="1">
      <c r="A181" s="21"/>
      <c r="B181" s="21"/>
      <c r="C181" s="21"/>
      <c r="D181" s="21"/>
      <c r="E181" s="21"/>
      <c r="F181" s="21"/>
      <c r="G181" s="21"/>
      <c r="H181" s="77"/>
      <c r="I181" s="52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</row>
    <row r="182" spans="1:38" s="131" customFormat="1" ht="18" customHeight="1">
      <c r="A182" s="21"/>
      <c r="B182" s="21"/>
      <c r="C182" s="21"/>
      <c r="D182" s="21"/>
      <c r="E182" s="21"/>
      <c r="F182" s="21"/>
      <c r="G182" s="21"/>
      <c r="H182" s="77"/>
      <c r="I182" s="52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</row>
    <row r="183" spans="1:38" s="131" customFormat="1" ht="18" customHeight="1">
      <c r="A183" s="21"/>
      <c r="B183" s="21"/>
      <c r="C183" s="21"/>
      <c r="D183" s="21"/>
      <c r="E183" s="21"/>
      <c r="F183" s="21"/>
      <c r="G183" s="21"/>
      <c r="H183" s="77"/>
      <c r="I183" s="52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</row>
    <row r="184" spans="1:38" s="131" customFormat="1" ht="18" customHeight="1">
      <c r="A184" s="21"/>
      <c r="B184" s="21"/>
      <c r="C184" s="21"/>
      <c r="D184" s="21"/>
      <c r="E184" s="21"/>
      <c r="F184" s="21"/>
      <c r="G184" s="21"/>
      <c r="H184" s="77"/>
      <c r="I184" s="52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</row>
    <row r="185" spans="1:38" s="131" customFormat="1" ht="18" customHeight="1">
      <c r="A185" s="21"/>
      <c r="B185" s="21"/>
      <c r="C185" s="21"/>
      <c r="D185" s="21"/>
      <c r="E185" s="21"/>
      <c r="F185" s="21"/>
      <c r="G185" s="21"/>
      <c r="H185" s="77"/>
      <c r="I185" s="52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</row>
    <row r="186" spans="1:38" s="131" customFormat="1" ht="18" customHeight="1">
      <c r="A186" s="21"/>
      <c r="B186" s="21"/>
      <c r="C186" s="21"/>
      <c r="D186" s="21"/>
      <c r="E186" s="21"/>
      <c r="F186" s="21"/>
      <c r="G186" s="21"/>
      <c r="H186" s="77"/>
      <c r="I186" s="52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</row>
    <row r="187" spans="1:38" s="131" customFormat="1" ht="18" customHeight="1">
      <c r="A187" s="21"/>
      <c r="B187" s="21"/>
      <c r="C187" s="21"/>
      <c r="D187" s="21"/>
      <c r="E187" s="21"/>
      <c r="F187" s="21"/>
      <c r="G187" s="21"/>
      <c r="H187" s="77"/>
      <c r="I187" s="52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</row>
    <row r="188" spans="1:38" s="131" customFormat="1" ht="18" customHeight="1">
      <c r="A188" s="21"/>
      <c r="B188" s="21"/>
      <c r="C188" s="21"/>
      <c r="D188" s="21"/>
      <c r="E188" s="21"/>
      <c r="F188" s="21"/>
      <c r="G188" s="21"/>
      <c r="H188" s="77"/>
      <c r="I188" s="52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</row>
    <row r="189" spans="1:38" s="131" customFormat="1" ht="18" customHeight="1">
      <c r="A189" s="21"/>
      <c r="B189" s="21"/>
      <c r="C189" s="21"/>
      <c r="D189" s="21"/>
      <c r="E189" s="21"/>
      <c r="F189" s="21"/>
      <c r="G189" s="21"/>
      <c r="H189" s="77"/>
      <c r="I189" s="52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</row>
    <row r="190" spans="1:38" s="131" customFormat="1" ht="18" customHeight="1">
      <c r="A190" s="21"/>
      <c r="B190" s="21"/>
      <c r="C190" s="21"/>
      <c r="D190" s="21"/>
      <c r="E190" s="21"/>
      <c r="F190" s="21"/>
      <c r="G190" s="21"/>
      <c r="H190" s="77"/>
      <c r="I190" s="52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</row>
    <row r="191" spans="1:38" s="131" customFormat="1" ht="18" customHeight="1">
      <c r="A191" s="21"/>
      <c r="B191" s="21"/>
      <c r="C191" s="21"/>
      <c r="D191" s="21"/>
      <c r="E191" s="21"/>
      <c r="F191" s="21"/>
      <c r="G191" s="21"/>
      <c r="H191" s="77"/>
      <c r="I191" s="52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</row>
    <row r="192" spans="1:38" s="131" customFormat="1" ht="18" customHeight="1">
      <c r="A192" s="21"/>
      <c r="B192" s="21"/>
      <c r="C192" s="21"/>
      <c r="D192" s="21"/>
      <c r="E192" s="21"/>
      <c r="F192" s="21"/>
      <c r="G192" s="21"/>
      <c r="H192" s="77"/>
      <c r="I192" s="52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</row>
    <row r="193" spans="1:38" s="131" customFormat="1" ht="18" customHeight="1">
      <c r="A193" s="21"/>
      <c r="B193" s="21"/>
      <c r="C193" s="21"/>
      <c r="D193" s="21"/>
      <c r="E193" s="21"/>
      <c r="F193" s="21"/>
      <c r="G193" s="21"/>
      <c r="H193" s="77"/>
      <c r="I193" s="52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</row>
    <row r="194" spans="1:38" s="131" customFormat="1" ht="18" customHeight="1">
      <c r="A194" s="21"/>
      <c r="B194" s="21"/>
      <c r="C194" s="21"/>
      <c r="D194" s="21"/>
      <c r="E194" s="21"/>
      <c r="F194" s="21"/>
      <c r="G194" s="21"/>
      <c r="H194" s="77"/>
      <c r="I194" s="52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</row>
    <row r="195" spans="1:38" s="131" customFormat="1" ht="18" customHeight="1">
      <c r="A195" s="21"/>
      <c r="B195" s="21"/>
      <c r="C195" s="21"/>
      <c r="D195" s="21"/>
      <c r="E195" s="21"/>
      <c r="F195" s="21"/>
      <c r="G195" s="21"/>
      <c r="H195" s="77"/>
      <c r="I195" s="52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</row>
    <row r="196" spans="1:38" s="1" customFormat="1" ht="18" customHeight="1">
      <c r="A196" s="21"/>
      <c r="B196" s="21"/>
      <c r="C196" s="21"/>
      <c r="D196" s="21"/>
      <c r="E196" s="21"/>
      <c r="F196" s="21"/>
      <c r="G196" s="21"/>
      <c r="H196" s="77"/>
    </row>
    <row r="197" spans="1:38" s="1" customFormat="1" ht="18" customHeight="1">
      <c r="A197" s="21"/>
      <c r="B197" s="21"/>
      <c r="C197" s="21"/>
      <c r="D197" s="21"/>
      <c r="E197" s="21"/>
      <c r="F197" s="21"/>
      <c r="G197" s="21"/>
      <c r="H197" s="77"/>
    </row>
    <row r="198" spans="1:38" s="1" customFormat="1" ht="18" customHeight="1">
      <c r="A198" s="21"/>
      <c r="B198" s="21"/>
      <c r="C198" s="21"/>
      <c r="D198" s="21"/>
      <c r="E198" s="21"/>
      <c r="F198" s="21"/>
      <c r="G198" s="21"/>
      <c r="H198" s="77"/>
    </row>
    <row r="199" spans="1:38" s="1" customFormat="1" ht="18" customHeight="1">
      <c r="A199" s="21"/>
      <c r="B199" s="21"/>
      <c r="C199" s="21"/>
      <c r="D199" s="21"/>
      <c r="E199" s="21"/>
      <c r="F199" s="21"/>
      <c r="G199" s="21"/>
      <c r="H199" s="77"/>
    </row>
    <row r="200" spans="1:38" s="1" customFormat="1" ht="18" customHeight="1">
      <c r="A200" s="21"/>
      <c r="B200" s="21"/>
      <c r="C200" s="21"/>
      <c r="D200" s="21"/>
      <c r="E200" s="21"/>
      <c r="F200" s="21"/>
      <c r="G200" s="21"/>
      <c r="H200" s="77"/>
    </row>
    <row r="201" spans="1:38" s="1" customFormat="1" ht="18" customHeight="1">
      <c r="A201" s="21"/>
      <c r="B201" s="21"/>
      <c r="C201" s="21"/>
      <c r="D201" s="21"/>
      <c r="E201" s="21"/>
      <c r="F201" s="21"/>
      <c r="G201" s="21"/>
      <c r="H201" s="77"/>
    </row>
    <row r="202" spans="1:38" s="1" customFormat="1" ht="18" customHeight="1">
      <c r="A202" s="21"/>
      <c r="B202" s="21"/>
      <c r="C202" s="21"/>
      <c r="D202" s="21"/>
      <c r="E202" s="21"/>
      <c r="F202" s="21"/>
      <c r="G202" s="21"/>
      <c r="H202" s="77"/>
    </row>
    <row r="203" spans="1:38" s="131" customFormat="1" ht="18" customHeight="1">
      <c r="A203" s="21"/>
      <c r="B203" s="21"/>
      <c r="C203" s="21"/>
      <c r="D203" s="21"/>
      <c r="E203" s="21"/>
      <c r="F203" s="21"/>
      <c r="G203" s="21"/>
      <c r="H203" s="77"/>
      <c r="I203" s="60"/>
      <c r="J203" s="60"/>
      <c r="K203" s="60"/>
    </row>
    <row r="204" spans="1:38" s="131" customFormat="1" ht="18" customHeight="1">
      <c r="A204" s="21"/>
      <c r="B204" s="21"/>
      <c r="C204" s="21"/>
      <c r="D204" s="21"/>
      <c r="E204" s="21"/>
      <c r="F204" s="21"/>
      <c r="G204" s="21"/>
      <c r="H204" s="77"/>
      <c r="I204" s="60"/>
      <c r="J204" s="60"/>
      <c r="K204" s="60"/>
    </row>
    <row r="205" spans="1:38" s="1" customFormat="1" ht="18" customHeight="1">
      <c r="A205" s="21"/>
      <c r="B205" s="21"/>
      <c r="C205" s="21"/>
      <c r="D205" s="21"/>
      <c r="E205" s="21"/>
      <c r="F205" s="21"/>
      <c r="G205" s="21"/>
      <c r="H205" s="77"/>
    </row>
    <row r="206" spans="1:38" s="1" customFormat="1" ht="18" customHeight="1">
      <c r="A206" s="21"/>
      <c r="B206" s="21"/>
      <c r="C206" s="21"/>
      <c r="D206" s="21"/>
      <c r="E206" s="21"/>
      <c r="F206" s="21"/>
      <c r="G206" s="21"/>
      <c r="H206" s="77"/>
    </row>
    <row r="207" spans="1:38" s="1" customFormat="1" ht="18" customHeight="1">
      <c r="A207" s="21"/>
      <c r="B207" s="21"/>
      <c r="C207" s="21"/>
      <c r="D207" s="21"/>
      <c r="E207" s="21"/>
      <c r="F207" s="21"/>
      <c r="G207" s="21"/>
      <c r="H207" s="77"/>
    </row>
    <row r="208" spans="1:38" s="1" customFormat="1" ht="18" customHeight="1">
      <c r="A208" s="21"/>
      <c r="B208" s="21"/>
      <c r="C208" s="21"/>
      <c r="D208" s="21"/>
      <c r="E208" s="21"/>
      <c r="F208" s="21"/>
      <c r="G208" s="21"/>
      <c r="H208" s="77"/>
    </row>
    <row r="209" spans="1:30" s="1" customFormat="1" ht="18" customHeight="1">
      <c r="A209" s="21"/>
      <c r="B209" s="21"/>
      <c r="C209" s="21"/>
      <c r="D209" s="21"/>
      <c r="E209" s="21"/>
      <c r="F209" s="21"/>
      <c r="G209" s="21"/>
      <c r="H209" s="77"/>
    </row>
    <row r="210" spans="1:30" s="131" customFormat="1" ht="18" customHeight="1">
      <c r="A210" s="21"/>
      <c r="B210" s="21"/>
      <c r="C210" s="21"/>
      <c r="D210" s="21"/>
      <c r="E210" s="21"/>
      <c r="F210" s="21"/>
      <c r="G210" s="21"/>
      <c r="H210" s="77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</row>
    <row r="211" spans="1:30" s="131" customFormat="1" ht="18" customHeight="1">
      <c r="A211" s="21"/>
      <c r="B211" s="21"/>
      <c r="C211" s="21"/>
      <c r="D211" s="21"/>
      <c r="E211" s="21"/>
      <c r="F211" s="21"/>
      <c r="G211" s="21"/>
      <c r="H211" s="77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</row>
    <row r="212" spans="1:30" s="131" customFormat="1" ht="18" customHeight="1">
      <c r="A212" s="21"/>
      <c r="B212" s="21"/>
      <c r="C212" s="21"/>
      <c r="D212" s="21"/>
      <c r="E212" s="21"/>
      <c r="F212" s="21"/>
      <c r="G212" s="21"/>
      <c r="H212" s="77"/>
    </row>
    <row r="213" spans="1:30" s="131" customFormat="1" ht="18" customHeight="1">
      <c r="A213" s="21"/>
      <c r="B213" s="21"/>
      <c r="C213" s="21"/>
      <c r="D213" s="21"/>
      <c r="E213" s="21"/>
      <c r="F213" s="21"/>
      <c r="G213" s="21"/>
      <c r="H213" s="77"/>
    </row>
    <row r="214" spans="1:30" s="131" customFormat="1" ht="18" customHeight="1">
      <c r="A214" s="21"/>
      <c r="B214" s="21"/>
      <c r="C214" s="21"/>
      <c r="D214" s="21"/>
      <c r="E214" s="21"/>
      <c r="F214" s="21"/>
      <c r="G214" s="21"/>
      <c r="H214" s="77"/>
    </row>
    <row r="215" spans="1:30" s="1" customFormat="1" ht="18" customHeight="1">
      <c r="A215" s="21"/>
      <c r="B215" s="21"/>
      <c r="C215" s="21"/>
      <c r="D215" s="21"/>
      <c r="E215" s="21"/>
      <c r="F215" s="21"/>
      <c r="G215" s="21"/>
      <c r="H215" s="77"/>
    </row>
    <row r="216" spans="1:30" s="1" customFormat="1" ht="18" customHeight="1">
      <c r="A216" s="21"/>
      <c r="B216" s="21"/>
      <c r="C216" s="21"/>
      <c r="D216" s="21"/>
      <c r="E216" s="21"/>
      <c r="F216" s="21"/>
      <c r="G216" s="21"/>
      <c r="H216" s="77"/>
    </row>
    <row r="217" spans="1:30" s="1" customFormat="1" ht="18" customHeight="1">
      <c r="A217" s="21"/>
      <c r="B217" s="21"/>
      <c r="C217" s="21"/>
      <c r="D217" s="21"/>
      <c r="E217" s="21"/>
      <c r="F217" s="21"/>
      <c r="G217" s="21"/>
      <c r="H217" s="77"/>
    </row>
    <row r="218" spans="1:30" s="1" customFormat="1" ht="18" customHeight="1">
      <c r="A218" s="21"/>
      <c r="B218" s="21"/>
      <c r="C218" s="21"/>
      <c r="D218" s="21"/>
      <c r="E218" s="21"/>
      <c r="F218" s="21"/>
      <c r="G218" s="21"/>
      <c r="H218" s="77"/>
    </row>
    <row r="219" spans="1:30" s="1" customFormat="1" ht="18" customHeight="1">
      <c r="A219" s="21"/>
      <c r="B219" s="21"/>
      <c r="C219" s="21"/>
      <c r="D219" s="21"/>
      <c r="E219" s="21"/>
      <c r="F219" s="21"/>
      <c r="G219" s="21"/>
      <c r="H219" s="77"/>
    </row>
    <row r="220" spans="1:30" s="131" customFormat="1" ht="18" customHeight="1">
      <c r="A220" s="21"/>
      <c r="B220" s="21"/>
      <c r="C220" s="21"/>
      <c r="D220" s="21"/>
      <c r="E220" s="21"/>
      <c r="F220" s="21"/>
      <c r="G220" s="21"/>
      <c r="H220" s="77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</row>
  </sheetData>
  <sheetProtection selectLockedCells="1" selectUnlockedCells="1"/>
  <protectedRanges>
    <protectedRange password="ECE8" sqref="O2:AC4" name="작성자만수정_1"/>
    <protectedRange password="ECE8" sqref="O5:AC9 A81:H85 I80:S202 B60:L79 A60:A75 I215:K219 I205:K209 O44:AC56 O18:AC19 O24:AC25 O30:AC30 O40:AC42 O34:AC35" name="작성자만수정_2_1_1"/>
  </protectedRanges>
  <autoFilter ref="A3:AY59">
    <filterColumn colId="10" showButton="0"/>
    <filterColumn colId="11" showButton="0"/>
  </autoFilter>
  <mergeCells count="12">
    <mergeCell ref="N40:U40"/>
    <mergeCell ref="A4:G4"/>
    <mergeCell ref="N7:U7"/>
    <mergeCell ref="F50:G50"/>
    <mergeCell ref="F54:G54"/>
    <mergeCell ref="J2:J3"/>
    <mergeCell ref="K2:M3"/>
    <mergeCell ref="A2:A3"/>
    <mergeCell ref="B2:D2"/>
    <mergeCell ref="E2:G2"/>
    <mergeCell ref="H2:H3"/>
    <mergeCell ref="I2:I3"/>
  </mergeCells>
  <phoneticPr fontId="12" type="noConversion"/>
  <conditionalFormatting sqref="J55:J56">
    <cfRule type="containsText" dxfId="977" priority="193" operator="containsText" text="허하나로">
      <formula>NOT(ISERROR(SEARCH("허하나로",H1081)))</formula>
    </cfRule>
    <cfRule type="containsText" dxfId="976" priority="194" operator="containsText" text="한별">
      <formula>NOT(ISERROR(SEARCH("한별",H1081)))</formula>
    </cfRule>
    <cfRule type="containsText" dxfId="975" priority="195" operator="containsText" text="정홍조">
      <formula>NOT(ISERROR(SEARCH("정홍조",H1081)))</formula>
    </cfRule>
    <cfRule type="containsText" dxfId="974" priority="196" operator="containsText" text="김지윤">
      <formula>NOT(ISERROR(SEARCH("김지윤",H1081)))</formula>
    </cfRule>
    <cfRule type="containsText" dxfId="973" priority="197" operator="containsText" text="전준영">
      <formula>NOT(ISERROR(SEARCH("전준영",H1081)))</formula>
    </cfRule>
    <cfRule type="containsText" dxfId="972" priority="198" operator="containsText" text="차재성">
      <formula>NOT(ISERROR(SEARCH("차재성",H1081)))</formula>
    </cfRule>
  </conditionalFormatting>
  <conditionalFormatting sqref="J6:J9">
    <cfRule type="containsText" dxfId="971" priority="205" operator="containsText" text="허하나로">
      <formula>NOT(ISERROR(SEARCH("허하나로",H718)))</formula>
    </cfRule>
    <cfRule type="containsText" dxfId="970" priority="206" operator="containsText" text="한별">
      <formula>NOT(ISERROR(SEARCH("한별",H718)))</formula>
    </cfRule>
    <cfRule type="containsText" dxfId="969" priority="207" operator="containsText" text="정홍조">
      <formula>NOT(ISERROR(SEARCH("정홍조",H718)))</formula>
    </cfRule>
    <cfRule type="containsText" dxfId="968" priority="208" operator="containsText" text="김지윤">
      <formula>NOT(ISERROR(SEARCH("김지윤",H718)))</formula>
    </cfRule>
    <cfRule type="containsText" dxfId="967" priority="209" operator="containsText" text="전준영">
      <formula>NOT(ISERROR(SEARCH("전준영",H718)))</formula>
    </cfRule>
    <cfRule type="containsText" dxfId="966" priority="210" operator="containsText" text="차재성">
      <formula>NOT(ISERROR(SEARCH("차재성",H718)))</formula>
    </cfRule>
  </conditionalFormatting>
  <conditionalFormatting sqref="J5">
    <cfRule type="containsText" dxfId="965" priority="199" operator="containsText" text="허하나로">
      <formula>NOT(ISERROR(SEARCH("허하나로",H717)))</formula>
    </cfRule>
    <cfRule type="containsText" dxfId="964" priority="200" operator="containsText" text="한별">
      <formula>NOT(ISERROR(SEARCH("한별",H717)))</formula>
    </cfRule>
    <cfRule type="containsText" dxfId="963" priority="201" operator="containsText" text="정홍조">
      <formula>NOT(ISERROR(SEARCH("정홍조",H717)))</formula>
    </cfRule>
    <cfRule type="containsText" dxfId="962" priority="202" operator="containsText" text="김지윤">
      <formula>NOT(ISERROR(SEARCH("김지윤",H717)))</formula>
    </cfRule>
    <cfRule type="containsText" dxfId="961" priority="203" operator="containsText" text="전준영">
      <formula>NOT(ISERROR(SEARCH("전준영",H717)))</formula>
    </cfRule>
    <cfRule type="containsText" dxfId="960" priority="204" operator="containsText" text="차재성">
      <formula>NOT(ISERROR(SEARCH("차재성",H717)))</formula>
    </cfRule>
  </conditionalFormatting>
  <conditionalFormatting sqref="J40">
    <cfRule type="containsText" dxfId="959" priority="115" operator="containsText" text="허하나로">
      <formula>NOT(ISERROR(SEARCH("허하나로",H851)))</formula>
    </cfRule>
    <cfRule type="containsText" dxfId="958" priority="116" operator="containsText" text="한별">
      <formula>NOT(ISERROR(SEARCH("한별",H851)))</formula>
    </cfRule>
    <cfRule type="containsText" dxfId="957" priority="117" operator="containsText" text="정홍조">
      <formula>NOT(ISERROR(SEARCH("정홍조",H851)))</formula>
    </cfRule>
    <cfRule type="containsText" dxfId="956" priority="118" operator="containsText" text="김지윤">
      <formula>NOT(ISERROR(SEARCH("김지윤",H851)))</formula>
    </cfRule>
    <cfRule type="containsText" dxfId="955" priority="119" operator="containsText" text="전준영">
      <formula>NOT(ISERROR(SEARCH("전준영",H851)))</formula>
    </cfRule>
    <cfRule type="containsText" dxfId="954" priority="120" operator="containsText" text="차재성">
      <formula>NOT(ISERROR(SEARCH("차재성",H851)))</formula>
    </cfRule>
  </conditionalFormatting>
  <conditionalFormatting sqref="J43:J44">
    <cfRule type="containsText" dxfId="953" priority="91" operator="containsText" text="허하나로">
      <formula>NOT(ISERROR(SEARCH("허하나로",H1059)))</formula>
    </cfRule>
    <cfRule type="containsText" dxfId="952" priority="92" operator="containsText" text="한별">
      <formula>NOT(ISERROR(SEARCH("한별",H1059)))</formula>
    </cfRule>
    <cfRule type="containsText" dxfId="951" priority="93" operator="containsText" text="정홍조">
      <formula>NOT(ISERROR(SEARCH("정홍조",H1059)))</formula>
    </cfRule>
    <cfRule type="containsText" dxfId="950" priority="94" operator="containsText" text="김지윤">
      <formula>NOT(ISERROR(SEARCH("김지윤",H1059)))</formula>
    </cfRule>
    <cfRule type="containsText" dxfId="949" priority="95" operator="containsText" text="전준영">
      <formula>NOT(ISERROR(SEARCH("전준영",H1059)))</formula>
    </cfRule>
    <cfRule type="containsText" dxfId="948" priority="96" operator="containsText" text="차재성">
      <formula>NOT(ISERROR(SEARCH("차재성",H1059)))</formula>
    </cfRule>
  </conditionalFormatting>
  <conditionalFormatting sqref="J46:J47">
    <cfRule type="containsText" dxfId="947" priority="85" operator="containsText" text="허하나로">
      <formula>NOT(ISERROR(SEARCH("허하나로",H1055)))</formula>
    </cfRule>
    <cfRule type="containsText" dxfId="946" priority="86" operator="containsText" text="한별">
      <formula>NOT(ISERROR(SEARCH("한별",H1055)))</formula>
    </cfRule>
    <cfRule type="containsText" dxfId="945" priority="87" operator="containsText" text="정홍조">
      <formula>NOT(ISERROR(SEARCH("정홍조",H1055)))</formula>
    </cfRule>
    <cfRule type="containsText" dxfId="944" priority="88" operator="containsText" text="김지윤">
      <formula>NOT(ISERROR(SEARCH("김지윤",H1055)))</formula>
    </cfRule>
    <cfRule type="containsText" dxfId="943" priority="89" operator="containsText" text="전준영">
      <formula>NOT(ISERROR(SEARCH("전준영",H1055)))</formula>
    </cfRule>
    <cfRule type="containsText" dxfId="942" priority="90" operator="containsText" text="차재성">
      <formula>NOT(ISERROR(SEARCH("차재성",H1055)))</formula>
    </cfRule>
  </conditionalFormatting>
  <conditionalFormatting sqref="J42">
    <cfRule type="containsText" dxfId="941" priority="1171" operator="containsText" text="허하나로">
      <formula>NOT(ISERROR(SEARCH("허하나로",H1048)))</formula>
    </cfRule>
    <cfRule type="containsText" dxfId="940" priority="1172" operator="containsText" text="한별">
      <formula>NOT(ISERROR(SEARCH("한별",H1048)))</formula>
    </cfRule>
    <cfRule type="containsText" dxfId="939" priority="1173" operator="containsText" text="정홍조">
      <formula>NOT(ISERROR(SEARCH("정홍조",H1048)))</formula>
    </cfRule>
    <cfRule type="containsText" dxfId="938" priority="1174" operator="containsText" text="김지윤">
      <formula>NOT(ISERROR(SEARCH("김지윤",H1048)))</formula>
    </cfRule>
    <cfRule type="containsText" dxfId="937" priority="1175" operator="containsText" text="전준영">
      <formula>NOT(ISERROR(SEARCH("전준영",H1048)))</formula>
    </cfRule>
    <cfRule type="containsText" dxfId="936" priority="1176" operator="containsText" text="차재성">
      <formula>NOT(ISERROR(SEARCH("차재성",H1048)))</formula>
    </cfRule>
  </conditionalFormatting>
  <conditionalFormatting sqref="J50:J53">
    <cfRule type="containsText" dxfId="935" priority="1183" operator="containsText" text="허하나로">
      <formula>NOT(ISERROR(SEARCH("허하나로",H1061)))</formula>
    </cfRule>
    <cfRule type="containsText" dxfId="934" priority="1184" operator="containsText" text="한별">
      <formula>NOT(ISERROR(SEARCH("한별",H1061)))</formula>
    </cfRule>
    <cfRule type="containsText" dxfId="933" priority="1185" operator="containsText" text="정홍조">
      <formula>NOT(ISERROR(SEARCH("정홍조",H1061)))</formula>
    </cfRule>
    <cfRule type="containsText" dxfId="932" priority="1186" operator="containsText" text="김지윤">
      <formula>NOT(ISERROR(SEARCH("김지윤",H1061)))</formula>
    </cfRule>
    <cfRule type="containsText" dxfId="931" priority="1187" operator="containsText" text="전준영">
      <formula>NOT(ISERROR(SEARCH("전준영",H1061)))</formula>
    </cfRule>
    <cfRule type="containsText" dxfId="930" priority="1188" operator="containsText" text="차재성">
      <formula>NOT(ISERROR(SEARCH("차재성",H1061)))</formula>
    </cfRule>
  </conditionalFormatting>
  <conditionalFormatting sqref="J54">
    <cfRule type="containsText" dxfId="929" priority="73" operator="containsText" text="허하나로">
      <formula>NOT(ISERROR(SEARCH("허하나로",H1065)))</formula>
    </cfRule>
    <cfRule type="containsText" dxfId="928" priority="74" operator="containsText" text="한별">
      <formula>NOT(ISERROR(SEARCH("한별",H1065)))</formula>
    </cfRule>
    <cfRule type="containsText" dxfId="927" priority="75" operator="containsText" text="정홍조">
      <formula>NOT(ISERROR(SEARCH("정홍조",H1065)))</formula>
    </cfRule>
    <cfRule type="containsText" dxfId="926" priority="76" operator="containsText" text="김지윤">
      <formula>NOT(ISERROR(SEARCH("김지윤",H1065)))</formula>
    </cfRule>
    <cfRule type="containsText" dxfId="925" priority="77" operator="containsText" text="전준영">
      <formula>NOT(ISERROR(SEARCH("전준영",H1065)))</formula>
    </cfRule>
    <cfRule type="containsText" dxfId="924" priority="78" operator="containsText" text="차재성">
      <formula>NOT(ISERROR(SEARCH("차재성",H1065)))</formula>
    </cfRule>
  </conditionalFormatting>
  <conditionalFormatting sqref="L51">
    <cfRule type="containsText" dxfId="923" priority="67" operator="containsText" text="허하나로">
      <formula>NOT(ISERROR(SEARCH("허하나로",J1196)))</formula>
    </cfRule>
    <cfRule type="containsText" dxfId="922" priority="68" operator="containsText" text="한별">
      <formula>NOT(ISERROR(SEARCH("한별",J1196)))</formula>
    </cfRule>
    <cfRule type="containsText" dxfId="921" priority="69" operator="containsText" text="정홍조">
      <formula>NOT(ISERROR(SEARCH("정홍조",J1196)))</formula>
    </cfRule>
    <cfRule type="containsText" dxfId="920" priority="70" operator="containsText" text="김지윤">
      <formula>NOT(ISERROR(SEARCH("김지윤",J1196)))</formula>
    </cfRule>
    <cfRule type="containsText" dxfId="919" priority="71" operator="containsText" text="전준영">
      <formula>NOT(ISERROR(SEARCH("전준영",J1196)))</formula>
    </cfRule>
    <cfRule type="containsText" dxfId="918" priority="72" operator="containsText" text="차재성">
      <formula>NOT(ISERROR(SEARCH("차재성",J1196)))</formula>
    </cfRule>
  </conditionalFormatting>
  <conditionalFormatting sqref="I56">
    <cfRule type="containsText" dxfId="917" priority="61" operator="containsText" text="허하나로">
      <formula>NOT(ISERROR(SEARCH("허하나로",G1082)))</formula>
    </cfRule>
    <cfRule type="containsText" dxfId="916" priority="62" operator="containsText" text="한별">
      <formula>NOT(ISERROR(SEARCH("한별",G1082)))</formula>
    </cfRule>
    <cfRule type="containsText" dxfId="915" priority="63" operator="containsText" text="정홍조">
      <formula>NOT(ISERROR(SEARCH("정홍조",G1082)))</formula>
    </cfRule>
    <cfRule type="containsText" dxfId="914" priority="64" operator="containsText" text="김지윤">
      <formula>NOT(ISERROR(SEARCH("김지윤",G1082)))</formula>
    </cfRule>
    <cfRule type="containsText" dxfId="913" priority="65" operator="containsText" text="전준영">
      <formula>NOT(ISERROR(SEARCH("전준영",G1082)))</formula>
    </cfRule>
    <cfRule type="containsText" dxfId="912" priority="66" operator="containsText" text="차재성">
      <formula>NOT(ISERROR(SEARCH("차재성",G1082)))</formula>
    </cfRule>
  </conditionalFormatting>
  <conditionalFormatting sqref="J48:J49">
    <cfRule type="containsText" dxfId="911" priority="55" operator="containsText" text="허하나로">
      <formula>NOT(ISERROR(SEARCH("허하나로",H1057)))</formula>
    </cfRule>
    <cfRule type="containsText" dxfId="910" priority="56" operator="containsText" text="한별">
      <formula>NOT(ISERROR(SEARCH("한별",H1057)))</formula>
    </cfRule>
    <cfRule type="containsText" dxfId="909" priority="57" operator="containsText" text="정홍조">
      <formula>NOT(ISERROR(SEARCH("정홍조",H1057)))</formula>
    </cfRule>
    <cfRule type="containsText" dxfId="908" priority="58" operator="containsText" text="김지윤">
      <formula>NOT(ISERROR(SEARCH("김지윤",H1057)))</formula>
    </cfRule>
    <cfRule type="containsText" dxfId="907" priority="59" operator="containsText" text="전준영">
      <formula>NOT(ISERROR(SEARCH("전준영",H1057)))</formula>
    </cfRule>
    <cfRule type="containsText" dxfId="906" priority="60" operator="containsText" text="차재성">
      <formula>NOT(ISERROR(SEARCH("차재성",H1057)))</formula>
    </cfRule>
  </conditionalFormatting>
  <conditionalFormatting sqref="J45">
    <cfRule type="containsText" dxfId="905" priority="3649" operator="containsText" text="허하나로">
      <formula>NOT(ISERROR(SEARCH("허하나로",H1050)))</formula>
    </cfRule>
    <cfRule type="containsText" dxfId="904" priority="3650" operator="containsText" text="한별">
      <formula>NOT(ISERROR(SEARCH("한별",H1050)))</formula>
    </cfRule>
    <cfRule type="containsText" dxfId="903" priority="3651" operator="containsText" text="정홍조">
      <formula>NOT(ISERROR(SEARCH("정홍조",H1050)))</formula>
    </cfRule>
    <cfRule type="containsText" dxfId="902" priority="3652" operator="containsText" text="김지윤">
      <formula>NOT(ISERROR(SEARCH("김지윤",H1050)))</formula>
    </cfRule>
    <cfRule type="containsText" dxfId="901" priority="3653" operator="containsText" text="전준영">
      <formula>NOT(ISERROR(SEARCH("전준영",H1050)))</formula>
    </cfRule>
    <cfRule type="containsText" dxfId="900" priority="3654" operator="containsText" text="차재성">
      <formula>NOT(ISERROR(SEARCH("차재성",H1050)))</formula>
    </cfRule>
  </conditionalFormatting>
  <conditionalFormatting sqref="J18:J19">
    <cfRule type="containsText" dxfId="899" priority="25" operator="containsText" text="허하나로">
      <formula>NOT(ISERROR(SEARCH("허하나로",H736)))</formula>
    </cfRule>
    <cfRule type="containsText" dxfId="898" priority="26" operator="containsText" text="한별">
      <formula>NOT(ISERROR(SEARCH("한별",H736)))</formula>
    </cfRule>
    <cfRule type="containsText" dxfId="897" priority="27" operator="containsText" text="정홍조">
      <formula>NOT(ISERROR(SEARCH("정홍조",H736)))</formula>
    </cfRule>
    <cfRule type="containsText" dxfId="896" priority="28" operator="containsText" text="김지윤">
      <formula>NOT(ISERROR(SEARCH("김지윤",H736)))</formula>
    </cfRule>
    <cfRule type="containsText" dxfId="895" priority="29" operator="containsText" text="전준영">
      <formula>NOT(ISERROR(SEARCH("전준영",H736)))</formula>
    </cfRule>
    <cfRule type="containsText" dxfId="894" priority="30" operator="containsText" text="차재성">
      <formula>NOT(ISERROR(SEARCH("차재성",H736)))</formula>
    </cfRule>
  </conditionalFormatting>
  <conditionalFormatting sqref="J24:J25">
    <cfRule type="containsText" dxfId="893" priority="19" operator="containsText" text="허하나로">
      <formula>NOT(ISERROR(SEARCH("허하나로",H742)))</formula>
    </cfRule>
    <cfRule type="containsText" dxfId="892" priority="20" operator="containsText" text="한별">
      <formula>NOT(ISERROR(SEARCH("한별",H742)))</formula>
    </cfRule>
    <cfRule type="containsText" dxfId="891" priority="21" operator="containsText" text="정홍조">
      <formula>NOT(ISERROR(SEARCH("정홍조",H742)))</formula>
    </cfRule>
    <cfRule type="containsText" dxfId="890" priority="22" operator="containsText" text="김지윤">
      <formula>NOT(ISERROR(SEARCH("김지윤",H742)))</formula>
    </cfRule>
    <cfRule type="containsText" dxfId="889" priority="23" operator="containsText" text="전준영">
      <formula>NOT(ISERROR(SEARCH("전준영",H742)))</formula>
    </cfRule>
    <cfRule type="containsText" dxfId="888" priority="24" operator="containsText" text="차재성">
      <formula>NOT(ISERROR(SEARCH("차재성",H742)))</formula>
    </cfRule>
  </conditionalFormatting>
  <conditionalFormatting sqref="J30">
    <cfRule type="containsText" dxfId="887" priority="13" operator="containsText" text="허하나로">
      <formula>NOT(ISERROR(SEARCH("허하나로",H748)))</formula>
    </cfRule>
    <cfRule type="containsText" dxfId="886" priority="14" operator="containsText" text="한별">
      <formula>NOT(ISERROR(SEARCH("한별",H748)))</formula>
    </cfRule>
    <cfRule type="containsText" dxfId="885" priority="15" operator="containsText" text="정홍조">
      <formula>NOT(ISERROR(SEARCH("정홍조",H748)))</formula>
    </cfRule>
    <cfRule type="containsText" dxfId="884" priority="16" operator="containsText" text="김지윤">
      <formula>NOT(ISERROR(SEARCH("김지윤",H748)))</formula>
    </cfRule>
    <cfRule type="containsText" dxfId="883" priority="17" operator="containsText" text="전준영">
      <formula>NOT(ISERROR(SEARCH("전준영",H748)))</formula>
    </cfRule>
    <cfRule type="containsText" dxfId="882" priority="18" operator="containsText" text="차재성">
      <formula>NOT(ISERROR(SEARCH("차재성",H748)))</formula>
    </cfRule>
  </conditionalFormatting>
  <conditionalFormatting sqref="J2:J3">
    <cfRule type="containsText" dxfId="881" priority="7" operator="containsText" text="허하나로">
      <formula>NOT(ISERROR(SEARCH("허하나로",H768)))</formula>
    </cfRule>
    <cfRule type="containsText" dxfId="880" priority="8" operator="containsText" text="한별">
      <formula>NOT(ISERROR(SEARCH("한별",H768)))</formula>
    </cfRule>
    <cfRule type="containsText" dxfId="879" priority="9" operator="containsText" text="정홍조">
      <formula>NOT(ISERROR(SEARCH("정홍조",H768)))</formula>
    </cfRule>
    <cfRule type="containsText" dxfId="878" priority="10" operator="containsText" text="김지윤">
      <formula>NOT(ISERROR(SEARCH("김지윤",H768)))</formula>
    </cfRule>
    <cfRule type="containsText" dxfId="877" priority="11" operator="containsText" text="전준영">
      <formula>NOT(ISERROR(SEARCH("전준영",H768)))</formula>
    </cfRule>
    <cfRule type="containsText" dxfId="876" priority="12" operator="containsText" text="차재성">
      <formula>NOT(ISERROR(SEARCH("차재성",H768)))</formula>
    </cfRule>
  </conditionalFormatting>
  <conditionalFormatting sqref="J34:J35">
    <cfRule type="containsText" dxfId="875" priority="1" operator="containsText" text="허하나로">
      <formula>NOT(ISERROR(SEARCH("허하나로",H752)))</formula>
    </cfRule>
    <cfRule type="containsText" dxfId="874" priority="2" operator="containsText" text="한별">
      <formula>NOT(ISERROR(SEARCH("한별",H752)))</formula>
    </cfRule>
    <cfRule type="containsText" dxfId="873" priority="3" operator="containsText" text="정홍조">
      <formula>NOT(ISERROR(SEARCH("정홍조",H752)))</formula>
    </cfRule>
    <cfRule type="containsText" dxfId="872" priority="4" operator="containsText" text="김지윤">
      <formula>NOT(ISERROR(SEARCH("김지윤",H752)))</formula>
    </cfRule>
    <cfRule type="containsText" dxfId="871" priority="5" operator="containsText" text="전준영">
      <formula>NOT(ISERROR(SEARCH("전준영",H752)))</formula>
    </cfRule>
    <cfRule type="containsText" dxfId="870" priority="6" operator="containsText" text="차재성">
      <formula>NOT(ISERROR(SEARCH("차재성",H752)))</formula>
    </cfRule>
  </conditionalFormatting>
  <pageMargins left="0.70866141732283472" right="0.70866141732283472" top="0.74803149606299213" bottom="0.74803149606299213" header="0.31496062992125984" footer="0.31496062992125984"/>
  <pageSetup paperSize="9" scale="69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9" operator="containsText" text="허하나로" id="{79B152C1-B2E1-40E0-9E75-D7A9F76B9003}">
            <xm:f>NOT(ISERROR(SEARCH("허하나로",행정관리부!H1054)))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50" operator="containsText" text="한별" id="{8FC6B557-ADFF-4EC7-A5F4-009BA2774F2C}">
            <xm:f>NOT(ISERROR(SEARCH("한별",행정관리부!H1054)))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51" operator="containsText" text="정홍조" id="{4B8F03B6-AC04-4287-AD6B-88A50042BCD2}">
            <xm:f>NOT(ISERROR(SEARCH("정홍조",행정관리부!H1054)))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52" operator="containsText" text="김지윤" id="{53B9FC3C-3C67-43D0-98A7-5EFFBE6CC4EC}">
            <xm:f>NOT(ISERROR(SEARCH("김지윤",행정관리부!H1054)))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3" operator="containsText" text="전준영" id="{CFBEE776-6AA4-4748-BCCC-D10B4A572B13}">
            <xm:f>NOT(ISERROR(SEARCH("전준영",행정관리부!H1054)))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54" operator="containsText" text="차재성" id="{FC84453E-808D-4BA6-AE79-F755C1A55E4A}">
            <xm:f>NOT(ISERROR(SEARCH("차재성",행정관리부!H1054)))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J59</xm:sqref>
        </x14:conditionalFormatting>
        <x14:conditionalFormatting xmlns:xm="http://schemas.microsoft.com/office/excel/2006/main">
          <x14:cfRule type="containsText" priority="43" operator="containsText" text="허하나로" id="{876F91CA-E610-40FE-81A7-44CDC5489935}">
            <xm:f>NOT(ISERROR(SEARCH("허하나로",행정관리부!H1110)))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4" operator="containsText" text="한별" id="{5B556011-188D-4A3F-B13D-DC561B03F89B}">
            <xm:f>NOT(ISERROR(SEARCH("한별",행정관리부!H1110)))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5" operator="containsText" text="정홍조" id="{ACAB305B-1D7C-4461-83B8-74D3DD016EA6}">
            <xm:f>NOT(ISERROR(SEARCH("정홍조",행정관리부!H1110)))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6" operator="containsText" text="김지윤" id="{66FACC27-5BF4-415B-A45F-20971346D5CE}">
            <xm:f>NOT(ISERROR(SEARCH("김지윤",행정관리부!H1110)))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7" operator="containsText" text="전준영" id="{5FB2FFF1-D507-4E64-9BA9-BB6EF899BCB4}">
            <xm:f>NOT(ISERROR(SEARCH("전준영",행정관리부!H1110)))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8" operator="containsText" text="차재성" id="{89227B41-3E6A-4530-A8A2-E80A0BDFEB6D}">
            <xm:f>NOT(ISERROR(SEARCH("차재성",행정관리부!H1110)))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J57:J58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BP31"/>
  <sheetViews>
    <sheetView zoomScale="85" zoomScaleNormal="85" workbookViewId="0">
      <selection activeCell="B7" sqref="B7"/>
    </sheetView>
  </sheetViews>
  <sheetFormatPr defaultRowHeight="16.5"/>
  <cols>
    <col min="1" max="6" width="3.875" customWidth="1"/>
    <col min="7" max="7" width="32.625" customWidth="1"/>
    <col min="8" max="10" width="14.625" customWidth="1"/>
    <col min="11" max="11" width="62.375" customWidth="1"/>
    <col min="12" max="12" width="3.875" customWidth="1"/>
    <col min="13" max="13" width="14.625" customWidth="1"/>
  </cols>
  <sheetData>
    <row r="1" spans="1:14" ht="17.25" thickBot="1">
      <c r="A1" s="86" t="s">
        <v>112</v>
      </c>
      <c r="B1" s="40"/>
      <c r="C1" s="86"/>
      <c r="D1" s="86"/>
      <c r="E1" s="86"/>
      <c r="F1" s="86"/>
      <c r="G1" s="167"/>
      <c r="H1" s="168"/>
      <c r="I1" s="168"/>
      <c r="J1" s="167"/>
      <c r="K1" s="167"/>
      <c r="L1" s="167"/>
      <c r="M1" s="166" t="s">
        <v>28</v>
      </c>
    </row>
    <row r="2" spans="1:14">
      <c r="A2" s="423" t="s">
        <v>17</v>
      </c>
      <c r="B2" s="425" t="s">
        <v>18</v>
      </c>
      <c r="C2" s="426"/>
      <c r="D2" s="427"/>
      <c r="E2" s="425" t="s">
        <v>19</v>
      </c>
      <c r="F2" s="426"/>
      <c r="G2" s="427"/>
      <c r="H2" s="403" t="s">
        <v>544</v>
      </c>
      <c r="I2" s="403" t="s">
        <v>545</v>
      </c>
      <c r="J2" s="428" t="s">
        <v>546</v>
      </c>
      <c r="K2" s="414" t="s">
        <v>1</v>
      </c>
      <c r="L2" s="415"/>
      <c r="M2" s="416"/>
    </row>
    <row r="3" spans="1:14" ht="17.25" thickBot="1">
      <c r="A3" s="424"/>
      <c r="B3" s="113" t="s">
        <v>20</v>
      </c>
      <c r="C3" s="113" t="s">
        <v>21</v>
      </c>
      <c r="D3" s="113" t="s">
        <v>22</v>
      </c>
      <c r="E3" s="113" t="s">
        <v>23</v>
      </c>
      <c r="F3" s="113" t="s">
        <v>24</v>
      </c>
      <c r="G3" s="113" t="s">
        <v>25</v>
      </c>
      <c r="H3" s="404"/>
      <c r="I3" s="404"/>
      <c r="J3" s="429"/>
      <c r="K3" s="417"/>
      <c r="L3" s="418"/>
      <c r="M3" s="419"/>
    </row>
    <row r="4" spans="1:14" ht="17.25" thickBot="1">
      <c r="A4" s="420" t="s">
        <v>26</v>
      </c>
      <c r="B4" s="421"/>
      <c r="C4" s="421"/>
      <c r="D4" s="421"/>
      <c r="E4" s="421"/>
      <c r="F4" s="421"/>
      <c r="G4" s="422"/>
      <c r="H4" s="169">
        <f>H5</f>
        <v>62518</v>
      </c>
      <c r="I4" s="169">
        <v>62518</v>
      </c>
      <c r="J4" s="114">
        <f>H4-I4</f>
        <v>0</v>
      </c>
      <c r="K4" s="87"/>
      <c r="L4" s="88"/>
      <c r="M4" s="115"/>
    </row>
    <row r="5" spans="1:14">
      <c r="A5" s="190" t="s">
        <v>2</v>
      </c>
      <c r="B5" s="116"/>
      <c r="C5" s="117"/>
      <c r="D5" s="117"/>
      <c r="E5" s="117"/>
      <c r="F5" s="117"/>
      <c r="G5" s="118"/>
      <c r="H5" s="92">
        <f>H6</f>
        <v>62518</v>
      </c>
      <c r="I5" s="92">
        <v>62518</v>
      </c>
      <c r="J5" s="93">
        <f t="shared" ref="J5:J11" si="0">H5-I5</f>
        <v>0</v>
      </c>
      <c r="K5" s="78"/>
      <c r="L5" s="79"/>
      <c r="M5" s="80"/>
    </row>
    <row r="6" spans="1:14">
      <c r="A6" s="10"/>
      <c r="B6" s="123" t="s">
        <v>212</v>
      </c>
      <c r="C6" s="123"/>
      <c r="D6" s="124"/>
      <c r="E6" s="124"/>
      <c r="F6" s="124"/>
      <c r="G6" s="125"/>
      <c r="H6" s="92">
        <f>H7</f>
        <v>62518</v>
      </c>
      <c r="I6" s="92">
        <v>62518</v>
      </c>
      <c r="J6" s="93">
        <f t="shared" si="0"/>
        <v>0</v>
      </c>
      <c r="K6" s="78"/>
      <c r="L6" s="79"/>
      <c r="M6" s="80"/>
    </row>
    <row r="7" spans="1:14">
      <c r="A7" s="10"/>
      <c r="B7" s="6"/>
      <c r="C7" s="164" t="s">
        <v>241</v>
      </c>
      <c r="D7" s="124"/>
      <c r="E7" s="124"/>
      <c r="F7" s="124"/>
      <c r="G7" s="125"/>
      <c r="H7" s="89">
        <f>H8</f>
        <v>62518</v>
      </c>
      <c r="I7" s="89">
        <v>62518</v>
      </c>
      <c r="J7" s="90">
        <f t="shared" si="0"/>
        <v>0</v>
      </c>
      <c r="K7" s="153"/>
      <c r="L7" s="143"/>
      <c r="M7" s="144"/>
    </row>
    <row r="8" spans="1:14">
      <c r="A8" s="10"/>
      <c r="B8" s="6"/>
      <c r="C8" s="141"/>
      <c r="D8" s="123" t="s">
        <v>30</v>
      </c>
      <c r="E8" s="124"/>
      <c r="F8" s="124"/>
      <c r="G8" s="125"/>
      <c r="H8" s="126">
        <f>H9</f>
        <v>62518</v>
      </c>
      <c r="I8" s="126">
        <v>62518</v>
      </c>
      <c r="J8" s="9">
        <f t="shared" si="0"/>
        <v>0</v>
      </c>
      <c r="K8" s="142"/>
      <c r="L8" s="143"/>
      <c r="M8" s="144"/>
    </row>
    <row r="9" spans="1:14">
      <c r="A9" s="10"/>
      <c r="B9" s="6"/>
      <c r="C9" s="128"/>
      <c r="D9" s="129"/>
      <c r="E9" s="123" t="s">
        <v>29</v>
      </c>
      <c r="F9" s="124"/>
      <c r="G9" s="125"/>
      <c r="H9" s="89">
        <f>SUM(H10,H19,H25,H29)</f>
        <v>62518</v>
      </c>
      <c r="I9" s="89">
        <v>62518</v>
      </c>
      <c r="J9" s="90">
        <f t="shared" si="0"/>
        <v>0</v>
      </c>
      <c r="K9" s="84"/>
      <c r="L9" s="91"/>
      <c r="M9" s="82"/>
    </row>
    <row r="10" spans="1:14">
      <c r="A10" s="62"/>
      <c r="B10" s="64"/>
      <c r="C10" s="64"/>
      <c r="D10" s="64"/>
      <c r="E10" s="64"/>
      <c r="F10" s="130" t="s">
        <v>31</v>
      </c>
      <c r="G10" s="134"/>
      <c r="H10" s="71">
        <f>SUM(H11,H15,H17)</f>
        <v>19818</v>
      </c>
      <c r="I10" s="71">
        <v>19818</v>
      </c>
      <c r="J10" s="96">
        <f t="shared" si="0"/>
        <v>0</v>
      </c>
      <c r="K10" s="138"/>
      <c r="L10" s="35"/>
      <c r="M10" s="34"/>
    </row>
    <row r="11" spans="1:14">
      <c r="A11" s="53"/>
      <c r="B11" s="55"/>
      <c r="C11" s="64"/>
      <c r="D11" s="64"/>
      <c r="E11" s="64"/>
      <c r="F11" s="176"/>
      <c r="G11" s="193" t="s">
        <v>32</v>
      </c>
      <c r="H11" s="194">
        <f>M11</f>
        <v>5770</v>
      </c>
      <c r="I11" s="194">
        <v>5770</v>
      </c>
      <c r="J11" s="38">
        <f t="shared" si="0"/>
        <v>0</v>
      </c>
      <c r="K11" s="33" t="s">
        <v>50</v>
      </c>
      <c r="L11" s="196"/>
      <c r="M11" s="209">
        <f>SUM(M12:M14)</f>
        <v>5770</v>
      </c>
    </row>
    <row r="12" spans="1:14">
      <c r="A12" s="53"/>
      <c r="B12" s="55"/>
      <c r="C12" s="64"/>
      <c r="D12" s="64"/>
      <c r="E12" s="64"/>
      <c r="F12" s="54"/>
      <c r="G12" s="54"/>
      <c r="H12" s="98"/>
      <c r="I12" s="98"/>
      <c r="J12" s="100"/>
      <c r="K12" s="177" t="s">
        <v>365</v>
      </c>
      <c r="L12" s="187" t="s">
        <v>33</v>
      </c>
      <c r="M12" s="175">
        <v>2520</v>
      </c>
    </row>
    <row r="13" spans="1:14" s="60" customFormat="1" ht="18" customHeight="1">
      <c r="A13" s="62"/>
      <c r="B13" s="64"/>
      <c r="C13" s="64"/>
      <c r="D13" s="139"/>
      <c r="E13" s="174"/>
      <c r="F13" s="174"/>
      <c r="G13" s="67"/>
      <c r="H13" s="73"/>
      <c r="I13" s="73"/>
      <c r="J13" s="73"/>
      <c r="K13" s="204" t="s">
        <v>533</v>
      </c>
      <c r="L13" s="42" t="s">
        <v>33</v>
      </c>
      <c r="M13" s="339">
        <v>2250</v>
      </c>
      <c r="N13" s="61"/>
    </row>
    <row r="14" spans="1:14" s="60" customFormat="1" ht="18" customHeight="1">
      <c r="A14" s="62"/>
      <c r="B14" s="64"/>
      <c r="C14" s="64"/>
      <c r="D14" s="139"/>
      <c r="E14" s="174"/>
      <c r="F14" s="174"/>
      <c r="G14" s="67"/>
      <c r="H14" s="73"/>
      <c r="I14" s="73"/>
      <c r="J14" s="73"/>
      <c r="K14" s="204" t="s">
        <v>534</v>
      </c>
      <c r="L14" s="42" t="s">
        <v>33</v>
      </c>
      <c r="M14" s="339">
        <v>1000</v>
      </c>
      <c r="N14" s="61"/>
    </row>
    <row r="15" spans="1:14">
      <c r="A15" s="62"/>
      <c r="B15" s="64"/>
      <c r="C15" s="64"/>
      <c r="D15" s="139"/>
      <c r="E15" s="174"/>
      <c r="F15" s="174"/>
      <c r="G15" s="63" t="s">
        <v>7</v>
      </c>
      <c r="H15" s="72">
        <f>M15</f>
        <v>8000</v>
      </c>
      <c r="I15" s="72">
        <v>8000</v>
      </c>
      <c r="J15" s="72">
        <f>H15-I15</f>
        <v>0</v>
      </c>
      <c r="K15" s="231" t="s">
        <v>40</v>
      </c>
      <c r="L15" s="41"/>
      <c r="M15" s="209">
        <f>SUM(M16)</f>
        <v>8000</v>
      </c>
    </row>
    <row r="16" spans="1:14">
      <c r="A16" s="62"/>
      <c r="B16" s="64"/>
      <c r="C16" s="64"/>
      <c r="D16" s="139"/>
      <c r="E16" s="174"/>
      <c r="F16" s="174"/>
      <c r="G16" s="66"/>
      <c r="H16" s="70"/>
      <c r="I16" s="70"/>
      <c r="J16" s="70"/>
      <c r="K16" s="206" t="s">
        <v>450</v>
      </c>
      <c r="L16" s="189" t="s">
        <v>0</v>
      </c>
      <c r="M16" s="181">
        <v>8000</v>
      </c>
    </row>
    <row r="17" spans="1:68" s="131" customFormat="1" ht="18" customHeight="1">
      <c r="A17" s="53"/>
      <c r="B17" s="55"/>
      <c r="C17" s="64"/>
      <c r="D17" s="64"/>
      <c r="E17" s="64"/>
      <c r="F17" s="54"/>
      <c r="G17" s="193" t="s">
        <v>247</v>
      </c>
      <c r="H17" s="194">
        <f>M17</f>
        <v>6048</v>
      </c>
      <c r="I17" s="194">
        <v>6048</v>
      </c>
      <c r="J17" s="195">
        <f>H17-I17</f>
        <v>0</v>
      </c>
      <c r="K17" s="33" t="s">
        <v>248</v>
      </c>
      <c r="L17" s="48"/>
      <c r="M17" s="209">
        <f>SUM(M18)</f>
        <v>6048</v>
      </c>
    </row>
    <row r="18" spans="1:68" s="131" customFormat="1" ht="18" customHeight="1">
      <c r="A18" s="62"/>
      <c r="B18" s="64"/>
      <c r="C18" s="64"/>
      <c r="D18" s="64"/>
      <c r="E18" s="64"/>
      <c r="F18" s="54"/>
      <c r="G18" s="54"/>
      <c r="H18" s="98"/>
      <c r="I18" s="98"/>
      <c r="J18" s="100"/>
      <c r="K18" s="206" t="s">
        <v>375</v>
      </c>
      <c r="L18" s="189" t="s">
        <v>33</v>
      </c>
      <c r="M18" s="175">
        <v>6048</v>
      </c>
    </row>
    <row r="19" spans="1:68">
      <c r="A19" s="62"/>
      <c r="B19" s="64"/>
      <c r="C19" s="64"/>
      <c r="D19" s="64"/>
      <c r="E19" s="64"/>
      <c r="F19" s="430" t="s">
        <v>36</v>
      </c>
      <c r="G19" s="431"/>
      <c r="H19" s="146">
        <f>H20+H23</f>
        <v>36600</v>
      </c>
      <c r="I19" s="146">
        <v>36600</v>
      </c>
      <c r="J19" s="147">
        <f>H19-I19</f>
        <v>0</v>
      </c>
      <c r="K19" s="148"/>
      <c r="L19" s="56"/>
      <c r="M19" s="57"/>
    </row>
    <row r="20" spans="1:68">
      <c r="A20" s="62"/>
      <c r="B20" s="64"/>
      <c r="C20" s="64"/>
      <c r="D20" s="64"/>
      <c r="E20" s="64"/>
      <c r="F20" s="107"/>
      <c r="G20" s="184" t="s">
        <v>37</v>
      </c>
      <c r="H20" s="197">
        <f>M20</f>
        <v>12600</v>
      </c>
      <c r="I20" s="194">
        <v>12600</v>
      </c>
      <c r="J20" s="186">
        <f>H20-I20</f>
        <v>0</v>
      </c>
      <c r="K20" s="33" t="s">
        <v>48</v>
      </c>
      <c r="L20" s="199"/>
      <c r="M20" s="209">
        <f>SUM(M21:M22)</f>
        <v>12600</v>
      </c>
    </row>
    <row r="21" spans="1:68" s="131" customFormat="1" ht="18" customHeight="1">
      <c r="A21" s="62"/>
      <c r="B21" s="64"/>
      <c r="C21" s="64"/>
      <c r="D21" s="64"/>
      <c r="E21" s="64"/>
      <c r="F21" s="179"/>
      <c r="G21" s="179"/>
      <c r="H21" s="98"/>
      <c r="I21" s="102"/>
      <c r="J21" s="100"/>
      <c r="K21" s="204" t="s">
        <v>430</v>
      </c>
      <c r="L21" s="94" t="s">
        <v>0</v>
      </c>
      <c r="M21" s="175">
        <v>3360</v>
      </c>
      <c r="N21"/>
      <c r="O21"/>
      <c r="P21"/>
      <c r="Q21"/>
      <c r="R21" s="99"/>
      <c r="U21" s="52"/>
      <c r="V21" s="58"/>
      <c r="W21" s="58"/>
      <c r="X21" s="58"/>
      <c r="Y21" s="58"/>
      <c r="Z21" s="58"/>
      <c r="AA21" s="58"/>
      <c r="AB21" s="58"/>
      <c r="AC21" s="58">
        <v>9</v>
      </c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</row>
    <row r="22" spans="1:68" s="131" customFormat="1" ht="18" customHeight="1">
      <c r="A22" s="62"/>
      <c r="B22" s="64"/>
      <c r="C22" s="64"/>
      <c r="D22" s="64"/>
      <c r="E22" s="64"/>
      <c r="F22" s="179"/>
      <c r="G22" s="179"/>
      <c r="H22" s="98"/>
      <c r="I22" s="102"/>
      <c r="J22" s="100"/>
      <c r="K22" s="206" t="s">
        <v>431</v>
      </c>
      <c r="L22" s="198" t="s">
        <v>0</v>
      </c>
      <c r="M22" s="175">
        <v>9240</v>
      </c>
      <c r="N22"/>
      <c r="O22"/>
      <c r="P22"/>
      <c r="Q22"/>
      <c r="R22" s="99"/>
    </row>
    <row r="23" spans="1:68">
      <c r="A23" s="62"/>
      <c r="B23" s="64"/>
      <c r="C23" s="64"/>
      <c r="D23" s="64"/>
      <c r="E23" s="64"/>
      <c r="F23" s="103"/>
      <c r="G23" s="184" t="s">
        <v>451</v>
      </c>
      <c r="H23" s="197">
        <f>M23</f>
        <v>24000</v>
      </c>
      <c r="I23" s="194">
        <v>24000</v>
      </c>
      <c r="J23" s="186">
        <f>H23-I23</f>
        <v>0</v>
      </c>
      <c r="K23" s="33" t="s">
        <v>49</v>
      </c>
      <c r="L23" s="199"/>
      <c r="M23" s="209">
        <f>SUM(M24:M25)</f>
        <v>24000</v>
      </c>
    </row>
    <row r="24" spans="1:68" s="131" customFormat="1" ht="18" customHeight="1">
      <c r="A24" s="62"/>
      <c r="B24" s="64"/>
      <c r="C24" s="64"/>
      <c r="D24" s="64"/>
      <c r="E24" s="64"/>
      <c r="F24" s="179"/>
      <c r="G24" s="179"/>
      <c r="H24" s="98"/>
      <c r="I24" s="102"/>
      <c r="J24" s="100"/>
      <c r="K24" s="204" t="s">
        <v>452</v>
      </c>
      <c r="L24" s="198" t="s">
        <v>0</v>
      </c>
      <c r="M24" s="175">
        <v>24000</v>
      </c>
      <c r="N24"/>
      <c r="O24"/>
      <c r="P24"/>
      <c r="Q24"/>
      <c r="R24" s="99"/>
      <c r="U24" s="52"/>
      <c r="V24" s="58"/>
      <c r="W24" s="58"/>
      <c r="X24" s="58"/>
      <c r="Y24" s="58"/>
      <c r="Z24" s="58"/>
      <c r="AA24" s="58"/>
      <c r="AB24" s="58"/>
      <c r="AC24" s="58">
        <v>9</v>
      </c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</row>
    <row r="25" spans="1:68">
      <c r="A25" s="62"/>
      <c r="B25" s="64"/>
      <c r="C25" s="64"/>
      <c r="D25" s="64"/>
      <c r="E25" s="64"/>
      <c r="F25" s="430" t="s">
        <v>38</v>
      </c>
      <c r="G25" s="431"/>
      <c r="H25" s="146">
        <f>H26</f>
        <v>4000</v>
      </c>
      <c r="I25" s="146">
        <v>4000</v>
      </c>
      <c r="J25" s="147">
        <f>H25-I25</f>
        <v>0</v>
      </c>
      <c r="K25" s="348"/>
      <c r="L25" s="56"/>
      <c r="M25" s="57"/>
    </row>
    <row r="26" spans="1:68">
      <c r="A26" s="62"/>
      <c r="B26" s="64"/>
      <c r="C26" s="64"/>
      <c r="D26" s="64"/>
      <c r="E26" s="64"/>
      <c r="F26" s="179"/>
      <c r="G26" s="107" t="s">
        <v>39</v>
      </c>
      <c r="H26" s="197">
        <f>M26</f>
        <v>4000</v>
      </c>
      <c r="I26" s="197">
        <v>4000</v>
      </c>
      <c r="J26" s="186">
        <f>H26-I26</f>
        <v>0</v>
      </c>
      <c r="K26" s="200" t="s">
        <v>113</v>
      </c>
      <c r="L26" s="196"/>
      <c r="M26" s="209">
        <f>SUM(M27:M28)</f>
        <v>4000</v>
      </c>
    </row>
    <row r="27" spans="1:68">
      <c r="A27" s="62"/>
      <c r="B27" s="64"/>
      <c r="C27" s="64"/>
      <c r="D27" s="64"/>
      <c r="E27" s="64"/>
      <c r="F27" s="179"/>
      <c r="G27" s="103"/>
      <c r="H27" s="104"/>
      <c r="I27" s="104"/>
      <c r="J27" s="105"/>
      <c r="K27" s="352" t="s">
        <v>512</v>
      </c>
      <c r="L27" s="94" t="s">
        <v>0</v>
      </c>
      <c r="M27" s="175">
        <v>2000</v>
      </c>
    </row>
    <row r="28" spans="1:68">
      <c r="A28" s="320"/>
      <c r="B28" s="321"/>
      <c r="C28" s="321"/>
      <c r="D28" s="321"/>
      <c r="E28" s="321"/>
      <c r="F28" s="180"/>
      <c r="G28" s="180"/>
      <c r="H28" s="101"/>
      <c r="I28" s="149"/>
      <c r="J28" s="149"/>
      <c r="K28" s="183" t="s">
        <v>513</v>
      </c>
      <c r="L28" s="198" t="s">
        <v>0</v>
      </c>
      <c r="M28" s="181">
        <v>2000</v>
      </c>
    </row>
    <row r="29" spans="1:68">
      <c r="A29" s="62"/>
      <c r="B29" s="64"/>
      <c r="C29" s="64"/>
      <c r="D29" s="64"/>
      <c r="E29" s="64"/>
      <c r="F29" s="331" t="s">
        <v>89</v>
      </c>
      <c r="G29" s="69"/>
      <c r="H29" s="70">
        <f>H30</f>
        <v>2100</v>
      </c>
      <c r="I29" s="70">
        <v>2100</v>
      </c>
      <c r="J29" s="140">
        <f>H29-I29</f>
        <v>0</v>
      </c>
      <c r="K29" s="274"/>
      <c r="L29" s="275"/>
      <c r="M29" s="332"/>
    </row>
    <row r="30" spans="1:68">
      <c r="A30" s="62"/>
      <c r="B30" s="64"/>
      <c r="C30" s="64"/>
      <c r="D30" s="64"/>
      <c r="E30" s="64"/>
      <c r="F30" s="137"/>
      <c r="G30" s="64" t="s">
        <v>93</v>
      </c>
      <c r="H30" s="75">
        <f>M30</f>
        <v>2100</v>
      </c>
      <c r="I30" s="75">
        <v>2100</v>
      </c>
      <c r="J30" s="45">
        <f>H30-I30</f>
        <v>0</v>
      </c>
      <c r="K30" s="33" t="s">
        <v>360</v>
      </c>
      <c r="L30" s="36"/>
      <c r="M30" s="209">
        <f>M31</f>
        <v>2100</v>
      </c>
    </row>
    <row r="31" spans="1:68" ht="17.25" thickBot="1">
      <c r="A31" s="288"/>
      <c r="B31" s="68"/>
      <c r="C31" s="68"/>
      <c r="D31" s="68"/>
      <c r="E31" s="68"/>
      <c r="F31" s="333"/>
      <c r="G31" s="185"/>
      <c r="H31" s="334"/>
      <c r="I31" s="335"/>
      <c r="J31" s="336"/>
      <c r="K31" s="224" t="s">
        <v>364</v>
      </c>
      <c r="L31" s="225" t="s">
        <v>0</v>
      </c>
      <c r="M31" s="235">
        <v>2100</v>
      </c>
    </row>
  </sheetData>
  <protectedRanges>
    <protectedRange password="ECE8" sqref="N17:U18" name="작성자만수정_2_1_1"/>
    <protectedRange password="ECE8" sqref="R21:AD22 R24:AD24" name="작성자만수정_2_1_1_1"/>
  </protectedRanges>
  <autoFilter ref="A3:BP31">
    <filterColumn colId="10" showButton="0"/>
    <filterColumn colId="11" showButton="0"/>
  </autoFilter>
  <mergeCells count="10">
    <mergeCell ref="K2:M3"/>
    <mergeCell ref="A4:G4"/>
    <mergeCell ref="F19:G19"/>
    <mergeCell ref="F25:G25"/>
    <mergeCell ref="A2:A3"/>
    <mergeCell ref="B2:D2"/>
    <mergeCell ref="E2:G2"/>
    <mergeCell ref="H2:H3"/>
    <mergeCell ref="I2:I3"/>
    <mergeCell ref="J2:J3"/>
  </mergeCells>
  <phoneticPr fontId="12" type="noConversion"/>
  <conditionalFormatting sqref="J28">
    <cfRule type="containsText" dxfId="857" priority="193" operator="containsText" text="허하나로">
      <formula>NOT(ISERROR(SEARCH("허하나로",H1054)))</formula>
    </cfRule>
    <cfRule type="containsText" dxfId="856" priority="194" operator="containsText" text="한별">
      <formula>NOT(ISERROR(SEARCH("한별",H1054)))</formula>
    </cfRule>
    <cfRule type="containsText" dxfId="855" priority="195" operator="containsText" text="정홍조">
      <formula>NOT(ISERROR(SEARCH("정홍조",H1054)))</formula>
    </cfRule>
    <cfRule type="containsText" dxfId="854" priority="196" operator="containsText" text="김지윤">
      <formula>NOT(ISERROR(SEARCH("김지윤",H1054)))</formula>
    </cfRule>
    <cfRule type="containsText" dxfId="853" priority="197" operator="containsText" text="전준영">
      <formula>NOT(ISERROR(SEARCH("전준영",H1054)))</formula>
    </cfRule>
    <cfRule type="containsText" dxfId="852" priority="198" operator="containsText" text="차재성">
      <formula>NOT(ISERROR(SEARCH("차재성",H1054)))</formula>
    </cfRule>
  </conditionalFormatting>
  <conditionalFormatting sqref="J6">
    <cfRule type="containsText" dxfId="851" priority="205" operator="containsText" text="허하나로">
      <formula>NOT(ISERROR(SEARCH("허하나로",H690)))</formula>
    </cfRule>
    <cfRule type="containsText" dxfId="850" priority="206" operator="containsText" text="한별">
      <formula>NOT(ISERROR(SEARCH("한별",H690)))</formula>
    </cfRule>
    <cfRule type="containsText" dxfId="849" priority="207" operator="containsText" text="정홍조">
      <formula>NOT(ISERROR(SEARCH("정홍조",H690)))</formula>
    </cfRule>
    <cfRule type="containsText" dxfId="848" priority="208" operator="containsText" text="김지윤">
      <formula>NOT(ISERROR(SEARCH("김지윤",H690)))</formula>
    </cfRule>
    <cfRule type="containsText" dxfId="847" priority="209" operator="containsText" text="전준영">
      <formula>NOT(ISERROR(SEARCH("전준영",H690)))</formula>
    </cfRule>
    <cfRule type="containsText" dxfId="846" priority="210" operator="containsText" text="차재성">
      <formula>NOT(ISERROR(SEARCH("차재성",H690)))</formula>
    </cfRule>
  </conditionalFormatting>
  <conditionalFormatting sqref="J5">
    <cfRule type="containsText" dxfId="845" priority="199" operator="containsText" text="허하나로">
      <formula>NOT(ISERROR(SEARCH("허하나로",H689)))</formula>
    </cfRule>
    <cfRule type="containsText" dxfId="844" priority="200" operator="containsText" text="한별">
      <formula>NOT(ISERROR(SEARCH("한별",H689)))</formula>
    </cfRule>
    <cfRule type="containsText" dxfId="843" priority="201" operator="containsText" text="정홍조">
      <formula>NOT(ISERROR(SEARCH("정홍조",H689)))</formula>
    </cfRule>
    <cfRule type="containsText" dxfId="842" priority="202" operator="containsText" text="김지윤">
      <formula>NOT(ISERROR(SEARCH("김지윤",H689)))</formula>
    </cfRule>
    <cfRule type="containsText" dxfId="841" priority="203" operator="containsText" text="전준영">
      <formula>NOT(ISERROR(SEARCH("전준영",H689)))</formula>
    </cfRule>
    <cfRule type="containsText" dxfId="840" priority="204" operator="containsText" text="차재성">
      <formula>NOT(ISERROR(SEARCH("차재성",H689)))</formula>
    </cfRule>
  </conditionalFormatting>
  <conditionalFormatting sqref="J7">
    <cfRule type="containsText" dxfId="839" priority="187" operator="containsText" text="허하나로">
      <formula>NOT(ISERROR(SEARCH("허하나로",H823)))</formula>
    </cfRule>
    <cfRule type="containsText" dxfId="838" priority="188" operator="containsText" text="한별">
      <formula>NOT(ISERROR(SEARCH("한별",H823)))</formula>
    </cfRule>
    <cfRule type="containsText" dxfId="837" priority="189" operator="containsText" text="정홍조">
      <formula>NOT(ISERROR(SEARCH("정홍조",H823)))</formula>
    </cfRule>
    <cfRule type="containsText" dxfId="836" priority="190" operator="containsText" text="김지윤">
      <formula>NOT(ISERROR(SEARCH("김지윤",H823)))</formula>
    </cfRule>
    <cfRule type="containsText" dxfId="835" priority="191" operator="containsText" text="전준영">
      <formula>NOT(ISERROR(SEARCH("전준영",H823)))</formula>
    </cfRule>
    <cfRule type="containsText" dxfId="834" priority="192" operator="containsText" text="차재성">
      <formula>NOT(ISERROR(SEARCH("차재성",H823)))</formula>
    </cfRule>
  </conditionalFormatting>
  <conditionalFormatting sqref="J10:J11">
    <cfRule type="containsText" dxfId="833" priority="181" operator="containsText" text="허하나로">
      <formula>NOT(ISERROR(SEARCH("허하나로",H1031)))</formula>
    </cfRule>
    <cfRule type="containsText" dxfId="832" priority="182" operator="containsText" text="한별">
      <formula>NOT(ISERROR(SEARCH("한별",H1031)))</formula>
    </cfRule>
    <cfRule type="containsText" dxfId="831" priority="183" operator="containsText" text="정홍조">
      <formula>NOT(ISERROR(SEARCH("정홍조",H1031)))</formula>
    </cfRule>
    <cfRule type="containsText" dxfId="830" priority="184" operator="containsText" text="김지윤">
      <formula>NOT(ISERROR(SEARCH("김지윤",H1031)))</formula>
    </cfRule>
    <cfRule type="containsText" dxfId="829" priority="185" operator="containsText" text="전준영">
      <formula>NOT(ISERROR(SEARCH("전준영",H1031)))</formula>
    </cfRule>
    <cfRule type="containsText" dxfId="828" priority="186" operator="containsText" text="차재성">
      <formula>NOT(ISERROR(SEARCH("차재성",H1031)))</formula>
    </cfRule>
  </conditionalFormatting>
  <conditionalFormatting sqref="J12">
    <cfRule type="containsText" dxfId="827" priority="175" operator="containsText" text="허하나로">
      <formula>NOT(ISERROR(SEARCH("허하나로",H1022)))</formula>
    </cfRule>
    <cfRule type="containsText" dxfId="826" priority="176" operator="containsText" text="한별">
      <formula>NOT(ISERROR(SEARCH("한별",H1022)))</formula>
    </cfRule>
    <cfRule type="containsText" dxfId="825" priority="177" operator="containsText" text="정홍조">
      <formula>NOT(ISERROR(SEARCH("정홍조",H1022)))</formula>
    </cfRule>
    <cfRule type="containsText" dxfId="824" priority="178" operator="containsText" text="김지윤">
      <formula>NOT(ISERROR(SEARCH("김지윤",H1022)))</formula>
    </cfRule>
    <cfRule type="containsText" dxfId="823" priority="179" operator="containsText" text="전준영">
      <formula>NOT(ISERROR(SEARCH("전준영",H1022)))</formula>
    </cfRule>
    <cfRule type="containsText" dxfId="822" priority="180" operator="containsText" text="차재성">
      <formula>NOT(ISERROR(SEARCH("차재성",H1022)))</formula>
    </cfRule>
  </conditionalFormatting>
  <conditionalFormatting sqref="J9">
    <cfRule type="containsText" dxfId="821" priority="229" operator="containsText" text="허하나로">
      <formula>NOT(ISERROR(SEARCH("허하나로",H1020)))</formula>
    </cfRule>
    <cfRule type="containsText" dxfId="820" priority="230" operator="containsText" text="한별">
      <formula>NOT(ISERROR(SEARCH("한별",H1020)))</formula>
    </cfRule>
    <cfRule type="containsText" dxfId="819" priority="231" operator="containsText" text="정홍조">
      <formula>NOT(ISERROR(SEARCH("정홍조",H1020)))</formula>
    </cfRule>
    <cfRule type="containsText" dxfId="818" priority="232" operator="containsText" text="김지윤">
      <formula>NOT(ISERROR(SEARCH("김지윤",H1020)))</formula>
    </cfRule>
    <cfRule type="containsText" dxfId="817" priority="233" operator="containsText" text="전준영">
      <formula>NOT(ISERROR(SEARCH("전준영",H1020)))</formula>
    </cfRule>
    <cfRule type="containsText" dxfId="816" priority="234" operator="containsText" text="차재성">
      <formula>NOT(ISERROR(SEARCH("차재성",H1020)))</formula>
    </cfRule>
  </conditionalFormatting>
  <conditionalFormatting sqref="J25">
    <cfRule type="containsText" dxfId="815" priority="169" operator="containsText" text="허하나로">
      <formula>NOT(ISERROR(SEARCH("허하나로",H1037)))</formula>
    </cfRule>
    <cfRule type="containsText" dxfId="814" priority="170" operator="containsText" text="한별">
      <formula>NOT(ISERROR(SEARCH("한별",H1037)))</formula>
    </cfRule>
    <cfRule type="containsText" dxfId="813" priority="171" operator="containsText" text="정홍조">
      <formula>NOT(ISERROR(SEARCH("정홍조",H1037)))</formula>
    </cfRule>
    <cfRule type="containsText" dxfId="812" priority="172" operator="containsText" text="김지윤">
      <formula>NOT(ISERROR(SEARCH("김지윤",H1037)))</formula>
    </cfRule>
    <cfRule type="containsText" dxfId="811" priority="173" operator="containsText" text="전준영">
      <formula>NOT(ISERROR(SEARCH("전준영",H1037)))</formula>
    </cfRule>
    <cfRule type="containsText" dxfId="810" priority="174" operator="containsText" text="차재성">
      <formula>NOT(ISERROR(SEARCH("차재성",H1037)))</formula>
    </cfRule>
  </conditionalFormatting>
  <conditionalFormatting sqref="L20">
    <cfRule type="containsText" dxfId="809" priority="163" operator="containsText" text="허하나로">
      <formula>NOT(ISERROR(SEARCH("허하나로",J1168)))</formula>
    </cfRule>
    <cfRule type="containsText" dxfId="808" priority="164" operator="containsText" text="한별">
      <formula>NOT(ISERROR(SEARCH("한별",J1168)))</formula>
    </cfRule>
    <cfRule type="containsText" dxfId="807" priority="165" operator="containsText" text="정홍조">
      <formula>NOT(ISERROR(SEARCH("정홍조",J1168)))</formula>
    </cfRule>
    <cfRule type="containsText" dxfId="806" priority="166" operator="containsText" text="김지윤">
      <formula>NOT(ISERROR(SEARCH("김지윤",J1168)))</formula>
    </cfRule>
    <cfRule type="containsText" dxfId="805" priority="167" operator="containsText" text="전준영">
      <formula>NOT(ISERROR(SEARCH("전준영",J1168)))</formula>
    </cfRule>
    <cfRule type="containsText" dxfId="804" priority="168" operator="containsText" text="차재성">
      <formula>NOT(ISERROR(SEARCH("차재성",J1168)))</formula>
    </cfRule>
  </conditionalFormatting>
  <conditionalFormatting sqref="I28">
    <cfRule type="containsText" dxfId="803" priority="157" operator="containsText" text="허하나로">
      <formula>NOT(ISERROR(SEARCH("허하나로",G1054)))</formula>
    </cfRule>
    <cfRule type="containsText" dxfId="802" priority="158" operator="containsText" text="한별">
      <formula>NOT(ISERROR(SEARCH("한별",G1054)))</formula>
    </cfRule>
    <cfRule type="containsText" dxfId="801" priority="159" operator="containsText" text="정홍조">
      <formula>NOT(ISERROR(SEARCH("정홍조",G1054)))</formula>
    </cfRule>
    <cfRule type="containsText" dxfId="800" priority="160" operator="containsText" text="김지윤">
      <formula>NOT(ISERROR(SEARCH("김지윤",G1054)))</formula>
    </cfRule>
    <cfRule type="containsText" dxfId="799" priority="161" operator="containsText" text="전준영">
      <formula>NOT(ISERROR(SEARCH("전준영",G1054)))</formula>
    </cfRule>
    <cfRule type="containsText" dxfId="798" priority="162" operator="containsText" text="차재성">
      <formula>NOT(ISERROR(SEARCH("차재성",G1054)))</formula>
    </cfRule>
  </conditionalFormatting>
  <conditionalFormatting sqref="J19:J20">
    <cfRule type="containsText" dxfId="797" priority="1339" operator="containsText" text="허하나로">
      <formula>NOT(ISERROR(SEARCH("허하나로",H1033)))</formula>
    </cfRule>
    <cfRule type="containsText" dxfId="796" priority="1340" operator="containsText" text="한별">
      <formula>NOT(ISERROR(SEARCH("한별",H1033)))</formula>
    </cfRule>
    <cfRule type="containsText" dxfId="795" priority="1341" operator="containsText" text="정홍조">
      <formula>NOT(ISERROR(SEARCH("정홍조",H1033)))</formula>
    </cfRule>
    <cfRule type="containsText" dxfId="794" priority="1342" operator="containsText" text="김지윤">
      <formula>NOT(ISERROR(SEARCH("김지윤",H1033)))</formula>
    </cfRule>
    <cfRule type="containsText" dxfId="793" priority="1343" operator="containsText" text="전준영">
      <formula>NOT(ISERROR(SEARCH("전준영",H1033)))</formula>
    </cfRule>
    <cfRule type="containsText" dxfId="792" priority="1344" operator="containsText" text="차재성">
      <formula>NOT(ISERROR(SEARCH("차재성",H1033)))</formula>
    </cfRule>
  </conditionalFormatting>
  <conditionalFormatting sqref="L23">
    <cfRule type="containsText" dxfId="791" priority="13" operator="containsText" text="허하나로">
      <formula>NOT(ISERROR(SEARCH("허하나로",J1171)))</formula>
    </cfRule>
    <cfRule type="containsText" dxfId="790" priority="14" operator="containsText" text="한별">
      <formula>NOT(ISERROR(SEARCH("한별",J1171)))</formula>
    </cfRule>
    <cfRule type="containsText" dxfId="789" priority="15" operator="containsText" text="정홍조">
      <formula>NOT(ISERROR(SEARCH("정홍조",J1171)))</formula>
    </cfRule>
    <cfRule type="containsText" dxfId="788" priority="16" operator="containsText" text="김지윤">
      <formula>NOT(ISERROR(SEARCH("김지윤",J1171)))</formula>
    </cfRule>
    <cfRule type="containsText" dxfId="787" priority="17" operator="containsText" text="전준영">
      <formula>NOT(ISERROR(SEARCH("전준영",J1171)))</formula>
    </cfRule>
    <cfRule type="containsText" dxfId="786" priority="18" operator="containsText" text="차재성">
      <formula>NOT(ISERROR(SEARCH("차재성",J1171)))</formula>
    </cfRule>
  </conditionalFormatting>
  <conditionalFormatting sqref="J23">
    <cfRule type="containsText" dxfId="785" priority="19" operator="containsText" text="허하나로">
      <formula>NOT(ISERROR(SEARCH("허하나로",H1037)))</formula>
    </cfRule>
    <cfRule type="containsText" dxfId="784" priority="20" operator="containsText" text="한별">
      <formula>NOT(ISERROR(SEARCH("한별",H1037)))</formula>
    </cfRule>
    <cfRule type="containsText" dxfId="783" priority="21" operator="containsText" text="정홍조">
      <formula>NOT(ISERROR(SEARCH("정홍조",H1037)))</formula>
    </cfRule>
    <cfRule type="containsText" dxfId="782" priority="22" operator="containsText" text="김지윤">
      <formula>NOT(ISERROR(SEARCH("김지윤",H1037)))</formula>
    </cfRule>
    <cfRule type="containsText" dxfId="781" priority="23" operator="containsText" text="전준영">
      <formula>NOT(ISERROR(SEARCH("전준영",H1037)))</formula>
    </cfRule>
    <cfRule type="containsText" dxfId="780" priority="24" operator="containsText" text="차재성">
      <formula>NOT(ISERROR(SEARCH("차재성",H1037)))</formula>
    </cfRule>
  </conditionalFormatting>
  <conditionalFormatting sqref="J26:J27">
    <cfRule type="containsText" dxfId="779" priority="3961" operator="containsText" text="허하나로">
      <formula>NOT(ISERROR(SEARCH("허하나로",H1053)))</formula>
    </cfRule>
    <cfRule type="containsText" dxfId="778" priority="3962" operator="containsText" text="한별">
      <formula>NOT(ISERROR(SEARCH("한별",H1053)))</formula>
    </cfRule>
    <cfRule type="containsText" dxfId="777" priority="3963" operator="containsText" text="정홍조">
      <formula>NOT(ISERROR(SEARCH("정홍조",H1053)))</formula>
    </cfRule>
    <cfRule type="containsText" dxfId="776" priority="3964" operator="containsText" text="김지윤">
      <formula>NOT(ISERROR(SEARCH("김지윤",H1053)))</formula>
    </cfRule>
    <cfRule type="containsText" dxfId="775" priority="3965" operator="containsText" text="전준영">
      <formula>NOT(ISERROR(SEARCH("전준영",H1053)))</formula>
    </cfRule>
    <cfRule type="containsText" dxfId="774" priority="3966" operator="containsText" text="차재성">
      <formula>NOT(ISERROR(SEARCH("차재성",H1053)))</formula>
    </cfRule>
  </conditionalFormatting>
  <conditionalFormatting sqref="J2:J3">
    <cfRule type="containsText" dxfId="773" priority="1" operator="containsText" text="허하나로">
      <formula>NOT(ISERROR(SEARCH("허하나로",H762)))</formula>
    </cfRule>
    <cfRule type="containsText" dxfId="772" priority="2" operator="containsText" text="한별">
      <formula>NOT(ISERROR(SEARCH("한별",H762)))</formula>
    </cfRule>
    <cfRule type="containsText" dxfId="771" priority="3" operator="containsText" text="정홍조">
      <formula>NOT(ISERROR(SEARCH("정홍조",H762)))</formula>
    </cfRule>
    <cfRule type="containsText" dxfId="770" priority="4" operator="containsText" text="김지윤">
      <formula>NOT(ISERROR(SEARCH("김지윤",H762)))</formula>
    </cfRule>
    <cfRule type="containsText" dxfId="769" priority="5" operator="containsText" text="전준영">
      <formula>NOT(ISERROR(SEARCH("전준영",H762)))</formula>
    </cfRule>
    <cfRule type="containsText" dxfId="768" priority="6" operator="containsText" text="차재성">
      <formula>NOT(ISERROR(SEARCH("차재성",H762)))</formula>
    </cfRule>
  </conditionalFormatting>
  <pageMargins left="0.70866141732283472" right="0.70866141732283472" top="0.74803149606299213" bottom="0.74803149606299213" header="0.31496062992125984" footer="0.31496062992125984"/>
  <pageSetup paperSize="9" scale="6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9" operator="containsText" text="허하나로" id="{1494A34C-D8A3-4A8C-912C-87C4FAE6F4D6}">
            <xm:f>NOT(ISERROR(SEARCH("허하나로",수익사업부!H1062)))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50" operator="containsText" text="한별" id="{9A05B581-3CB0-40FA-A3D0-8C32539C02F3}">
            <xm:f>NOT(ISERROR(SEARCH("한별",수익사업부!H1062)))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51" operator="containsText" text="정홍조" id="{5CB65F46-528F-4FA5-9C17-1E1ECFAA8C5D}">
            <xm:f>NOT(ISERROR(SEARCH("정홍조",수익사업부!H1062)))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52" operator="containsText" text="김지윤" id="{37AD3EC3-7B9F-49D6-8946-4D398A5481FD}">
            <xm:f>NOT(ISERROR(SEARCH("김지윤",수익사업부!H1062)))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3" operator="containsText" text="전준영" id="{5BB14AEF-6986-4F7A-A602-93F94736D366}">
            <xm:f>NOT(ISERROR(SEARCH("전준영",수익사업부!H1062)))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54" operator="containsText" text="차재성" id="{6C58C232-8A4D-477E-A03B-63ABFEA63310}">
            <xm:f>NOT(ISERROR(SEARCH("차재성",수익사업부!H1062)))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J17:J18</xm:sqref>
        </x14:conditionalFormatting>
        <x14:conditionalFormatting xmlns:xm="http://schemas.microsoft.com/office/excel/2006/main">
          <x14:cfRule type="containsText" priority="43" operator="containsText" text="허하나로" id="{45A443E8-C4D8-4C0E-B9C6-937C0ABE67BC}">
            <xm:f>NOT(ISERROR(SEARCH("허하나로",행정관리부!H1066)))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4" operator="containsText" text="한별" id="{6B29D7AA-BD7B-404B-B384-4E108E74B95E}">
            <xm:f>NOT(ISERROR(SEARCH("한별",행정관리부!H1066)))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5" operator="containsText" text="정홍조" id="{E8F7FE3E-F176-4BB0-B382-DEB0465BE734}">
            <xm:f>NOT(ISERROR(SEARCH("정홍조",행정관리부!H1066)))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6" operator="containsText" text="김지윤" id="{CA469AEE-8E90-4132-9921-9DF657DF5252}">
            <xm:f>NOT(ISERROR(SEARCH("김지윤",행정관리부!H1066)))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7" operator="containsText" text="전준영" id="{1334EC84-C5B8-47A1-AC4E-426C4FED141E}">
            <xm:f>NOT(ISERROR(SEARCH("전준영",행정관리부!H1066)))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8" operator="containsText" text="차재성" id="{F502BF71-523A-4F2B-A23D-5E33A84B616B}">
            <xm:f>NOT(ISERROR(SEARCH("차재성",행정관리부!H1066)))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J31</xm:sqref>
        </x14:conditionalFormatting>
        <x14:conditionalFormatting xmlns:xm="http://schemas.microsoft.com/office/excel/2006/main">
          <x14:cfRule type="containsText" priority="37" operator="containsText" text="허하나로" id="{683107EB-0B48-410E-BE87-36193006F129}">
            <xm:f>NOT(ISERROR(SEARCH("허하나로",행정관리부!H1122)))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8" operator="containsText" text="한별" id="{FF49DDE7-374E-488B-AA43-A31F7AECA83B}">
            <xm:f>NOT(ISERROR(SEARCH("한별",행정관리부!H1122)))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9" operator="containsText" text="정홍조" id="{4E23FB7A-C7E6-4FC1-BE14-6D722D9FA143}">
            <xm:f>NOT(ISERROR(SEARCH("정홍조",행정관리부!H1122)))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0" operator="containsText" text="김지윤" id="{DE2B97C3-6AAE-4706-A105-7CEAFC0529CB}">
            <xm:f>NOT(ISERROR(SEARCH("김지윤",행정관리부!H1122)))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1" operator="containsText" text="전준영" id="{CC69DB47-5128-4DC0-932E-29D124CDF9A6}">
            <xm:f>NOT(ISERROR(SEARCH("전준영",행정관리부!H1122)))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2" operator="containsText" text="차재성" id="{AE3ACC82-37D8-41F2-8D5E-53099CE05503}">
            <xm:f>NOT(ISERROR(SEARCH("차재성",행정관리부!H1122)))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J29:J30</xm:sqref>
        </x14:conditionalFormatting>
        <x14:conditionalFormatting xmlns:xm="http://schemas.microsoft.com/office/excel/2006/main">
          <x14:cfRule type="containsText" priority="25" operator="containsText" text="허하나로" id="{5F8876F6-6D44-4F20-9C56-05284E2F0DA9}">
            <xm:f>NOT(ISERROR(SEARCH("허하나로",수익사업부!H1073)))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6" operator="containsText" text="한별" id="{28E3B3F1-39ED-4490-BD5E-795907F76909}">
            <xm:f>NOT(ISERROR(SEARCH("한별",수익사업부!H1073)))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7" operator="containsText" text="정홍조" id="{F2B1C16F-AC01-47A8-B3A3-25918990979B}">
            <xm:f>NOT(ISERROR(SEARCH("정홍조",수익사업부!H1073)))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8" operator="containsText" text="김지윤" id="{3C9F8655-497D-436E-9A66-1092FDFD16A7}">
            <xm:f>NOT(ISERROR(SEARCH("김지윤",수익사업부!H1073)))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9" operator="containsText" text="전준영" id="{8C357196-AB86-4B1B-9B9B-EB10841D3BE8}">
            <xm:f>NOT(ISERROR(SEARCH("전준영",수익사업부!H1073)))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0" operator="containsText" text="차재성" id="{1F84DB7C-7797-4DF7-B703-0DACB1D12B0E}">
            <xm:f>NOT(ISERROR(SEARCH("차재성",수익사업부!H1073)))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J21:J22 J24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M45"/>
  <sheetViews>
    <sheetView zoomScale="85" zoomScaleNormal="85" workbookViewId="0">
      <selection activeCell="B7" sqref="B7"/>
    </sheetView>
  </sheetViews>
  <sheetFormatPr defaultRowHeight="16.5"/>
  <cols>
    <col min="1" max="6" width="3.875" customWidth="1"/>
    <col min="7" max="7" width="32.625" customWidth="1"/>
    <col min="8" max="10" width="14.625" customWidth="1"/>
    <col min="11" max="11" width="60.625" customWidth="1"/>
    <col min="12" max="12" width="3.875" customWidth="1"/>
    <col min="13" max="13" width="10.25" bestFit="1" customWidth="1"/>
  </cols>
  <sheetData>
    <row r="1" spans="1:13" ht="17.25" thickBot="1">
      <c r="A1" s="86" t="s">
        <v>303</v>
      </c>
      <c r="B1" s="40"/>
      <c r="C1" s="86"/>
      <c r="D1" s="86"/>
      <c r="E1" s="86"/>
      <c r="F1" s="86"/>
      <c r="G1" s="167"/>
      <c r="H1" s="168"/>
      <c r="I1" s="168"/>
      <c r="J1" s="167"/>
      <c r="K1" s="167"/>
      <c r="L1" s="167"/>
      <c r="M1" s="166" t="s">
        <v>304</v>
      </c>
    </row>
    <row r="2" spans="1:13" ht="17.25" customHeight="1">
      <c r="A2" s="423" t="s">
        <v>305</v>
      </c>
      <c r="B2" s="425" t="s">
        <v>306</v>
      </c>
      <c r="C2" s="426"/>
      <c r="D2" s="427"/>
      <c r="E2" s="425" t="s">
        <v>307</v>
      </c>
      <c r="F2" s="426"/>
      <c r="G2" s="427"/>
      <c r="H2" s="403" t="s">
        <v>544</v>
      </c>
      <c r="I2" s="403" t="s">
        <v>545</v>
      </c>
      <c r="J2" s="428" t="s">
        <v>546</v>
      </c>
      <c r="K2" s="414" t="s">
        <v>1</v>
      </c>
      <c r="L2" s="415"/>
      <c r="M2" s="416"/>
    </row>
    <row r="3" spans="1:13" ht="17.25" thickBot="1">
      <c r="A3" s="424"/>
      <c r="B3" s="113" t="s">
        <v>494</v>
      </c>
      <c r="C3" s="113" t="s">
        <v>308</v>
      </c>
      <c r="D3" s="113" t="s">
        <v>309</v>
      </c>
      <c r="E3" s="113" t="s">
        <v>310</v>
      </c>
      <c r="F3" s="113" t="s">
        <v>311</v>
      </c>
      <c r="G3" s="113" t="s">
        <v>312</v>
      </c>
      <c r="H3" s="404"/>
      <c r="I3" s="404"/>
      <c r="J3" s="429"/>
      <c r="K3" s="417"/>
      <c r="L3" s="418"/>
      <c r="M3" s="419"/>
    </row>
    <row r="4" spans="1:13" ht="17.25" thickBot="1">
      <c r="A4" s="420" t="s">
        <v>313</v>
      </c>
      <c r="B4" s="421"/>
      <c r="C4" s="421"/>
      <c r="D4" s="421"/>
      <c r="E4" s="421"/>
      <c r="F4" s="421"/>
      <c r="G4" s="422"/>
      <c r="H4" s="169">
        <f>H5</f>
        <v>360632</v>
      </c>
      <c r="I4" s="169">
        <v>358632</v>
      </c>
      <c r="J4" s="114">
        <f>H4-I4</f>
        <v>2000</v>
      </c>
      <c r="K4" s="87"/>
      <c r="L4" s="88"/>
      <c r="M4" s="115"/>
    </row>
    <row r="5" spans="1:13">
      <c r="A5" s="190" t="s">
        <v>314</v>
      </c>
      <c r="B5" s="116"/>
      <c r="C5" s="117"/>
      <c r="D5" s="117"/>
      <c r="E5" s="117"/>
      <c r="F5" s="117"/>
      <c r="G5" s="118"/>
      <c r="H5" s="92">
        <f>H6</f>
        <v>360632</v>
      </c>
      <c r="I5" s="92">
        <v>358632</v>
      </c>
      <c r="J5" s="93">
        <f>H5-I5</f>
        <v>2000</v>
      </c>
      <c r="K5" s="78"/>
      <c r="L5" s="79"/>
      <c r="M5" s="80"/>
    </row>
    <row r="6" spans="1:13">
      <c r="A6" s="10"/>
      <c r="B6" s="123" t="s">
        <v>219</v>
      </c>
      <c r="C6" s="123"/>
      <c r="D6" s="124"/>
      <c r="E6" s="124"/>
      <c r="F6" s="124"/>
      <c r="G6" s="125"/>
      <c r="H6" s="92">
        <f>SUM(H7,H21)</f>
        <v>360632</v>
      </c>
      <c r="I6" s="92">
        <v>358632</v>
      </c>
      <c r="J6" s="93">
        <f>H6-I6</f>
        <v>2000</v>
      </c>
      <c r="K6" s="78"/>
      <c r="L6" s="79"/>
      <c r="M6" s="80"/>
    </row>
    <row r="7" spans="1:13">
      <c r="A7" s="10"/>
      <c r="B7" s="6"/>
      <c r="C7" s="164" t="s">
        <v>315</v>
      </c>
      <c r="D7" s="124"/>
      <c r="E7" s="124"/>
      <c r="F7" s="124"/>
      <c r="G7" s="125"/>
      <c r="H7" s="92">
        <f>SUM(H8)</f>
        <v>308500</v>
      </c>
      <c r="I7" s="92">
        <v>306500</v>
      </c>
      <c r="J7" s="93">
        <f t="shared" ref="J7:J11" si="0">H7-I7</f>
        <v>2000</v>
      </c>
      <c r="K7" s="78"/>
      <c r="L7" s="79"/>
      <c r="M7" s="80"/>
    </row>
    <row r="8" spans="1:13">
      <c r="A8" s="10"/>
      <c r="B8" s="6"/>
      <c r="C8" s="7"/>
      <c r="D8" s="123" t="s">
        <v>316</v>
      </c>
      <c r="E8" s="124"/>
      <c r="F8" s="124"/>
      <c r="G8" s="125"/>
      <c r="H8" s="126">
        <f>SUM(H9)</f>
        <v>308500</v>
      </c>
      <c r="I8" s="126">
        <v>306500</v>
      </c>
      <c r="J8" s="93">
        <f t="shared" si="0"/>
        <v>2000</v>
      </c>
      <c r="K8" s="81"/>
      <c r="L8" s="127"/>
      <c r="M8" s="80"/>
    </row>
    <row r="9" spans="1:13">
      <c r="A9" s="10"/>
      <c r="B9" s="6"/>
      <c r="C9" s="128"/>
      <c r="D9" s="129"/>
      <c r="E9" s="123" t="s">
        <v>317</v>
      </c>
      <c r="F9" s="124"/>
      <c r="G9" s="125"/>
      <c r="H9" s="89">
        <f>H10</f>
        <v>308500</v>
      </c>
      <c r="I9" s="89">
        <v>306500</v>
      </c>
      <c r="J9" s="93">
        <f t="shared" si="0"/>
        <v>2000</v>
      </c>
      <c r="K9" s="84"/>
      <c r="L9" s="91"/>
      <c r="M9" s="82"/>
    </row>
    <row r="10" spans="1:13">
      <c r="A10" s="62"/>
      <c r="B10" s="64"/>
      <c r="C10" s="170"/>
      <c r="D10" s="171"/>
      <c r="E10" s="172"/>
      <c r="F10" s="130" t="s">
        <v>58</v>
      </c>
      <c r="G10" s="173"/>
      <c r="H10" s="71">
        <f>SUM(M11,M14,M17,M19)</f>
        <v>308500</v>
      </c>
      <c r="I10" s="71">
        <v>306500</v>
      </c>
      <c r="J10" s="71">
        <f t="shared" si="0"/>
        <v>2000</v>
      </c>
      <c r="K10" s="50"/>
      <c r="L10" s="51"/>
      <c r="M10" s="37"/>
    </row>
    <row r="11" spans="1:13">
      <c r="A11" s="62"/>
      <c r="B11" s="64"/>
      <c r="C11" s="64"/>
      <c r="D11" s="139"/>
      <c r="E11" s="174"/>
      <c r="F11" s="174"/>
      <c r="G11" s="132" t="s">
        <v>318</v>
      </c>
      <c r="H11" s="72">
        <f>M11+M14</f>
        <v>8000</v>
      </c>
      <c r="I11" s="72">
        <v>6000</v>
      </c>
      <c r="J11" s="72">
        <f t="shared" si="0"/>
        <v>2000</v>
      </c>
      <c r="K11" s="33" t="s">
        <v>72</v>
      </c>
      <c r="L11" s="41"/>
      <c r="M11" s="338">
        <f>SUM(M12:M13)</f>
        <v>2000</v>
      </c>
    </row>
    <row r="12" spans="1:13">
      <c r="A12" s="62"/>
      <c r="B12" s="64"/>
      <c r="C12" s="64"/>
      <c r="D12" s="139"/>
      <c r="E12" s="174"/>
      <c r="F12" s="174"/>
      <c r="G12" s="67"/>
      <c r="H12" s="73"/>
      <c r="I12" s="73"/>
      <c r="J12" s="73"/>
      <c r="K12" s="203" t="s">
        <v>555</v>
      </c>
      <c r="L12" s="42"/>
      <c r="M12" s="339"/>
    </row>
    <row r="13" spans="1:13">
      <c r="A13" s="62"/>
      <c r="B13" s="64"/>
      <c r="C13" s="64"/>
      <c r="D13" s="139"/>
      <c r="E13" s="174"/>
      <c r="F13" s="174"/>
      <c r="G13" s="67"/>
      <c r="H13" s="73"/>
      <c r="I13" s="73"/>
      <c r="J13" s="73"/>
      <c r="K13" s="361" t="s">
        <v>559</v>
      </c>
      <c r="L13" s="385" t="s">
        <v>165</v>
      </c>
      <c r="M13" s="386">
        <v>2000</v>
      </c>
    </row>
    <row r="14" spans="1:13">
      <c r="A14" s="62"/>
      <c r="B14" s="64"/>
      <c r="C14" s="64"/>
      <c r="D14" s="139"/>
      <c r="E14" s="174"/>
      <c r="F14" s="174"/>
      <c r="G14" s="67"/>
      <c r="H14" s="73"/>
      <c r="I14" s="73"/>
      <c r="J14" s="73"/>
      <c r="K14" s="203" t="s">
        <v>60</v>
      </c>
      <c r="L14" s="42"/>
      <c r="M14" s="338">
        <f>SUM(M15:M16)</f>
        <v>6000</v>
      </c>
    </row>
    <row r="15" spans="1:13">
      <c r="A15" s="62"/>
      <c r="B15" s="64"/>
      <c r="C15" s="64"/>
      <c r="D15" s="139"/>
      <c r="E15" s="174"/>
      <c r="F15" s="174"/>
      <c r="G15" s="67"/>
      <c r="H15" s="73"/>
      <c r="I15" s="73"/>
      <c r="J15" s="73"/>
      <c r="K15" s="204" t="s">
        <v>319</v>
      </c>
      <c r="L15" s="42" t="s">
        <v>165</v>
      </c>
      <c r="M15" s="339">
        <v>5000</v>
      </c>
    </row>
    <row r="16" spans="1:13">
      <c r="A16" s="62"/>
      <c r="B16" s="64"/>
      <c r="C16" s="64"/>
      <c r="D16" s="139"/>
      <c r="E16" s="174"/>
      <c r="F16" s="174"/>
      <c r="G16" s="66"/>
      <c r="H16" s="70"/>
      <c r="I16" s="70"/>
      <c r="J16" s="70"/>
      <c r="K16" s="206" t="s">
        <v>320</v>
      </c>
      <c r="L16" s="136" t="s">
        <v>165</v>
      </c>
      <c r="M16" s="226">
        <v>1000</v>
      </c>
    </row>
    <row r="17" spans="1:13">
      <c r="A17" s="62"/>
      <c r="B17" s="64"/>
      <c r="C17" s="64"/>
      <c r="D17" s="64"/>
      <c r="E17" s="64"/>
      <c r="F17" s="137"/>
      <c r="G17" s="64" t="s">
        <v>61</v>
      </c>
      <c r="H17" s="75">
        <f>M17</f>
        <v>300000</v>
      </c>
      <c r="I17" s="75">
        <v>300000</v>
      </c>
      <c r="J17" s="45">
        <f>H17-I17</f>
        <v>0</v>
      </c>
      <c r="K17" s="203" t="s">
        <v>405</v>
      </c>
      <c r="L17" s="49"/>
      <c r="M17" s="178">
        <v>300000</v>
      </c>
    </row>
    <row r="18" spans="1:13">
      <c r="A18" s="62"/>
      <c r="B18" s="64"/>
      <c r="C18" s="64"/>
      <c r="D18" s="64"/>
      <c r="E18" s="64"/>
      <c r="F18" s="137"/>
      <c r="G18" s="66"/>
      <c r="H18" s="76"/>
      <c r="I18" s="76"/>
      <c r="J18" s="46"/>
      <c r="K18" s="206" t="s">
        <v>322</v>
      </c>
      <c r="L18" s="189" t="s">
        <v>0</v>
      </c>
      <c r="M18" s="181">
        <v>300000</v>
      </c>
    </row>
    <row r="19" spans="1:13">
      <c r="A19" s="62"/>
      <c r="B19" s="64"/>
      <c r="C19" s="64"/>
      <c r="D19" s="64"/>
      <c r="E19" s="64"/>
      <c r="F19" s="137"/>
      <c r="G19" s="64" t="s">
        <v>323</v>
      </c>
      <c r="H19" s="75">
        <f>M19</f>
        <v>500</v>
      </c>
      <c r="I19" s="75">
        <v>500</v>
      </c>
      <c r="J19" s="45">
        <f>H19-I19</f>
        <v>0</v>
      </c>
      <c r="K19" s="203" t="s">
        <v>324</v>
      </c>
      <c r="L19" s="36"/>
      <c r="M19" s="178">
        <f>M20</f>
        <v>500</v>
      </c>
    </row>
    <row r="20" spans="1:13">
      <c r="A20" s="62"/>
      <c r="B20" s="64"/>
      <c r="C20" s="64"/>
      <c r="D20" s="64"/>
      <c r="E20" s="64"/>
      <c r="F20" s="137"/>
      <c r="G20" s="66"/>
      <c r="H20" s="76"/>
      <c r="I20" s="76"/>
      <c r="J20" s="46"/>
      <c r="K20" s="206" t="s">
        <v>325</v>
      </c>
      <c r="L20" s="189" t="s">
        <v>0</v>
      </c>
      <c r="M20" s="175">
        <v>500</v>
      </c>
    </row>
    <row r="21" spans="1:13">
      <c r="A21" s="10"/>
      <c r="B21" s="6"/>
      <c r="C21" s="164" t="s">
        <v>326</v>
      </c>
      <c r="D21" s="124"/>
      <c r="E21" s="124"/>
      <c r="F21" s="124"/>
      <c r="G21" s="125"/>
      <c r="H21" s="89">
        <f>H22</f>
        <v>52132</v>
      </c>
      <c r="I21" s="89">
        <v>52132</v>
      </c>
      <c r="J21" s="90">
        <f t="shared" ref="J21:J25" si="1">H21-I21</f>
        <v>0</v>
      </c>
      <c r="K21" s="153"/>
      <c r="L21" s="143"/>
      <c r="M21" s="144"/>
    </row>
    <row r="22" spans="1:13">
      <c r="A22" s="10"/>
      <c r="B22" s="6"/>
      <c r="C22" s="141"/>
      <c r="D22" s="123" t="s">
        <v>327</v>
      </c>
      <c r="E22" s="124"/>
      <c r="F22" s="124"/>
      <c r="G22" s="125"/>
      <c r="H22" s="126">
        <f>H23</f>
        <v>52132</v>
      </c>
      <c r="I22" s="126">
        <v>52132</v>
      </c>
      <c r="J22" s="9">
        <f t="shared" si="1"/>
        <v>0</v>
      </c>
      <c r="K22" s="142"/>
      <c r="L22" s="143"/>
      <c r="M22" s="144"/>
    </row>
    <row r="23" spans="1:13" s="131" customFormat="1" ht="18" customHeight="1">
      <c r="A23" s="10"/>
      <c r="B23" s="6"/>
      <c r="C23" s="128"/>
      <c r="D23" s="129"/>
      <c r="E23" s="123" t="s">
        <v>317</v>
      </c>
      <c r="F23" s="124"/>
      <c r="G23" s="125"/>
      <c r="H23" s="89">
        <f>SUM(H24,H31,H35,H41)</f>
        <v>52132</v>
      </c>
      <c r="I23" s="89">
        <v>52132</v>
      </c>
      <c r="J23" s="90">
        <f t="shared" si="1"/>
        <v>0</v>
      </c>
      <c r="K23" s="84"/>
      <c r="L23" s="91"/>
      <c r="M23" s="82"/>
    </row>
    <row r="24" spans="1:13" s="131" customFormat="1" ht="18" customHeight="1">
      <c r="A24" s="62"/>
      <c r="B24" s="64"/>
      <c r="C24" s="64"/>
      <c r="D24" s="64"/>
      <c r="E24" s="64"/>
      <c r="F24" s="130" t="s">
        <v>328</v>
      </c>
      <c r="G24" s="134"/>
      <c r="H24" s="71">
        <f>SUM(H25,H29)</f>
        <v>19912</v>
      </c>
      <c r="I24" s="71">
        <v>19912</v>
      </c>
      <c r="J24" s="96">
        <f t="shared" si="1"/>
        <v>0</v>
      </c>
      <c r="K24" s="138"/>
      <c r="L24" s="35"/>
      <c r="M24" s="34"/>
    </row>
    <row r="25" spans="1:13">
      <c r="A25" s="53"/>
      <c r="B25" s="55"/>
      <c r="C25" s="64"/>
      <c r="D25" s="64"/>
      <c r="E25" s="64"/>
      <c r="F25" s="176"/>
      <c r="G25" s="193" t="s">
        <v>318</v>
      </c>
      <c r="H25" s="194">
        <f>M25</f>
        <v>13000</v>
      </c>
      <c r="I25" s="72">
        <v>13000</v>
      </c>
      <c r="J25" s="38">
        <f t="shared" si="1"/>
        <v>0</v>
      </c>
      <c r="K25" s="33" t="s">
        <v>72</v>
      </c>
      <c r="L25" s="196"/>
      <c r="M25" s="209">
        <f>SUM(M26:M28)</f>
        <v>13000</v>
      </c>
    </row>
    <row r="26" spans="1:13">
      <c r="A26" s="53"/>
      <c r="B26" s="55"/>
      <c r="C26" s="64"/>
      <c r="D26" s="64"/>
      <c r="E26" s="64"/>
      <c r="F26" s="214"/>
      <c r="G26" s="54"/>
      <c r="H26" s="98"/>
      <c r="I26" s="98"/>
      <c r="J26" s="47"/>
      <c r="K26" s="204" t="s">
        <v>421</v>
      </c>
      <c r="L26" s="187" t="s">
        <v>0</v>
      </c>
      <c r="M26" s="175">
        <v>5000</v>
      </c>
    </row>
    <row r="27" spans="1:13">
      <c r="A27" s="53"/>
      <c r="B27" s="55"/>
      <c r="C27" s="64"/>
      <c r="D27" s="64"/>
      <c r="E27" s="64"/>
      <c r="F27" s="214"/>
      <c r="G27" s="54"/>
      <c r="H27" s="98"/>
      <c r="I27" s="98"/>
      <c r="J27" s="47"/>
      <c r="K27" s="204" t="s">
        <v>329</v>
      </c>
      <c r="L27" s="187" t="s">
        <v>0</v>
      </c>
      <c r="M27" s="175">
        <v>3000</v>
      </c>
    </row>
    <row r="28" spans="1:13">
      <c r="A28" s="53"/>
      <c r="B28" s="55"/>
      <c r="C28" s="64"/>
      <c r="D28" s="64"/>
      <c r="E28" s="64"/>
      <c r="F28" s="214"/>
      <c r="G28" s="191"/>
      <c r="H28" s="101"/>
      <c r="I28" s="101"/>
      <c r="J28" s="140"/>
      <c r="K28" s="206" t="s">
        <v>330</v>
      </c>
      <c r="L28" s="189" t="s">
        <v>0</v>
      </c>
      <c r="M28" s="181">
        <v>5000</v>
      </c>
    </row>
    <row r="29" spans="1:13">
      <c r="A29" s="62"/>
      <c r="B29" s="64"/>
      <c r="C29" s="64"/>
      <c r="D29" s="64"/>
      <c r="E29" s="64"/>
      <c r="F29" s="103"/>
      <c r="G29" s="330" t="s">
        <v>331</v>
      </c>
      <c r="H29" s="104">
        <f>M30</f>
        <v>6912</v>
      </c>
      <c r="I29" s="215">
        <v>6912</v>
      </c>
      <c r="J29" s="105">
        <f>H29-I29</f>
        <v>0</v>
      </c>
      <c r="K29" s="233" t="s">
        <v>332</v>
      </c>
      <c r="L29" s="187"/>
      <c r="M29" s="178">
        <f>M30</f>
        <v>6912</v>
      </c>
    </row>
    <row r="30" spans="1:13">
      <c r="A30" s="62"/>
      <c r="B30" s="64"/>
      <c r="C30" s="64"/>
      <c r="D30" s="64"/>
      <c r="E30" s="64"/>
      <c r="F30" s="217"/>
      <c r="G30" s="182"/>
      <c r="H30" s="104"/>
      <c r="I30" s="215"/>
      <c r="J30" s="105"/>
      <c r="K30" s="206" t="s">
        <v>371</v>
      </c>
      <c r="L30" s="189" t="s">
        <v>0</v>
      </c>
      <c r="M30" s="175">
        <v>6912</v>
      </c>
    </row>
    <row r="31" spans="1:13">
      <c r="A31" s="62"/>
      <c r="B31" s="64"/>
      <c r="C31" s="64"/>
      <c r="D31" s="64"/>
      <c r="E31" s="64"/>
      <c r="F31" s="430" t="s">
        <v>51</v>
      </c>
      <c r="G31" s="431"/>
      <c r="H31" s="146">
        <f>H32</f>
        <v>14400</v>
      </c>
      <c r="I31" s="146">
        <v>14400</v>
      </c>
      <c r="J31" s="147">
        <f>H31-I31</f>
        <v>0</v>
      </c>
      <c r="K31" s="148"/>
      <c r="L31" s="56"/>
      <c r="M31" s="57"/>
    </row>
    <row r="32" spans="1:13">
      <c r="A32" s="62"/>
      <c r="B32" s="64"/>
      <c r="C32" s="64"/>
      <c r="D32" s="64"/>
      <c r="E32" s="64"/>
      <c r="F32" s="107"/>
      <c r="G32" s="184" t="s">
        <v>333</v>
      </c>
      <c r="H32" s="197">
        <f>M32</f>
        <v>14400</v>
      </c>
      <c r="I32" s="72">
        <v>14400</v>
      </c>
      <c r="J32" s="186">
        <f>H32-I32</f>
        <v>0</v>
      </c>
      <c r="K32" s="33" t="s">
        <v>334</v>
      </c>
      <c r="L32" s="199"/>
      <c r="M32" s="209">
        <f>SUM(M33:M34)</f>
        <v>14400</v>
      </c>
    </row>
    <row r="33" spans="1:13">
      <c r="A33" s="62"/>
      <c r="B33" s="64"/>
      <c r="C33" s="64"/>
      <c r="D33" s="64"/>
      <c r="E33" s="64"/>
      <c r="F33" s="103"/>
      <c r="G33" s="179"/>
      <c r="H33" s="104"/>
      <c r="I33" s="98"/>
      <c r="J33" s="105"/>
      <c r="K33" s="204" t="s">
        <v>424</v>
      </c>
      <c r="L33" s="94" t="s">
        <v>0</v>
      </c>
      <c r="M33" s="175">
        <v>3840</v>
      </c>
    </row>
    <row r="34" spans="1:13">
      <c r="A34" s="62"/>
      <c r="B34" s="64"/>
      <c r="C34" s="64"/>
      <c r="D34" s="64"/>
      <c r="E34" s="64"/>
      <c r="F34" s="179"/>
      <c r="G34" s="179"/>
      <c r="H34" s="98"/>
      <c r="I34" s="102"/>
      <c r="J34" s="100"/>
      <c r="K34" s="204" t="s">
        <v>406</v>
      </c>
      <c r="L34" s="94" t="s">
        <v>0</v>
      </c>
      <c r="M34" s="175">
        <v>10560</v>
      </c>
    </row>
    <row r="35" spans="1:13">
      <c r="A35" s="62"/>
      <c r="B35" s="64"/>
      <c r="C35" s="64"/>
      <c r="D35" s="64"/>
      <c r="E35" s="64"/>
      <c r="F35" s="130" t="s">
        <v>335</v>
      </c>
      <c r="G35" s="134"/>
      <c r="H35" s="71">
        <f>H36</f>
        <v>13400</v>
      </c>
      <c r="I35" s="71">
        <v>13400</v>
      </c>
      <c r="J35" s="96">
        <f>H35-I35</f>
        <v>0</v>
      </c>
      <c r="K35" s="138"/>
      <c r="L35" s="35"/>
      <c r="M35" s="229"/>
    </row>
    <row r="36" spans="1:13">
      <c r="A36" s="62"/>
      <c r="B36" s="64"/>
      <c r="C36" s="64"/>
      <c r="D36" s="64"/>
      <c r="E36" s="64"/>
      <c r="F36" s="137"/>
      <c r="G36" s="64" t="s">
        <v>336</v>
      </c>
      <c r="H36" s="75">
        <f>SUM(M36,M38)</f>
        <v>13400</v>
      </c>
      <c r="I36" s="75">
        <v>13400</v>
      </c>
      <c r="J36" s="45">
        <f>H36-I36</f>
        <v>0</v>
      </c>
      <c r="K36" s="33" t="s">
        <v>337</v>
      </c>
      <c r="L36" s="36"/>
      <c r="M36" s="209">
        <f>SUM(M37:M37)</f>
        <v>6600</v>
      </c>
    </row>
    <row r="37" spans="1:13">
      <c r="A37" s="62"/>
      <c r="B37" s="64"/>
      <c r="C37" s="64"/>
      <c r="D37" s="64"/>
      <c r="E37" s="64"/>
      <c r="F37" s="103"/>
      <c r="G37" s="182"/>
      <c r="H37" s="104"/>
      <c r="I37" s="215"/>
      <c r="J37" s="105"/>
      <c r="K37" s="204" t="s">
        <v>338</v>
      </c>
      <c r="L37" s="187" t="s">
        <v>0</v>
      </c>
      <c r="M37" s="175">
        <v>6600</v>
      </c>
    </row>
    <row r="38" spans="1:13">
      <c r="A38" s="62"/>
      <c r="B38" s="64"/>
      <c r="C38" s="64"/>
      <c r="D38" s="64"/>
      <c r="E38" s="64"/>
      <c r="F38" s="103"/>
      <c r="G38" s="182"/>
      <c r="H38" s="104"/>
      <c r="I38" s="215"/>
      <c r="J38" s="105"/>
      <c r="K38" s="203" t="s">
        <v>83</v>
      </c>
      <c r="L38" s="208"/>
      <c r="M38" s="178">
        <f>SUM(M39:M40)</f>
        <v>6800</v>
      </c>
    </row>
    <row r="39" spans="1:13">
      <c r="A39" s="62"/>
      <c r="B39" s="64"/>
      <c r="C39" s="64"/>
      <c r="D39" s="64"/>
      <c r="E39" s="64"/>
      <c r="F39" s="103"/>
      <c r="G39" s="182"/>
      <c r="H39" s="104"/>
      <c r="I39" s="215"/>
      <c r="J39" s="105"/>
      <c r="K39" s="204" t="s">
        <v>382</v>
      </c>
      <c r="L39" s="187" t="s">
        <v>0</v>
      </c>
      <c r="M39" s="175">
        <v>4800</v>
      </c>
    </row>
    <row r="40" spans="1:13">
      <c r="A40" s="62"/>
      <c r="B40" s="64"/>
      <c r="C40" s="170"/>
      <c r="D40" s="171"/>
      <c r="E40" s="210"/>
      <c r="F40" s="139"/>
      <c r="G40" s="213"/>
      <c r="H40" s="73"/>
      <c r="I40" s="73"/>
      <c r="J40" s="73"/>
      <c r="K40" s="204" t="s">
        <v>514</v>
      </c>
      <c r="L40" s="42" t="s">
        <v>0</v>
      </c>
      <c r="M40" s="175">
        <v>2000</v>
      </c>
    </row>
    <row r="41" spans="1:13">
      <c r="A41" s="62"/>
      <c r="B41" s="64"/>
      <c r="C41" s="64"/>
      <c r="D41" s="64"/>
      <c r="E41" s="64"/>
      <c r="F41" s="130" t="s">
        <v>339</v>
      </c>
      <c r="G41" s="134"/>
      <c r="H41" s="71">
        <f>SUM(M42,M44)</f>
        <v>4420</v>
      </c>
      <c r="I41" s="71">
        <v>4420</v>
      </c>
      <c r="J41" s="96">
        <f>H41-I41</f>
        <v>0</v>
      </c>
      <c r="K41" s="138"/>
      <c r="L41" s="35"/>
      <c r="M41" s="229"/>
    </row>
    <row r="42" spans="1:13">
      <c r="A42" s="62"/>
      <c r="B42" s="64"/>
      <c r="C42" s="64"/>
      <c r="D42" s="64"/>
      <c r="E42" s="64"/>
      <c r="F42" s="137"/>
      <c r="G42" s="64" t="s">
        <v>90</v>
      </c>
      <c r="H42" s="75">
        <f>M42</f>
        <v>2320</v>
      </c>
      <c r="I42" s="75">
        <v>2320</v>
      </c>
      <c r="J42" s="45">
        <f>H42-I42</f>
        <v>0</v>
      </c>
      <c r="K42" s="33" t="s">
        <v>340</v>
      </c>
      <c r="L42" s="36"/>
      <c r="M42" s="209">
        <f>M43</f>
        <v>2320</v>
      </c>
    </row>
    <row r="43" spans="1:13">
      <c r="A43" s="62"/>
      <c r="B43" s="64"/>
      <c r="C43" s="64"/>
      <c r="D43" s="64"/>
      <c r="E43" s="64"/>
      <c r="F43" s="103"/>
      <c r="G43" s="180"/>
      <c r="H43" s="106"/>
      <c r="I43" s="218"/>
      <c r="J43" s="150"/>
      <c r="K43" s="206" t="s">
        <v>372</v>
      </c>
      <c r="L43" s="189" t="s">
        <v>0</v>
      </c>
      <c r="M43" s="181">
        <v>2320</v>
      </c>
    </row>
    <row r="44" spans="1:13">
      <c r="A44" s="62"/>
      <c r="B44" s="64"/>
      <c r="C44" s="64"/>
      <c r="D44" s="64"/>
      <c r="E44" s="64"/>
      <c r="F44" s="103"/>
      <c r="G44" s="330" t="s">
        <v>341</v>
      </c>
      <c r="H44" s="104">
        <f>M44</f>
        <v>2100</v>
      </c>
      <c r="I44" s="72">
        <v>2100</v>
      </c>
      <c r="J44" s="105">
        <f>H44-I44</f>
        <v>0</v>
      </c>
      <c r="K44" s="203" t="s">
        <v>94</v>
      </c>
      <c r="L44" s="208"/>
      <c r="M44" s="178">
        <f>M45</f>
        <v>2100</v>
      </c>
    </row>
    <row r="45" spans="1:13" ht="17.25" thickBot="1">
      <c r="A45" s="288"/>
      <c r="B45" s="68"/>
      <c r="C45" s="68"/>
      <c r="D45" s="68"/>
      <c r="E45" s="68"/>
      <c r="F45" s="333"/>
      <c r="G45" s="337"/>
      <c r="H45" s="334"/>
      <c r="I45" s="335"/>
      <c r="J45" s="336"/>
      <c r="K45" s="224" t="s">
        <v>373</v>
      </c>
      <c r="L45" s="225" t="s">
        <v>0</v>
      </c>
      <c r="M45" s="235">
        <v>2100</v>
      </c>
    </row>
  </sheetData>
  <autoFilter ref="A3:M45">
    <filterColumn colId="10" showButton="0"/>
    <filterColumn colId="11" showButton="0"/>
  </autoFilter>
  <mergeCells count="9">
    <mergeCell ref="F31:G31"/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6:J9">
    <cfRule type="containsText" dxfId="743" priority="139" operator="containsText" text="허하나로">
      <formula>NOT(ISERROR(SEARCH("허하나로",H701)))</formula>
    </cfRule>
    <cfRule type="containsText" dxfId="742" priority="140" operator="containsText" text="한별">
      <formula>NOT(ISERROR(SEARCH("한별",H701)))</formula>
    </cfRule>
    <cfRule type="containsText" dxfId="741" priority="141" operator="containsText" text="정홍조">
      <formula>NOT(ISERROR(SEARCH("정홍조",H701)))</formula>
    </cfRule>
    <cfRule type="containsText" dxfId="740" priority="142" operator="containsText" text="김지윤">
      <formula>NOT(ISERROR(SEARCH("김지윤",H701)))</formula>
    </cfRule>
    <cfRule type="containsText" dxfId="739" priority="143" operator="containsText" text="전준영">
      <formula>NOT(ISERROR(SEARCH("전준영",H701)))</formula>
    </cfRule>
    <cfRule type="containsText" dxfId="738" priority="144" operator="containsText" text="차재성">
      <formula>NOT(ISERROR(SEARCH("차재성",H701)))</formula>
    </cfRule>
  </conditionalFormatting>
  <conditionalFormatting sqref="J5">
    <cfRule type="containsText" dxfId="737" priority="133" operator="containsText" text="허하나로">
      <formula>NOT(ISERROR(SEARCH("허하나로",H700)))</formula>
    </cfRule>
    <cfRule type="containsText" dxfId="736" priority="134" operator="containsText" text="한별">
      <formula>NOT(ISERROR(SEARCH("한별",H700)))</formula>
    </cfRule>
    <cfRule type="containsText" dxfId="735" priority="135" operator="containsText" text="정홍조">
      <formula>NOT(ISERROR(SEARCH("정홍조",H700)))</formula>
    </cfRule>
    <cfRule type="containsText" dxfId="734" priority="136" operator="containsText" text="김지윤">
      <formula>NOT(ISERROR(SEARCH("김지윤",H700)))</formula>
    </cfRule>
    <cfRule type="containsText" dxfId="733" priority="137" operator="containsText" text="전준영">
      <formula>NOT(ISERROR(SEARCH("전준영",H700)))</formula>
    </cfRule>
    <cfRule type="containsText" dxfId="732" priority="138" operator="containsText" text="차재성">
      <formula>NOT(ISERROR(SEARCH("차재성",H700)))</formula>
    </cfRule>
  </conditionalFormatting>
  <conditionalFormatting sqref="J21">
    <cfRule type="containsText" dxfId="731" priority="127" operator="containsText" text="허하나로">
      <formula>NOT(ISERROR(SEARCH("허하나로",H834)))</formula>
    </cfRule>
    <cfRule type="containsText" dxfId="730" priority="128" operator="containsText" text="한별">
      <formula>NOT(ISERROR(SEARCH("한별",H834)))</formula>
    </cfRule>
    <cfRule type="containsText" dxfId="729" priority="129" operator="containsText" text="정홍조">
      <formula>NOT(ISERROR(SEARCH("정홍조",H834)))</formula>
    </cfRule>
    <cfRule type="containsText" dxfId="728" priority="130" operator="containsText" text="김지윤">
      <formula>NOT(ISERROR(SEARCH("김지윤",H834)))</formula>
    </cfRule>
    <cfRule type="containsText" dxfId="727" priority="131" operator="containsText" text="전준영">
      <formula>NOT(ISERROR(SEARCH("전준영",H834)))</formula>
    </cfRule>
    <cfRule type="containsText" dxfId="726" priority="132" operator="containsText" text="차재성">
      <formula>NOT(ISERROR(SEARCH("차재성",H834)))</formula>
    </cfRule>
  </conditionalFormatting>
  <conditionalFormatting sqref="J23">
    <cfRule type="containsText" dxfId="725" priority="151" operator="containsText" text="허하나로">
      <formula>NOT(ISERROR(SEARCH("허하나로",H1031)))</formula>
    </cfRule>
    <cfRule type="containsText" dxfId="724" priority="152" operator="containsText" text="한별">
      <formula>NOT(ISERROR(SEARCH("한별",H1031)))</formula>
    </cfRule>
    <cfRule type="containsText" dxfId="723" priority="153" operator="containsText" text="정홍조">
      <formula>NOT(ISERROR(SEARCH("정홍조",H1031)))</formula>
    </cfRule>
    <cfRule type="containsText" dxfId="722" priority="154" operator="containsText" text="김지윤">
      <formula>NOT(ISERROR(SEARCH("김지윤",H1031)))</formula>
    </cfRule>
    <cfRule type="containsText" dxfId="721" priority="155" operator="containsText" text="전준영">
      <formula>NOT(ISERROR(SEARCH("전준영",H1031)))</formula>
    </cfRule>
    <cfRule type="containsText" dxfId="720" priority="156" operator="containsText" text="차재성">
      <formula>NOT(ISERROR(SEARCH("차재성",H1031)))</formula>
    </cfRule>
  </conditionalFormatting>
  <conditionalFormatting sqref="J34">
    <cfRule type="containsText" dxfId="719" priority="157" operator="containsText" text="허하나로">
      <formula>NOT(ISERROR(SEARCH("허하나로",H1046)))</formula>
    </cfRule>
    <cfRule type="containsText" dxfId="718" priority="158" operator="containsText" text="한별">
      <formula>NOT(ISERROR(SEARCH("한별",H1046)))</formula>
    </cfRule>
    <cfRule type="containsText" dxfId="717" priority="159" operator="containsText" text="정홍조">
      <formula>NOT(ISERROR(SEARCH("정홍조",H1046)))</formula>
    </cfRule>
    <cfRule type="containsText" dxfId="716" priority="160" operator="containsText" text="김지윤">
      <formula>NOT(ISERROR(SEARCH("김지윤",H1046)))</formula>
    </cfRule>
    <cfRule type="containsText" dxfId="715" priority="161" operator="containsText" text="전준영">
      <formula>NOT(ISERROR(SEARCH("전준영",H1046)))</formula>
    </cfRule>
    <cfRule type="containsText" dxfId="714" priority="162" operator="containsText" text="차재성">
      <formula>NOT(ISERROR(SEARCH("차재성",H1046)))</formula>
    </cfRule>
  </conditionalFormatting>
  <conditionalFormatting sqref="L32">
    <cfRule type="containsText" dxfId="713" priority="121" operator="containsText" text="허하나로">
      <formula>NOT(ISERROR(SEARCH("허하나로",J1179)))</formula>
    </cfRule>
    <cfRule type="containsText" dxfId="712" priority="122" operator="containsText" text="한별">
      <formula>NOT(ISERROR(SEARCH("한별",J1179)))</formula>
    </cfRule>
    <cfRule type="containsText" dxfId="711" priority="123" operator="containsText" text="정홍조">
      <formula>NOT(ISERROR(SEARCH("정홍조",J1179)))</formula>
    </cfRule>
    <cfRule type="containsText" dxfId="710" priority="124" operator="containsText" text="김지윤">
      <formula>NOT(ISERROR(SEARCH("김지윤",J1179)))</formula>
    </cfRule>
    <cfRule type="containsText" dxfId="709" priority="125" operator="containsText" text="전준영">
      <formula>NOT(ISERROR(SEARCH("전준영",J1179)))</formula>
    </cfRule>
    <cfRule type="containsText" dxfId="708" priority="126" operator="containsText" text="차재성">
      <formula>NOT(ISERROR(SEARCH("차재성",J1179)))</formula>
    </cfRule>
  </conditionalFormatting>
  <conditionalFormatting sqref="J24:J25">
    <cfRule type="containsText" dxfId="707" priority="115" operator="containsText" text="허하나로">
      <formula>NOT(ISERROR(SEARCH("허하나로",H1038)))</formula>
    </cfRule>
    <cfRule type="containsText" dxfId="706" priority="116" operator="containsText" text="한별">
      <formula>NOT(ISERROR(SEARCH("한별",H1038)))</formula>
    </cfRule>
    <cfRule type="containsText" dxfId="705" priority="117" operator="containsText" text="정홍조">
      <formula>NOT(ISERROR(SEARCH("정홍조",H1038)))</formula>
    </cfRule>
    <cfRule type="containsText" dxfId="704" priority="118" operator="containsText" text="김지윤">
      <formula>NOT(ISERROR(SEARCH("김지윤",H1038)))</formula>
    </cfRule>
    <cfRule type="containsText" dxfId="703" priority="119" operator="containsText" text="전준영">
      <formula>NOT(ISERROR(SEARCH("전준영",H1038)))</formula>
    </cfRule>
    <cfRule type="containsText" dxfId="702" priority="120" operator="containsText" text="차재성">
      <formula>NOT(ISERROR(SEARCH("차재성",H1038)))</formula>
    </cfRule>
  </conditionalFormatting>
  <conditionalFormatting sqref="J19">
    <cfRule type="containsText" dxfId="701" priority="103" operator="containsText" text="허하나로">
      <formula>NOT(ISERROR(SEARCH("허하나로",H1104)))</formula>
    </cfRule>
    <cfRule type="containsText" dxfId="700" priority="104" operator="containsText" text="한별">
      <formula>NOT(ISERROR(SEARCH("한별",H1104)))</formula>
    </cfRule>
    <cfRule type="containsText" dxfId="699" priority="105" operator="containsText" text="정홍조">
      <formula>NOT(ISERROR(SEARCH("정홍조",H1104)))</formula>
    </cfRule>
    <cfRule type="containsText" dxfId="698" priority="106" operator="containsText" text="김지윤">
      <formula>NOT(ISERROR(SEARCH("김지윤",H1104)))</formula>
    </cfRule>
    <cfRule type="containsText" dxfId="697" priority="107" operator="containsText" text="전준영">
      <formula>NOT(ISERROR(SEARCH("전준영",H1104)))</formula>
    </cfRule>
    <cfRule type="containsText" dxfId="696" priority="108" operator="containsText" text="차재성">
      <formula>NOT(ISERROR(SEARCH("차재성",H1104)))</formula>
    </cfRule>
  </conditionalFormatting>
  <conditionalFormatting sqref="J20">
    <cfRule type="containsText" dxfId="695" priority="109" operator="containsText" text="허하나로">
      <formula>NOT(ISERROR(SEARCH("허하나로",H1104)))</formula>
    </cfRule>
    <cfRule type="containsText" dxfId="694" priority="110" operator="containsText" text="한별">
      <formula>NOT(ISERROR(SEARCH("한별",H1104)))</formula>
    </cfRule>
    <cfRule type="containsText" dxfId="693" priority="111" operator="containsText" text="정홍조">
      <formula>NOT(ISERROR(SEARCH("정홍조",H1104)))</formula>
    </cfRule>
    <cfRule type="containsText" dxfId="692" priority="112" operator="containsText" text="김지윤">
      <formula>NOT(ISERROR(SEARCH("김지윤",H1104)))</formula>
    </cfRule>
    <cfRule type="containsText" dxfId="691" priority="113" operator="containsText" text="전준영">
      <formula>NOT(ISERROR(SEARCH("전준영",H1104)))</formula>
    </cfRule>
    <cfRule type="containsText" dxfId="690" priority="114" operator="containsText" text="차재성">
      <formula>NOT(ISERROR(SEARCH("차재성",H1104)))</formula>
    </cfRule>
  </conditionalFormatting>
  <conditionalFormatting sqref="J17">
    <cfRule type="containsText" dxfId="689" priority="91" operator="containsText" text="허하나로">
      <formula>NOT(ISERROR(SEARCH("허하나로",H1102)))</formula>
    </cfRule>
    <cfRule type="containsText" dxfId="688" priority="92" operator="containsText" text="한별">
      <formula>NOT(ISERROR(SEARCH("한별",H1102)))</formula>
    </cfRule>
    <cfRule type="containsText" dxfId="687" priority="93" operator="containsText" text="정홍조">
      <formula>NOT(ISERROR(SEARCH("정홍조",H1102)))</formula>
    </cfRule>
    <cfRule type="containsText" dxfId="686" priority="94" operator="containsText" text="김지윤">
      <formula>NOT(ISERROR(SEARCH("김지윤",H1102)))</formula>
    </cfRule>
    <cfRule type="containsText" dxfId="685" priority="95" operator="containsText" text="전준영">
      <formula>NOT(ISERROR(SEARCH("전준영",H1102)))</formula>
    </cfRule>
    <cfRule type="containsText" dxfId="684" priority="96" operator="containsText" text="차재성">
      <formula>NOT(ISERROR(SEARCH("차재성",H1102)))</formula>
    </cfRule>
  </conditionalFormatting>
  <conditionalFormatting sqref="J18">
    <cfRule type="containsText" dxfId="683" priority="97" operator="containsText" text="허하나로">
      <formula>NOT(ISERROR(SEARCH("허하나로",H1102)))</formula>
    </cfRule>
    <cfRule type="containsText" dxfId="682" priority="98" operator="containsText" text="한별">
      <formula>NOT(ISERROR(SEARCH("한별",H1102)))</formula>
    </cfRule>
    <cfRule type="containsText" dxfId="681" priority="99" operator="containsText" text="정홍조">
      <formula>NOT(ISERROR(SEARCH("정홍조",H1102)))</formula>
    </cfRule>
    <cfRule type="containsText" dxfId="680" priority="100" operator="containsText" text="김지윤">
      <formula>NOT(ISERROR(SEARCH("김지윤",H1102)))</formula>
    </cfRule>
    <cfRule type="containsText" dxfId="679" priority="101" operator="containsText" text="전준영">
      <formula>NOT(ISERROR(SEARCH("전준영",H1102)))</formula>
    </cfRule>
    <cfRule type="containsText" dxfId="678" priority="102" operator="containsText" text="차재성">
      <formula>NOT(ISERROR(SEARCH("차재성",H1102)))</formula>
    </cfRule>
  </conditionalFormatting>
  <conditionalFormatting sqref="J37">
    <cfRule type="containsText" dxfId="677" priority="73" operator="containsText" text="허하나로">
      <formula>NOT(ISERROR(SEARCH("허하나로",H1071)))</formula>
    </cfRule>
    <cfRule type="containsText" dxfId="676" priority="74" operator="containsText" text="한별">
      <formula>NOT(ISERROR(SEARCH("한별",H1071)))</formula>
    </cfRule>
    <cfRule type="containsText" dxfId="675" priority="75" operator="containsText" text="정홍조">
      <formula>NOT(ISERROR(SEARCH("정홍조",H1071)))</formula>
    </cfRule>
    <cfRule type="containsText" dxfId="674" priority="76" operator="containsText" text="김지윤">
      <formula>NOT(ISERROR(SEARCH("김지윤",H1071)))</formula>
    </cfRule>
    <cfRule type="containsText" dxfId="673" priority="77" operator="containsText" text="전준영">
      <formula>NOT(ISERROR(SEARCH("전준영",H1071)))</formula>
    </cfRule>
    <cfRule type="containsText" dxfId="672" priority="78" operator="containsText" text="차재성">
      <formula>NOT(ISERROR(SEARCH("차재성",H1071)))</formula>
    </cfRule>
  </conditionalFormatting>
  <conditionalFormatting sqref="J35">
    <cfRule type="containsText" dxfId="671" priority="67" operator="containsText" text="허하나로">
      <formula>NOT(ISERROR(SEARCH("허하나로",H1117)))</formula>
    </cfRule>
    <cfRule type="containsText" dxfId="670" priority="68" operator="containsText" text="한별">
      <formula>NOT(ISERROR(SEARCH("한별",H1117)))</formula>
    </cfRule>
    <cfRule type="containsText" dxfId="669" priority="69" operator="containsText" text="정홍조">
      <formula>NOT(ISERROR(SEARCH("정홍조",H1117)))</formula>
    </cfRule>
    <cfRule type="containsText" dxfId="668" priority="70" operator="containsText" text="김지윤">
      <formula>NOT(ISERROR(SEARCH("김지윤",H1117)))</formula>
    </cfRule>
    <cfRule type="containsText" dxfId="667" priority="71" operator="containsText" text="전준영">
      <formula>NOT(ISERROR(SEARCH("전준영",H1117)))</formula>
    </cfRule>
    <cfRule type="containsText" dxfId="666" priority="72" operator="containsText" text="차재성">
      <formula>NOT(ISERROR(SEARCH("차재성",H1117)))</formula>
    </cfRule>
  </conditionalFormatting>
  <conditionalFormatting sqref="J36">
    <cfRule type="containsText" dxfId="665" priority="61" operator="containsText" text="허하나로">
      <formula>NOT(ISERROR(SEARCH("허하나로",H1118)))</formula>
    </cfRule>
    <cfRule type="containsText" dxfId="664" priority="62" operator="containsText" text="한별">
      <formula>NOT(ISERROR(SEARCH("한별",H1118)))</formula>
    </cfRule>
    <cfRule type="containsText" dxfId="663" priority="63" operator="containsText" text="정홍조">
      <formula>NOT(ISERROR(SEARCH("정홍조",H1118)))</formula>
    </cfRule>
    <cfRule type="containsText" dxfId="662" priority="64" operator="containsText" text="김지윤">
      <formula>NOT(ISERROR(SEARCH("김지윤",H1118)))</formula>
    </cfRule>
    <cfRule type="containsText" dxfId="661" priority="65" operator="containsText" text="전준영">
      <formula>NOT(ISERROR(SEARCH("전준영",H1118)))</formula>
    </cfRule>
    <cfRule type="containsText" dxfId="660" priority="66" operator="containsText" text="차재성">
      <formula>NOT(ISERROR(SEARCH("차재성",H1118)))</formula>
    </cfRule>
  </conditionalFormatting>
  <conditionalFormatting sqref="J30">
    <cfRule type="containsText" dxfId="659" priority="49" operator="containsText" text="허하나로">
      <formula>NOT(ISERROR(SEARCH("허하나로",H1072)))</formula>
    </cfRule>
    <cfRule type="containsText" dxfId="658" priority="50" operator="containsText" text="한별">
      <formula>NOT(ISERROR(SEARCH("한별",H1072)))</formula>
    </cfRule>
    <cfRule type="containsText" dxfId="657" priority="51" operator="containsText" text="정홍조">
      <formula>NOT(ISERROR(SEARCH("정홍조",H1072)))</formula>
    </cfRule>
    <cfRule type="containsText" dxfId="656" priority="52" operator="containsText" text="김지윤">
      <formula>NOT(ISERROR(SEARCH("김지윤",H1072)))</formula>
    </cfRule>
    <cfRule type="containsText" dxfId="655" priority="53" operator="containsText" text="전준영">
      <formula>NOT(ISERROR(SEARCH("전준영",H1072)))</formula>
    </cfRule>
    <cfRule type="containsText" dxfId="654" priority="54" operator="containsText" text="차재성">
      <formula>NOT(ISERROR(SEARCH("차재성",H1072)))</formula>
    </cfRule>
  </conditionalFormatting>
  <conditionalFormatting sqref="J29">
    <cfRule type="containsText" dxfId="653" priority="55" operator="containsText" text="허하나로">
      <formula>NOT(ISERROR(SEARCH("허하나로",H1072)))</formula>
    </cfRule>
    <cfRule type="containsText" dxfId="652" priority="56" operator="containsText" text="한별">
      <formula>NOT(ISERROR(SEARCH("한별",H1072)))</formula>
    </cfRule>
    <cfRule type="containsText" dxfId="651" priority="57" operator="containsText" text="정홍조">
      <formula>NOT(ISERROR(SEARCH("정홍조",H1072)))</formula>
    </cfRule>
    <cfRule type="containsText" dxfId="650" priority="58" operator="containsText" text="김지윤">
      <formula>NOT(ISERROR(SEARCH("김지윤",H1072)))</formula>
    </cfRule>
    <cfRule type="containsText" dxfId="649" priority="59" operator="containsText" text="전준영">
      <formula>NOT(ISERROR(SEARCH("전준영",H1072)))</formula>
    </cfRule>
    <cfRule type="containsText" dxfId="648" priority="60" operator="containsText" text="차재성">
      <formula>NOT(ISERROR(SEARCH("차재성",H1072)))</formula>
    </cfRule>
  </conditionalFormatting>
  <conditionalFormatting sqref="J45">
    <cfRule type="containsText" dxfId="647" priority="37" operator="containsText" text="허하나로">
      <formula>NOT(ISERROR(SEARCH("허하나로",H1060)))</formula>
    </cfRule>
    <cfRule type="containsText" dxfId="646" priority="38" operator="containsText" text="한별">
      <formula>NOT(ISERROR(SEARCH("한별",H1060)))</formula>
    </cfRule>
    <cfRule type="containsText" dxfId="645" priority="39" operator="containsText" text="정홍조">
      <formula>NOT(ISERROR(SEARCH("정홍조",H1060)))</formula>
    </cfRule>
    <cfRule type="containsText" dxfId="644" priority="40" operator="containsText" text="김지윤">
      <formula>NOT(ISERROR(SEARCH("김지윤",H1060)))</formula>
    </cfRule>
    <cfRule type="containsText" dxfId="643" priority="41" operator="containsText" text="전준영">
      <formula>NOT(ISERROR(SEARCH("전준영",H1060)))</formula>
    </cfRule>
    <cfRule type="containsText" dxfId="642" priority="42" operator="containsText" text="차재성">
      <formula>NOT(ISERROR(SEARCH("차재성",H1060)))</formula>
    </cfRule>
  </conditionalFormatting>
  <conditionalFormatting sqref="J44">
    <cfRule type="containsText" dxfId="641" priority="43" operator="containsText" text="허하나로">
      <formula>NOT(ISERROR(SEARCH("허하나로",H1060)))</formula>
    </cfRule>
    <cfRule type="containsText" dxfId="640" priority="44" operator="containsText" text="한별">
      <formula>NOT(ISERROR(SEARCH("한별",H1060)))</formula>
    </cfRule>
    <cfRule type="containsText" dxfId="639" priority="45" operator="containsText" text="정홍조">
      <formula>NOT(ISERROR(SEARCH("정홍조",H1060)))</formula>
    </cfRule>
    <cfRule type="containsText" dxfId="638" priority="46" operator="containsText" text="김지윤">
      <formula>NOT(ISERROR(SEARCH("김지윤",H1060)))</formula>
    </cfRule>
    <cfRule type="containsText" dxfId="637" priority="47" operator="containsText" text="전준영">
      <formula>NOT(ISERROR(SEARCH("전준영",H1060)))</formula>
    </cfRule>
    <cfRule type="containsText" dxfId="636" priority="48" operator="containsText" text="차재성">
      <formula>NOT(ISERROR(SEARCH("차재성",H1060)))</formula>
    </cfRule>
  </conditionalFormatting>
  <conditionalFormatting sqref="J43">
    <cfRule type="containsText" dxfId="635" priority="31" operator="containsText" text="허하나로">
      <formula>NOT(ISERROR(SEARCH("허하나로",H1066)))</formula>
    </cfRule>
    <cfRule type="containsText" dxfId="634" priority="32" operator="containsText" text="한별">
      <formula>NOT(ISERROR(SEARCH("한별",H1066)))</formula>
    </cfRule>
    <cfRule type="containsText" dxfId="633" priority="33" operator="containsText" text="정홍조">
      <formula>NOT(ISERROR(SEARCH("정홍조",H1066)))</formula>
    </cfRule>
    <cfRule type="containsText" dxfId="632" priority="34" operator="containsText" text="김지윤">
      <formula>NOT(ISERROR(SEARCH("김지윤",H1066)))</formula>
    </cfRule>
    <cfRule type="containsText" dxfId="631" priority="35" operator="containsText" text="전준영">
      <formula>NOT(ISERROR(SEARCH("전준영",H1066)))</formula>
    </cfRule>
    <cfRule type="containsText" dxfId="630" priority="36" operator="containsText" text="차재성">
      <formula>NOT(ISERROR(SEARCH("차재성",H1066)))</formula>
    </cfRule>
  </conditionalFormatting>
  <conditionalFormatting sqref="J41">
    <cfRule type="containsText" dxfId="629" priority="25" operator="containsText" text="허하나로">
      <formula>NOT(ISERROR(SEARCH("허하나로",H1122)))</formula>
    </cfRule>
    <cfRule type="containsText" dxfId="628" priority="26" operator="containsText" text="한별">
      <formula>NOT(ISERROR(SEARCH("한별",H1122)))</formula>
    </cfRule>
    <cfRule type="containsText" dxfId="627" priority="27" operator="containsText" text="정홍조">
      <formula>NOT(ISERROR(SEARCH("정홍조",H1122)))</formula>
    </cfRule>
    <cfRule type="containsText" dxfId="626" priority="28" operator="containsText" text="김지윤">
      <formula>NOT(ISERROR(SEARCH("김지윤",H1122)))</formula>
    </cfRule>
    <cfRule type="containsText" dxfId="625" priority="29" operator="containsText" text="전준영">
      <formula>NOT(ISERROR(SEARCH("전준영",H1122)))</formula>
    </cfRule>
    <cfRule type="containsText" dxfId="624" priority="30" operator="containsText" text="차재성">
      <formula>NOT(ISERROR(SEARCH("차재성",H1122)))</formula>
    </cfRule>
  </conditionalFormatting>
  <conditionalFormatting sqref="J42">
    <cfRule type="containsText" dxfId="623" priority="19" operator="containsText" text="허하나로">
      <formula>NOT(ISERROR(SEARCH("허하나로",H1123)))</formula>
    </cfRule>
    <cfRule type="containsText" dxfId="622" priority="20" operator="containsText" text="한별">
      <formula>NOT(ISERROR(SEARCH("한별",H1123)))</formula>
    </cfRule>
    <cfRule type="containsText" dxfId="621" priority="21" operator="containsText" text="정홍조">
      <formula>NOT(ISERROR(SEARCH("정홍조",H1123)))</formula>
    </cfRule>
    <cfRule type="containsText" dxfId="620" priority="22" operator="containsText" text="김지윤">
      <formula>NOT(ISERROR(SEARCH("김지윤",H1123)))</formula>
    </cfRule>
    <cfRule type="containsText" dxfId="619" priority="23" operator="containsText" text="전준영">
      <formula>NOT(ISERROR(SEARCH("전준영",H1123)))</formula>
    </cfRule>
    <cfRule type="containsText" dxfId="618" priority="24" operator="containsText" text="차재성">
      <formula>NOT(ISERROR(SEARCH("차재성",H1123)))</formula>
    </cfRule>
  </conditionalFormatting>
  <conditionalFormatting sqref="J31:J33">
    <cfRule type="containsText" dxfId="617" priority="3541" operator="containsText" text="허하나로">
      <formula>NOT(ISERROR(SEARCH("허하나로",H1044)))</formula>
    </cfRule>
    <cfRule type="containsText" dxfId="616" priority="3542" operator="containsText" text="한별">
      <formula>NOT(ISERROR(SEARCH("한별",H1044)))</formula>
    </cfRule>
    <cfRule type="containsText" dxfId="615" priority="3543" operator="containsText" text="정홍조">
      <formula>NOT(ISERROR(SEARCH("정홍조",H1044)))</formula>
    </cfRule>
    <cfRule type="containsText" dxfId="614" priority="3544" operator="containsText" text="김지윤">
      <formula>NOT(ISERROR(SEARCH("김지윤",H1044)))</formula>
    </cfRule>
    <cfRule type="containsText" dxfId="613" priority="3545" operator="containsText" text="전준영">
      <formula>NOT(ISERROR(SEARCH("전준영",H1044)))</formula>
    </cfRule>
    <cfRule type="containsText" dxfId="612" priority="3546" operator="containsText" text="차재성">
      <formula>NOT(ISERROR(SEARCH("차재성",H1044)))</formula>
    </cfRule>
  </conditionalFormatting>
  <conditionalFormatting sqref="J2:J3">
    <cfRule type="containsText" dxfId="611" priority="1" operator="containsText" text="허하나로">
      <formula>NOT(ISERROR(SEARCH("허하나로",H765)))</formula>
    </cfRule>
    <cfRule type="containsText" dxfId="610" priority="2" operator="containsText" text="한별">
      <formula>NOT(ISERROR(SEARCH("한별",H765)))</formula>
    </cfRule>
    <cfRule type="containsText" dxfId="609" priority="3" operator="containsText" text="정홍조">
      <formula>NOT(ISERROR(SEARCH("정홍조",H765)))</formula>
    </cfRule>
    <cfRule type="containsText" dxfId="608" priority="4" operator="containsText" text="김지윤">
      <formula>NOT(ISERROR(SEARCH("김지윤",H765)))</formula>
    </cfRule>
    <cfRule type="containsText" dxfId="607" priority="5" operator="containsText" text="전준영">
      <formula>NOT(ISERROR(SEARCH("전준영",H765)))</formula>
    </cfRule>
    <cfRule type="containsText" dxfId="606" priority="6" operator="containsText" text="차재성">
      <formula>NOT(ISERROR(SEARCH("차재성",H765)))</formula>
    </cfRule>
  </conditionalFormatting>
  <pageMargins left="0.70866141732283472" right="0.70866141732283472" top="0.74803149606299213" bottom="0.74803149606299213" header="0.31496062992125984" footer="0.31496062992125984"/>
  <pageSetup paperSize="9" scale="69" fitToHeight="0" orientation="landscape" r:id="rId1"/>
  <rowBreaks count="1" manualBreakCount="1">
    <brk id="40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9" operator="containsText" text="허하나로" id="{C294F580-39A9-4097-98FA-8F17556D2A41}">
            <xm:f>NOT(ISERROR(SEARCH("허하나로",'\Users\섬 박람회 조직위원회\Desktop\[2025년 본예산1.xlsx]행정관리부'!#REF!)))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0" operator="containsText" text="한별" id="{E7D6554B-9C46-4666-A85D-C58AD45BA43E}">
            <xm:f>NOT(ISERROR(SEARCH("한별",'\Users\섬 박람회 조직위원회\Desktop\[2025년 본예산1.xlsx]행정관리부'!#REF!)))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1" operator="containsText" text="정홍조" id="{7C07EAAA-F9A7-4E58-83CC-2C49472B8520}">
            <xm:f>NOT(ISERROR(SEARCH("정홍조",'\Users\섬 박람회 조직위원회\Desktop\[2025년 본예산1.xlsx]행정관리부'!#REF!)))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2" operator="containsText" text="김지윤" id="{1AF6A9A8-B2DD-42B6-81DF-A708F725FAEE}">
            <xm:f>NOT(ISERROR(SEARCH("김지윤",'\Users\섬 박람회 조직위원회\Desktop\[2025년 본예산1.xlsx]행정관리부'!#REF!)))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3" operator="containsText" text="전준영" id="{2DC022A8-EE30-4726-8784-39BFC158A152}">
            <xm:f>NOT(ISERROR(SEARCH("전준영",'\Users\섬 박람회 조직위원회\Desktop\[2025년 본예산1.xlsx]행정관리부'!#REF!)))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84" operator="containsText" text="차재성" id="{F9BAE3D1-2C60-4D14-9EA3-DA93C37C3B12}">
            <xm:f>NOT(ISERROR(SEARCH("차재성",'\Users\섬 박람회 조직위원회\Desktop\[2025년 본예산1.xlsx]행정관리부'!#REF!)))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J28</xm:sqref>
        </x14:conditionalFormatting>
        <x14:conditionalFormatting xmlns:xm="http://schemas.microsoft.com/office/excel/2006/main">
          <x14:cfRule type="containsText" priority="85" operator="containsText" text="허하나로" id="{D420B4E7-1BEB-4CD1-A9C9-65CC61F04197}">
            <xm:f>NOT(ISERROR(SEARCH("허하나로",'\Users\섬 박람회 조직위원회\Desktop\[2025년 본예산1.xlsx]행정관리부'!#REF!)))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6" operator="containsText" text="한별" id="{90F099D4-7C37-4BDB-901B-04D78DC2D524}">
            <xm:f>NOT(ISERROR(SEARCH("한별",'\Users\섬 박람회 조직위원회\Desktop\[2025년 본예산1.xlsx]행정관리부'!#REF!)))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7" operator="containsText" text="정홍조" id="{21538F85-3204-4525-8782-CBF07A523A8D}">
            <xm:f>NOT(ISERROR(SEARCH("정홍조",'\Users\섬 박람회 조직위원회\Desktop\[2025년 본예산1.xlsx]행정관리부'!#REF!)))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8" operator="containsText" text="김지윤" id="{8529A7A3-9362-4706-81B8-C7F4319C3C58}">
            <xm:f>NOT(ISERROR(SEARCH("김지윤",'\Users\섬 박람회 조직위원회\Desktop\[2025년 본예산1.xlsx]행정관리부'!#REF!)))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9" operator="containsText" text="전준영" id="{800EB218-3CD1-4F18-A482-DB1E0FE67E65}">
            <xm:f>NOT(ISERROR(SEARCH("전준영",'\Users\섬 박람회 조직위원회\Desktop\[2025년 본예산1.xlsx]행정관리부'!#REF!)))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0" operator="containsText" text="차재성" id="{101D2B35-E144-4998-A601-0B57C844CF62}">
            <xm:f>NOT(ISERROR(SEARCH("차재성",'\Users\섬 박람회 조직위원회\Desktop\[2025년 본예산1.xlsx]행정관리부'!#REF!)))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J26:J27</xm:sqref>
        </x14:conditionalFormatting>
        <x14:conditionalFormatting xmlns:xm="http://schemas.microsoft.com/office/excel/2006/main">
          <x14:cfRule type="containsText" priority="13" operator="containsText" text="허하나로" id="{D43E79B1-EE6A-4EA3-B52C-6BD7978B8DEE}">
            <xm:f>NOT(ISERROR(SEARCH("허하나로",행정관리부!H1061)))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4" operator="containsText" text="한별" id="{9A4F73E9-1D7E-4266-B557-5ACD8AA5E762}">
            <xm:f>NOT(ISERROR(SEARCH("한별",행정관리부!H1061)))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5" operator="containsText" text="정홍조" id="{32804C67-EC96-4BA9-ACCB-ECCFBC9E3A3A}">
            <xm:f>NOT(ISERROR(SEARCH("정홍조",행정관리부!H1061)))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6" operator="containsText" text="김지윤" id="{C38D4C6C-F422-410A-8EBD-B53F54AD5EEC}">
            <xm:f>NOT(ISERROR(SEARCH("김지윤",행정관리부!H1061)))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" operator="containsText" text="전준영" id="{C76CB348-C024-4FC3-907D-DF0066147DB2}">
            <xm:f>NOT(ISERROR(SEARCH("전준영",행정관리부!H1061)))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8" operator="containsText" text="차재성" id="{8B876EBE-049B-4999-A9C7-262844F64215}">
            <xm:f>NOT(ISERROR(SEARCH("차재성",행정관리부!H1061)))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J38</xm:sqref>
        </x14:conditionalFormatting>
        <x14:conditionalFormatting xmlns:xm="http://schemas.microsoft.com/office/excel/2006/main">
          <x14:cfRule type="containsText" priority="7" operator="containsText" text="허하나로" id="{08CD5C75-19D4-4A24-ADA7-CFB6DC3C4BA0}">
            <xm:f>NOT(ISERROR(SEARCH("허하나로",행정관리부!H1060)))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" operator="containsText" text="한별" id="{99960472-C61B-40D2-A3BC-3BA232C4FDED}">
            <xm:f>NOT(ISERROR(SEARCH("한별",행정관리부!H1060)))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" operator="containsText" text="정홍조" id="{20CEEC82-27B8-4AD0-B37E-2F4091C6F9BD}">
            <xm:f>NOT(ISERROR(SEARCH("정홍조",행정관리부!H1060)))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" operator="containsText" text="김지윤" id="{5D7B9C1E-0A64-49F9-A95C-24667468298A}">
            <xm:f>NOT(ISERROR(SEARCH("김지윤",행정관리부!H1060)))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" operator="containsText" text="전준영" id="{E193CF20-FF69-48C7-84C2-19442BB48DEB}">
            <xm:f>NOT(ISERROR(SEARCH("전준영",행정관리부!H1060)))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" operator="containsText" text="차재성" id="{515AFE08-532C-4B52-BA37-2D16F4065E65}">
            <xm:f>NOT(ISERROR(SEARCH("차재성",행정관리부!H1060)))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J39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M24"/>
  <sheetViews>
    <sheetView zoomScale="85" zoomScaleNormal="85" workbookViewId="0">
      <selection activeCell="B7" sqref="B7"/>
    </sheetView>
  </sheetViews>
  <sheetFormatPr defaultRowHeight="16.5"/>
  <cols>
    <col min="1" max="6" width="3.875" customWidth="1"/>
    <col min="7" max="7" width="32.625" customWidth="1"/>
    <col min="8" max="10" width="14.625" customWidth="1"/>
    <col min="11" max="11" width="60.625" customWidth="1"/>
    <col min="12" max="12" width="3.875" customWidth="1"/>
    <col min="13" max="13" width="14.625" customWidth="1"/>
  </cols>
  <sheetData>
    <row r="1" spans="1:13" ht="17.25" thickBot="1">
      <c r="A1" s="86" t="s">
        <v>139</v>
      </c>
      <c r="B1" s="40"/>
      <c r="C1" s="86"/>
      <c r="D1" s="86"/>
      <c r="E1" s="86"/>
      <c r="F1" s="86"/>
      <c r="G1" s="167"/>
      <c r="H1" s="168"/>
      <c r="I1" s="168"/>
      <c r="J1" s="167"/>
      <c r="K1" s="167"/>
      <c r="L1" s="167"/>
      <c r="M1" s="166" t="s">
        <v>28</v>
      </c>
    </row>
    <row r="2" spans="1:13">
      <c r="A2" s="423" t="s">
        <v>17</v>
      </c>
      <c r="B2" s="425" t="s">
        <v>18</v>
      </c>
      <c r="C2" s="426"/>
      <c r="D2" s="427"/>
      <c r="E2" s="425" t="s">
        <v>19</v>
      </c>
      <c r="F2" s="426"/>
      <c r="G2" s="427"/>
      <c r="H2" s="403" t="s">
        <v>544</v>
      </c>
      <c r="I2" s="403" t="s">
        <v>545</v>
      </c>
      <c r="J2" s="428" t="s">
        <v>546</v>
      </c>
      <c r="K2" s="414" t="s">
        <v>1</v>
      </c>
      <c r="L2" s="415"/>
      <c r="M2" s="416"/>
    </row>
    <row r="3" spans="1:13" ht="17.25" thickBot="1">
      <c r="A3" s="424"/>
      <c r="B3" s="113" t="s">
        <v>20</v>
      </c>
      <c r="C3" s="113" t="s">
        <v>21</v>
      </c>
      <c r="D3" s="113" t="s">
        <v>22</v>
      </c>
      <c r="E3" s="113" t="s">
        <v>23</v>
      </c>
      <c r="F3" s="113" t="s">
        <v>24</v>
      </c>
      <c r="G3" s="113" t="s">
        <v>25</v>
      </c>
      <c r="H3" s="404"/>
      <c r="I3" s="404"/>
      <c r="J3" s="429"/>
      <c r="K3" s="417"/>
      <c r="L3" s="418"/>
      <c r="M3" s="419"/>
    </row>
    <row r="4" spans="1:13" ht="17.25" thickBot="1">
      <c r="A4" s="420" t="s">
        <v>26</v>
      </c>
      <c r="B4" s="421"/>
      <c r="C4" s="421"/>
      <c r="D4" s="421"/>
      <c r="E4" s="421"/>
      <c r="F4" s="421"/>
      <c r="G4" s="422"/>
      <c r="H4" s="169">
        <f>H5</f>
        <v>25268</v>
      </c>
      <c r="I4" s="169">
        <v>25268</v>
      </c>
      <c r="J4" s="114">
        <f t="shared" ref="J4:J11" si="0">H4-I4</f>
        <v>0</v>
      </c>
      <c r="K4" s="87"/>
      <c r="L4" s="88"/>
      <c r="M4" s="115"/>
    </row>
    <row r="5" spans="1:13">
      <c r="A5" s="190" t="s">
        <v>2</v>
      </c>
      <c r="B5" s="116"/>
      <c r="C5" s="117"/>
      <c r="D5" s="117"/>
      <c r="E5" s="117"/>
      <c r="F5" s="117"/>
      <c r="G5" s="118"/>
      <c r="H5" s="92">
        <f>H6</f>
        <v>25268</v>
      </c>
      <c r="I5" s="92">
        <v>25268</v>
      </c>
      <c r="J5" s="93">
        <f t="shared" si="0"/>
        <v>0</v>
      </c>
      <c r="K5" s="78"/>
      <c r="L5" s="79"/>
      <c r="M5" s="80"/>
    </row>
    <row r="6" spans="1:13">
      <c r="A6" s="10"/>
      <c r="B6" s="123" t="s">
        <v>240</v>
      </c>
      <c r="C6" s="123"/>
      <c r="D6" s="124"/>
      <c r="E6" s="124"/>
      <c r="F6" s="124"/>
      <c r="G6" s="125"/>
      <c r="H6" s="92">
        <f>H7</f>
        <v>25268</v>
      </c>
      <c r="I6" s="92">
        <v>25268</v>
      </c>
      <c r="J6" s="93">
        <f t="shared" si="0"/>
        <v>0</v>
      </c>
      <c r="K6" s="78"/>
      <c r="L6" s="79"/>
      <c r="M6" s="80"/>
    </row>
    <row r="7" spans="1:13">
      <c r="A7" s="10"/>
      <c r="B7" s="6"/>
      <c r="C7" s="164" t="s">
        <v>203</v>
      </c>
      <c r="D7" s="124"/>
      <c r="E7" s="124"/>
      <c r="F7" s="124"/>
      <c r="G7" s="125"/>
      <c r="H7" s="89">
        <f>H8</f>
        <v>25268</v>
      </c>
      <c r="I7" s="89">
        <v>25268</v>
      </c>
      <c r="J7" s="90">
        <f t="shared" si="0"/>
        <v>0</v>
      </c>
      <c r="K7" s="153"/>
      <c r="L7" s="143"/>
      <c r="M7" s="144"/>
    </row>
    <row r="8" spans="1:13">
      <c r="A8" s="10"/>
      <c r="B8" s="6"/>
      <c r="C8" s="141"/>
      <c r="D8" s="123" t="s">
        <v>30</v>
      </c>
      <c r="E8" s="124"/>
      <c r="F8" s="124"/>
      <c r="G8" s="125"/>
      <c r="H8" s="126">
        <f>H9</f>
        <v>25268</v>
      </c>
      <c r="I8" s="126">
        <v>25268</v>
      </c>
      <c r="J8" s="9">
        <f t="shared" si="0"/>
        <v>0</v>
      </c>
      <c r="K8" s="142"/>
      <c r="L8" s="143"/>
      <c r="M8" s="144"/>
    </row>
    <row r="9" spans="1:13">
      <c r="A9" s="10"/>
      <c r="B9" s="6"/>
      <c r="C9" s="128"/>
      <c r="D9" s="129"/>
      <c r="E9" s="123" t="s">
        <v>27</v>
      </c>
      <c r="F9" s="124"/>
      <c r="G9" s="125"/>
      <c r="H9" s="89">
        <f>SUM(H10,H15,H19,H22)</f>
        <v>25268</v>
      </c>
      <c r="I9" s="89">
        <v>25268</v>
      </c>
      <c r="J9" s="90">
        <f t="shared" si="0"/>
        <v>0</v>
      </c>
      <c r="K9" s="84"/>
      <c r="L9" s="91"/>
      <c r="M9" s="82"/>
    </row>
    <row r="10" spans="1:13">
      <c r="A10" s="62"/>
      <c r="B10" s="64"/>
      <c r="C10" s="64"/>
      <c r="D10" s="64"/>
      <c r="E10" s="64"/>
      <c r="F10" s="130" t="s">
        <v>31</v>
      </c>
      <c r="G10" s="134"/>
      <c r="H10" s="71">
        <f>SUM(H11,H13)</f>
        <v>8568</v>
      </c>
      <c r="I10" s="71">
        <v>8568</v>
      </c>
      <c r="J10" s="96">
        <f t="shared" si="0"/>
        <v>0</v>
      </c>
      <c r="K10" s="138"/>
      <c r="L10" s="35"/>
      <c r="M10" s="34"/>
    </row>
    <row r="11" spans="1:13">
      <c r="A11" s="53"/>
      <c r="B11" s="55"/>
      <c r="C11" s="64"/>
      <c r="D11" s="64"/>
      <c r="E11" s="64"/>
      <c r="F11" s="176"/>
      <c r="G11" s="193" t="s">
        <v>32</v>
      </c>
      <c r="H11" s="194">
        <f>M11</f>
        <v>2520</v>
      </c>
      <c r="I11" s="194">
        <v>2520</v>
      </c>
      <c r="J11" s="38">
        <f t="shared" si="0"/>
        <v>0</v>
      </c>
      <c r="K11" s="33" t="s">
        <v>44</v>
      </c>
      <c r="L11" s="196"/>
      <c r="M11" s="209">
        <f>SUM(M12:M12)</f>
        <v>2520</v>
      </c>
    </row>
    <row r="12" spans="1:13">
      <c r="A12" s="53"/>
      <c r="B12" s="55"/>
      <c r="C12" s="64"/>
      <c r="D12" s="64"/>
      <c r="E12" s="64"/>
      <c r="F12" s="54"/>
      <c r="G12" s="54"/>
      <c r="H12" s="98"/>
      <c r="I12" s="98"/>
      <c r="J12" s="100"/>
      <c r="K12" s="177" t="s">
        <v>352</v>
      </c>
      <c r="L12" s="187" t="s">
        <v>33</v>
      </c>
      <c r="M12" s="175">
        <v>2520</v>
      </c>
    </row>
    <row r="13" spans="1:13">
      <c r="A13" s="53"/>
      <c r="B13" s="55"/>
      <c r="C13" s="64"/>
      <c r="D13" s="64"/>
      <c r="E13" s="64"/>
      <c r="F13" s="54"/>
      <c r="G13" s="193" t="s">
        <v>249</v>
      </c>
      <c r="H13" s="194">
        <f>M13</f>
        <v>6048</v>
      </c>
      <c r="I13" s="194">
        <v>6048</v>
      </c>
      <c r="J13" s="195">
        <f>H13-I13</f>
        <v>0</v>
      </c>
      <c r="K13" s="33" t="s">
        <v>250</v>
      </c>
      <c r="L13" s="48"/>
      <c r="M13" s="209">
        <f>SUM(M14)</f>
        <v>6048</v>
      </c>
    </row>
    <row r="14" spans="1:13">
      <c r="A14" s="62"/>
      <c r="B14" s="64"/>
      <c r="C14" s="64"/>
      <c r="D14" s="64"/>
      <c r="E14" s="64"/>
      <c r="F14" s="54"/>
      <c r="G14" s="54"/>
      <c r="H14" s="98"/>
      <c r="I14" s="98"/>
      <c r="J14" s="100"/>
      <c r="K14" s="206" t="s">
        <v>350</v>
      </c>
      <c r="L14" s="189" t="s">
        <v>33</v>
      </c>
      <c r="M14" s="175">
        <v>6048</v>
      </c>
    </row>
    <row r="15" spans="1:13">
      <c r="A15" s="62"/>
      <c r="B15" s="64"/>
      <c r="C15" s="64"/>
      <c r="D15" s="64"/>
      <c r="E15" s="64"/>
      <c r="F15" s="430" t="s">
        <v>36</v>
      </c>
      <c r="G15" s="431"/>
      <c r="H15" s="146">
        <f>H16</f>
        <v>12600</v>
      </c>
      <c r="I15" s="146">
        <v>12600</v>
      </c>
      <c r="J15" s="147">
        <f>H15-I15</f>
        <v>0</v>
      </c>
      <c r="K15" s="148"/>
      <c r="L15" s="56"/>
      <c r="M15" s="57"/>
    </row>
    <row r="16" spans="1:13">
      <c r="A16" s="62"/>
      <c r="B16" s="64"/>
      <c r="C16" s="64"/>
      <c r="D16" s="64"/>
      <c r="E16" s="64"/>
      <c r="F16" s="107"/>
      <c r="G16" s="184" t="s">
        <v>37</v>
      </c>
      <c r="H16" s="197">
        <f>M16</f>
        <v>12600</v>
      </c>
      <c r="I16" s="194">
        <v>12600</v>
      </c>
      <c r="J16" s="186">
        <f>H16-I16</f>
        <v>0</v>
      </c>
      <c r="K16" s="33" t="s">
        <v>46</v>
      </c>
      <c r="L16" s="199"/>
      <c r="M16" s="209">
        <f>SUM(M17:M18)</f>
        <v>12600</v>
      </c>
    </row>
    <row r="17" spans="1:13">
      <c r="A17" s="62"/>
      <c r="B17" s="64"/>
      <c r="C17" s="64"/>
      <c r="D17" s="64"/>
      <c r="E17" s="64"/>
      <c r="F17" s="179"/>
      <c r="G17" s="179"/>
      <c r="H17" s="98"/>
      <c r="I17" s="102"/>
      <c r="J17" s="100"/>
      <c r="K17" s="204" t="s">
        <v>425</v>
      </c>
      <c r="L17" s="94" t="s">
        <v>0</v>
      </c>
      <c r="M17" s="175">
        <v>3360</v>
      </c>
    </row>
    <row r="18" spans="1:13">
      <c r="A18" s="62"/>
      <c r="B18" s="64"/>
      <c r="C18" s="64"/>
      <c r="D18" s="64"/>
      <c r="E18" s="64"/>
      <c r="F18" s="179"/>
      <c r="G18" s="179"/>
      <c r="H18" s="98"/>
      <c r="I18" s="102"/>
      <c r="J18" s="100"/>
      <c r="K18" s="206" t="s">
        <v>422</v>
      </c>
      <c r="L18" s="198" t="s">
        <v>0</v>
      </c>
      <c r="M18" s="175">
        <v>9240</v>
      </c>
    </row>
    <row r="19" spans="1:13">
      <c r="A19" s="62"/>
      <c r="B19" s="64"/>
      <c r="C19" s="64"/>
      <c r="D19" s="64"/>
      <c r="E19" s="64"/>
      <c r="F19" s="430" t="s">
        <v>38</v>
      </c>
      <c r="G19" s="431"/>
      <c r="H19" s="146">
        <f>H20</f>
        <v>2000</v>
      </c>
      <c r="I19" s="146">
        <v>2000</v>
      </c>
      <c r="J19" s="147">
        <f>H19-I19</f>
        <v>0</v>
      </c>
      <c r="K19" s="148"/>
      <c r="L19" s="56"/>
      <c r="M19" s="57"/>
    </row>
    <row r="20" spans="1:13">
      <c r="A20" s="62"/>
      <c r="B20" s="64"/>
      <c r="C20" s="64"/>
      <c r="D20" s="64"/>
      <c r="E20" s="64"/>
      <c r="F20" s="179"/>
      <c r="G20" s="107" t="s">
        <v>39</v>
      </c>
      <c r="H20" s="197">
        <f>M20</f>
        <v>2000</v>
      </c>
      <c r="I20" s="197">
        <v>2000</v>
      </c>
      <c r="J20" s="186">
        <f>H20-I20</f>
        <v>0</v>
      </c>
      <c r="K20" s="33" t="s">
        <v>47</v>
      </c>
      <c r="L20" s="196"/>
      <c r="M20" s="209">
        <f>SUM(M21)</f>
        <v>2000</v>
      </c>
    </row>
    <row r="21" spans="1:13">
      <c r="A21" s="320"/>
      <c r="B21" s="321"/>
      <c r="C21" s="321"/>
      <c r="D21" s="321"/>
      <c r="E21" s="321"/>
      <c r="F21" s="180"/>
      <c r="G21" s="180"/>
      <c r="H21" s="101"/>
      <c r="I21" s="149"/>
      <c r="J21" s="149"/>
      <c r="K21" s="183" t="s">
        <v>515</v>
      </c>
      <c r="L21" s="198" t="s">
        <v>0</v>
      </c>
      <c r="M21" s="175">
        <v>2000</v>
      </c>
    </row>
    <row r="22" spans="1:13">
      <c r="A22" s="62"/>
      <c r="B22" s="64"/>
      <c r="C22" s="64"/>
      <c r="D22" s="64"/>
      <c r="E22" s="64"/>
      <c r="F22" s="331" t="s">
        <v>89</v>
      </c>
      <c r="G22" s="69"/>
      <c r="H22" s="70">
        <f>H23</f>
        <v>2100</v>
      </c>
      <c r="I22" s="70">
        <v>2100</v>
      </c>
      <c r="J22" s="140">
        <f>H22-I22</f>
        <v>0</v>
      </c>
      <c r="K22" s="274"/>
      <c r="L22" s="275"/>
      <c r="M22" s="229"/>
    </row>
    <row r="23" spans="1:13">
      <c r="A23" s="62"/>
      <c r="B23" s="64"/>
      <c r="C23" s="64"/>
      <c r="D23" s="64"/>
      <c r="E23" s="64"/>
      <c r="F23" s="137"/>
      <c r="G23" s="64" t="s">
        <v>93</v>
      </c>
      <c r="H23" s="75">
        <f>M23</f>
        <v>2100</v>
      </c>
      <c r="I23" s="75">
        <v>2100</v>
      </c>
      <c r="J23" s="45">
        <f>H23-I23</f>
        <v>0</v>
      </c>
      <c r="K23" s="33" t="s">
        <v>360</v>
      </c>
      <c r="L23" s="36"/>
      <c r="M23" s="209">
        <f>M24</f>
        <v>2100</v>
      </c>
    </row>
    <row r="24" spans="1:13" ht="17.25" thickBot="1">
      <c r="A24" s="288"/>
      <c r="B24" s="68"/>
      <c r="C24" s="68"/>
      <c r="D24" s="68"/>
      <c r="E24" s="68"/>
      <c r="F24" s="333"/>
      <c r="G24" s="185"/>
      <c r="H24" s="334"/>
      <c r="I24" s="335"/>
      <c r="J24" s="336"/>
      <c r="K24" s="224" t="s">
        <v>368</v>
      </c>
      <c r="L24" s="225" t="s">
        <v>0</v>
      </c>
      <c r="M24" s="235">
        <v>2100</v>
      </c>
    </row>
  </sheetData>
  <autoFilter ref="A3:M24">
    <filterColumn colId="10" showButton="0"/>
    <filterColumn colId="11" showButton="0"/>
  </autoFilter>
  <mergeCells count="10">
    <mergeCell ref="K2:M3"/>
    <mergeCell ref="A4:G4"/>
    <mergeCell ref="F15:G15"/>
    <mergeCell ref="F19:G19"/>
    <mergeCell ref="A2:A3"/>
    <mergeCell ref="B2:D2"/>
    <mergeCell ref="E2:G2"/>
    <mergeCell ref="H2:H3"/>
    <mergeCell ref="I2:I3"/>
    <mergeCell ref="J2:J3"/>
  </mergeCells>
  <phoneticPr fontId="12" type="noConversion"/>
  <conditionalFormatting sqref="J20:J21">
    <cfRule type="containsText" dxfId="581" priority="61" operator="containsText" text="허하나로">
      <formula>NOT(ISERROR(SEARCH("허하나로",H1046)))</formula>
    </cfRule>
    <cfRule type="containsText" dxfId="580" priority="62" operator="containsText" text="한별">
      <formula>NOT(ISERROR(SEARCH("한별",H1046)))</formula>
    </cfRule>
    <cfRule type="containsText" dxfId="579" priority="63" operator="containsText" text="정홍조">
      <formula>NOT(ISERROR(SEARCH("정홍조",H1046)))</formula>
    </cfRule>
    <cfRule type="containsText" dxfId="578" priority="64" operator="containsText" text="김지윤">
      <formula>NOT(ISERROR(SEARCH("김지윤",H1046)))</formula>
    </cfRule>
    <cfRule type="containsText" dxfId="577" priority="65" operator="containsText" text="전준영">
      <formula>NOT(ISERROR(SEARCH("전준영",H1046)))</formula>
    </cfRule>
    <cfRule type="containsText" dxfId="576" priority="66" operator="containsText" text="차재성">
      <formula>NOT(ISERROR(SEARCH("차재성",H1046)))</formula>
    </cfRule>
  </conditionalFormatting>
  <conditionalFormatting sqref="J6">
    <cfRule type="containsText" dxfId="575" priority="73" operator="containsText" text="허하나로">
      <formula>NOT(ISERROR(SEARCH("허하나로",H683)))</formula>
    </cfRule>
    <cfRule type="containsText" dxfId="574" priority="74" operator="containsText" text="한별">
      <formula>NOT(ISERROR(SEARCH("한별",H683)))</formula>
    </cfRule>
    <cfRule type="containsText" dxfId="573" priority="75" operator="containsText" text="정홍조">
      <formula>NOT(ISERROR(SEARCH("정홍조",H683)))</formula>
    </cfRule>
    <cfRule type="containsText" dxfId="572" priority="76" operator="containsText" text="김지윤">
      <formula>NOT(ISERROR(SEARCH("김지윤",H683)))</formula>
    </cfRule>
    <cfRule type="containsText" dxfId="571" priority="77" operator="containsText" text="전준영">
      <formula>NOT(ISERROR(SEARCH("전준영",H683)))</formula>
    </cfRule>
    <cfRule type="containsText" dxfId="570" priority="78" operator="containsText" text="차재성">
      <formula>NOT(ISERROR(SEARCH("차재성",H683)))</formula>
    </cfRule>
  </conditionalFormatting>
  <conditionalFormatting sqref="J5">
    <cfRule type="containsText" dxfId="569" priority="67" operator="containsText" text="허하나로">
      <formula>NOT(ISERROR(SEARCH("허하나로",H682)))</formula>
    </cfRule>
    <cfRule type="containsText" dxfId="568" priority="68" operator="containsText" text="한별">
      <formula>NOT(ISERROR(SEARCH("한별",H682)))</formula>
    </cfRule>
    <cfRule type="containsText" dxfId="567" priority="69" operator="containsText" text="정홍조">
      <formula>NOT(ISERROR(SEARCH("정홍조",H682)))</formula>
    </cfRule>
    <cfRule type="containsText" dxfId="566" priority="70" operator="containsText" text="김지윤">
      <formula>NOT(ISERROR(SEARCH("김지윤",H682)))</formula>
    </cfRule>
    <cfRule type="containsText" dxfId="565" priority="71" operator="containsText" text="전준영">
      <formula>NOT(ISERROR(SEARCH("전준영",H682)))</formula>
    </cfRule>
    <cfRule type="containsText" dxfId="564" priority="72" operator="containsText" text="차재성">
      <formula>NOT(ISERROR(SEARCH("차재성",H682)))</formula>
    </cfRule>
  </conditionalFormatting>
  <conditionalFormatting sqref="J7">
    <cfRule type="containsText" dxfId="563" priority="55" operator="containsText" text="허하나로">
      <formula>NOT(ISERROR(SEARCH("허하나로",H816)))</formula>
    </cfRule>
    <cfRule type="containsText" dxfId="562" priority="56" operator="containsText" text="한별">
      <formula>NOT(ISERROR(SEARCH("한별",H816)))</formula>
    </cfRule>
    <cfRule type="containsText" dxfId="561" priority="57" operator="containsText" text="정홍조">
      <formula>NOT(ISERROR(SEARCH("정홍조",H816)))</formula>
    </cfRule>
    <cfRule type="containsText" dxfId="560" priority="58" operator="containsText" text="김지윤">
      <formula>NOT(ISERROR(SEARCH("김지윤",H816)))</formula>
    </cfRule>
    <cfRule type="containsText" dxfId="559" priority="59" operator="containsText" text="전준영">
      <formula>NOT(ISERROR(SEARCH("전준영",H816)))</formula>
    </cfRule>
    <cfRule type="containsText" dxfId="558" priority="60" operator="containsText" text="차재성">
      <formula>NOT(ISERROR(SEARCH("차재성",H816)))</formula>
    </cfRule>
  </conditionalFormatting>
  <conditionalFormatting sqref="J10:J11">
    <cfRule type="containsText" dxfId="557" priority="49" operator="containsText" text="허하나로">
      <formula>NOT(ISERROR(SEARCH("허하나로",H1024)))</formula>
    </cfRule>
    <cfRule type="containsText" dxfId="556" priority="50" operator="containsText" text="한별">
      <formula>NOT(ISERROR(SEARCH("한별",H1024)))</formula>
    </cfRule>
    <cfRule type="containsText" dxfId="555" priority="51" operator="containsText" text="정홍조">
      <formula>NOT(ISERROR(SEARCH("정홍조",H1024)))</formula>
    </cfRule>
    <cfRule type="containsText" dxfId="554" priority="52" operator="containsText" text="김지윤">
      <formula>NOT(ISERROR(SEARCH("김지윤",H1024)))</formula>
    </cfRule>
    <cfRule type="containsText" dxfId="553" priority="53" operator="containsText" text="전준영">
      <formula>NOT(ISERROR(SEARCH("전준영",H1024)))</formula>
    </cfRule>
    <cfRule type="containsText" dxfId="552" priority="54" operator="containsText" text="차재성">
      <formula>NOT(ISERROR(SEARCH("차재성",H1024)))</formula>
    </cfRule>
  </conditionalFormatting>
  <conditionalFormatting sqref="J9">
    <cfRule type="containsText" dxfId="551" priority="91" operator="containsText" text="허하나로">
      <formula>NOT(ISERROR(SEARCH("허하나로",H1013)))</formula>
    </cfRule>
    <cfRule type="containsText" dxfId="550" priority="92" operator="containsText" text="한별">
      <formula>NOT(ISERROR(SEARCH("한별",H1013)))</formula>
    </cfRule>
    <cfRule type="containsText" dxfId="549" priority="93" operator="containsText" text="정홍조">
      <formula>NOT(ISERROR(SEARCH("정홍조",H1013)))</formula>
    </cfRule>
    <cfRule type="containsText" dxfId="548" priority="94" operator="containsText" text="김지윤">
      <formula>NOT(ISERROR(SEARCH("김지윤",H1013)))</formula>
    </cfRule>
    <cfRule type="containsText" dxfId="547" priority="95" operator="containsText" text="전준영">
      <formula>NOT(ISERROR(SEARCH("전준영",H1013)))</formula>
    </cfRule>
    <cfRule type="containsText" dxfId="546" priority="96" operator="containsText" text="차재성">
      <formula>NOT(ISERROR(SEARCH("차재성",H1013)))</formula>
    </cfRule>
  </conditionalFormatting>
  <conditionalFormatting sqref="J15:J18">
    <cfRule type="containsText" dxfId="545" priority="97" operator="containsText" text="허하나로">
      <formula>NOT(ISERROR(SEARCH("허하나로",H1026)))</formula>
    </cfRule>
    <cfRule type="containsText" dxfId="544" priority="98" operator="containsText" text="한별">
      <formula>NOT(ISERROR(SEARCH("한별",H1026)))</formula>
    </cfRule>
    <cfRule type="containsText" dxfId="543" priority="99" operator="containsText" text="정홍조">
      <formula>NOT(ISERROR(SEARCH("정홍조",H1026)))</formula>
    </cfRule>
    <cfRule type="containsText" dxfId="542" priority="100" operator="containsText" text="김지윤">
      <formula>NOT(ISERROR(SEARCH("김지윤",H1026)))</formula>
    </cfRule>
    <cfRule type="containsText" dxfId="541" priority="101" operator="containsText" text="전준영">
      <formula>NOT(ISERROR(SEARCH("전준영",H1026)))</formula>
    </cfRule>
    <cfRule type="containsText" dxfId="540" priority="102" operator="containsText" text="차재성">
      <formula>NOT(ISERROR(SEARCH("차재성",H1026)))</formula>
    </cfRule>
  </conditionalFormatting>
  <conditionalFormatting sqref="J19">
    <cfRule type="containsText" dxfId="539" priority="37" operator="containsText" text="허하나로">
      <formula>NOT(ISERROR(SEARCH("허하나로",H1030)))</formula>
    </cfRule>
    <cfRule type="containsText" dxfId="538" priority="38" operator="containsText" text="한별">
      <formula>NOT(ISERROR(SEARCH("한별",H1030)))</formula>
    </cfRule>
    <cfRule type="containsText" dxfId="537" priority="39" operator="containsText" text="정홍조">
      <formula>NOT(ISERROR(SEARCH("정홍조",H1030)))</formula>
    </cfRule>
    <cfRule type="containsText" dxfId="536" priority="40" operator="containsText" text="김지윤">
      <formula>NOT(ISERROR(SEARCH("김지윤",H1030)))</formula>
    </cfRule>
    <cfRule type="containsText" dxfId="535" priority="41" operator="containsText" text="전준영">
      <formula>NOT(ISERROR(SEARCH("전준영",H1030)))</formula>
    </cfRule>
    <cfRule type="containsText" dxfId="534" priority="42" operator="containsText" text="차재성">
      <formula>NOT(ISERROR(SEARCH("차재성",H1030)))</formula>
    </cfRule>
  </conditionalFormatting>
  <conditionalFormatting sqref="L16">
    <cfRule type="containsText" dxfId="533" priority="31" operator="containsText" text="허하나로">
      <formula>NOT(ISERROR(SEARCH("허하나로",J1161)))</formula>
    </cfRule>
    <cfRule type="containsText" dxfId="532" priority="32" operator="containsText" text="한별">
      <formula>NOT(ISERROR(SEARCH("한별",J1161)))</formula>
    </cfRule>
    <cfRule type="containsText" dxfId="531" priority="33" operator="containsText" text="정홍조">
      <formula>NOT(ISERROR(SEARCH("정홍조",J1161)))</formula>
    </cfRule>
    <cfRule type="containsText" dxfId="530" priority="34" operator="containsText" text="김지윤">
      <formula>NOT(ISERROR(SEARCH("김지윤",J1161)))</formula>
    </cfRule>
    <cfRule type="containsText" dxfId="529" priority="35" operator="containsText" text="전준영">
      <formula>NOT(ISERROR(SEARCH("전준영",J1161)))</formula>
    </cfRule>
    <cfRule type="containsText" dxfId="528" priority="36" operator="containsText" text="차재성">
      <formula>NOT(ISERROR(SEARCH("차재성",J1161)))</formula>
    </cfRule>
  </conditionalFormatting>
  <conditionalFormatting sqref="I21">
    <cfRule type="containsText" dxfId="527" priority="25" operator="containsText" text="허하나로">
      <formula>NOT(ISERROR(SEARCH("허하나로",G1047)))</formula>
    </cfRule>
    <cfRule type="containsText" dxfId="526" priority="26" operator="containsText" text="한별">
      <formula>NOT(ISERROR(SEARCH("한별",G1047)))</formula>
    </cfRule>
    <cfRule type="containsText" dxfId="525" priority="27" operator="containsText" text="정홍조">
      <formula>NOT(ISERROR(SEARCH("정홍조",G1047)))</formula>
    </cfRule>
    <cfRule type="containsText" dxfId="524" priority="28" operator="containsText" text="김지윤">
      <formula>NOT(ISERROR(SEARCH("김지윤",G1047)))</formula>
    </cfRule>
    <cfRule type="containsText" dxfId="523" priority="29" operator="containsText" text="전준영">
      <formula>NOT(ISERROR(SEARCH("전준영",G1047)))</formula>
    </cfRule>
    <cfRule type="containsText" dxfId="522" priority="30" operator="containsText" text="차재성">
      <formula>NOT(ISERROR(SEARCH("차재성",G1047)))</formula>
    </cfRule>
  </conditionalFormatting>
  <conditionalFormatting sqref="J13:J14">
    <cfRule type="containsText" dxfId="521" priority="19" operator="containsText" text="허하나로">
      <formula>NOT(ISERROR(SEARCH("허하나로",H1022)))</formula>
    </cfRule>
    <cfRule type="containsText" dxfId="520" priority="20" operator="containsText" text="한별">
      <formula>NOT(ISERROR(SEARCH("한별",H1022)))</formula>
    </cfRule>
    <cfRule type="containsText" dxfId="519" priority="21" operator="containsText" text="정홍조">
      <formula>NOT(ISERROR(SEARCH("정홍조",H1022)))</formula>
    </cfRule>
    <cfRule type="containsText" dxfId="518" priority="22" operator="containsText" text="김지윤">
      <formula>NOT(ISERROR(SEARCH("김지윤",H1022)))</formula>
    </cfRule>
    <cfRule type="containsText" dxfId="517" priority="23" operator="containsText" text="전준영">
      <formula>NOT(ISERROR(SEARCH("전준영",H1022)))</formula>
    </cfRule>
    <cfRule type="containsText" dxfId="516" priority="24" operator="containsText" text="차재성">
      <formula>NOT(ISERROR(SEARCH("차재성",H1022)))</formula>
    </cfRule>
  </conditionalFormatting>
  <conditionalFormatting sqref="J12">
    <cfRule type="containsText" dxfId="515" priority="3451" operator="containsText" text="허하나로">
      <formula>NOT(ISERROR(SEARCH("허하나로",H1015)))</formula>
    </cfRule>
    <cfRule type="containsText" dxfId="514" priority="3452" operator="containsText" text="한별">
      <formula>NOT(ISERROR(SEARCH("한별",H1015)))</formula>
    </cfRule>
    <cfRule type="containsText" dxfId="513" priority="3453" operator="containsText" text="정홍조">
      <formula>NOT(ISERROR(SEARCH("정홍조",H1015)))</formula>
    </cfRule>
    <cfRule type="containsText" dxfId="512" priority="3454" operator="containsText" text="김지윤">
      <formula>NOT(ISERROR(SEARCH("김지윤",H1015)))</formula>
    </cfRule>
    <cfRule type="containsText" dxfId="511" priority="3455" operator="containsText" text="전준영">
      <formula>NOT(ISERROR(SEARCH("전준영",H1015)))</formula>
    </cfRule>
    <cfRule type="containsText" dxfId="510" priority="3456" operator="containsText" text="차재성">
      <formula>NOT(ISERROR(SEARCH("차재성",H1015)))</formula>
    </cfRule>
  </conditionalFormatting>
  <conditionalFormatting sqref="J2:J3">
    <cfRule type="containsText" dxfId="509" priority="1" operator="containsText" text="허하나로">
      <formula>NOT(ISERROR(SEARCH("허하나로",H762)))</formula>
    </cfRule>
    <cfRule type="containsText" dxfId="508" priority="2" operator="containsText" text="한별">
      <formula>NOT(ISERROR(SEARCH("한별",H762)))</formula>
    </cfRule>
    <cfRule type="containsText" dxfId="507" priority="3" operator="containsText" text="정홍조">
      <formula>NOT(ISERROR(SEARCH("정홍조",H762)))</formula>
    </cfRule>
    <cfRule type="containsText" dxfId="506" priority="4" operator="containsText" text="김지윤">
      <formula>NOT(ISERROR(SEARCH("김지윤",H762)))</formula>
    </cfRule>
    <cfRule type="containsText" dxfId="505" priority="5" operator="containsText" text="전준영">
      <formula>NOT(ISERROR(SEARCH("전준영",H762)))</formula>
    </cfRule>
    <cfRule type="containsText" dxfId="504" priority="6" operator="containsText" text="차재성">
      <formula>NOT(ISERROR(SEARCH("차재성",H762)))</formula>
    </cfRule>
  </conditionalFormatting>
  <pageMargins left="0.70866141732283472" right="0.70866141732283472" top="0.74803149606299213" bottom="0.74803149606299213" header="0.31496062992125984" footer="0.31496062992125984"/>
  <pageSetup paperSize="9" scale="6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" operator="containsText" text="허하나로" id="{774F1957-6F7E-47F0-83F6-DDCC9E32F87C}">
            <xm:f>NOT(ISERROR(SEARCH("허하나로",행정관리부!H1039)))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4" operator="containsText" text="한별" id="{5BA179BA-92F8-4DA7-8572-8DD8D06767D6}">
            <xm:f>NOT(ISERROR(SEARCH("한별",행정관리부!H1039)))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5" operator="containsText" text="정홍조" id="{C9A7CB98-1908-4097-B954-21561F3ED660}">
            <xm:f>NOT(ISERROR(SEARCH("정홍조",행정관리부!H1039)))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6" operator="containsText" text="김지윤" id="{F42696BF-6191-453B-91F0-A4C50C1E5F51}">
            <xm:f>NOT(ISERROR(SEARCH("김지윤",행정관리부!H1039)))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" operator="containsText" text="전준영" id="{F6BE78ED-6A1A-4876-B007-2C5A7559D9E8}">
            <xm:f>NOT(ISERROR(SEARCH("전준영",행정관리부!H1039)))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8" operator="containsText" text="차재성" id="{DC424755-C126-42D9-900C-CDA0AA09D931}">
            <xm:f>NOT(ISERROR(SEARCH("차재성",행정관리부!H1039)))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J24</xm:sqref>
        </x14:conditionalFormatting>
        <x14:conditionalFormatting xmlns:xm="http://schemas.microsoft.com/office/excel/2006/main">
          <x14:cfRule type="containsText" priority="7" operator="containsText" text="허하나로" id="{D86B4523-9939-4486-9282-D4DDFE713595}">
            <xm:f>NOT(ISERROR(SEARCH("허하나로",행정관리부!H1095)))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" operator="containsText" text="한별" id="{0C3EB3C8-FCE3-46D8-9153-BE59AF7908E1}">
            <xm:f>NOT(ISERROR(SEARCH("한별",행정관리부!H1095)))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" operator="containsText" text="정홍조" id="{F55C4DC4-1262-47FA-8412-8512C9DB54EC}">
            <xm:f>NOT(ISERROR(SEARCH("정홍조",행정관리부!H1095)))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" operator="containsText" text="김지윤" id="{E5306826-E6C4-4F06-8750-02736BA2C452}">
            <xm:f>NOT(ISERROR(SEARCH("김지윤",행정관리부!H1095)))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" operator="containsText" text="전준영" id="{980CAFB1-FB54-401A-ABE4-71AF55BB55BA}">
            <xm:f>NOT(ISERROR(SEARCH("전준영",행정관리부!H1095)))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" operator="containsText" text="차재성" id="{483E4931-8C71-4D92-A93D-6BB4D2EF8801}">
            <xm:f>NOT(ISERROR(SEARCH("차재성",행정관리부!H1095)))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J22:J23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M24"/>
  <sheetViews>
    <sheetView zoomScale="85" zoomScaleNormal="85" workbookViewId="0">
      <selection activeCell="B7" sqref="B7"/>
    </sheetView>
  </sheetViews>
  <sheetFormatPr defaultRowHeight="16.5"/>
  <cols>
    <col min="1" max="6" width="3.875" customWidth="1"/>
    <col min="7" max="7" width="32.625" customWidth="1"/>
    <col min="8" max="10" width="14.625" customWidth="1"/>
    <col min="11" max="11" width="60.625" customWidth="1"/>
    <col min="12" max="12" width="3.875" customWidth="1"/>
    <col min="13" max="13" width="14.625" customWidth="1"/>
  </cols>
  <sheetData>
    <row r="1" spans="1:13" ht="17.25" thickBot="1">
      <c r="A1" s="86" t="s">
        <v>140</v>
      </c>
      <c r="B1" s="40"/>
      <c r="C1" s="86"/>
      <c r="D1" s="86"/>
      <c r="E1" s="86"/>
      <c r="F1" s="86"/>
      <c r="G1" s="167"/>
      <c r="H1" s="168"/>
      <c r="I1" s="168"/>
      <c r="J1" s="167"/>
      <c r="K1" s="167"/>
      <c r="L1" s="167"/>
      <c r="M1" s="166" t="s">
        <v>28</v>
      </c>
    </row>
    <row r="2" spans="1:13">
      <c r="A2" s="423" t="s">
        <v>17</v>
      </c>
      <c r="B2" s="425" t="s">
        <v>18</v>
      </c>
      <c r="C2" s="426"/>
      <c r="D2" s="427"/>
      <c r="E2" s="425" t="s">
        <v>19</v>
      </c>
      <c r="F2" s="426"/>
      <c r="G2" s="427"/>
      <c r="H2" s="403" t="s">
        <v>544</v>
      </c>
      <c r="I2" s="403" t="s">
        <v>545</v>
      </c>
      <c r="J2" s="428" t="s">
        <v>546</v>
      </c>
      <c r="K2" s="414" t="s">
        <v>1</v>
      </c>
      <c r="L2" s="415"/>
      <c r="M2" s="416"/>
    </row>
    <row r="3" spans="1:13" ht="17.25" thickBot="1">
      <c r="A3" s="424"/>
      <c r="B3" s="113" t="s">
        <v>20</v>
      </c>
      <c r="C3" s="113" t="s">
        <v>21</v>
      </c>
      <c r="D3" s="113" t="s">
        <v>22</v>
      </c>
      <c r="E3" s="113" t="s">
        <v>23</v>
      </c>
      <c r="F3" s="113" t="s">
        <v>24</v>
      </c>
      <c r="G3" s="113" t="s">
        <v>25</v>
      </c>
      <c r="H3" s="404"/>
      <c r="I3" s="404"/>
      <c r="J3" s="429"/>
      <c r="K3" s="417"/>
      <c r="L3" s="418"/>
      <c r="M3" s="419"/>
    </row>
    <row r="4" spans="1:13" ht="17.25" thickBot="1">
      <c r="A4" s="420" t="s">
        <v>26</v>
      </c>
      <c r="B4" s="421"/>
      <c r="C4" s="421"/>
      <c r="D4" s="421"/>
      <c r="E4" s="421"/>
      <c r="F4" s="421"/>
      <c r="G4" s="422"/>
      <c r="H4" s="169">
        <f>H5</f>
        <v>25268</v>
      </c>
      <c r="I4" s="169">
        <v>25268</v>
      </c>
      <c r="J4" s="114">
        <f t="shared" ref="J4:J11" si="0">H4-I4</f>
        <v>0</v>
      </c>
      <c r="K4" s="87"/>
      <c r="L4" s="88"/>
      <c r="M4" s="115"/>
    </row>
    <row r="5" spans="1:13">
      <c r="A5" s="190" t="s">
        <v>2</v>
      </c>
      <c r="B5" s="116"/>
      <c r="C5" s="117"/>
      <c r="D5" s="117"/>
      <c r="E5" s="117"/>
      <c r="F5" s="117"/>
      <c r="G5" s="118"/>
      <c r="H5" s="92">
        <f>H6</f>
        <v>25268</v>
      </c>
      <c r="I5" s="92">
        <v>25268</v>
      </c>
      <c r="J5" s="93">
        <f t="shared" si="0"/>
        <v>0</v>
      </c>
      <c r="K5" s="78"/>
      <c r="L5" s="79"/>
      <c r="M5" s="80"/>
    </row>
    <row r="6" spans="1:13">
      <c r="A6" s="10"/>
      <c r="B6" s="123" t="s">
        <v>239</v>
      </c>
      <c r="C6" s="123"/>
      <c r="D6" s="124"/>
      <c r="E6" s="124"/>
      <c r="F6" s="124"/>
      <c r="G6" s="125"/>
      <c r="H6" s="92">
        <f>H7</f>
        <v>25268</v>
      </c>
      <c r="I6" s="92">
        <v>25268</v>
      </c>
      <c r="J6" s="93">
        <f t="shared" si="0"/>
        <v>0</v>
      </c>
      <c r="K6" s="78"/>
      <c r="L6" s="79"/>
      <c r="M6" s="80"/>
    </row>
    <row r="7" spans="1:13">
      <c r="A7" s="10"/>
      <c r="B7" s="6"/>
      <c r="C7" s="164" t="s">
        <v>204</v>
      </c>
      <c r="D7" s="124"/>
      <c r="E7" s="124"/>
      <c r="F7" s="124"/>
      <c r="G7" s="125"/>
      <c r="H7" s="89">
        <f>H8</f>
        <v>25268</v>
      </c>
      <c r="I7" s="89">
        <v>25268</v>
      </c>
      <c r="J7" s="90">
        <f t="shared" si="0"/>
        <v>0</v>
      </c>
      <c r="K7" s="153"/>
      <c r="L7" s="143"/>
      <c r="M7" s="144"/>
    </row>
    <row r="8" spans="1:13">
      <c r="A8" s="10"/>
      <c r="B8" s="6"/>
      <c r="C8" s="141"/>
      <c r="D8" s="123" t="s">
        <v>30</v>
      </c>
      <c r="E8" s="124"/>
      <c r="F8" s="124"/>
      <c r="G8" s="125"/>
      <c r="H8" s="126">
        <f>H9</f>
        <v>25268</v>
      </c>
      <c r="I8" s="126">
        <v>25268</v>
      </c>
      <c r="J8" s="9">
        <f t="shared" si="0"/>
        <v>0</v>
      </c>
      <c r="K8" s="142"/>
      <c r="L8" s="143"/>
      <c r="M8" s="144"/>
    </row>
    <row r="9" spans="1:13">
      <c r="A9" s="10"/>
      <c r="B9" s="6"/>
      <c r="C9" s="128"/>
      <c r="D9" s="129"/>
      <c r="E9" s="123" t="s">
        <v>27</v>
      </c>
      <c r="F9" s="124"/>
      <c r="G9" s="125"/>
      <c r="H9" s="89">
        <f>SUM(H10,H15,H19,H22)</f>
        <v>25268</v>
      </c>
      <c r="I9" s="89">
        <v>25268</v>
      </c>
      <c r="J9" s="90">
        <f t="shared" si="0"/>
        <v>0</v>
      </c>
      <c r="K9" s="84"/>
      <c r="L9" s="91"/>
      <c r="M9" s="82"/>
    </row>
    <row r="10" spans="1:13">
      <c r="A10" s="62"/>
      <c r="B10" s="64"/>
      <c r="C10" s="64"/>
      <c r="D10" s="64"/>
      <c r="E10" s="64"/>
      <c r="F10" s="130" t="s">
        <v>31</v>
      </c>
      <c r="G10" s="134"/>
      <c r="H10" s="71">
        <f>SUM(H11,H13)</f>
        <v>8568</v>
      </c>
      <c r="I10" s="71">
        <v>8568</v>
      </c>
      <c r="J10" s="96">
        <f t="shared" si="0"/>
        <v>0</v>
      </c>
      <c r="K10" s="138"/>
      <c r="L10" s="35"/>
      <c r="M10" s="34"/>
    </row>
    <row r="11" spans="1:13">
      <c r="A11" s="53"/>
      <c r="B11" s="55"/>
      <c r="C11" s="64"/>
      <c r="D11" s="64"/>
      <c r="E11" s="64"/>
      <c r="F11" s="176"/>
      <c r="G11" s="193" t="s">
        <v>32</v>
      </c>
      <c r="H11" s="194">
        <f>M11</f>
        <v>2520</v>
      </c>
      <c r="I11" s="194">
        <v>2520</v>
      </c>
      <c r="J11" s="38">
        <f t="shared" si="0"/>
        <v>0</v>
      </c>
      <c r="K11" s="33" t="s">
        <v>44</v>
      </c>
      <c r="L11" s="196"/>
      <c r="M11" s="209">
        <f>SUM(M12:M12)</f>
        <v>2520</v>
      </c>
    </row>
    <row r="12" spans="1:13">
      <c r="A12" s="53"/>
      <c r="B12" s="55"/>
      <c r="C12" s="64"/>
      <c r="D12" s="64"/>
      <c r="E12" s="64"/>
      <c r="F12" s="54"/>
      <c r="G12" s="54"/>
      <c r="H12" s="98"/>
      <c r="I12" s="98"/>
      <c r="J12" s="100"/>
      <c r="K12" s="177" t="s">
        <v>352</v>
      </c>
      <c r="L12" s="187" t="s">
        <v>33</v>
      </c>
      <c r="M12" s="175">
        <v>2520</v>
      </c>
    </row>
    <row r="13" spans="1:13">
      <c r="A13" s="53"/>
      <c r="B13" s="55"/>
      <c r="C13" s="64"/>
      <c r="D13" s="64"/>
      <c r="E13" s="64"/>
      <c r="F13" s="54"/>
      <c r="G13" s="193" t="s">
        <v>249</v>
      </c>
      <c r="H13" s="194">
        <f>M13</f>
        <v>6048</v>
      </c>
      <c r="I13" s="194">
        <v>6048</v>
      </c>
      <c r="J13" s="195">
        <f>H13-I13</f>
        <v>0</v>
      </c>
      <c r="K13" s="33" t="s">
        <v>250</v>
      </c>
      <c r="L13" s="48"/>
      <c r="M13" s="209">
        <f>M14</f>
        <v>6048</v>
      </c>
    </row>
    <row r="14" spans="1:13">
      <c r="A14" s="62"/>
      <c r="B14" s="64"/>
      <c r="C14" s="64"/>
      <c r="D14" s="64"/>
      <c r="E14" s="64"/>
      <c r="F14" s="54"/>
      <c r="G14" s="54"/>
      <c r="H14" s="98"/>
      <c r="I14" s="98"/>
      <c r="J14" s="100"/>
      <c r="K14" s="206" t="s">
        <v>350</v>
      </c>
      <c r="L14" s="189" t="s">
        <v>33</v>
      </c>
      <c r="M14" s="175">
        <v>6048</v>
      </c>
    </row>
    <row r="15" spans="1:13">
      <c r="A15" s="62"/>
      <c r="B15" s="64"/>
      <c r="C15" s="64"/>
      <c r="D15" s="64"/>
      <c r="E15" s="64"/>
      <c r="F15" s="430" t="s">
        <v>36</v>
      </c>
      <c r="G15" s="431"/>
      <c r="H15" s="146">
        <f>H16</f>
        <v>12600</v>
      </c>
      <c r="I15" s="146">
        <v>12600</v>
      </c>
      <c r="J15" s="147">
        <f>H15-I15</f>
        <v>0</v>
      </c>
      <c r="K15" s="148"/>
      <c r="L15" s="56"/>
      <c r="M15" s="57"/>
    </row>
    <row r="16" spans="1:13">
      <c r="A16" s="62"/>
      <c r="B16" s="64"/>
      <c r="C16" s="64"/>
      <c r="D16" s="64"/>
      <c r="E16" s="64"/>
      <c r="F16" s="107"/>
      <c r="G16" s="184" t="s">
        <v>37</v>
      </c>
      <c r="H16" s="197">
        <f>M16</f>
        <v>12600</v>
      </c>
      <c r="I16" s="194">
        <v>12600</v>
      </c>
      <c r="J16" s="186">
        <f>H16-I16</f>
        <v>0</v>
      </c>
      <c r="K16" s="33" t="s">
        <v>46</v>
      </c>
      <c r="L16" s="199"/>
      <c r="M16" s="209">
        <f>SUM(M17:M18)</f>
        <v>12600</v>
      </c>
    </row>
    <row r="17" spans="1:13">
      <c r="A17" s="62"/>
      <c r="B17" s="64"/>
      <c r="C17" s="64"/>
      <c r="D17" s="64"/>
      <c r="E17" s="64"/>
      <c r="F17" s="179"/>
      <c r="G17" s="179"/>
      <c r="H17" s="98"/>
      <c r="I17" s="102"/>
      <c r="J17" s="100"/>
      <c r="K17" s="204" t="s">
        <v>426</v>
      </c>
      <c r="L17" s="94" t="s">
        <v>0</v>
      </c>
      <c r="M17" s="175">
        <v>3360</v>
      </c>
    </row>
    <row r="18" spans="1:13">
      <c r="A18" s="62"/>
      <c r="B18" s="64"/>
      <c r="C18" s="64"/>
      <c r="D18" s="64"/>
      <c r="E18" s="64"/>
      <c r="F18" s="179"/>
      <c r="G18" s="179"/>
      <c r="H18" s="98"/>
      <c r="I18" s="102"/>
      <c r="J18" s="100"/>
      <c r="K18" s="183" t="s">
        <v>427</v>
      </c>
      <c r="L18" s="198" t="s">
        <v>0</v>
      </c>
      <c r="M18" s="175">
        <v>9240</v>
      </c>
    </row>
    <row r="19" spans="1:13">
      <c r="A19" s="62"/>
      <c r="B19" s="64"/>
      <c r="C19" s="64"/>
      <c r="D19" s="64"/>
      <c r="E19" s="64"/>
      <c r="F19" s="430" t="s">
        <v>38</v>
      </c>
      <c r="G19" s="431"/>
      <c r="H19" s="146">
        <f>H20</f>
        <v>2000</v>
      </c>
      <c r="I19" s="146">
        <v>2000</v>
      </c>
      <c r="J19" s="147">
        <f>H19-I19</f>
        <v>0</v>
      </c>
      <c r="K19" s="148"/>
      <c r="L19" s="56"/>
      <c r="M19" s="57"/>
    </row>
    <row r="20" spans="1:13">
      <c r="A20" s="62"/>
      <c r="B20" s="64"/>
      <c r="C20" s="64"/>
      <c r="D20" s="64"/>
      <c r="E20" s="64"/>
      <c r="F20" s="179"/>
      <c r="G20" s="107" t="s">
        <v>39</v>
      </c>
      <c r="H20" s="197">
        <f>M20</f>
        <v>2000</v>
      </c>
      <c r="I20" s="197">
        <v>2000</v>
      </c>
      <c r="J20" s="186">
        <f>H20-I20</f>
        <v>0</v>
      </c>
      <c r="K20" s="33" t="s">
        <v>47</v>
      </c>
      <c r="L20" s="196"/>
      <c r="M20" s="209">
        <f>SUM(M21)</f>
        <v>2000</v>
      </c>
    </row>
    <row r="21" spans="1:13">
      <c r="A21" s="320"/>
      <c r="B21" s="321"/>
      <c r="C21" s="321"/>
      <c r="D21" s="321"/>
      <c r="E21" s="321"/>
      <c r="F21" s="180"/>
      <c r="G21" s="180"/>
      <c r="H21" s="101"/>
      <c r="I21" s="149"/>
      <c r="J21" s="149"/>
      <c r="K21" s="183" t="s">
        <v>516</v>
      </c>
      <c r="L21" s="198" t="s">
        <v>0</v>
      </c>
      <c r="M21" s="181">
        <v>2000</v>
      </c>
    </row>
    <row r="22" spans="1:13">
      <c r="A22" s="62"/>
      <c r="B22" s="64"/>
      <c r="C22" s="64"/>
      <c r="D22" s="64"/>
      <c r="E22" s="64"/>
      <c r="F22" s="331" t="s">
        <v>89</v>
      </c>
      <c r="G22" s="69"/>
      <c r="H22" s="70">
        <f>H23</f>
        <v>2100</v>
      </c>
      <c r="I22" s="70">
        <v>2100</v>
      </c>
      <c r="J22" s="140">
        <f>H22-I22</f>
        <v>0</v>
      </c>
      <c r="K22" s="274"/>
      <c r="L22" s="275"/>
      <c r="M22" s="332"/>
    </row>
    <row r="23" spans="1:13">
      <c r="A23" s="62"/>
      <c r="B23" s="64"/>
      <c r="C23" s="64"/>
      <c r="D23" s="64"/>
      <c r="E23" s="64"/>
      <c r="F23" s="137"/>
      <c r="G23" s="64" t="s">
        <v>93</v>
      </c>
      <c r="H23" s="75">
        <f>M23</f>
        <v>2100</v>
      </c>
      <c r="I23" s="75">
        <v>2100</v>
      </c>
      <c r="J23" s="45">
        <f>H23-I23</f>
        <v>0</v>
      </c>
      <c r="K23" s="33" t="s">
        <v>360</v>
      </c>
      <c r="L23" s="36"/>
      <c r="M23" s="209">
        <f>M24</f>
        <v>2100</v>
      </c>
    </row>
    <row r="24" spans="1:13" ht="17.25" thickBot="1">
      <c r="A24" s="288"/>
      <c r="B24" s="68"/>
      <c r="C24" s="68"/>
      <c r="D24" s="68"/>
      <c r="E24" s="68"/>
      <c r="F24" s="333"/>
      <c r="G24" s="185"/>
      <c r="H24" s="334"/>
      <c r="I24" s="335"/>
      <c r="J24" s="336"/>
      <c r="K24" s="224" t="s">
        <v>369</v>
      </c>
      <c r="L24" s="225" t="s">
        <v>0</v>
      </c>
      <c r="M24" s="235">
        <v>2100</v>
      </c>
    </row>
  </sheetData>
  <autoFilter ref="A3:M24">
    <filterColumn colId="10" showButton="0"/>
    <filterColumn colId="11" showButton="0"/>
  </autoFilter>
  <mergeCells count="10">
    <mergeCell ref="K2:M3"/>
    <mergeCell ref="A4:G4"/>
    <mergeCell ref="F15:G15"/>
    <mergeCell ref="F19:G19"/>
    <mergeCell ref="A2:A3"/>
    <mergeCell ref="B2:D2"/>
    <mergeCell ref="E2:G2"/>
    <mergeCell ref="H2:H3"/>
    <mergeCell ref="I2:I3"/>
    <mergeCell ref="J2:J3"/>
  </mergeCells>
  <phoneticPr fontId="12" type="noConversion"/>
  <conditionalFormatting sqref="J20:J21">
    <cfRule type="containsText" dxfId="491" priority="73" operator="containsText" text="허하나로">
      <formula>NOT(ISERROR(SEARCH("허하나로",H1038)))</formula>
    </cfRule>
    <cfRule type="containsText" dxfId="490" priority="74" operator="containsText" text="한별">
      <formula>NOT(ISERROR(SEARCH("한별",H1038)))</formula>
    </cfRule>
    <cfRule type="containsText" dxfId="489" priority="75" operator="containsText" text="정홍조">
      <formula>NOT(ISERROR(SEARCH("정홍조",H1038)))</formula>
    </cfRule>
    <cfRule type="containsText" dxfId="488" priority="76" operator="containsText" text="김지윤">
      <formula>NOT(ISERROR(SEARCH("김지윤",H1038)))</formula>
    </cfRule>
    <cfRule type="containsText" dxfId="487" priority="77" operator="containsText" text="전준영">
      <formula>NOT(ISERROR(SEARCH("전준영",H1038)))</formula>
    </cfRule>
    <cfRule type="containsText" dxfId="486" priority="78" operator="containsText" text="차재성">
      <formula>NOT(ISERROR(SEARCH("차재성",H1038)))</formula>
    </cfRule>
  </conditionalFormatting>
  <conditionalFormatting sqref="J6">
    <cfRule type="containsText" dxfId="485" priority="85" operator="containsText" text="허하나로">
      <formula>NOT(ISERROR(SEARCH("허하나로",H675)))</formula>
    </cfRule>
    <cfRule type="containsText" dxfId="484" priority="86" operator="containsText" text="한별">
      <formula>NOT(ISERROR(SEARCH("한별",H675)))</formula>
    </cfRule>
    <cfRule type="containsText" dxfId="483" priority="87" operator="containsText" text="정홍조">
      <formula>NOT(ISERROR(SEARCH("정홍조",H675)))</formula>
    </cfRule>
    <cfRule type="containsText" dxfId="482" priority="88" operator="containsText" text="김지윤">
      <formula>NOT(ISERROR(SEARCH("김지윤",H675)))</formula>
    </cfRule>
    <cfRule type="containsText" dxfId="481" priority="89" operator="containsText" text="전준영">
      <formula>NOT(ISERROR(SEARCH("전준영",H675)))</formula>
    </cfRule>
    <cfRule type="containsText" dxfId="480" priority="90" operator="containsText" text="차재성">
      <formula>NOT(ISERROR(SEARCH("차재성",H675)))</formula>
    </cfRule>
  </conditionalFormatting>
  <conditionalFormatting sqref="J5">
    <cfRule type="containsText" dxfId="479" priority="79" operator="containsText" text="허하나로">
      <formula>NOT(ISERROR(SEARCH("허하나로",H674)))</formula>
    </cfRule>
    <cfRule type="containsText" dxfId="478" priority="80" operator="containsText" text="한별">
      <formula>NOT(ISERROR(SEARCH("한별",H674)))</formula>
    </cfRule>
    <cfRule type="containsText" dxfId="477" priority="81" operator="containsText" text="정홍조">
      <formula>NOT(ISERROR(SEARCH("정홍조",H674)))</formula>
    </cfRule>
    <cfRule type="containsText" dxfId="476" priority="82" operator="containsText" text="김지윤">
      <formula>NOT(ISERROR(SEARCH("김지윤",H674)))</formula>
    </cfRule>
    <cfRule type="containsText" dxfId="475" priority="83" operator="containsText" text="전준영">
      <formula>NOT(ISERROR(SEARCH("전준영",H674)))</formula>
    </cfRule>
    <cfRule type="containsText" dxfId="474" priority="84" operator="containsText" text="차재성">
      <formula>NOT(ISERROR(SEARCH("차재성",H674)))</formula>
    </cfRule>
  </conditionalFormatting>
  <conditionalFormatting sqref="J7">
    <cfRule type="containsText" dxfId="473" priority="67" operator="containsText" text="허하나로">
      <formula>NOT(ISERROR(SEARCH("허하나로",H808)))</formula>
    </cfRule>
    <cfRule type="containsText" dxfId="472" priority="68" operator="containsText" text="한별">
      <formula>NOT(ISERROR(SEARCH("한별",H808)))</formula>
    </cfRule>
    <cfRule type="containsText" dxfId="471" priority="69" operator="containsText" text="정홍조">
      <formula>NOT(ISERROR(SEARCH("정홍조",H808)))</formula>
    </cfRule>
    <cfRule type="containsText" dxfId="470" priority="70" operator="containsText" text="김지윤">
      <formula>NOT(ISERROR(SEARCH("김지윤",H808)))</formula>
    </cfRule>
    <cfRule type="containsText" dxfId="469" priority="71" operator="containsText" text="전준영">
      <formula>NOT(ISERROR(SEARCH("전준영",H808)))</formula>
    </cfRule>
    <cfRule type="containsText" dxfId="468" priority="72" operator="containsText" text="차재성">
      <formula>NOT(ISERROR(SEARCH("차재성",H808)))</formula>
    </cfRule>
  </conditionalFormatting>
  <conditionalFormatting sqref="J10:J11">
    <cfRule type="containsText" dxfId="467" priority="61" operator="containsText" text="허하나로">
      <formula>NOT(ISERROR(SEARCH("허하나로",H1016)))</formula>
    </cfRule>
    <cfRule type="containsText" dxfId="466" priority="62" operator="containsText" text="한별">
      <formula>NOT(ISERROR(SEARCH("한별",H1016)))</formula>
    </cfRule>
    <cfRule type="containsText" dxfId="465" priority="63" operator="containsText" text="정홍조">
      <formula>NOT(ISERROR(SEARCH("정홍조",H1016)))</formula>
    </cfRule>
    <cfRule type="containsText" dxfId="464" priority="64" operator="containsText" text="김지윤">
      <formula>NOT(ISERROR(SEARCH("김지윤",H1016)))</formula>
    </cfRule>
    <cfRule type="containsText" dxfId="463" priority="65" operator="containsText" text="전준영">
      <formula>NOT(ISERROR(SEARCH("전준영",H1016)))</formula>
    </cfRule>
    <cfRule type="containsText" dxfId="462" priority="66" operator="containsText" text="차재성">
      <formula>NOT(ISERROR(SEARCH("차재성",H1016)))</formula>
    </cfRule>
  </conditionalFormatting>
  <conditionalFormatting sqref="J9">
    <cfRule type="containsText" dxfId="461" priority="103" operator="containsText" text="허하나로">
      <formula>NOT(ISERROR(SEARCH("허하나로",H1005)))</formula>
    </cfRule>
    <cfRule type="containsText" dxfId="460" priority="104" operator="containsText" text="한별">
      <formula>NOT(ISERROR(SEARCH("한별",H1005)))</formula>
    </cfRule>
    <cfRule type="containsText" dxfId="459" priority="105" operator="containsText" text="정홍조">
      <formula>NOT(ISERROR(SEARCH("정홍조",H1005)))</formula>
    </cfRule>
    <cfRule type="containsText" dxfId="458" priority="106" operator="containsText" text="김지윤">
      <formula>NOT(ISERROR(SEARCH("김지윤",H1005)))</formula>
    </cfRule>
    <cfRule type="containsText" dxfId="457" priority="107" operator="containsText" text="전준영">
      <formula>NOT(ISERROR(SEARCH("전준영",H1005)))</formula>
    </cfRule>
    <cfRule type="containsText" dxfId="456" priority="108" operator="containsText" text="차재성">
      <formula>NOT(ISERROR(SEARCH("차재성",H1005)))</formula>
    </cfRule>
  </conditionalFormatting>
  <conditionalFormatting sqref="J15:J18">
    <cfRule type="containsText" dxfId="455" priority="109" operator="containsText" text="허하나로">
      <formula>NOT(ISERROR(SEARCH("허하나로",H1018)))</formula>
    </cfRule>
    <cfRule type="containsText" dxfId="454" priority="110" operator="containsText" text="한별">
      <formula>NOT(ISERROR(SEARCH("한별",H1018)))</formula>
    </cfRule>
    <cfRule type="containsText" dxfId="453" priority="111" operator="containsText" text="정홍조">
      <formula>NOT(ISERROR(SEARCH("정홍조",H1018)))</formula>
    </cfRule>
    <cfRule type="containsText" dxfId="452" priority="112" operator="containsText" text="김지윤">
      <formula>NOT(ISERROR(SEARCH("김지윤",H1018)))</formula>
    </cfRule>
    <cfRule type="containsText" dxfId="451" priority="113" operator="containsText" text="전준영">
      <formula>NOT(ISERROR(SEARCH("전준영",H1018)))</formula>
    </cfRule>
    <cfRule type="containsText" dxfId="450" priority="114" operator="containsText" text="차재성">
      <formula>NOT(ISERROR(SEARCH("차재성",H1018)))</formula>
    </cfRule>
  </conditionalFormatting>
  <conditionalFormatting sqref="J19">
    <cfRule type="containsText" dxfId="449" priority="49" operator="containsText" text="허하나로">
      <formula>NOT(ISERROR(SEARCH("허하나로",H1022)))</formula>
    </cfRule>
    <cfRule type="containsText" dxfId="448" priority="50" operator="containsText" text="한별">
      <formula>NOT(ISERROR(SEARCH("한별",H1022)))</formula>
    </cfRule>
    <cfRule type="containsText" dxfId="447" priority="51" operator="containsText" text="정홍조">
      <formula>NOT(ISERROR(SEARCH("정홍조",H1022)))</formula>
    </cfRule>
    <cfRule type="containsText" dxfId="446" priority="52" operator="containsText" text="김지윤">
      <formula>NOT(ISERROR(SEARCH("김지윤",H1022)))</formula>
    </cfRule>
    <cfRule type="containsText" dxfId="445" priority="53" operator="containsText" text="전준영">
      <formula>NOT(ISERROR(SEARCH("전준영",H1022)))</formula>
    </cfRule>
    <cfRule type="containsText" dxfId="444" priority="54" operator="containsText" text="차재성">
      <formula>NOT(ISERROR(SEARCH("차재성",H1022)))</formula>
    </cfRule>
  </conditionalFormatting>
  <conditionalFormatting sqref="L16">
    <cfRule type="containsText" dxfId="443" priority="43" operator="containsText" text="허하나로">
      <formula>NOT(ISERROR(SEARCH("허하나로",J1153)))</formula>
    </cfRule>
    <cfRule type="containsText" dxfId="442" priority="44" operator="containsText" text="한별">
      <formula>NOT(ISERROR(SEARCH("한별",J1153)))</formula>
    </cfRule>
    <cfRule type="containsText" dxfId="441" priority="45" operator="containsText" text="정홍조">
      <formula>NOT(ISERROR(SEARCH("정홍조",J1153)))</formula>
    </cfRule>
    <cfRule type="containsText" dxfId="440" priority="46" operator="containsText" text="김지윤">
      <formula>NOT(ISERROR(SEARCH("김지윤",J1153)))</formula>
    </cfRule>
    <cfRule type="containsText" dxfId="439" priority="47" operator="containsText" text="전준영">
      <formula>NOT(ISERROR(SEARCH("전준영",J1153)))</formula>
    </cfRule>
    <cfRule type="containsText" dxfId="438" priority="48" operator="containsText" text="차재성">
      <formula>NOT(ISERROR(SEARCH("차재성",J1153)))</formula>
    </cfRule>
  </conditionalFormatting>
  <conditionalFormatting sqref="I21">
    <cfRule type="containsText" dxfId="437" priority="37" operator="containsText" text="허하나로">
      <formula>NOT(ISERROR(SEARCH("허하나로",G1039)))</formula>
    </cfRule>
    <cfRule type="containsText" dxfId="436" priority="38" operator="containsText" text="한별">
      <formula>NOT(ISERROR(SEARCH("한별",G1039)))</formula>
    </cfRule>
    <cfRule type="containsText" dxfId="435" priority="39" operator="containsText" text="정홍조">
      <formula>NOT(ISERROR(SEARCH("정홍조",G1039)))</formula>
    </cfRule>
    <cfRule type="containsText" dxfId="434" priority="40" operator="containsText" text="김지윤">
      <formula>NOT(ISERROR(SEARCH("김지윤",G1039)))</formula>
    </cfRule>
    <cfRule type="containsText" dxfId="433" priority="41" operator="containsText" text="전준영">
      <formula>NOT(ISERROR(SEARCH("전준영",G1039)))</formula>
    </cfRule>
    <cfRule type="containsText" dxfId="432" priority="42" operator="containsText" text="차재성">
      <formula>NOT(ISERROR(SEARCH("차재성",G1039)))</formula>
    </cfRule>
  </conditionalFormatting>
  <conditionalFormatting sqref="J12">
    <cfRule type="containsText" dxfId="431" priority="3751" operator="containsText" text="허하나로">
      <formula>NOT(ISERROR(SEARCH("허하나로",H1007)))</formula>
    </cfRule>
    <cfRule type="containsText" dxfId="430" priority="3752" operator="containsText" text="한별">
      <formula>NOT(ISERROR(SEARCH("한별",H1007)))</formula>
    </cfRule>
    <cfRule type="containsText" dxfId="429" priority="3753" operator="containsText" text="정홍조">
      <formula>NOT(ISERROR(SEARCH("정홍조",H1007)))</formula>
    </cfRule>
    <cfRule type="containsText" dxfId="428" priority="3754" operator="containsText" text="김지윤">
      <formula>NOT(ISERROR(SEARCH("김지윤",H1007)))</formula>
    </cfRule>
    <cfRule type="containsText" dxfId="427" priority="3755" operator="containsText" text="전준영">
      <formula>NOT(ISERROR(SEARCH("전준영",H1007)))</formula>
    </cfRule>
    <cfRule type="containsText" dxfId="426" priority="3756" operator="containsText" text="차재성">
      <formula>NOT(ISERROR(SEARCH("차재성",H1007)))</formula>
    </cfRule>
  </conditionalFormatting>
  <conditionalFormatting sqref="J2:J3">
    <cfRule type="containsText" dxfId="425" priority="1" operator="containsText" text="허하나로">
      <formula>NOT(ISERROR(SEARCH("허하나로",H762)))</formula>
    </cfRule>
    <cfRule type="containsText" dxfId="424" priority="2" operator="containsText" text="한별">
      <formula>NOT(ISERROR(SEARCH("한별",H762)))</formula>
    </cfRule>
    <cfRule type="containsText" dxfId="423" priority="3" operator="containsText" text="정홍조">
      <formula>NOT(ISERROR(SEARCH("정홍조",H762)))</formula>
    </cfRule>
    <cfRule type="containsText" dxfId="422" priority="4" operator="containsText" text="김지윤">
      <formula>NOT(ISERROR(SEARCH("김지윤",H762)))</formula>
    </cfRule>
    <cfRule type="containsText" dxfId="421" priority="5" operator="containsText" text="전준영">
      <formula>NOT(ISERROR(SEARCH("전준영",H762)))</formula>
    </cfRule>
    <cfRule type="containsText" dxfId="420" priority="6" operator="containsText" text="차재성">
      <formula>NOT(ISERROR(SEARCH("차재성",H762)))</formula>
    </cfRule>
  </conditionalFormatting>
  <pageMargins left="0.70866141732283472" right="0.70866141732283472" top="0.74803149606299213" bottom="0.74803149606299213" header="0.31496062992125984" footer="0.31496062992125984"/>
  <pageSetup paperSize="9" scale="6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9" operator="containsText" text="허하나로" id="{84904E4D-5B15-4B62-AA9C-8EB1E5502C8B}">
            <xm:f>NOT(ISERROR(SEARCH("허하나로",행사부!H1022)))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0" operator="containsText" text="한별" id="{3AE28599-61A9-40FF-910A-ED8FEC8BB27B}">
            <xm:f>NOT(ISERROR(SEARCH("한별",행사부!H1022)))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1" operator="containsText" text="정홍조" id="{2121DB8C-F976-45F3-8569-4B4FACF40458}">
            <xm:f>NOT(ISERROR(SEARCH("정홍조",행사부!H1022)))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2" operator="containsText" text="김지윤" id="{CC22703E-A09D-41E3-854D-D4FA6F2E1DCE}">
            <xm:f>NOT(ISERROR(SEARCH("김지윤",행사부!H1022)))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3" operator="containsText" text="전준영" id="{211100FC-96EF-4F21-B3AA-EAB7669CDF51}">
            <xm:f>NOT(ISERROR(SEARCH("전준영",행사부!H1022)))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4" operator="containsText" text="차재성" id="{D5343758-1DA8-4C58-AC02-3AE3F9CAD79A}">
            <xm:f>NOT(ISERROR(SEARCH("차재성",행사부!H1022)))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J13:J14</xm:sqref>
        </x14:conditionalFormatting>
        <x14:conditionalFormatting xmlns:xm="http://schemas.microsoft.com/office/excel/2006/main">
          <x14:cfRule type="containsText" priority="13" operator="containsText" text="허하나로" id="{73EEA989-06D8-43D8-97E0-C9877023C63C}">
            <xm:f>NOT(ISERROR(SEARCH("허하나로",행정관리부!H1049)))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4" operator="containsText" text="한별" id="{C16141EF-4399-46BB-812F-F1F5F5C8F599}">
            <xm:f>NOT(ISERROR(SEARCH("한별",행정관리부!H1049)))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5" operator="containsText" text="정홍조" id="{32A3A687-A26F-4881-8BE8-098DB7C7C929}">
            <xm:f>NOT(ISERROR(SEARCH("정홍조",행정관리부!H1049)))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6" operator="containsText" text="김지윤" id="{75BD8FE2-8F17-4E0F-AF68-57AD6388DF06}">
            <xm:f>NOT(ISERROR(SEARCH("김지윤",행정관리부!H1049)))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" operator="containsText" text="전준영" id="{D5FE593C-1B16-48A5-9411-143133F13B5D}">
            <xm:f>NOT(ISERROR(SEARCH("전준영",행정관리부!H1049)))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8" operator="containsText" text="차재성" id="{BFFD7824-8657-4D20-ADF4-0A510F7278D6}">
            <xm:f>NOT(ISERROR(SEARCH("차재성",행정관리부!H1049)))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J24</xm:sqref>
        </x14:conditionalFormatting>
        <x14:conditionalFormatting xmlns:xm="http://schemas.microsoft.com/office/excel/2006/main">
          <x14:cfRule type="containsText" priority="7" operator="containsText" text="허하나로" id="{05D302D0-1596-4FFA-9E67-35D13F14893F}">
            <xm:f>NOT(ISERROR(SEARCH("허하나로",행정관리부!H1105)))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" operator="containsText" text="한별" id="{59E41D1D-434E-49CE-875B-7F9D602DB4C5}">
            <xm:f>NOT(ISERROR(SEARCH("한별",행정관리부!H1105)))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" operator="containsText" text="정홍조" id="{314939BA-B48C-4E1B-BB16-261B18A7D298}">
            <xm:f>NOT(ISERROR(SEARCH("정홍조",행정관리부!H1105)))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" operator="containsText" text="김지윤" id="{F7B68215-819D-44FE-8EA7-3057AB7CDE8B}">
            <xm:f>NOT(ISERROR(SEARCH("김지윤",행정관리부!H1105)))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" operator="containsText" text="전준영" id="{A35168AE-39FE-4977-B984-4C61F6F4B286}">
            <xm:f>NOT(ISERROR(SEARCH("전준영",행정관리부!H1105)))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" operator="containsText" text="차재성" id="{FBFB1745-6FD6-4FB0-829C-839E13FAD414}">
            <xm:f>NOT(ISERROR(SEARCH("차재성",행정관리부!H1105)))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J22:J23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M45"/>
  <sheetViews>
    <sheetView zoomScale="85" zoomScaleNormal="85" workbookViewId="0">
      <selection activeCell="B7" sqref="B7"/>
    </sheetView>
  </sheetViews>
  <sheetFormatPr defaultRowHeight="16.5"/>
  <cols>
    <col min="1" max="6" width="3.875" customWidth="1"/>
    <col min="7" max="7" width="32.625" customWidth="1"/>
    <col min="8" max="10" width="14.625" customWidth="1"/>
    <col min="11" max="11" width="60.625" customWidth="1"/>
    <col min="12" max="12" width="3.875" customWidth="1"/>
    <col min="13" max="13" width="14.625" customWidth="1"/>
  </cols>
  <sheetData>
    <row r="1" spans="1:13" ht="17.25" thickBot="1">
      <c r="A1" s="86" t="s">
        <v>541</v>
      </c>
      <c r="B1" s="40"/>
      <c r="C1" s="86"/>
      <c r="D1" s="86"/>
      <c r="E1" s="86"/>
      <c r="F1" s="86"/>
      <c r="G1" s="167"/>
      <c r="H1" s="168"/>
      <c r="I1" s="168"/>
      <c r="J1" s="167"/>
      <c r="K1" s="167"/>
      <c r="L1" s="167"/>
      <c r="M1" s="166" t="s">
        <v>28</v>
      </c>
    </row>
    <row r="2" spans="1:13">
      <c r="A2" s="423" t="s">
        <v>17</v>
      </c>
      <c r="B2" s="425" t="s">
        <v>18</v>
      </c>
      <c r="C2" s="426"/>
      <c r="D2" s="427"/>
      <c r="E2" s="425" t="s">
        <v>19</v>
      </c>
      <c r="F2" s="426"/>
      <c r="G2" s="427"/>
      <c r="H2" s="403" t="s">
        <v>544</v>
      </c>
      <c r="I2" s="403" t="s">
        <v>545</v>
      </c>
      <c r="J2" s="428" t="s">
        <v>546</v>
      </c>
      <c r="K2" s="414" t="s">
        <v>1</v>
      </c>
      <c r="L2" s="415"/>
      <c r="M2" s="416"/>
    </row>
    <row r="3" spans="1:13" ht="17.25" thickBot="1">
      <c r="A3" s="424"/>
      <c r="B3" s="113" t="s">
        <v>20</v>
      </c>
      <c r="C3" s="113" t="s">
        <v>21</v>
      </c>
      <c r="D3" s="113" t="s">
        <v>22</v>
      </c>
      <c r="E3" s="113" t="s">
        <v>23</v>
      </c>
      <c r="F3" s="113" t="s">
        <v>24</v>
      </c>
      <c r="G3" s="113" t="s">
        <v>25</v>
      </c>
      <c r="H3" s="404"/>
      <c r="I3" s="404"/>
      <c r="J3" s="429"/>
      <c r="K3" s="417"/>
      <c r="L3" s="418"/>
      <c r="M3" s="419"/>
    </row>
    <row r="4" spans="1:13" ht="17.25" thickBot="1">
      <c r="A4" s="420" t="s">
        <v>26</v>
      </c>
      <c r="B4" s="421"/>
      <c r="C4" s="421"/>
      <c r="D4" s="421"/>
      <c r="E4" s="421"/>
      <c r="F4" s="421"/>
      <c r="G4" s="422"/>
      <c r="H4" s="169">
        <f>H5</f>
        <v>34668</v>
      </c>
      <c r="I4" s="169">
        <v>25268</v>
      </c>
      <c r="J4" s="114">
        <f t="shared" ref="J4:J32" si="0">H4-I4</f>
        <v>9400</v>
      </c>
      <c r="K4" s="87"/>
      <c r="L4" s="88"/>
      <c r="M4" s="115"/>
    </row>
    <row r="5" spans="1:13">
      <c r="A5" s="190" t="s">
        <v>2</v>
      </c>
      <c r="B5" s="116"/>
      <c r="C5" s="117"/>
      <c r="D5" s="117"/>
      <c r="E5" s="117"/>
      <c r="F5" s="117"/>
      <c r="G5" s="118"/>
      <c r="H5" s="92">
        <f>H6</f>
        <v>34668</v>
      </c>
      <c r="I5" s="92">
        <v>25268</v>
      </c>
      <c r="J5" s="93">
        <f t="shared" si="0"/>
        <v>9400</v>
      </c>
      <c r="K5" s="78"/>
      <c r="L5" s="79"/>
      <c r="M5" s="80"/>
    </row>
    <row r="6" spans="1:13">
      <c r="A6" s="10"/>
      <c r="B6" s="123" t="s">
        <v>238</v>
      </c>
      <c r="C6" s="123"/>
      <c r="D6" s="124"/>
      <c r="E6" s="124"/>
      <c r="F6" s="124"/>
      <c r="G6" s="125"/>
      <c r="H6" s="92">
        <f>SUM(H7,H18,H28)</f>
        <v>34668</v>
      </c>
      <c r="I6" s="92">
        <v>25268</v>
      </c>
      <c r="J6" s="93">
        <f t="shared" si="0"/>
        <v>9400</v>
      </c>
      <c r="K6" s="78"/>
      <c r="L6" s="79"/>
      <c r="M6" s="80"/>
    </row>
    <row r="7" spans="1:13">
      <c r="A7" s="10"/>
      <c r="B7" s="6"/>
      <c r="C7" s="164" t="s">
        <v>561</v>
      </c>
      <c r="D7" s="124"/>
      <c r="E7" s="124"/>
      <c r="F7" s="124"/>
      <c r="G7" s="125"/>
      <c r="H7" s="89">
        <f>H8</f>
        <v>4700</v>
      </c>
      <c r="I7" s="89">
        <v>0</v>
      </c>
      <c r="J7" s="90">
        <f t="shared" ref="J7:J11" si="1">H7-I7</f>
        <v>4700</v>
      </c>
      <c r="K7" s="153"/>
      <c r="L7" s="143"/>
      <c r="M7" s="144"/>
    </row>
    <row r="8" spans="1:13">
      <c r="A8" s="10"/>
      <c r="B8" s="6"/>
      <c r="C8" s="141"/>
      <c r="D8" s="123" t="s">
        <v>562</v>
      </c>
      <c r="E8" s="124"/>
      <c r="F8" s="124"/>
      <c r="G8" s="125"/>
      <c r="H8" s="126">
        <f>H9</f>
        <v>4700</v>
      </c>
      <c r="I8" s="126">
        <v>0</v>
      </c>
      <c r="J8" s="9">
        <f t="shared" si="1"/>
        <v>4700</v>
      </c>
      <c r="K8" s="142"/>
      <c r="L8" s="143"/>
      <c r="M8" s="144"/>
    </row>
    <row r="9" spans="1:13">
      <c r="A9" s="10"/>
      <c r="B9" s="6"/>
      <c r="C9" s="128"/>
      <c r="D9" s="129"/>
      <c r="E9" s="123" t="s">
        <v>27</v>
      </c>
      <c r="F9" s="124"/>
      <c r="G9" s="125"/>
      <c r="H9" s="89">
        <f>H10</f>
        <v>4700</v>
      </c>
      <c r="I9" s="89">
        <v>0</v>
      </c>
      <c r="J9" s="90">
        <f t="shared" si="1"/>
        <v>4700</v>
      </c>
      <c r="K9" s="84"/>
      <c r="L9" s="91"/>
      <c r="M9" s="82"/>
    </row>
    <row r="10" spans="1:13">
      <c r="A10" s="62"/>
      <c r="B10" s="64"/>
      <c r="C10" s="64"/>
      <c r="D10" s="64"/>
      <c r="E10" s="64"/>
      <c r="F10" s="130" t="s">
        <v>31</v>
      </c>
      <c r="G10" s="134"/>
      <c r="H10" s="71">
        <f>SUM(H11,H15)</f>
        <v>4700</v>
      </c>
      <c r="I10" s="71">
        <v>0</v>
      </c>
      <c r="J10" s="96">
        <f t="shared" si="1"/>
        <v>4700</v>
      </c>
      <c r="K10" s="138"/>
      <c r="L10" s="35"/>
      <c r="M10" s="34"/>
    </row>
    <row r="11" spans="1:13">
      <c r="A11" s="53"/>
      <c r="B11" s="55"/>
      <c r="C11" s="64"/>
      <c r="D11" s="64"/>
      <c r="E11" s="64"/>
      <c r="F11" s="176"/>
      <c r="G11" s="193" t="s">
        <v>32</v>
      </c>
      <c r="H11" s="194">
        <f>M11</f>
        <v>3500</v>
      </c>
      <c r="I11" s="194">
        <v>0</v>
      </c>
      <c r="J11" s="38">
        <f t="shared" si="1"/>
        <v>3500</v>
      </c>
      <c r="K11" s="33" t="s">
        <v>60</v>
      </c>
      <c r="L11" s="196"/>
      <c r="M11" s="209">
        <f>SUM(M13:M14)</f>
        <v>3500</v>
      </c>
    </row>
    <row r="12" spans="1:13">
      <c r="A12" s="53"/>
      <c r="B12" s="55"/>
      <c r="C12" s="64"/>
      <c r="D12" s="64"/>
      <c r="E12" s="64"/>
      <c r="F12" s="214"/>
      <c r="G12" s="54"/>
      <c r="H12" s="98"/>
      <c r="I12" s="98"/>
      <c r="J12" s="47"/>
      <c r="K12" s="203" t="s">
        <v>563</v>
      </c>
      <c r="L12" s="94"/>
      <c r="M12" s="178"/>
    </row>
    <row r="13" spans="1:13">
      <c r="A13" s="53"/>
      <c r="B13" s="55"/>
      <c r="C13" s="64"/>
      <c r="D13" s="64"/>
      <c r="E13" s="64"/>
      <c r="F13" s="54"/>
      <c r="G13" s="54"/>
      <c r="H13" s="98"/>
      <c r="I13" s="98"/>
      <c r="J13" s="100"/>
      <c r="K13" s="387" t="s">
        <v>566</v>
      </c>
      <c r="L13" s="362" t="s">
        <v>33</v>
      </c>
      <c r="M13" s="358">
        <v>2500</v>
      </c>
    </row>
    <row r="14" spans="1:13">
      <c r="A14" s="53"/>
      <c r="B14" s="55"/>
      <c r="C14" s="64"/>
      <c r="D14" s="64"/>
      <c r="E14" s="64"/>
      <c r="F14" s="54"/>
      <c r="G14" s="54"/>
      <c r="H14" s="98"/>
      <c r="I14" s="98"/>
      <c r="J14" s="100"/>
      <c r="K14" s="387" t="s">
        <v>567</v>
      </c>
      <c r="L14" s="362" t="s">
        <v>33</v>
      </c>
      <c r="M14" s="358">
        <v>1000</v>
      </c>
    </row>
    <row r="15" spans="1:13">
      <c r="A15" s="53"/>
      <c r="B15" s="55"/>
      <c r="C15" s="64"/>
      <c r="D15" s="64"/>
      <c r="E15" s="64"/>
      <c r="F15" s="54"/>
      <c r="G15" s="54"/>
      <c r="H15" s="98">
        <f>M15</f>
        <v>1200</v>
      </c>
      <c r="I15" s="98">
        <v>0</v>
      </c>
      <c r="J15" s="100">
        <f>H15-I15</f>
        <v>1200</v>
      </c>
      <c r="K15" s="203" t="s">
        <v>565</v>
      </c>
      <c r="L15" s="187"/>
      <c r="M15" s="178">
        <f>SUM(M17)</f>
        <v>1200</v>
      </c>
    </row>
    <row r="16" spans="1:13">
      <c r="A16" s="53"/>
      <c r="B16" s="55"/>
      <c r="C16" s="64"/>
      <c r="D16" s="64"/>
      <c r="E16" s="64"/>
      <c r="F16" s="54"/>
      <c r="G16" s="54"/>
      <c r="H16" s="98"/>
      <c r="I16" s="98"/>
      <c r="J16" s="100"/>
      <c r="K16" s="203" t="s">
        <v>564</v>
      </c>
      <c r="L16" s="187"/>
      <c r="M16" s="178"/>
    </row>
    <row r="17" spans="1:13">
      <c r="A17" s="62"/>
      <c r="B17" s="64"/>
      <c r="C17" s="64"/>
      <c r="D17" s="64"/>
      <c r="E17" s="64"/>
      <c r="F17" s="54"/>
      <c r="G17" s="54"/>
      <c r="H17" s="98"/>
      <c r="I17" s="98"/>
      <c r="J17" s="100"/>
      <c r="K17" s="383" t="s">
        <v>568</v>
      </c>
      <c r="L17" s="357" t="s">
        <v>33</v>
      </c>
      <c r="M17" s="358">
        <v>1200</v>
      </c>
    </row>
    <row r="18" spans="1:13">
      <c r="A18" s="10"/>
      <c r="B18" s="6"/>
      <c r="C18" s="141"/>
      <c r="D18" s="123" t="s">
        <v>569</v>
      </c>
      <c r="E18" s="124"/>
      <c r="F18" s="124"/>
      <c r="G18" s="125"/>
      <c r="H18" s="126">
        <f>H19</f>
        <v>4700</v>
      </c>
      <c r="I18" s="126">
        <v>0</v>
      </c>
      <c r="J18" s="9">
        <f t="shared" ref="J18:J21" si="2">H18-I18</f>
        <v>4700</v>
      </c>
      <c r="K18" s="142"/>
      <c r="L18" s="143"/>
      <c r="M18" s="144"/>
    </row>
    <row r="19" spans="1:13">
      <c r="A19" s="10"/>
      <c r="B19" s="6"/>
      <c r="C19" s="128"/>
      <c r="D19" s="129"/>
      <c r="E19" s="123" t="s">
        <v>27</v>
      </c>
      <c r="F19" s="124"/>
      <c r="G19" s="125"/>
      <c r="H19" s="89">
        <f>H20</f>
        <v>4700</v>
      </c>
      <c r="I19" s="89">
        <v>0</v>
      </c>
      <c r="J19" s="90">
        <f t="shared" si="2"/>
        <v>4700</v>
      </c>
      <c r="K19" s="84"/>
      <c r="L19" s="91"/>
      <c r="M19" s="82"/>
    </row>
    <row r="20" spans="1:13">
      <c r="A20" s="62"/>
      <c r="B20" s="64"/>
      <c r="C20" s="64"/>
      <c r="D20" s="64"/>
      <c r="E20" s="64"/>
      <c r="F20" s="130" t="s">
        <v>31</v>
      </c>
      <c r="G20" s="134"/>
      <c r="H20" s="71">
        <f>SUM(H21,H25)</f>
        <v>4700</v>
      </c>
      <c r="I20" s="71">
        <v>0</v>
      </c>
      <c r="J20" s="96">
        <f t="shared" si="2"/>
        <v>4700</v>
      </c>
      <c r="K20" s="138"/>
      <c r="L20" s="35"/>
      <c r="M20" s="34"/>
    </row>
    <row r="21" spans="1:13">
      <c r="A21" s="53"/>
      <c r="B21" s="55"/>
      <c r="C21" s="64"/>
      <c r="D21" s="64"/>
      <c r="E21" s="64"/>
      <c r="F21" s="176"/>
      <c r="G21" s="193" t="s">
        <v>32</v>
      </c>
      <c r="H21" s="194">
        <f>M21</f>
        <v>3500</v>
      </c>
      <c r="I21" s="194">
        <v>0</v>
      </c>
      <c r="J21" s="38">
        <f t="shared" si="2"/>
        <v>3500</v>
      </c>
      <c r="K21" s="33" t="s">
        <v>60</v>
      </c>
      <c r="L21" s="196"/>
      <c r="M21" s="209">
        <f>SUM(M23:M24)</f>
        <v>3500</v>
      </c>
    </row>
    <row r="22" spans="1:13">
      <c r="A22" s="53"/>
      <c r="B22" s="55"/>
      <c r="C22" s="64"/>
      <c r="D22" s="64"/>
      <c r="E22" s="64"/>
      <c r="F22" s="214"/>
      <c r="G22" s="54"/>
      <c r="H22" s="98"/>
      <c r="I22" s="98"/>
      <c r="J22" s="47"/>
      <c r="K22" s="203" t="s">
        <v>563</v>
      </c>
      <c r="L22" s="94"/>
      <c r="M22" s="178"/>
    </row>
    <row r="23" spans="1:13">
      <c r="A23" s="53"/>
      <c r="B23" s="55"/>
      <c r="C23" s="64"/>
      <c r="D23" s="64"/>
      <c r="E23" s="64"/>
      <c r="F23" s="54"/>
      <c r="G23" s="54"/>
      <c r="H23" s="98"/>
      <c r="I23" s="98"/>
      <c r="J23" s="100"/>
      <c r="K23" s="387" t="s">
        <v>566</v>
      </c>
      <c r="L23" s="362" t="s">
        <v>33</v>
      </c>
      <c r="M23" s="358">
        <v>2500</v>
      </c>
    </row>
    <row r="24" spans="1:13">
      <c r="A24" s="53"/>
      <c r="B24" s="55"/>
      <c r="C24" s="64"/>
      <c r="D24" s="64"/>
      <c r="E24" s="64"/>
      <c r="F24" s="54"/>
      <c r="G24" s="54"/>
      <c r="H24" s="98"/>
      <c r="I24" s="98"/>
      <c r="J24" s="100"/>
      <c r="K24" s="387" t="s">
        <v>567</v>
      </c>
      <c r="L24" s="362" t="s">
        <v>33</v>
      </c>
      <c r="M24" s="358">
        <v>1000</v>
      </c>
    </row>
    <row r="25" spans="1:13">
      <c r="A25" s="53"/>
      <c r="B25" s="55"/>
      <c r="C25" s="64"/>
      <c r="D25" s="64"/>
      <c r="E25" s="64"/>
      <c r="F25" s="54"/>
      <c r="G25" s="54"/>
      <c r="H25" s="98">
        <f>M25</f>
        <v>1200</v>
      </c>
      <c r="I25" s="98">
        <v>0</v>
      </c>
      <c r="J25" s="100">
        <f>H25-I25</f>
        <v>1200</v>
      </c>
      <c r="K25" s="203" t="s">
        <v>565</v>
      </c>
      <c r="L25" s="187"/>
      <c r="M25" s="178">
        <f>SUM(M27)</f>
        <v>1200</v>
      </c>
    </row>
    <row r="26" spans="1:13">
      <c r="A26" s="53"/>
      <c r="B26" s="55"/>
      <c r="C26" s="64"/>
      <c r="D26" s="64"/>
      <c r="E26" s="64"/>
      <c r="F26" s="54"/>
      <c r="G26" s="54"/>
      <c r="H26" s="98"/>
      <c r="I26" s="98"/>
      <c r="J26" s="100"/>
      <c r="K26" s="203" t="s">
        <v>564</v>
      </c>
      <c r="L26" s="187"/>
      <c r="M26" s="178"/>
    </row>
    <row r="27" spans="1:13">
      <c r="A27" s="62"/>
      <c r="B27" s="64"/>
      <c r="C27" s="64"/>
      <c r="D27" s="64"/>
      <c r="E27" s="64"/>
      <c r="F27" s="54"/>
      <c r="G27" s="54"/>
      <c r="H27" s="98"/>
      <c r="I27" s="98"/>
      <c r="J27" s="100"/>
      <c r="K27" s="383" t="s">
        <v>568</v>
      </c>
      <c r="L27" s="357" t="s">
        <v>33</v>
      </c>
      <c r="M27" s="358">
        <v>1200</v>
      </c>
    </row>
    <row r="28" spans="1:13">
      <c r="A28" s="10"/>
      <c r="B28" s="6"/>
      <c r="C28" s="164" t="s">
        <v>205</v>
      </c>
      <c r="D28" s="124"/>
      <c r="E28" s="124"/>
      <c r="F28" s="124"/>
      <c r="G28" s="125"/>
      <c r="H28" s="89">
        <f>H29</f>
        <v>25268</v>
      </c>
      <c r="I28" s="89">
        <v>25268</v>
      </c>
      <c r="J28" s="90">
        <f t="shared" si="0"/>
        <v>0</v>
      </c>
      <c r="K28" s="153"/>
      <c r="L28" s="143"/>
      <c r="M28" s="144"/>
    </row>
    <row r="29" spans="1:13">
      <c r="A29" s="10"/>
      <c r="B29" s="6"/>
      <c r="C29" s="141"/>
      <c r="D29" s="123" t="s">
        <v>30</v>
      </c>
      <c r="E29" s="124"/>
      <c r="F29" s="124"/>
      <c r="G29" s="125"/>
      <c r="H29" s="126">
        <f>H30</f>
        <v>25268</v>
      </c>
      <c r="I29" s="126">
        <v>25268</v>
      </c>
      <c r="J29" s="9">
        <f t="shared" si="0"/>
        <v>0</v>
      </c>
      <c r="K29" s="142"/>
      <c r="L29" s="143"/>
      <c r="M29" s="144"/>
    </row>
    <row r="30" spans="1:13">
      <c r="A30" s="10"/>
      <c r="B30" s="6"/>
      <c r="C30" s="128"/>
      <c r="D30" s="129"/>
      <c r="E30" s="123" t="s">
        <v>27</v>
      </c>
      <c r="F30" s="124"/>
      <c r="G30" s="125"/>
      <c r="H30" s="89">
        <f>SUM(H31,H36,H40,H43)</f>
        <v>25268</v>
      </c>
      <c r="I30" s="89">
        <v>25268</v>
      </c>
      <c r="J30" s="90">
        <f t="shared" si="0"/>
        <v>0</v>
      </c>
      <c r="K30" s="84"/>
      <c r="L30" s="91"/>
      <c r="M30" s="82"/>
    </row>
    <row r="31" spans="1:13">
      <c r="A31" s="62"/>
      <c r="B31" s="64"/>
      <c r="C31" s="64"/>
      <c r="D31" s="64"/>
      <c r="E31" s="64"/>
      <c r="F31" s="130" t="s">
        <v>31</v>
      </c>
      <c r="G31" s="134"/>
      <c r="H31" s="71">
        <f>SUM(H32,H34)</f>
        <v>8568</v>
      </c>
      <c r="I31" s="71">
        <v>8568</v>
      </c>
      <c r="J31" s="96">
        <f t="shared" si="0"/>
        <v>0</v>
      </c>
      <c r="K31" s="138"/>
      <c r="L31" s="35"/>
      <c r="M31" s="34"/>
    </row>
    <row r="32" spans="1:13">
      <c r="A32" s="53"/>
      <c r="B32" s="55"/>
      <c r="C32" s="64"/>
      <c r="D32" s="64"/>
      <c r="E32" s="64"/>
      <c r="F32" s="176"/>
      <c r="G32" s="193" t="s">
        <v>32</v>
      </c>
      <c r="H32" s="194">
        <f>M32</f>
        <v>2520</v>
      </c>
      <c r="I32" s="194">
        <v>2520</v>
      </c>
      <c r="J32" s="38">
        <f t="shared" si="0"/>
        <v>0</v>
      </c>
      <c r="K32" s="33" t="s">
        <v>44</v>
      </c>
      <c r="L32" s="196"/>
      <c r="M32" s="209">
        <f>SUM(M33:M33)</f>
        <v>2520</v>
      </c>
    </row>
    <row r="33" spans="1:13">
      <c r="A33" s="53"/>
      <c r="B33" s="55"/>
      <c r="C33" s="64"/>
      <c r="D33" s="64"/>
      <c r="E33" s="64"/>
      <c r="F33" s="54"/>
      <c r="G33" s="54"/>
      <c r="H33" s="98"/>
      <c r="I33" s="98"/>
      <c r="J33" s="100"/>
      <c r="K33" s="177" t="s">
        <v>352</v>
      </c>
      <c r="L33" s="187" t="s">
        <v>33</v>
      </c>
      <c r="M33" s="175">
        <v>2520</v>
      </c>
    </row>
    <row r="34" spans="1:13">
      <c r="A34" s="53"/>
      <c r="B34" s="55"/>
      <c r="C34" s="64"/>
      <c r="D34" s="64"/>
      <c r="E34" s="64"/>
      <c r="F34" s="54"/>
      <c r="G34" s="193" t="s">
        <v>249</v>
      </c>
      <c r="H34" s="194">
        <f>M34</f>
        <v>6048</v>
      </c>
      <c r="I34" s="194">
        <v>6048</v>
      </c>
      <c r="J34" s="195">
        <f>H34-I34</f>
        <v>0</v>
      </c>
      <c r="K34" s="33" t="s">
        <v>250</v>
      </c>
      <c r="L34" s="48"/>
      <c r="M34" s="209">
        <f>SUM(M35)</f>
        <v>6048</v>
      </c>
    </row>
    <row r="35" spans="1:13">
      <c r="A35" s="62"/>
      <c r="B35" s="64"/>
      <c r="C35" s="64"/>
      <c r="D35" s="64"/>
      <c r="E35" s="64"/>
      <c r="F35" s="54"/>
      <c r="G35" s="54"/>
      <c r="H35" s="98"/>
      <c r="I35" s="98"/>
      <c r="J35" s="100"/>
      <c r="K35" s="206" t="s">
        <v>350</v>
      </c>
      <c r="L35" s="189" t="s">
        <v>33</v>
      </c>
      <c r="M35" s="175">
        <v>6048</v>
      </c>
    </row>
    <row r="36" spans="1:13">
      <c r="A36" s="62"/>
      <c r="B36" s="64"/>
      <c r="C36" s="64"/>
      <c r="D36" s="64"/>
      <c r="E36" s="64"/>
      <c r="F36" s="430" t="s">
        <v>36</v>
      </c>
      <c r="G36" s="431"/>
      <c r="H36" s="146">
        <f>H37</f>
        <v>12600</v>
      </c>
      <c r="I36" s="146">
        <v>12600</v>
      </c>
      <c r="J36" s="147">
        <f>H36-I36</f>
        <v>0</v>
      </c>
      <c r="K36" s="148"/>
      <c r="L36" s="56"/>
      <c r="M36" s="57"/>
    </row>
    <row r="37" spans="1:13">
      <c r="A37" s="62"/>
      <c r="B37" s="64"/>
      <c r="C37" s="64"/>
      <c r="D37" s="64"/>
      <c r="E37" s="64"/>
      <c r="F37" s="107"/>
      <c r="G37" s="184" t="s">
        <v>37</v>
      </c>
      <c r="H37" s="197">
        <f>M37</f>
        <v>12600</v>
      </c>
      <c r="I37" s="194">
        <v>12600</v>
      </c>
      <c r="J37" s="186">
        <f>H37-I37</f>
        <v>0</v>
      </c>
      <c r="K37" s="33" t="s">
        <v>46</v>
      </c>
      <c r="L37" s="199"/>
      <c r="M37" s="209">
        <f>SUM(M38:M39)</f>
        <v>12600</v>
      </c>
    </row>
    <row r="38" spans="1:13">
      <c r="A38" s="62"/>
      <c r="B38" s="64"/>
      <c r="C38" s="64"/>
      <c r="D38" s="64"/>
      <c r="E38" s="64"/>
      <c r="F38" s="179"/>
      <c r="G38" s="179"/>
      <c r="H38" s="98"/>
      <c r="I38" s="102"/>
      <c r="J38" s="100"/>
      <c r="K38" s="204" t="s">
        <v>428</v>
      </c>
      <c r="L38" s="94" t="s">
        <v>0</v>
      </c>
      <c r="M38" s="175">
        <v>3360</v>
      </c>
    </row>
    <row r="39" spans="1:13">
      <c r="A39" s="62"/>
      <c r="B39" s="64"/>
      <c r="C39" s="64"/>
      <c r="D39" s="64"/>
      <c r="E39" s="64"/>
      <c r="F39" s="179"/>
      <c r="G39" s="179"/>
      <c r="H39" s="98"/>
      <c r="I39" s="102"/>
      <c r="J39" s="100"/>
      <c r="K39" s="183" t="s">
        <v>429</v>
      </c>
      <c r="L39" s="198" t="s">
        <v>0</v>
      </c>
      <c r="M39" s="175">
        <v>9240</v>
      </c>
    </row>
    <row r="40" spans="1:13">
      <c r="A40" s="62"/>
      <c r="B40" s="64"/>
      <c r="C40" s="64"/>
      <c r="D40" s="64"/>
      <c r="E40" s="64"/>
      <c r="F40" s="430" t="s">
        <v>38</v>
      </c>
      <c r="G40" s="431"/>
      <c r="H40" s="146">
        <f>H41</f>
        <v>2000</v>
      </c>
      <c r="I40" s="146">
        <v>2000</v>
      </c>
      <c r="J40" s="147">
        <f>H40-I40</f>
        <v>0</v>
      </c>
      <c r="K40" s="148"/>
      <c r="L40" s="56"/>
      <c r="M40" s="57"/>
    </row>
    <row r="41" spans="1:13">
      <c r="A41" s="62"/>
      <c r="B41" s="64"/>
      <c r="C41" s="64"/>
      <c r="D41" s="64"/>
      <c r="E41" s="64"/>
      <c r="F41" s="179"/>
      <c r="G41" s="107" t="s">
        <v>39</v>
      </c>
      <c r="H41" s="197">
        <f>M41</f>
        <v>2000</v>
      </c>
      <c r="I41" s="197">
        <v>2000</v>
      </c>
      <c r="J41" s="186">
        <f>H41-I41</f>
        <v>0</v>
      </c>
      <c r="K41" s="33" t="s">
        <v>47</v>
      </c>
      <c r="L41" s="196"/>
      <c r="M41" s="209">
        <f>SUM(M42)</f>
        <v>2000</v>
      </c>
    </row>
    <row r="42" spans="1:13">
      <c r="A42" s="320"/>
      <c r="B42" s="321"/>
      <c r="C42" s="321"/>
      <c r="D42" s="321"/>
      <c r="E42" s="321"/>
      <c r="F42" s="180"/>
      <c r="G42" s="180"/>
      <c r="H42" s="101"/>
      <c r="I42" s="149"/>
      <c r="J42" s="149"/>
      <c r="K42" s="183" t="s">
        <v>517</v>
      </c>
      <c r="L42" s="198" t="s">
        <v>0</v>
      </c>
      <c r="M42" s="181">
        <v>2000</v>
      </c>
    </row>
    <row r="43" spans="1:13">
      <c r="A43" s="62"/>
      <c r="B43" s="64"/>
      <c r="C43" s="64"/>
      <c r="D43" s="64"/>
      <c r="E43" s="64"/>
      <c r="F43" s="331" t="s">
        <v>89</v>
      </c>
      <c r="G43" s="69"/>
      <c r="H43" s="70">
        <f>H44</f>
        <v>2100</v>
      </c>
      <c r="I43" s="70">
        <v>2100</v>
      </c>
      <c r="J43" s="140">
        <f>H43-I43</f>
        <v>0</v>
      </c>
      <c r="K43" s="274"/>
      <c r="L43" s="275"/>
      <c r="M43" s="332"/>
    </row>
    <row r="44" spans="1:13">
      <c r="A44" s="62"/>
      <c r="B44" s="64"/>
      <c r="C44" s="64"/>
      <c r="D44" s="64"/>
      <c r="E44" s="64"/>
      <c r="F44" s="137"/>
      <c r="G44" s="64" t="s">
        <v>93</v>
      </c>
      <c r="H44" s="75">
        <f>M44</f>
        <v>2100</v>
      </c>
      <c r="I44" s="75">
        <v>2100</v>
      </c>
      <c r="J44" s="45">
        <f>H44-I44</f>
        <v>0</v>
      </c>
      <c r="K44" s="33" t="s">
        <v>360</v>
      </c>
      <c r="L44" s="36"/>
      <c r="M44" s="209">
        <f>M45</f>
        <v>2100</v>
      </c>
    </row>
    <row r="45" spans="1:13" ht="17.25" thickBot="1">
      <c r="A45" s="288"/>
      <c r="B45" s="68"/>
      <c r="C45" s="68"/>
      <c r="D45" s="68"/>
      <c r="E45" s="68"/>
      <c r="F45" s="333"/>
      <c r="G45" s="185"/>
      <c r="H45" s="334"/>
      <c r="I45" s="335"/>
      <c r="J45" s="336"/>
      <c r="K45" s="224" t="s">
        <v>370</v>
      </c>
      <c r="L45" s="225" t="s">
        <v>0</v>
      </c>
      <c r="M45" s="235">
        <v>2100</v>
      </c>
    </row>
  </sheetData>
  <autoFilter ref="A3:M45">
    <filterColumn colId="10" showButton="0"/>
    <filterColumn colId="11" showButton="0"/>
  </autoFilter>
  <mergeCells count="10">
    <mergeCell ref="K2:M3"/>
    <mergeCell ref="A4:G4"/>
    <mergeCell ref="F36:G36"/>
    <mergeCell ref="F40:G40"/>
    <mergeCell ref="A2:A3"/>
    <mergeCell ref="B2:D2"/>
    <mergeCell ref="E2:G2"/>
    <mergeCell ref="H2:H3"/>
    <mergeCell ref="I2:I3"/>
    <mergeCell ref="J2:J3"/>
  </mergeCells>
  <phoneticPr fontId="12" type="noConversion"/>
  <conditionalFormatting sqref="J41:J42">
    <cfRule type="containsText" dxfId="401" priority="133" operator="containsText" text="허하나로">
      <formula>NOT(ISERROR(SEARCH("허하나로",H1067)))</formula>
    </cfRule>
    <cfRule type="containsText" dxfId="400" priority="134" operator="containsText" text="한별">
      <formula>NOT(ISERROR(SEARCH("한별",H1067)))</formula>
    </cfRule>
    <cfRule type="containsText" dxfId="399" priority="135" operator="containsText" text="정홍조">
      <formula>NOT(ISERROR(SEARCH("정홍조",H1067)))</formula>
    </cfRule>
    <cfRule type="containsText" dxfId="398" priority="136" operator="containsText" text="김지윤">
      <formula>NOT(ISERROR(SEARCH("김지윤",H1067)))</formula>
    </cfRule>
    <cfRule type="containsText" dxfId="397" priority="137" operator="containsText" text="전준영">
      <formula>NOT(ISERROR(SEARCH("전준영",H1067)))</formula>
    </cfRule>
    <cfRule type="containsText" dxfId="396" priority="138" operator="containsText" text="차재성">
      <formula>NOT(ISERROR(SEARCH("차재성",H1067)))</formula>
    </cfRule>
  </conditionalFormatting>
  <conditionalFormatting sqref="J6">
    <cfRule type="containsText" dxfId="395" priority="145" operator="containsText" text="허하나로">
      <formula>NOT(ISERROR(SEARCH("허하나로",H704)))</formula>
    </cfRule>
    <cfRule type="containsText" dxfId="394" priority="146" operator="containsText" text="한별">
      <formula>NOT(ISERROR(SEARCH("한별",H704)))</formula>
    </cfRule>
    <cfRule type="containsText" dxfId="393" priority="147" operator="containsText" text="정홍조">
      <formula>NOT(ISERROR(SEARCH("정홍조",H704)))</formula>
    </cfRule>
    <cfRule type="containsText" dxfId="392" priority="148" operator="containsText" text="김지윤">
      <formula>NOT(ISERROR(SEARCH("김지윤",H704)))</formula>
    </cfRule>
    <cfRule type="containsText" dxfId="391" priority="149" operator="containsText" text="전준영">
      <formula>NOT(ISERROR(SEARCH("전준영",H704)))</formula>
    </cfRule>
    <cfRule type="containsText" dxfId="390" priority="150" operator="containsText" text="차재성">
      <formula>NOT(ISERROR(SEARCH("차재성",H704)))</formula>
    </cfRule>
  </conditionalFormatting>
  <conditionalFormatting sqref="J5">
    <cfRule type="containsText" dxfId="389" priority="139" operator="containsText" text="허하나로">
      <formula>NOT(ISERROR(SEARCH("허하나로",H703)))</formula>
    </cfRule>
    <cfRule type="containsText" dxfId="388" priority="140" operator="containsText" text="한별">
      <formula>NOT(ISERROR(SEARCH("한별",H703)))</formula>
    </cfRule>
    <cfRule type="containsText" dxfId="387" priority="141" operator="containsText" text="정홍조">
      <formula>NOT(ISERROR(SEARCH("정홍조",H703)))</formula>
    </cfRule>
    <cfRule type="containsText" dxfId="386" priority="142" operator="containsText" text="김지윤">
      <formula>NOT(ISERROR(SEARCH("김지윤",H703)))</formula>
    </cfRule>
    <cfRule type="containsText" dxfId="385" priority="143" operator="containsText" text="전준영">
      <formula>NOT(ISERROR(SEARCH("전준영",H703)))</formula>
    </cfRule>
    <cfRule type="containsText" dxfId="384" priority="144" operator="containsText" text="차재성">
      <formula>NOT(ISERROR(SEARCH("차재성",H703)))</formula>
    </cfRule>
  </conditionalFormatting>
  <conditionalFormatting sqref="J28">
    <cfRule type="containsText" dxfId="383" priority="127" operator="containsText" text="허하나로">
      <formula>NOT(ISERROR(SEARCH("허하나로",H837)))</formula>
    </cfRule>
    <cfRule type="containsText" dxfId="382" priority="128" operator="containsText" text="한별">
      <formula>NOT(ISERROR(SEARCH("한별",H837)))</formula>
    </cfRule>
    <cfRule type="containsText" dxfId="381" priority="129" operator="containsText" text="정홍조">
      <formula>NOT(ISERROR(SEARCH("정홍조",H837)))</formula>
    </cfRule>
    <cfRule type="containsText" dxfId="380" priority="130" operator="containsText" text="김지윤">
      <formula>NOT(ISERROR(SEARCH("김지윤",H837)))</formula>
    </cfRule>
    <cfRule type="containsText" dxfId="379" priority="131" operator="containsText" text="전준영">
      <formula>NOT(ISERROR(SEARCH("전준영",H837)))</formula>
    </cfRule>
    <cfRule type="containsText" dxfId="378" priority="132" operator="containsText" text="차재성">
      <formula>NOT(ISERROR(SEARCH("차재성",H837)))</formula>
    </cfRule>
  </conditionalFormatting>
  <conditionalFormatting sqref="J31:J32">
    <cfRule type="containsText" dxfId="377" priority="121" operator="containsText" text="허하나로">
      <formula>NOT(ISERROR(SEARCH("허하나로",H1045)))</formula>
    </cfRule>
    <cfRule type="containsText" dxfId="376" priority="122" operator="containsText" text="한별">
      <formula>NOT(ISERROR(SEARCH("한별",H1045)))</formula>
    </cfRule>
    <cfRule type="containsText" dxfId="375" priority="123" operator="containsText" text="정홍조">
      <formula>NOT(ISERROR(SEARCH("정홍조",H1045)))</formula>
    </cfRule>
    <cfRule type="containsText" dxfId="374" priority="124" operator="containsText" text="김지윤">
      <formula>NOT(ISERROR(SEARCH("김지윤",H1045)))</formula>
    </cfRule>
    <cfRule type="containsText" dxfId="373" priority="125" operator="containsText" text="전준영">
      <formula>NOT(ISERROR(SEARCH("전준영",H1045)))</formula>
    </cfRule>
    <cfRule type="containsText" dxfId="372" priority="126" operator="containsText" text="차재성">
      <formula>NOT(ISERROR(SEARCH("차재성",H1045)))</formula>
    </cfRule>
  </conditionalFormatting>
  <conditionalFormatting sqref="J30">
    <cfRule type="containsText" dxfId="371" priority="163" operator="containsText" text="허하나로">
      <formula>NOT(ISERROR(SEARCH("허하나로",H1034)))</formula>
    </cfRule>
    <cfRule type="containsText" dxfId="370" priority="164" operator="containsText" text="한별">
      <formula>NOT(ISERROR(SEARCH("한별",H1034)))</formula>
    </cfRule>
    <cfRule type="containsText" dxfId="369" priority="165" operator="containsText" text="정홍조">
      <formula>NOT(ISERROR(SEARCH("정홍조",H1034)))</formula>
    </cfRule>
    <cfRule type="containsText" dxfId="368" priority="166" operator="containsText" text="김지윤">
      <formula>NOT(ISERROR(SEARCH("김지윤",H1034)))</formula>
    </cfRule>
    <cfRule type="containsText" dxfId="367" priority="167" operator="containsText" text="전준영">
      <formula>NOT(ISERROR(SEARCH("전준영",H1034)))</formula>
    </cfRule>
    <cfRule type="containsText" dxfId="366" priority="168" operator="containsText" text="차재성">
      <formula>NOT(ISERROR(SEARCH("차재성",H1034)))</formula>
    </cfRule>
  </conditionalFormatting>
  <conditionalFormatting sqref="J36:J39">
    <cfRule type="containsText" dxfId="365" priority="169" operator="containsText" text="허하나로">
      <formula>NOT(ISERROR(SEARCH("허하나로",H1047)))</formula>
    </cfRule>
    <cfRule type="containsText" dxfId="364" priority="170" operator="containsText" text="한별">
      <formula>NOT(ISERROR(SEARCH("한별",H1047)))</formula>
    </cfRule>
    <cfRule type="containsText" dxfId="363" priority="171" operator="containsText" text="정홍조">
      <formula>NOT(ISERROR(SEARCH("정홍조",H1047)))</formula>
    </cfRule>
    <cfRule type="containsText" dxfId="362" priority="172" operator="containsText" text="김지윤">
      <formula>NOT(ISERROR(SEARCH("김지윤",H1047)))</formula>
    </cfRule>
    <cfRule type="containsText" dxfId="361" priority="173" operator="containsText" text="전준영">
      <formula>NOT(ISERROR(SEARCH("전준영",H1047)))</formula>
    </cfRule>
    <cfRule type="containsText" dxfId="360" priority="174" operator="containsText" text="차재성">
      <formula>NOT(ISERROR(SEARCH("차재성",H1047)))</formula>
    </cfRule>
  </conditionalFormatting>
  <conditionalFormatting sqref="J40">
    <cfRule type="containsText" dxfId="359" priority="109" operator="containsText" text="허하나로">
      <formula>NOT(ISERROR(SEARCH("허하나로",H1051)))</formula>
    </cfRule>
    <cfRule type="containsText" dxfId="358" priority="110" operator="containsText" text="한별">
      <formula>NOT(ISERROR(SEARCH("한별",H1051)))</formula>
    </cfRule>
    <cfRule type="containsText" dxfId="357" priority="111" operator="containsText" text="정홍조">
      <formula>NOT(ISERROR(SEARCH("정홍조",H1051)))</formula>
    </cfRule>
    <cfRule type="containsText" dxfId="356" priority="112" operator="containsText" text="김지윤">
      <formula>NOT(ISERROR(SEARCH("김지윤",H1051)))</formula>
    </cfRule>
    <cfRule type="containsText" dxfId="355" priority="113" operator="containsText" text="전준영">
      <formula>NOT(ISERROR(SEARCH("전준영",H1051)))</formula>
    </cfRule>
    <cfRule type="containsText" dxfId="354" priority="114" operator="containsText" text="차재성">
      <formula>NOT(ISERROR(SEARCH("차재성",H1051)))</formula>
    </cfRule>
  </conditionalFormatting>
  <conditionalFormatting sqref="L37">
    <cfRule type="containsText" dxfId="353" priority="103" operator="containsText" text="허하나로">
      <formula>NOT(ISERROR(SEARCH("허하나로",J1182)))</formula>
    </cfRule>
    <cfRule type="containsText" dxfId="352" priority="104" operator="containsText" text="한별">
      <formula>NOT(ISERROR(SEARCH("한별",J1182)))</formula>
    </cfRule>
    <cfRule type="containsText" dxfId="351" priority="105" operator="containsText" text="정홍조">
      <formula>NOT(ISERROR(SEARCH("정홍조",J1182)))</formula>
    </cfRule>
    <cfRule type="containsText" dxfId="350" priority="106" operator="containsText" text="김지윤">
      <formula>NOT(ISERROR(SEARCH("김지윤",J1182)))</formula>
    </cfRule>
    <cfRule type="containsText" dxfId="349" priority="107" operator="containsText" text="전준영">
      <formula>NOT(ISERROR(SEARCH("전준영",J1182)))</formula>
    </cfRule>
    <cfRule type="containsText" dxfId="348" priority="108" operator="containsText" text="차재성">
      <formula>NOT(ISERROR(SEARCH("차재성",J1182)))</formula>
    </cfRule>
  </conditionalFormatting>
  <conditionalFormatting sqref="I42">
    <cfRule type="containsText" dxfId="347" priority="97" operator="containsText" text="허하나로">
      <formula>NOT(ISERROR(SEARCH("허하나로",G1068)))</formula>
    </cfRule>
    <cfRule type="containsText" dxfId="346" priority="98" operator="containsText" text="한별">
      <formula>NOT(ISERROR(SEARCH("한별",G1068)))</formula>
    </cfRule>
    <cfRule type="containsText" dxfId="345" priority="99" operator="containsText" text="정홍조">
      <formula>NOT(ISERROR(SEARCH("정홍조",G1068)))</formula>
    </cfRule>
    <cfRule type="containsText" dxfId="344" priority="100" operator="containsText" text="김지윤">
      <formula>NOT(ISERROR(SEARCH("김지윤",G1068)))</formula>
    </cfRule>
    <cfRule type="containsText" dxfId="343" priority="101" operator="containsText" text="전준영">
      <formula>NOT(ISERROR(SEARCH("전준영",G1068)))</formula>
    </cfRule>
    <cfRule type="containsText" dxfId="342" priority="102" operator="containsText" text="차재성">
      <formula>NOT(ISERROR(SEARCH("차재성",G1068)))</formula>
    </cfRule>
  </conditionalFormatting>
  <conditionalFormatting sqref="J33">
    <cfRule type="containsText" dxfId="341" priority="3943" operator="containsText" text="허하나로">
      <formula>NOT(ISERROR(SEARCH("허하나로",H1036)))</formula>
    </cfRule>
    <cfRule type="containsText" dxfId="340" priority="3944" operator="containsText" text="한별">
      <formula>NOT(ISERROR(SEARCH("한별",H1036)))</formula>
    </cfRule>
    <cfRule type="containsText" dxfId="339" priority="3945" operator="containsText" text="정홍조">
      <formula>NOT(ISERROR(SEARCH("정홍조",H1036)))</formula>
    </cfRule>
    <cfRule type="containsText" dxfId="338" priority="3946" operator="containsText" text="김지윤">
      <formula>NOT(ISERROR(SEARCH("김지윤",H1036)))</formula>
    </cfRule>
    <cfRule type="containsText" dxfId="337" priority="3947" operator="containsText" text="전준영">
      <formula>NOT(ISERROR(SEARCH("전준영",H1036)))</formula>
    </cfRule>
    <cfRule type="containsText" dxfId="336" priority="3948" operator="containsText" text="차재성">
      <formula>NOT(ISERROR(SEARCH("차재성",H1036)))</formula>
    </cfRule>
  </conditionalFormatting>
  <conditionalFormatting sqref="J2:J3">
    <cfRule type="containsText" dxfId="335" priority="73" operator="containsText" text="허하나로">
      <formula>NOT(ISERROR(SEARCH("허하나로",H783)))</formula>
    </cfRule>
    <cfRule type="containsText" dxfId="334" priority="74" operator="containsText" text="한별">
      <formula>NOT(ISERROR(SEARCH("한별",H783)))</formula>
    </cfRule>
    <cfRule type="containsText" dxfId="333" priority="75" operator="containsText" text="정홍조">
      <formula>NOT(ISERROR(SEARCH("정홍조",H783)))</formula>
    </cfRule>
    <cfRule type="containsText" dxfId="332" priority="76" operator="containsText" text="김지윤">
      <formula>NOT(ISERROR(SEARCH("김지윤",H783)))</formula>
    </cfRule>
    <cfRule type="containsText" dxfId="331" priority="77" operator="containsText" text="전준영">
      <formula>NOT(ISERROR(SEARCH("전준영",H783)))</formula>
    </cfRule>
    <cfRule type="containsText" dxfId="330" priority="78" operator="containsText" text="차재성">
      <formula>NOT(ISERROR(SEARCH("차재성",H783)))</formula>
    </cfRule>
  </conditionalFormatting>
  <conditionalFormatting sqref="J7">
    <cfRule type="containsText" dxfId="329" priority="55" operator="containsText" text="허하나로">
      <formula>NOT(ISERROR(SEARCH("허하나로",H829)))</formula>
    </cfRule>
    <cfRule type="containsText" dxfId="328" priority="56" operator="containsText" text="한별">
      <formula>NOT(ISERROR(SEARCH("한별",H829)))</formula>
    </cfRule>
    <cfRule type="containsText" dxfId="327" priority="57" operator="containsText" text="정홍조">
      <formula>NOT(ISERROR(SEARCH("정홍조",H829)))</formula>
    </cfRule>
    <cfRule type="containsText" dxfId="326" priority="58" operator="containsText" text="김지윤">
      <formula>NOT(ISERROR(SEARCH("김지윤",H829)))</formula>
    </cfRule>
    <cfRule type="containsText" dxfId="325" priority="59" operator="containsText" text="전준영">
      <formula>NOT(ISERROR(SEARCH("전준영",H829)))</formula>
    </cfRule>
    <cfRule type="containsText" dxfId="324" priority="60" operator="containsText" text="차재성">
      <formula>NOT(ISERROR(SEARCH("차재성",H829)))</formula>
    </cfRule>
  </conditionalFormatting>
  <conditionalFormatting sqref="J10:J12">
    <cfRule type="containsText" dxfId="323" priority="49" operator="containsText" text="허하나로">
      <formula>NOT(ISERROR(SEARCH("허하나로",H1037)))</formula>
    </cfRule>
    <cfRule type="containsText" dxfId="322" priority="50" operator="containsText" text="한별">
      <formula>NOT(ISERROR(SEARCH("한별",H1037)))</formula>
    </cfRule>
    <cfRule type="containsText" dxfId="321" priority="51" operator="containsText" text="정홍조">
      <formula>NOT(ISERROR(SEARCH("정홍조",H1037)))</formula>
    </cfRule>
    <cfRule type="containsText" dxfId="320" priority="52" operator="containsText" text="김지윤">
      <formula>NOT(ISERROR(SEARCH("김지윤",H1037)))</formula>
    </cfRule>
    <cfRule type="containsText" dxfId="319" priority="53" operator="containsText" text="전준영">
      <formula>NOT(ISERROR(SEARCH("전준영",H1037)))</formula>
    </cfRule>
    <cfRule type="containsText" dxfId="318" priority="54" operator="containsText" text="차재성">
      <formula>NOT(ISERROR(SEARCH("차재성",H1037)))</formula>
    </cfRule>
  </conditionalFormatting>
  <conditionalFormatting sqref="J9">
    <cfRule type="containsText" dxfId="317" priority="61" operator="containsText" text="허하나로">
      <formula>NOT(ISERROR(SEARCH("허하나로",H1026)))</formula>
    </cfRule>
    <cfRule type="containsText" dxfId="316" priority="62" operator="containsText" text="한별">
      <formula>NOT(ISERROR(SEARCH("한별",H1026)))</formula>
    </cfRule>
    <cfRule type="containsText" dxfId="315" priority="63" operator="containsText" text="정홍조">
      <formula>NOT(ISERROR(SEARCH("정홍조",H1026)))</formula>
    </cfRule>
    <cfRule type="containsText" dxfId="314" priority="64" operator="containsText" text="김지윤">
      <formula>NOT(ISERROR(SEARCH("김지윤",H1026)))</formula>
    </cfRule>
    <cfRule type="containsText" dxfId="313" priority="65" operator="containsText" text="전준영">
      <formula>NOT(ISERROR(SEARCH("전준영",H1026)))</formula>
    </cfRule>
    <cfRule type="containsText" dxfId="312" priority="66" operator="containsText" text="차재성">
      <formula>NOT(ISERROR(SEARCH("차재성",H1026)))</formula>
    </cfRule>
  </conditionalFormatting>
  <conditionalFormatting sqref="J14">
    <cfRule type="containsText" dxfId="311" priority="67" operator="containsText" text="허하나로">
      <formula>NOT(ISERROR(SEARCH("허하나로",H1028)))</formula>
    </cfRule>
    <cfRule type="containsText" dxfId="310" priority="68" operator="containsText" text="한별">
      <formula>NOT(ISERROR(SEARCH("한별",H1028)))</formula>
    </cfRule>
    <cfRule type="containsText" dxfId="309" priority="69" operator="containsText" text="정홍조">
      <formula>NOT(ISERROR(SEARCH("정홍조",H1028)))</formula>
    </cfRule>
    <cfRule type="containsText" dxfId="308" priority="70" operator="containsText" text="김지윤">
      <formula>NOT(ISERROR(SEARCH("김지윤",H1028)))</formula>
    </cfRule>
    <cfRule type="containsText" dxfId="307" priority="71" operator="containsText" text="전준영">
      <formula>NOT(ISERROR(SEARCH("전준영",H1028)))</formula>
    </cfRule>
    <cfRule type="containsText" dxfId="306" priority="72" operator="containsText" text="차재성">
      <formula>NOT(ISERROR(SEARCH("차재성",H1028)))</formula>
    </cfRule>
  </conditionalFormatting>
  <conditionalFormatting sqref="J13">
    <cfRule type="containsText" dxfId="305" priority="37" operator="containsText" text="허하나로">
      <formula>NOT(ISERROR(SEARCH("허하나로",H1027)))</formula>
    </cfRule>
    <cfRule type="containsText" dxfId="304" priority="38" operator="containsText" text="한별">
      <formula>NOT(ISERROR(SEARCH("한별",H1027)))</formula>
    </cfRule>
    <cfRule type="containsText" dxfId="303" priority="39" operator="containsText" text="정홍조">
      <formula>NOT(ISERROR(SEARCH("정홍조",H1027)))</formula>
    </cfRule>
    <cfRule type="containsText" dxfId="302" priority="40" operator="containsText" text="김지윤">
      <formula>NOT(ISERROR(SEARCH("김지윤",H1027)))</formula>
    </cfRule>
    <cfRule type="containsText" dxfId="301" priority="41" operator="containsText" text="전준영">
      <formula>NOT(ISERROR(SEARCH("전준영",H1027)))</formula>
    </cfRule>
    <cfRule type="containsText" dxfId="300" priority="42" operator="containsText" text="차재성">
      <formula>NOT(ISERROR(SEARCH("차재성",H1027)))</formula>
    </cfRule>
  </conditionalFormatting>
  <conditionalFormatting sqref="J20:J22">
    <cfRule type="containsText" dxfId="299" priority="13" operator="containsText" text="허하나로">
      <formula>NOT(ISERROR(SEARCH("허하나로",H1047)))</formula>
    </cfRule>
    <cfRule type="containsText" dxfId="298" priority="14" operator="containsText" text="한별">
      <formula>NOT(ISERROR(SEARCH("한별",H1047)))</formula>
    </cfRule>
    <cfRule type="containsText" dxfId="297" priority="15" operator="containsText" text="정홍조">
      <formula>NOT(ISERROR(SEARCH("정홍조",H1047)))</formula>
    </cfRule>
    <cfRule type="containsText" dxfId="296" priority="16" operator="containsText" text="김지윤">
      <formula>NOT(ISERROR(SEARCH("김지윤",H1047)))</formula>
    </cfRule>
    <cfRule type="containsText" dxfId="295" priority="17" operator="containsText" text="전준영">
      <formula>NOT(ISERROR(SEARCH("전준영",H1047)))</formula>
    </cfRule>
    <cfRule type="containsText" dxfId="294" priority="18" operator="containsText" text="차재성">
      <formula>NOT(ISERROR(SEARCH("차재성",H1047)))</formula>
    </cfRule>
  </conditionalFormatting>
  <conditionalFormatting sqref="J19">
    <cfRule type="containsText" dxfId="293" priority="19" operator="containsText" text="허하나로">
      <formula>NOT(ISERROR(SEARCH("허하나로",H1036)))</formula>
    </cfRule>
    <cfRule type="containsText" dxfId="292" priority="20" operator="containsText" text="한별">
      <formula>NOT(ISERROR(SEARCH("한별",H1036)))</formula>
    </cfRule>
    <cfRule type="containsText" dxfId="291" priority="21" operator="containsText" text="정홍조">
      <formula>NOT(ISERROR(SEARCH("정홍조",H1036)))</formula>
    </cfRule>
    <cfRule type="containsText" dxfId="290" priority="22" operator="containsText" text="김지윤">
      <formula>NOT(ISERROR(SEARCH("김지윤",H1036)))</formula>
    </cfRule>
    <cfRule type="containsText" dxfId="289" priority="23" operator="containsText" text="전준영">
      <formula>NOT(ISERROR(SEARCH("전준영",H1036)))</formula>
    </cfRule>
    <cfRule type="containsText" dxfId="288" priority="24" operator="containsText" text="차재성">
      <formula>NOT(ISERROR(SEARCH("차재성",H1036)))</formula>
    </cfRule>
  </conditionalFormatting>
  <conditionalFormatting sqref="J24">
    <cfRule type="containsText" dxfId="287" priority="25" operator="containsText" text="허하나로">
      <formula>NOT(ISERROR(SEARCH("허하나로",H1038)))</formula>
    </cfRule>
    <cfRule type="containsText" dxfId="286" priority="26" operator="containsText" text="한별">
      <formula>NOT(ISERROR(SEARCH("한별",H1038)))</formula>
    </cfRule>
    <cfRule type="containsText" dxfId="285" priority="27" operator="containsText" text="정홍조">
      <formula>NOT(ISERROR(SEARCH("정홍조",H1038)))</formula>
    </cfRule>
    <cfRule type="containsText" dxfId="284" priority="28" operator="containsText" text="김지윤">
      <formula>NOT(ISERROR(SEARCH("김지윤",H1038)))</formula>
    </cfRule>
    <cfRule type="containsText" dxfId="283" priority="29" operator="containsText" text="전준영">
      <formula>NOT(ISERROR(SEARCH("전준영",H1038)))</formula>
    </cfRule>
    <cfRule type="containsText" dxfId="282" priority="30" operator="containsText" text="차재성">
      <formula>NOT(ISERROR(SEARCH("차재성",H1038)))</formula>
    </cfRule>
  </conditionalFormatting>
  <conditionalFormatting sqref="J23">
    <cfRule type="containsText" dxfId="281" priority="1" operator="containsText" text="허하나로">
      <formula>NOT(ISERROR(SEARCH("허하나로",H1037)))</formula>
    </cfRule>
    <cfRule type="containsText" dxfId="280" priority="2" operator="containsText" text="한별">
      <formula>NOT(ISERROR(SEARCH("한별",H1037)))</formula>
    </cfRule>
    <cfRule type="containsText" dxfId="279" priority="3" operator="containsText" text="정홍조">
      <formula>NOT(ISERROR(SEARCH("정홍조",H1037)))</formula>
    </cfRule>
    <cfRule type="containsText" dxfId="278" priority="4" operator="containsText" text="김지윤">
      <formula>NOT(ISERROR(SEARCH("김지윤",H1037)))</formula>
    </cfRule>
    <cfRule type="containsText" dxfId="277" priority="5" operator="containsText" text="전준영">
      <formula>NOT(ISERROR(SEARCH("전준영",H1037)))</formula>
    </cfRule>
    <cfRule type="containsText" dxfId="276" priority="6" operator="containsText" text="차재성">
      <formula>NOT(ISERROR(SEARCH("차재성",H1037)))</formula>
    </cfRule>
  </conditionalFormatting>
  <pageMargins left="0.70866141732283472" right="0.70866141732283472" top="0.74803149606299213" bottom="0.74803149606299213" header="0.31496062992125984" footer="0.31496062992125984"/>
  <pageSetup paperSize="9" scale="67" fitToHeight="0" orientation="landscape" r:id="rId1"/>
  <rowBreaks count="1" manualBreakCount="1">
    <brk id="42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1" operator="containsText" text="허하나로" id="{D4F1B340-9C03-4E6A-BE9E-DFA9AB5F94E6}">
            <xm:f>NOT(ISERROR(SEARCH("허하나로",행사부!H1022)))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92" operator="containsText" text="한별" id="{291BA884-72D9-4A87-A9F5-25F0134A8A67}">
            <xm:f>NOT(ISERROR(SEARCH("한별",행사부!H1022)))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3" operator="containsText" text="정홍조" id="{55D94AC0-892C-43D4-9640-18C22F0C2334}">
            <xm:f>NOT(ISERROR(SEARCH("정홍조",행사부!H1022)))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94" operator="containsText" text="김지윤" id="{7E5389D4-36EF-4A60-8902-BDA87421C2ED}">
            <xm:f>NOT(ISERROR(SEARCH("김지윤",행사부!H1022)))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95" operator="containsText" text="전준영" id="{8EDA7C65-C9BF-42D2-8A10-21524ACED8AD}">
            <xm:f>NOT(ISERROR(SEARCH("전준영",행사부!H1022)))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6" operator="containsText" text="차재성" id="{6DF20D16-BED0-4A88-A7F7-D70E33695715}">
            <xm:f>NOT(ISERROR(SEARCH("차재성",행사부!H1022)))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J34:J35</xm:sqref>
        </x14:conditionalFormatting>
        <x14:conditionalFormatting xmlns:xm="http://schemas.microsoft.com/office/excel/2006/main">
          <x14:cfRule type="containsText" priority="85" operator="containsText" text="허하나로" id="{44ABCAAE-FD13-4CD0-8745-3C553C1D49ED}">
            <xm:f>NOT(ISERROR(SEARCH("허하나로",행정관리부!H1049)))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6" operator="containsText" text="한별" id="{567FF576-02E6-41A6-8EFA-DB1A550BDFF9}">
            <xm:f>NOT(ISERROR(SEARCH("한별",행정관리부!H1049)))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7" operator="containsText" text="정홍조" id="{BC446C9A-2410-4254-AB0A-76B62E0F0646}">
            <xm:f>NOT(ISERROR(SEARCH("정홍조",행정관리부!H1049)))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8" operator="containsText" text="김지윤" id="{91B59D70-3F25-46A4-A7BE-108593C50DB0}">
            <xm:f>NOT(ISERROR(SEARCH("김지윤",행정관리부!H1049)))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9" operator="containsText" text="전준영" id="{6567DED1-0EBA-4B25-ABE3-78888AA0C63A}">
            <xm:f>NOT(ISERROR(SEARCH("전준영",행정관리부!H1049)))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0" operator="containsText" text="차재성" id="{E386A293-EC8F-45C3-9C71-09E8B8481C93}">
            <xm:f>NOT(ISERROR(SEARCH("차재성",행정관리부!H1049)))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J45</xm:sqref>
        </x14:conditionalFormatting>
        <x14:conditionalFormatting xmlns:xm="http://schemas.microsoft.com/office/excel/2006/main">
          <x14:cfRule type="containsText" priority="79" operator="containsText" text="허하나로" id="{7F42C816-3B68-4AA1-98DD-E01F9BF01D92}">
            <xm:f>NOT(ISERROR(SEARCH("허하나로",행정관리부!H1105)))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0" operator="containsText" text="한별" id="{73F65376-9009-4C9C-B73B-674676DF81DF}">
            <xm:f>NOT(ISERROR(SEARCH("한별",행정관리부!H1105)))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1" operator="containsText" text="정홍조" id="{BE04AB81-523C-4785-ACC9-EEE56E83D6F1}">
            <xm:f>NOT(ISERROR(SEARCH("정홍조",행정관리부!H1105)))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2" operator="containsText" text="김지윤" id="{BDFA5262-5958-4B6B-BFA9-4D9B125D1851}">
            <xm:f>NOT(ISERROR(SEARCH("김지윤",행정관리부!H1105)))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3" operator="containsText" text="전준영" id="{A5209C69-0940-456C-9768-734EA83A0B18}">
            <xm:f>NOT(ISERROR(SEARCH("전준영",행정관리부!H1105)))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84" operator="containsText" text="차재성" id="{DB6E879D-7275-48FD-8FE2-5404B5774B5B}">
            <xm:f>NOT(ISERROR(SEARCH("차재성",행정관리부!H1105)))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J43:J44</xm:sqref>
        </x14:conditionalFormatting>
        <x14:conditionalFormatting xmlns:xm="http://schemas.microsoft.com/office/excel/2006/main">
          <x14:cfRule type="containsText" priority="43" operator="containsText" text="허하나로" id="{11582A01-9626-445B-A318-40668500A542}">
            <xm:f>NOT(ISERROR(SEARCH("허하나로",행사부!H1014)))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4" operator="containsText" text="한별" id="{24B885A3-60B6-4536-AE4B-F369A664F7F9}">
            <xm:f>NOT(ISERROR(SEARCH("한별",행사부!H1014)))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5" operator="containsText" text="정홍조" id="{CC64407C-5D98-435F-A187-EECF7830E463}">
            <xm:f>NOT(ISERROR(SEARCH("정홍조",행사부!H1014)))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6" operator="containsText" text="김지윤" id="{3BE3C782-E7A0-4173-99CE-E7FE06DE5445}">
            <xm:f>NOT(ISERROR(SEARCH("김지윤",행사부!H1014)))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7" operator="containsText" text="전준영" id="{DF5F4926-E1A0-4CB5-A4A9-D4A2131C4BB1}">
            <xm:f>NOT(ISERROR(SEARCH("전준영",행사부!H1014)))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8" operator="containsText" text="차재성" id="{583AA59E-B51A-4436-A394-C05D92E2B766}">
            <xm:f>NOT(ISERROR(SEARCH("차재성",행사부!H1014)))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J15:J16 J25:J26</xm:sqref>
        </x14:conditionalFormatting>
        <x14:conditionalFormatting xmlns:xm="http://schemas.microsoft.com/office/excel/2006/main">
          <x14:cfRule type="containsText" priority="4189" operator="containsText" text="허하나로" id="{D4F1B340-9C03-4E6A-BE9E-DFA9AB5F94E6}">
            <xm:f>NOT(ISERROR(SEARCH("허하나로",행사부!H1015)))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190" operator="containsText" text="한별" id="{291BA884-72D9-4A87-A9F5-25F0134A8A67}">
            <xm:f>NOT(ISERROR(SEARCH("한별",행사부!H1015)))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191" operator="containsText" text="정홍조" id="{55D94AC0-892C-43D4-9640-18C22F0C2334}">
            <xm:f>NOT(ISERROR(SEARCH("정홍조",행사부!H1015)))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192" operator="containsText" text="김지윤" id="{7E5389D4-36EF-4A60-8902-BDA87421C2ED}">
            <xm:f>NOT(ISERROR(SEARCH("김지윤",행사부!H1015)))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193" operator="containsText" text="전준영" id="{8EDA7C65-C9BF-42D2-8A10-21524ACED8AD}">
            <xm:f>NOT(ISERROR(SEARCH("전준영",행사부!H1015)))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194" operator="containsText" text="차재성" id="{6DF20D16-BED0-4A88-A7F7-D70E33695715}">
            <xm:f>NOT(ISERROR(SEARCH("차재성",행사부!H1015)))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J17 J27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M36"/>
  <sheetViews>
    <sheetView zoomScale="85" zoomScaleNormal="85" workbookViewId="0">
      <selection activeCell="B7" sqref="B7"/>
    </sheetView>
  </sheetViews>
  <sheetFormatPr defaultRowHeight="16.5"/>
  <cols>
    <col min="1" max="6" width="3.875" customWidth="1"/>
    <col min="7" max="7" width="32.625" customWidth="1"/>
    <col min="8" max="10" width="14.625" customWidth="1"/>
    <col min="11" max="11" width="64.625" bestFit="1" customWidth="1"/>
    <col min="12" max="12" width="3.875" customWidth="1"/>
    <col min="13" max="13" width="11.625" style="279" customWidth="1"/>
    <col min="15" max="15" width="12.75" bestFit="1" customWidth="1"/>
  </cols>
  <sheetData>
    <row r="1" spans="1:13" ht="17.25" thickBot="1">
      <c r="A1" s="86" t="s">
        <v>141</v>
      </c>
      <c r="B1" s="40"/>
      <c r="C1" s="86"/>
      <c r="D1" s="86"/>
      <c r="E1" s="86"/>
      <c r="F1" s="86"/>
      <c r="G1" s="167"/>
      <c r="H1" s="168"/>
      <c r="I1" s="168"/>
      <c r="J1" s="167"/>
      <c r="K1" s="167"/>
      <c r="L1" s="167"/>
      <c r="M1" s="264" t="s">
        <v>142</v>
      </c>
    </row>
    <row r="2" spans="1:13" ht="16.5" customHeight="1">
      <c r="A2" s="423" t="s">
        <v>143</v>
      </c>
      <c r="B2" s="425" t="s">
        <v>18</v>
      </c>
      <c r="C2" s="426"/>
      <c r="D2" s="427"/>
      <c r="E2" s="425" t="s">
        <v>144</v>
      </c>
      <c r="F2" s="426"/>
      <c r="G2" s="427"/>
      <c r="H2" s="403" t="s">
        <v>544</v>
      </c>
      <c r="I2" s="403" t="s">
        <v>545</v>
      </c>
      <c r="J2" s="428" t="s">
        <v>546</v>
      </c>
      <c r="K2" s="414" t="s">
        <v>1</v>
      </c>
      <c r="L2" s="415"/>
      <c r="M2" s="416"/>
    </row>
    <row r="3" spans="1:13" ht="17.25" thickBot="1">
      <c r="A3" s="424"/>
      <c r="B3" s="113" t="s">
        <v>145</v>
      </c>
      <c r="C3" s="113" t="s">
        <v>21</v>
      </c>
      <c r="D3" s="113" t="s">
        <v>146</v>
      </c>
      <c r="E3" s="113" t="s">
        <v>147</v>
      </c>
      <c r="F3" s="113" t="s">
        <v>24</v>
      </c>
      <c r="G3" s="113" t="s">
        <v>148</v>
      </c>
      <c r="H3" s="404"/>
      <c r="I3" s="404"/>
      <c r="J3" s="429"/>
      <c r="K3" s="417"/>
      <c r="L3" s="418"/>
      <c r="M3" s="419"/>
    </row>
    <row r="4" spans="1:13" ht="17.25" thickBot="1">
      <c r="A4" s="420" t="s">
        <v>149</v>
      </c>
      <c r="B4" s="421"/>
      <c r="C4" s="421"/>
      <c r="D4" s="421"/>
      <c r="E4" s="421"/>
      <c r="F4" s="421"/>
      <c r="G4" s="422"/>
      <c r="H4" s="169">
        <f>H5+H15</f>
        <v>380240</v>
      </c>
      <c r="I4" s="169">
        <v>316640</v>
      </c>
      <c r="J4" s="114">
        <f t="shared" ref="J4:J11" si="0">H4-I4</f>
        <v>63600</v>
      </c>
      <c r="K4" s="87"/>
      <c r="L4" s="88"/>
      <c r="M4" s="265"/>
    </row>
    <row r="5" spans="1:13">
      <c r="A5" s="190" t="s">
        <v>2</v>
      </c>
      <c r="B5" s="116"/>
      <c r="C5" s="117"/>
      <c r="D5" s="117"/>
      <c r="E5" s="117"/>
      <c r="F5" s="117"/>
      <c r="G5" s="118"/>
      <c r="H5" s="92">
        <f t="shared" ref="H5:H10" si="1">H6</f>
        <v>380240</v>
      </c>
      <c r="I5" s="92">
        <v>316640</v>
      </c>
      <c r="J5" s="93">
        <f t="shared" si="0"/>
        <v>63600</v>
      </c>
      <c r="K5" s="78"/>
      <c r="L5" s="79"/>
      <c r="M5" s="266"/>
    </row>
    <row r="6" spans="1:13">
      <c r="A6" s="10"/>
      <c r="B6" s="123" t="s">
        <v>150</v>
      </c>
      <c r="C6" s="123"/>
      <c r="D6" s="124"/>
      <c r="E6" s="124"/>
      <c r="F6" s="124"/>
      <c r="G6" s="125"/>
      <c r="H6" s="92">
        <f t="shared" si="1"/>
        <v>380240</v>
      </c>
      <c r="I6" s="92">
        <v>316640</v>
      </c>
      <c r="J6" s="93">
        <f t="shared" si="0"/>
        <v>63600</v>
      </c>
      <c r="K6" s="188"/>
      <c r="L6" s="143"/>
      <c r="M6" s="267"/>
    </row>
    <row r="7" spans="1:13">
      <c r="A7" s="10"/>
      <c r="B7" s="6"/>
      <c r="C7" s="164" t="s">
        <v>151</v>
      </c>
      <c r="D7" s="124"/>
      <c r="E7" s="124"/>
      <c r="F7" s="124"/>
      <c r="G7" s="125"/>
      <c r="H7" s="89">
        <f t="shared" si="1"/>
        <v>380240</v>
      </c>
      <c r="I7" s="89">
        <v>316640</v>
      </c>
      <c r="J7" s="93">
        <f t="shared" si="0"/>
        <v>63600</v>
      </c>
      <c r="K7" s="153"/>
      <c r="L7" s="143"/>
      <c r="M7" s="267"/>
    </row>
    <row r="8" spans="1:13">
      <c r="A8" s="10"/>
      <c r="B8" s="6"/>
      <c r="C8" s="141"/>
      <c r="D8" s="123" t="s">
        <v>152</v>
      </c>
      <c r="E8" s="124"/>
      <c r="F8" s="124"/>
      <c r="G8" s="125"/>
      <c r="H8" s="126">
        <f t="shared" si="1"/>
        <v>380240</v>
      </c>
      <c r="I8" s="126">
        <v>316640</v>
      </c>
      <c r="J8" s="93">
        <f t="shared" si="0"/>
        <v>63600</v>
      </c>
      <c r="K8" s="142"/>
      <c r="L8" s="143"/>
      <c r="M8" s="267"/>
    </row>
    <row r="9" spans="1:13">
      <c r="A9" s="10"/>
      <c r="B9" s="6"/>
      <c r="C9" s="128"/>
      <c r="D9" s="129"/>
      <c r="E9" s="123" t="s">
        <v>153</v>
      </c>
      <c r="F9" s="124"/>
      <c r="G9" s="125"/>
      <c r="H9" s="89">
        <f t="shared" si="1"/>
        <v>380240</v>
      </c>
      <c r="I9" s="89">
        <v>316640</v>
      </c>
      <c r="J9" s="93">
        <f t="shared" si="0"/>
        <v>63600</v>
      </c>
      <c r="K9" s="84"/>
      <c r="L9" s="91"/>
      <c r="M9" s="268"/>
    </row>
    <row r="10" spans="1:13">
      <c r="A10" s="62"/>
      <c r="B10" s="64"/>
      <c r="C10" s="64"/>
      <c r="D10" s="64"/>
      <c r="E10" s="64"/>
      <c r="F10" s="130" t="s">
        <v>154</v>
      </c>
      <c r="G10" s="134"/>
      <c r="H10" s="71">
        <f t="shared" si="1"/>
        <v>380240</v>
      </c>
      <c r="I10" s="71">
        <v>316640</v>
      </c>
      <c r="J10" s="269">
        <f t="shared" si="0"/>
        <v>63600</v>
      </c>
      <c r="K10" s="138"/>
      <c r="L10" s="35"/>
      <c r="M10" s="270"/>
    </row>
    <row r="11" spans="1:13">
      <c r="A11" s="53"/>
      <c r="B11" s="55"/>
      <c r="C11" s="64"/>
      <c r="D11" s="64"/>
      <c r="E11" s="64"/>
      <c r="F11" s="176"/>
      <c r="G11" s="193" t="s">
        <v>155</v>
      </c>
      <c r="H11" s="75">
        <f>M11</f>
        <v>380240</v>
      </c>
      <c r="I11" s="75">
        <v>316640</v>
      </c>
      <c r="J11" s="271">
        <f t="shared" si="0"/>
        <v>63600</v>
      </c>
      <c r="K11" s="33" t="s">
        <v>156</v>
      </c>
      <c r="L11" s="196"/>
      <c r="M11" s="272">
        <f>M14</f>
        <v>380240</v>
      </c>
    </row>
    <row r="12" spans="1:13">
      <c r="A12" s="53"/>
      <c r="B12" s="55"/>
      <c r="C12" s="64"/>
      <c r="D12" s="64"/>
      <c r="E12" s="64"/>
      <c r="F12" s="214"/>
      <c r="G12" s="54"/>
      <c r="H12" s="98"/>
      <c r="I12" s="98"/>
      <c r="J12" s="47"/>
      <c r="K12" s="204" t="s">
        <v>535</v>
      </c>
      <c r="L12" s="187" t="s">
        <v>0</v>
      </c>
      <c r="M12" s="175">
        <v>316640</v>
      </c>
    </row>
    <row r="13" spans="1:13">
      <c r="A13" s="53"/>
      <c r="B13" s="55"/>
      <c r="C13" s="64"/>
      <c r="D13" s="64"/>
      <c r="E13" s="64"/>
      <c r="F13" s="214"/>
      <c r="G13" s="54"/>
      <c r="H13" s="98"/>
      <c r="I13" s="98"/>
      <c r="J13" s="47"/>
      <c r="K13" s="203" t="s">
        <v>570</v>
      </c>
      <c r="L13" s="187"/>
      <c r="M13" s="175"/>
    </row>
    <row r="14" spans="1:13" ht="17.25" thickBot="1">
      <c r="A14" s="53"/>
      <c r="B14" s="55"/>
      <c r="C14" s="64"/>
      <c r="D14" s="64"/>
      <c r="E14" s="64"/>
      <c r="F14" s="214"/>
      <c r="G14" s="191"/>
      <c r="H14" s="201"/>
      <c r="I14" s="201"/>
      <c r="J14" s="223"/>
      <c r="K14" s="388" t="s">
        <v>571</v>
      </c>
      <c r="L14" s="389" t="s">
        <v>0</v>
      </c>
      <c r="M14" s="390">
        <v>380240</v>
      </c>
    </row>
    <row r="15" spans="1:13">
      <c r="A15" s="190" t="s">
        <v>158</v>
      </c>
      <c r="B15" s="116"/>
      <c r="C15" s="117"/>
      <c r="D15" s="117"/>
      <c r="E15" s="117"/>
      <c r="F15" s="117"/>
      <c r="G15" s="118"/>
      <c r="H15" s="92">
        <f>SUM(H16,H29)</f>
        <v>0</v>
      </c>
      <c r="I15" s="92">
        <v>0</v>
      </c>
      <c r="J15" s="93">
        <f>H15-I15</f>
        <v>0</v>
      </c>
      <c r="K15" s="78"/>
      <c r="L15" s="79"/>
      <c r="M15" s="266"/>
    </row>
    <row r="16" spans="1:13">
      <c r="A16" s="10"/>
      <c r="B16" s="164" t="s">
        <v>160</v>
      </c>
      <c r="C16" s="123"/>
      <c r="D16" s="124"/>
      <c r="E16" s="124"/>
      <c r="F16" s="124"/>
      <c r="G16" s="125"/>
      <c r="H16" s="92">
        <f>SUM(H17,H57)</f>
        <v>0</v>
      </c>
      <c r="I16" s="92">
        <v>0</v>
      </c>
      <c r="J16" s="93">
        <f t="shared" ref="J16:J21" si="2">H16-I16</f>
        <v>0</v>
      </c>
      <c r="K16" s="188"/>
      <c r="L16" s="143"/>
      <c r="M16" s="267"/>
    </row>
    <row r="17" spans="1:13">
      <c r="A17" s="10"/>
      <c r="B17" s="6"/>
      <c r="C17" s="164" t="s">
        <v>160</v>
      </c>
      <c r="D17" s="124"/>
      <c r="E17" s="124"/>
      <c r="F17" s="124"/>
      <c r="G17" s="125"/>
      <c r="H17" s="89">
        <f>H18</f>
        <v>0</v>
      </c>
      <c r="I17" s="89">
        <v>0</v>
      </c>
      <c r="J17" s="90">
        <f t="shared" si="2"/>
        <v>0</v>
      </c>
      <c r="K17" s="153"/>
      <c r="L17" s="143"/>
      <c r="M17" s="267"/>
    </row>
    <row r="18" spans="1:13">
      <c r="A18" s="10"/>
      <c r="B18" s="6"/>
      <c r="C18" s="141"/>
      <c r="D18" s="123" t="s">
        <v>161</v>
      </c>
      <c r="E18" s="124"/>
      <c r="F18" s="124"/>
      <c r="G18" s="125"/>
      <c r="H18" s="126">
        <f>H19</f>
        <v>0</v>
      </c>
      <c r="I18" s="126">
        <v>0</v>
      </c>
      <c r="J18" s="9">
        <f t="shared" si="2"/>
        <v>0</v>
      </c>
      <c r="K18" s="142"/>
      <c r="L18" s="143"/>
      <c r="M18" s="267"/>
    </row>
    <row r="19" spans="1:13">
      <c r="A19" s="10"/>
      <c r="B19" s="6"/>
      <c r="C19" s="128"/>
      <c r="D19" s="129"/>
      <c r="E19" s="123" t="s">
        <v>162</v>
      </c>
      <c r="F19" s="124"/>
      <c r="G19" s="125"/>
      <c r="H19" s="89">
        <f>H20</f>
        <v>0</v>
      </c>
      <c r="I19" s="89">
        <v>0</v>
      </c>
      <c r="J19" s="90">
        <f t="shared" si="2"/>
        <v>0</v>
      </c>
      <c r="K19" s="84"/>
      <c r="L19" s="91"/>
      <c r="M19" s="268"/>
    </row>
    <row r="20" spans="1:13">
      <c r="A20" s="62"/>
      <c r="B20" s="64"/>
      <c r="C20" s="64"/>
      <c r="D20" s="64"/>
      <c r="E20" s="64"/>
      <c r="F20" s="130" t="s">
        <v>154</v>
      </c>
      <c r="G20" s="69"/>
      <c r="H20" s="70">
        <f>H21</f>
        <v>0</v>
      </c>
      <c r="I20" s="70">
        <v>0</v>
      </c>
      <c r="J20" s="140">
        <f t="shared" si="2"/>
        <v>0</v>
      </c>
      <c r="K20" s="274"/>
      <c r="L20" s="275"/>
      <c r="M20" s="276"/>
    </row>
    <row r="21" spans="1:13">
      <c r="A21" s="53"/>
      <c r="B21" s="55"/>
      <c r="C21" s="64"/>
      <c r="D21" s="64"/>
      <c r="E21" s="64"/>
      <c r="F21" s="176"/>
      <c r="G21" s="193" t="s">
        <v>163</v>
      </c>
      <c r="H21" s="75">
        <f>M21</f>
        <v>0</v>
      </c>
      <c r="I21" s="75">
        <v>0</v>
      </c>
      <c r="J21" s="38">
        <f t="shared" si="2"/>
        <v>0</v>
      </c>
      <c r="K21" s="33" t="s">
        <v>164</v>
      </c>
      <c r="L21" s="196"/>
      <c r="M21" s="272">
        <f>M22</f>
        <v>0</v>
      </c>
    </row>
    <row r="22" spans="1:13" ht="17.25" thickBot="1">
      <c r="A22" s="219"/>
      <c r="B22" s="220"/>
      <c r="C22" s="68"/>
      <c r="D22" s="68"/>
      <c r="E22" s="68"/>
      <c r="F22" s="221"/>
      <c r="G22" s="222"/>
      <c r="H22" s="277"/>
      <c r="I22" s="201"/>
      <c r="J22" s="223"/>
      <c r="K22" s="224" t="s">
        <v>383</v>
      </c>
      <c r="L22" s="202" t="s">
        <v>165</v>
      </c>
      <c r="M22" s="273">
        <v>0</v>
      </c>
    </row>
    <row r="23" spans="1:13">
      <c r="L23" s="230"/>
      <c r="M23" s="278"/>
    </row>
    <row r="24" spans="1:13">
      <c r="L24" s="230"/>
      <c r="M24" s="278"/>
    </row>
    <row r="25" spans="1:13">
      <c r="L25" s="230"/>
      <c r="M25" s="278"/>
    </row>
    <row r="26" spans="1:13">
      <c r="L26" s="230"/>
      <c r="M26" s="278"/>
    </row>
    <row r="27" spans="1:13">
      <c r="L27" s="230"/>
      <c r="M27" s="278"/>
    </row>
    <row r="28" spans="1:13">
      <c r="L28" s="230"/>
      <c r="M28" s="278"/>
    </row>
    <row r="29" spans="1:13">
      <c r="L29" s="230"/>
      <c r="M29" s="278"/>
    </row>
    <row r="30" spans="1:13">
      <c r="L30" s="230"/>
      <c r="M30" s="278"/>
    </row>
    <row r="31" spans="1:13">
      <c r="L31" s="230"/>
      <c r="M31" s="278"/>
    </row>
    <row r="32" spans="1:13">
      <c r="L32" s="230"/>
      <c r="M32" s="278"/>
    </row>
    <row r="33" spans="12:13">
      <c r="L33" s="230"/>
      <c r="M33" s="278"/>
    </row>
    <row r="34" spans="12:13">
      <c r="L34" s="230"/>
      <c r="M34" s="278"/>
    </row>
    <row r="35" spans="12:13">
      <c r="L35" s="230"/>
      <c r="M35" s="278"/>
    </row>
    <row r="36" spans="12:13">
      <c r="L36" s="230"/>
      <c r="M36" s="278"/>
    </row>
  </sheetData>
  <mergeCells count="8"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15:J16">
    <cfRule type="containsText" dxfId="245" priority="13" operator="containsText" text="허하나로">
      <formula>NOT(ISERROR(SEARCH("허하나로",H834)))</formula>
    </cfRule>
    <cfRule type="containsText" dxfId="244" priority="14" operator="containsText" text="한별">
      <formula>NOT(ISERROR(SEARCH("한별",H834)))</formula>
    </cfRule>
    <cfRule type="containsText" dxfId="243" priority="15" operator="containsText" text="정홍조">
      <formula>NOT(ISERROR(SEARCH("정홍조",H834)))</formula>
    </cfRule>
    <cfRule type="containsText" dxfId="242" priority="16" operator="containsText" text="김지윤">
      <formula>NOT(ISERROR(SEARCH("김지윤",H834)))</formula>
    </cfRule>
    <cfRule type="containsText" dxfId="241" priority="17" operator="containsText" text="전준영">
      <formula>NOT(ISERROR(SEARCH("전준영",H834)))</formula>
    </cfRule>
    <cfRule type="containsText" dxfId="240" priority="18" operator="containsText" text="차재성">
      <formula>NOT(ISERROR(SEARCH("차재성",H834)))</formula>
    </cfRule>
  </conditionalFormatting>
  <conditionalFormatting sqref="J14">
    <cfRule type="containsText" dxfId="239" priority="67" operator="containsText" text="허하나로">
      <formula>NOT(ISERROR(SEARCH("허하나로",H1064)))</formula>
    </cfRule>
    <cfRule type="containsText" dxfId="238" priority="68" operator="containsText" text="한별">
      <formula>NOT(ISERROR(SEARCH("한별",H1064)))</formula>
    </cfRule>
    <cfRule type="containsText" dxfId="237" priority="69" operator="containsText" text="정홍조">
      <formula>NOT(ISERROR(SEARCH("정홍조",H1064)))</formula>
    </cfRule>
    <cfRule type="containsText" dxfId="236" priority="70" operator="containsText" text="김지윤">
      <formula>NOT(ISERROR(SEARCH("김지윤",H1064)))</formula>
    </cfRule>
    <cfRule type="containsText" dxfId="235" priority="71" operator="containsText" text="전준영">
      <formula>NOT(ISERROR(SEARCH("전준영",H1064)))</formula>
    </cfRule>
    <cfRule type="containsText" dxfId="234" priority="72" operator="containsText" text="차재성">
      <formula>NOT(ISERROR(SEARCH("차재성",H1064)))</formula>
    </cfRule>
  </conditionalFormatting>
  <conditionalFormatting sqref="J6:J11">
    <cfRule type="containsText" dxfId="233" priority="49" operator="containsText" text="허하나로">
      <formula>NOT(ISERROR(SEARCH("허하나로",H822)))</formula>
    </cfRule>
    <cfRule type="containsText" dxfId="232" priority="50" operator="containsText" text="한별">
      <formula>NOT(ISERROR(SEARCH("한별",H822)))</formula>
    </cfRule>
    <cfRule type="containsText" dxfId="231" priority="51" operator="containsText" text="정홍조">
      <formula>NOT(ISERROR(SEARCH("정홍조",H822)))</formula>
    </cfRule>
    <cfRule type="containsText" dxfId="230" priority="52" operator="containsText" text="김지윤">
      <formula>NOT(ISERROR(SEARCH("김지윤",H822)))</formula>
    </cfRule>
    <cfRule type="containsText" dxfId="229" priority="53" operator="containsText" text="전준영">
      <formula>NOT(ISERROR(SEARCH("전준영",H822)))</formula>
    </cfRule>
    <cfRule type="containsText" dxfId="228" priority="54" operator="containsText" text="차재성">
      <formula>NOT(ISERROR(SEARCH("차재성",H822)))</formula>
    </cfRule>
  </conditionalFormatting>
  <conditionalFormatting sqref="J20:J21">
    <cfRule type="containsText" dxfId="227" priority="31" operator="containsText" text="허하나로">
      <formula>NOT(ISERROR(SEARCH("허하나로",H1069)))</formula>
    </cfRule>
    <cfRule type="containsText" dxfId="226" priority="32" operator="containsText" text="한별">
      <formula>NOT(ISERROR(SEARCH("한별",H1069)))</formula>
    </cfRule>
    <cfRule type="containsText" dxfId="225" priority="33" operator="containsText" text="정홍조">
      <formula>NOT(ISERROR(SEARCH("정홍조",H1069)))</formula>
    </cfRule>
    <cfRule type="containsText" dxfId="224" priority="34" operator="containsText" text="김지윤">
      <formula>NOT(ISERROR(SEARCH("김지윤",H1069)))</formula>
    </cfRule>
    <cfRule type="containsText" dxfId="223" priority="35" operator="containsText" text="전준영">
      <formula>NOT(ISERROR(SEARCH("전준영",H1069)))</formula>
    </cfRule>
    <cfRule type="containsText" dxfId="222" priority="36" operator="containsText" text="차재성">
      <formula>NOT(ISERROR(SEARCH("차재성",H1069)))</formula>
    </cfRule>
  </conditionalFormatting>
  <conditionalFormatting sqref="J22">
    <cfRule type="containsText" dxfId="221" priority="37" operator="containsText" text="허하나로">
      <formula>NOT(ISERROR(SEARCH("허하나로",H1071)))</formula>
    </cfRule>
    <cfRule type="containsText" dxfId="220" priority="38" operator="containsText" text="한별">
      <formula>NOT(ISERROR(SEARCH("한별",H1071)))</formula>
    </cfRule>
    <cfRule type="containsText" dxfId="219" priority="39" operator="containsText" text="정홍조">
      <formula>NOT(ISERROR(SEARCH("정홍조",H1071)))</formula>
    </cfRule>
    <cfRule type="containsText" dxfId="218" priority="40" operator="containsText" text="김지윤">
      <formula>NOT(ISERROR(SEARCH("김지윤",H1071)))</formula>
    </cfRule>
    <cfRule type="containsText" dxfId="217" priority="41" operator="containsText" text="전준영">
      <formula>NOT(ISERROR(SEARCH("전준영",H1071)))</formula>
    </cfRule>
    <cfRule type="containsText" dxfId="216" priority="42" operator="containsText" text="차재성">
      <formula>NOT(ISERROR(SEARCH("차재성",H1071)))</formula>
    </cfRule>
  </conditionalFormatting>
  <conditionalFormatting sqref="J17">
    <cfRule type="containsText" dxfId="215" priority="19" operator="containsText" text="허하나로">
      <formula>NOT(ISERROR(SEARCH("허하나로",H864)))</formula>
    </cfRule>
    <cfRule type="containsText" dxfId="214" priority="20" operator="containsText" text="한별">
      <formula>NOT(ISERROR(SEARCH("한별",H864)))</formula>
    </cfRule>
    <cfRule type="containsText" dxfId="213" priority="21" operator="containsText" text="정홍조">
      <formula>NOT(ISERROR(SEARCH("정홍조",H864)))</formula>
    </cfRule>
    <cfRule type="containsText" dxfId="212" priority="22" operator="containsText" text="김지윤">
      <formula>NOT(ISERROR(SEARCH("김지윤",H864)))</formula>
    </cfRule>
    <cfRule type="containsText" dxfId="211" priority="23" operator="containsText" text="전준영">
      <formula>NOT(ISERROR(SEARCH("전준영",H864)))</formula>
    </cfRule>
    <cfRule type="containsText" dxfId="210" priority="24" operator="containsText" text="차재성">
      <formula>NOT(ISERROR(SEARCH("차재성",H864)))</formula>
    </cfRule>
  </conditionalFormatting>
  <conditionalFormatting sqref="J19">
    <cfRule type="containsText" dxfId="209" priority="25" operator="containsText" text="허하나로">
      <formula>NOT(ISERROR(SEARCH("허하나로",H1061)))</formula>
    </cfRule>
    <cfRule type="containsText" dxfId="208" priority="26" operator="containsText" text="한별">
      <formula>NOT(ISERROR(SEARCH("한별",H1061)))</formula>
    </cfRule>
    <cfRule type="containsText" dxfId="207" priority="27" operator="containsText" text="정홍조">
      <formula>NOT(ISERROR(SEARCH("정홍조",H1061)))</formula>
    </cfRule>
    <cfRule type="containsText" dxfId="206" priority="28" operator="containsText" text="김지윤">
      <formula>NOT(ISERROR(SEARCH("김지윤",H1061)))</formula>
    </cfRule>
    <cfRule type="containsText" dxfId="205" priority="29" operator="containsText" text="전준영">
      <formula>NOT(ISERROR(SEARCH("전준영",H1061)))</formula>
    </cfRule>
    <cfRule type="containsText" dxfId="204" priority="30" operator="containsText" text="차재성">
      <formula>NOT(ISERROR(SEARCH("차재성",H1061)))</formula>
    </cfRule>
  </conditionalFormatting>
  <conditionalFormatting sqref="J5">
    <cfRule type="containsText" dxfId="203" priority="85" operator="containsText" text="허하나로">
      <formula>NOT(ISERROR(SEARCH("허하나로",H652)))</formula>
    </cfRule>
    <cfRule type="containsText" dxfId="202" priority="86" operator="containsText" text="한별">
      <formula>NOT(ISERROR(SEARCH("한별",H652)))</formula>
    </cfRule>
    <cfRule type="containsText" dxfId="201" priority="87" operator="containsText" text="정홍조">
      <formula>NOT(ISERROR(SEARCH("정홍조",H652)))</formula>
    </cfRule>
    <cfRule type="containsText" dxfId="200" priority="88" operator="containsText" text="김지윤">
      <formula>NOT(ISERROR(SEARCH("김지윤",H652)))</formula>
    </cfRule>
    <cfRule type="containsText" dxfId="199" priority="89" operator="containsText" text="전준영">
      <formula>NOT(ISERROR(SEARCH("전준영",H652)))</formula>
    </cfRule>
    <cfRule type="containsText" dxfId="198" priority="90" operator="containsText" text="차재성">
      <formula>NOT(ISERROR(SEARCH("차재성",H652)))</formula>
    </cfRule>
  </conditionalFormatting>
  <conditionalFormatting sqref="J2:J3">
    <cfRule type="containsText" dxfId="197" priority="7" operator="containsText" text="허하나로">
      <formula>NOT(ISERROR(SEARCH("허하나로",H764)))</formula>
    </cfRule>
    <cfRule type="containsText" dxfId="196" priority="8" operator="containsText" text="한별">
      <formula>NOT(ISERROR(SEARCH("한별",H764)))</formula>
    </cfRule>
    <cfRule type="containsText" dxfId="195" priority="9" operator="containsText" text="정홍조">
      <formula>NOT(ISERROR(SEARCH("정홍조",H764)))</formula>
    </cfRule>
    <cfRule type="containsText" dxfId="194" priority="10" operator="containsText" text="김지윤">
      <formula>NOT(ISERROR(SEARCH("김지윤",H764)))</formula>
    </cfRule>
    <cfRule type="containsText" dxfId="193" priority="11" operator="containsText" text="전준영">
      <formula>NOT(ISERROR(SEARCH("전준영",H764)))</formula>
    </cfRule>
    <cfRule type="containsText" dxfId="192" priority="12" operator="containsText" text="차재성">
      <formula>NOT(ISERROR(SEARCH("차재성",H764)))</formula>
    </cfRule>
  </conditionalFormatting>
  <conditionalFormatting sqref="J12:J13">
    <cfRule type="containsText" dxfId="191" priority="1" operator="containsText" text="허하나로">
      <formula>NOT(ISERROR(SEARCH("허하나로",H1063)))</formula>
    </cfRule>
    <cfRule type="containsText" dxfId="190" priority="2" operator="containsText" text="한별">
      <formula>NOT(ISERROR(SEARCH("한별",H1063)))</formula>
    </cfRule>
    <cfRule type="containsText" dxfId="189" priority="3" operator="containsText" text="정홍조">
      <formula>NOT(ISERROR(SEARCH("정홍조",H1063)))</formula>
    </cfRule>
    <cfRule type="containsText" dxfId="188" priority="4" operator="containsText" text="김지윤">
      <formula>NOT(ISERROR(SEARCH("김지윤",H1063)))</formula>
    </cfRule>
    <cfRule type="containsText" dxfId="187" priority="5" operator="containsText" text="전준영">
      <formula>NOT(ISERROR(SEARCH("전준영",H1063)))</formula>
    </cfRule>
    <cfRule type="containsText" dxfId="186" priority="6" operator="containsText" text="차재성">
      <formula>NOT(ISERROR(SEARCH("차재성",H1063)))</formula>
    </cfRule>
  </conditionalFormatting>
  <pageMargins left="0.70866141732283472" right="0.70866141732283472" top="0.74803149606299213" bottom="0.74803149606299213" header="0.31496062992125984" footer="0.31496062992125984"/>
  <pageSetup paperSize="9" scale="67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M75"/>
  <sheetViews>
    <sheetView zoomScale="85" zoomScaleNormal="85" workbookViewId="0">
      <selection activeCell="B7" sqref="B7"/>
    </sheetView>
  </sheetViews>
  <sheetFormatPr defaultRowHeight="16.5"/>
  <cols>
    <col min="1" max="6" width="3.875" customWidth="1"/>
    <col min="7" max="7" width="32.625" customWidth="1"/>
    <col min="8" max="10" width="14.625" customWidth="1"/>
    <col min="11" max="11" width="60.625" customWidth="1"/>
    <col min="12" max="12" width="3.875" customWidth="1"/>
    <col min="13" max="13" width="14.625" customWidth="1"/>
  </cols>
  <sheetData>
    <row r="1" spans="1:13" ht="17.25" thickBot="1">
      <c r="A1" s="86" t="s">
        <v>206</v>
      </c>
      <c r="B1" s="40"/>
      <c r="C1" s="86"/>
      <c r="D1" s="86"/>
      <c r="E1" s="86"/>
      <c r="F1" s="86"/>
      <c r="G1" s="167"/>
      <c r="H1" s="168"/>
      <c r="I1" s="168"/>
      <c r="J1" s="167"/>
      <c r="K1" s="167"/>
      <c r="L1" s="167"/>
      <c r="M1" s="280" t="s">
        <v>166</v>
      </c>
    </row>
    <row r="2" spans="1:13">
      <c r="A2" s="423" t="s">
        <v>167</v>
      </c>
      <c r="B2" s="425" t="s">
        <v>168</v>
      </c>
      <c r="C2" s="426"/>
      <c r="D2" s="427"/>
      <c r="E2" s="425" t="s">
        <v>169</v>
      </c>
      <c r="F2" s="426"/>
      <c r="G2" s="427"/>
      <c r="H2" s="403" t="s">
        <v>544</v>
      </c>
      <c r="I2" s="403" t="s">
        <v>545</v>
      </c>
      <c r="J2" s="428" t="s">
        <v>546</v>
      </c>
      <c r="K2" s="415" t="s">
        <v>1</v>
      </c>
      <c r="L2" s="415"/>
      <c r="M2" s="416"/>
    </row>
    <row r="3" spans="1:13" ht="17.25" thickBot="1">
      <c r="A3" s="424"/>
      <c r="B3" s="113" t="s">
        <v>170</v>
      </c>
      <c r="C3" s="113" t="s">
        <v>171</v>
      </c>
      <c r="D3" s="113" t="s">
        <v>172</v>
      </c>
      <c r="E3" s="113" t="s">
        <v>173</v>
      </c>
      <c r="F3" s="113" t="s">
        <v>174</v>
      </c>
      <c r="G3" s="113" t="s">
        <v>175</v>
      </c>
      <c r="H3" s="404"/>
      <c r="I3" s="404"/>
      <c r="J3" s="429"/>
      <c r="K3" s="434"/>
      <c r="L3" s="434"/>
      <c r="M3" s="435"/>
    </row>
    <row r="4" spans="1:13" ht="17.25" thickBot="1">
      <c r="A4" s="420" t="s">
        <v>176</v>
      </c>
      <c r="B4" s="421"/>
      <c r="C4" s="421"/>
      <c r="D4" s="421"/>
      <c r="E4" s="421"/>
      <c r="F4" s="421"/>
      <c r="G4" s="422"/>
      <c r="H4" s="327">
        <f>H5</f>
        <v>2950000</v>
      </c>
      <c r="I4" s="281">
        <v>2950000</v>
      </c>
      <c r="J4" s="114">
        <f>H4-I4</f>
        <v>0</v>
      </c>
      <c r="K4" s="87"/>
      <c r="L4" s="88"/>
      <c r="M4" s="115"/>
    </row>
    <row r="5" spans="1:13">
      <c r="A5" s="283" t="s">
        <v>177</v>
      </c>
      <c r="B5" s="284"/>
      <c r="C5" s="261"/>
      <c r="D5" s="261"/>
      <c r="E5" s="261"/>
      <c r="F5" s="261"/>
      <c r="G5" s="262"/>
      <c r="H5" s="323">
        <f>H6+H30</f>
        <v>2950000</v>
      </c>
      <c r="I5" s="282">
        <v>2950000</v>
      </c>
      <c r="J5" s="285">
        <f t="shared" ref="J5:J19" si="0">H5-I5</f>
        <v>0</v>
      </c>
      <c r="K5" s="78"/>
      <c r="L5" s="79"/>
      <c r="M5" s="80"/>
    </row>
    <row r="6" spans="1:13">
      <c r="A6" s="286"/>
      <c r="B6" s="287" t="s">
        <v>228</v>
      </c>
      <c r="C6" s="123"/>
      <c r="D6" s="124"/>
      <c r="E6" s="124"/>
      <c r="F6" s="124"/>
      <c r="G6" s="125"/>
      <c r="H6" s="89">
        <f t="shared" ref="H6:H9" si="1">H7</f>
        <v>2000000</v>
      </c>
      <c r="I6" s="89">
        <v>2000000</v>
      </c>
      <c r="J6" s="93">
        <f>H6-I6</f>
        <v>0</v>
      </c>
      <c r="K6" s="78"/>
      <c r="L6" s="79"/>
      <c r="M6" s="80"/>
    </row>
    <row r="7" spans="1:13">
      <c r="A7" s="10"/>
      <c r="B7" s="6"/>
      <c r="C7" s="123" t="s">
        <v>178</v>
      </c>
      <c r="D7" s="124"/>
      <c r="E7" s="124"/>
      <c r="F7" s="124"/>
      <c r="G7" s="125"/>
      <c r="H7" s="92">
        <f t="shared" si="1"/>
        <v>2000000</v>
      </c>
      <c r="I7" s="92">
        <v>2000000</v>
      </c>
      <c r="J7" s="93">
        <f t="shared" si="0"/>
        <v>0</v>
      </c>
      <c r="K7" s="78"/>
      <c r="L7" s="79"/>
      <c r="M7" s="80"/>
    </row>
    <row r="8" spans="1:13">
      <c r="A8" s="10"/>
      <c r="B8" s="6"/>
      <c r="C8" s="7"/>
      <c r="D8" s="123" t="s">
        <v>179</v>
      </c>
      <c r="E8" s="124"/>
      <c r="F8" s="124"/>
      <c r="G8" s="125"/>
      <c r="H8" s="126">
        <f>H9+H25</f>
        <v>2000000</v>
      </c>
      <c r="I8" s="126">
        <v>2000000</v>
      </c>
      <c r="J8" s="93">
        <f t="shared" si="0"/>
        <v>0</v>
      </c>
      <c r="K8" s="81"/>
      <c r="L8" s="127"/>
      <c r="M8" s="80"/>
    </row>
    <row r="9" spans="1:13">
      <c r="A9" s="10"/>
      <c r="B9" s="6"/>
      <c r="C9" s="128"/>
      <c r="D9" s="129"/>
      <c r="E9" s="123" t="s">
        <v>180</v>
      </c>
      <c r="F9" s="124"/>
      <c r="G9" s="125"/>
      <c r="H9" s="89">
        <f t="shared" si="1"/>
        <v>1974000</v>
      </c>
      <c r="I9" s="89">
        <v>1974000</v>
      </c>
      <c r="J9" s="93">
        <f t="shared" si="0"/>
        <v>0</v>
      </c>
      <c r="K9" s="84"/>
      <c r="L9" s="91"/>
      <c r="M9" s="82"/>
    </row>
    <row r="10" spans="1:13">
      <c r="A10" s="62"/>
      <c r="B10" s="64"/>
      <c r="C10" s="170"/>
      <c r="D10" s="171"/>
      <c r="E10" s="172"/>
      <c r="F10" s="130" t="s">
        <v>181</v>
      </c>
      <c r="G10" s="173"/>
      <c r="H10" s="71">
        <f>SUM(H11,H19,H23)</f>
        <v>1974000</v>
      </c>
      <c r="I10" s="71">
        <v>1974000</v>
      </c>
      <c r="J10" s="71">
        <f t="shared" si="0"/>
        <v>0</v>
      </c>
      <c r="K10" s="211"/>
      <c r="L10" s="51"/>
      <c r="M10" s="37"/>
    </row>
    <row r="11" spans="1:13">
      <c r="A11" s="62"/>
      <c r="B11" s="64"/>
      <c r="C11" s="64"/>
      <c r="D11" s="139"/>
      <c r="E11" s="174"/>
      <c r="F11" s="174"/>
      <c r="G11" s="67" t="s">
        <v>182</v>
      </c>
      <c r="H11" s="72">
        <f>M11</f>
        <v>1419000</v>
      </c>
      <c r="I11" s="72">
        <v>1419000</v>
      </c>
      <c r="J11" s="72">
        <f t="shared" si="0"/>
        <v>0</v>
      </c>
      <c r="K11" s="83" t="s">
        <v>183</v>
      </c>
      <c r="L11" s="41"/>
      <c r="M11" s="209">
        <f>SUM(M12:M18)</f>
        <v>1419000</v>
      </c>
    </row>
    <row r="12" spans="1:13">
      <c r="A12" s="62"/>
      <c r="B12" s="64"/>
      <c r="C12" s="64"/>
      <c r="D12" s="139"/>
      <c r="E12" s="174"/>
      <c r="F12" s="174"/>
      <c r="G12" s="67"/>
      <c r="H12" s="73"/>
      <c r="I12" s="73"/>
      <c r="J12" s="73"/>
      <c r="K12" s="212" t="s">
        <v>384</v>
      </c>
      <c r="L12" s="42" t="s">
        <v>184</v>
      </c>
      <c r="M12" s="175">
        <v>140000</v>
      </c>
    </row>
    <row r="13" spans="1:13">
      <c r="A13" s="62"/>
      <c r="B13" s="64"/>
      <c r="C13" s="64"/>
      <c r="D13" s="139"/>
      <c r="E13" s="174"/>
      <c r="F13" s="174"/>
      <c r="G13" s="67"/>
      <c r="H13" s="73"/>
      <c r="I13" s="73"/>
      <c r="J13" s="73"/>
      <c r="K13" s="212" t="s">
        <v>392</v>
      </c>
      <c r="L13" s="42" t="s">
        <v>385</v>
      </c>
      <c r="M13" s="175">
        <v>20000</v>
      </c>
    </row>
    <row r="14" spans="1:13">
      <c r="A14" s="62"/>
      <c r="B14" s="64"/>
      <c r="C14" s="64"/>
      <c r="D14" s="139"/>
      <c r="E14" s="174"/>
      <c r="F14" s="174"/>
      <c r="G14" s="67"/>
      <c r="H14" s="73"/>
      <c r="I14" s="73"/>
      <c r="J14" s="73"/>
      <c r="K14" s="345" t="s">
        <v>403</v>
      </c>
      <c r="L14" s="42" t="s">
        <v>385</v>
      </c>
      <c r="M14" s="175">
        <v>7000</v>
      </c>
    </row>
    <row r="15" spans="1:13">
      <c r="A15" s="62"/>
      <c r="B15" s="64"/>
      <c r="C15" s="64"/>
      <c r="D15" s="139"/>
      <c r="E15" s="174"/>
      <c r="F15" s="174"/>
      <c r="G15" s="67"/>
      <c r="H15" s="73"/>
      <c r="I15" s="73"/>
      <c r="J15" s="73"/>
      <c r="K15" s="345" t="s">
        <v>404</v>
      </c>
      <c r="L15" s="42" t="s">
        <v>385</v>
      </c>
      <c r="M15" s="175">
        <v>2000</v>
      </c>
    </row>
    <row r="16" spans="1:13">
      <c r="A16" s="62"/>
      <c r="B16" s="64"/>
      <c r="C16" s="64"/>
      <c r="D16" s="139"/>
      <c r="E16" s="174"/>
      <c r="F16" s="174"/>
      <c r="G16" s="67"/>
      <c r="H16" s="73"/>
      <c r="I16" s="73"/>
      <c r="J16" s="73"/>
      <c r="K16" s="212" t="s">
        <v>393</v>
      </c>
      <c r="L16" s="42" t="s">
        <v>385</v>
      </c>
      <c r="M16" s="175">
        <v>1000000</v>
      </c>
    </row>
    <row r="17" spans="1:13">
      <c r="A17" s="62"/>
      <c r="B17" s="64"/>
      <c r="C17" s="64"/>
      <c r="D17" s="139"/>
      <c r="E17" s="174"/>
      <c r="F17" s="174"/>
      <c r="G17" s="67"/>
      <c r="H17" s="73"/>
      <c r="I17" s="73"/>
      <c r="J17" s="73"/>
      <c r="K17" s="212" t="s">
        <v>394</v>
      </c>
      <c r="L17" s="42" t="s">
        <v>385</v>
      </c>
      <c r="M17" s="175">
        <v>150000</v>
      </c>
    </row>
    <row r="18" spans="1:13">
      <c r="A18" s="62"/>
      <c r="B18" s="64"/>
      <c r="C18" s="64"/>
      <c r="D18" s="139"/>
      <c r="E18" s="174"/>
      <c r="F18" s="174"/>
      <c r="G18" s="66"/>
      <c r="H18" s="73"/>
      <c r="I18" s="73"/>
      <c r="J18" s="73"/>
      <c r="K18" s="207" t="s">
        <v>395</v>
      </c>
      <c r="L18" s="42" t="s">
        <v>385</v>
      </c>
      <c r="M18" s="175">
        <v>100000</v>
      </c>
    </row>
    <row r="19" spans="1:13">
      <c r="A19" s="62"/>
      <c r="B19" s="64"/>
      <c r="C19" s="64"/>
      <c r="D19" s="139"/>
      <c r="E19" s="174"/>
      <c r="F19" s="174"/>
      <c r="G19" s="67" t="s">
        <v>185</v>
      </c>
      <c r="H19" s="72">
        <f>M19</f>
        <v>55000</v>
      </c>
      <c r="I19" s="72">
        <v>55000</v>
      </c>
      <c r="J19" s="72">
        <f t="shared" si="0"/>
        <v>0</v>
      </c>
      <c r="K19" s="83" t="s">
        <v>186</v>
      </c>
      <c r="L19" s="41"/>
      <c r="M19" s="209">
        <f>SUM(M20:M22)</f>
        <v>55000</v>
      </c>
    </row>
    <row r="20" spans="1:13">
      <c r="A20" s="62"/>
      <c r="B20" s="64"/>
      <c r="C20" s="64"/>
      <c r="D20" s="139"/>
      <c r="E20" s="174"/>
      <c r="F20" s="174"/>
      <c r="G20" s="67"/>
      <c r="H20" s="73"/>
      <c r="I20" s="73"/>
      <c r="J20" s="73"/>
      <c r="K20" s="212" t="s">
        <v>386</v>
      </c>
      <c r="L20" s="42" t="s">
        <v>387</v>
      </c>
      <c r="M20" s="175">
        <v>30000</v>
      </c>
    </row>
    <row r="21" spans="1:13">
      <c r="A21" s="62"/>
      <c r="B21" s="64"/>
      <c r="C21" s="64"/>
      <c r="D21" s="139"/>
      <c r="E21" s="174"/>
      <c r="F21" s="174"/>
      <c r="G21" s="67"/>
      <c r="H21" s="73"/>
      <c r="I21" s="73"/>
      <c r="J21" s="73"/>
      <c r="K21" s="212" t="s">
        <v>388</v>
      </c>
      <c r="L21" s="42" t="s">
        <v>385</v>
      </c>
      <c r="M21" s="175">
        <v>5000</v>
      </c>
    </row>
    <row r="22" spans="1:13">
      <c r="A22" s="62"/>
      <c r="B22" s="64"/>
      <c r="C22" s="64"/>
      <c r="D22" s="139"/>
      <c r="E22" s="174"/>
      <c r="F22" s="174"/>
      <c r="G22" s="66"/>
      <c r="H22" s="70"/>
      <c r="I22" s="70"/>
      <c r="J22" s="70"/>
      <c r="K22" s="207" t="s">
        <v>389</v>
      </c>
      <c r="L22" s="136" t="s">
        <v>0</v>
      </c>
      <c r="M22" s="175">
        <v>20000</v>
      </c>
    </row>
    <row r="23" spans="1:13">
      <c r="A23" s="62"/>
      <c r="B23" s="64"/>
      <c r="C23" s="64"/>
      <c r="D23" s="139"/>
      <c r="E23" s="174"/>
      <c r="F23" s="174"/>
      <c r="G23" s="67" t="s">
        <v>529</v>
      </c>
      <c r="H23" s="73">
        <f>M23</f>
        <v>500000</v>
      </c>
      <c r="I23" s="73">
        <v>500000</v>
      </c>
      <c r="J23" s="73">
        <f>H23-I23</f>
        <v>0</v>
      </c>
      <c r="K23" s="83" t="s">
        <v>187</v>
      </c>
      <c r="L23" s="42"/>
      <c r="M23" s="209">
        <f>SUM(M24)</f>
        <v>500000</v>
      </c>
    </row>
    <row r="24" spans="1:13">
      <c r="A24" s="62"/>
      <c r="B24" s="64"/>
      <c r="C24" s="64"/>
      <c r="D24" s="139"/>
      <c r="E24" s="263"/>
      <c r="F24" s="263"/>
      <c r="G24" s="66"/>
      <c r="H24" s="70"/>
      <c r="I24" s="70"/>
      <c r="J24" s="70"/>
      <c r="K24" s="207" t="s">
        <v>390</v>
      </c>
      <c r="L24" s="187" t="s">
        <v>0</v>
      </c>
      <c r="M24" s="181">
        <v>500000</v>
      </c>
    </row>
    <row r="25" spans="1:13">
      <c r="A25" s="10"/>
      <c r="B25" s="6"/>
      <c r="C25" s="237"/>
      <c r="D25" s="237"/>
      <c r="E25" s="123" t="s">
        <v>391</v>
      </c>
      <c r="F25" s="124"/>
      <c r="G25" s="125"/>
      <c r="H25" s="89">
        <f t="shared" ref="H25" si="2">H26</f>
        <v>26000</v>
      </c>
      <c r="I25" s="89">
        <v>26000</v>
      </c>
      <c r="J25" s="93">
        <f t="shared" ref="J25:J27" si="3">H25-I25</f>
        <v>0</v>
      </c>
      <c r="K25" s="84"/>
      <c r="L25" s="91"/>
      <c r="M25" s="82"/>
    </row>
    <row r="26" spans="1:13">
      <c r="A26" s="62"/>
      <c r="B26" s="64"/>
      <c r="C26" s="170"/>
      <c r="D26" s="171"/>
      <c r="E26" s="172"/>
      <c r="F26" s="130" t="s">
        <v>57</v>
      </c>
      <c r="G26" s="173"/>
      <c r="H26" s="71">
        <f>H27</f>
        <v>26000</v>
      </c>
      <c r="I26" s="71">
        <v>26000</v>
      </c>
      <c r="J26" s="71">
        <f t="shared" si="3"/>
        <v>0</v>
      </c>
      <c r="K26" s="211"/>
      <c r="L26" s="51"/>
      <c r="M26" s="37"/>
    </row>
    <row r="27" spans="1:13">
      <c r="A27" s="62"/>
      <c r="B27" s="64"/>
      <c r="C27" s="64"/>
      <c r="D27" s="139"/>
      <c r="E27" s="174"/>
      <c r="F27" s="174"/>
      <c r="G27" s="67" t="s">
        <v>467</v>
      </c>
      <c r="H27" s="72">
        <f>M27</f>
        <v>26000</v>
      </c>
      <c r="I27" s="72">
        <v>26000</v>
      </c>
      <c r="J27" s="72">
        <f t="shared" si="3"/>
        <v>0</v>
      </c>
      <c r="K27" s="83" t="s">
        <v>396</v>
      </c>
      <c r="L27" s="41"/>
      <c r="M27" s="209">
        <f>SUM(M28:M29)</f>
        <v>26000</v>
      </c>
    </row>
    <row r="28" spans="1:13">
      <c r="A28" s="62"/>
      <c r="B28" s="64"/>
      <c r="C28" s="64"/>
      <c r="D28" s="139"/>
      <c r="E28" s="174"/>
      <c r="F28" s="174"/>
      <c r="G28" s="67"/>
      <c r="H28" s="73"/>
      <c r="I28" s="73"/>
      <c r="J28" s="73"/>
      <c r="K28" s="212" t="s">
        <v>401</v>
      </c>
      <c r="L28" s="42" t="s">
        <v>184</v>
      </c>
      <c r="M28" s="175">
        <v>21000</v>
      </c>
    </row>
    <row r="29" spans="1:13">
      <c r="A29" s="62"/>
      <c r="B29" s="66"/>
      <c r="C29" s="66"/>
      <c r="D29" s="236"/>
      <c r="E29" s="263"/>
      <c r="F29" s="263"/>
      <c r="G29" s="69"/>
      <c r="H29" s="70"/>
      <c r="I29" s="70"/>
      <c r="J29" s="70"/>
      <c r="K29" s="207" t="s">
        <v>402</v>
      </c>
      <c r="L29" s="136" t="s">
        <v>385</v>
      </c>
      <c r="M29" s="181">
        <v>5000</v>
      </c>
    </row>
    <row r="30" spans="1:13">
      <c r="A30" s="286"/>
      <c r="B30" s="284" t="s">
        <v>229</v>
      </c>
      <c r="C30" s="260"/>
      <c r="D30" s="261"/>
      <c r="E30" s="261"/>
      <c r="F30" s="261"/>
      <c r="G30" s="262"/>
      <c r="H30" s="92">
        <f>H31</f>
        <v>950000</v>
      </c>
      <c r="I30" s="92">
        <v>950000</v>
      </c>
      <c r="J30" s="93">
        <f>H30-I30</f>
        <v>0</v>
      </c>
      <c r="K30" s="78"/>
      <c r="L30" s="79"/>
      <c r="M30" s="80"/>
    </row>
    <row r="31" spans="1:13">
      <c r="A31" s="10"/>
      <c r="B31" s="6"/>
      <c r="C31" s="123" t="s">
        <v>230</v>
      </c>
      <c r="D31" s="124"/>
      <c r="E31" s="124"/>
      <c r="F31" s="124"/>
      <c r="G31" s="125"/>
      <c r="H31" s="92">
        <f>H32+H56</f>
        <v>950000</v>
      </c>
      <c r="I31" s="92">
        <v>950000</v>
      </c>
      <c r="J31" s="93">
        <f t="shared" ref="J31:J35" si="4">H31-I31</f>
        <v>0</v>
      </c>
      <c r="K31" s="78"/>
      <c r="L31" s="79"/>
      <c r="M31" s="80"/>
    </row>
    <row r="32" spans="1:13">
      <c r="A32" s="10"/>
      <c r="B32" s="6"/>
      <c r="C32" s="7"/>
      <c r="D32" s="354" t="s">
        <v>524</v>
      </c>
      <c r="E32" s="124"/>
      <c r="F32" s="124"/>
      <c r="G32" s="125"/>
      <c r="H32" s="126">
        <f>H33+H49</f>
        <v>660000</v>
      </c>
      <c r="I32" s="126">
        <v>660000</v>
      </c>
      <c r="J32" s="93">
        <f t="shared" si="4"/>
        <v>0</v>
      </c>
      <c r="K32" s="81"/>
      <c r="L32" s="127"/>
      <c r="M32" s="80"/>
    </row>
    <row r="33" spans="1:13">
      <c r="A33" s="10"/>
      <c r="B33" s="6"/>
      <c r="C33" s="128"/>
      <c r="D33" s="129"/>
      <c r="E33" s="123" t="s">
        <v>180</v>
      </c>
      <c r="F33" s="124"/>
      <c r="G33" s="125"/>
      <c r="H33" s="89">
        <f t="shared" ref="H33" si="5">H34</f>
        <v>498000</v>
      </c>
      <c r="I33" s="89">
        <v>498000</v>
      </c>
      <c r="J33" s="93">
        <f t="shared" si="4"/>
        <v>0</v>
      </c>
      <c r="K33" s="84"/>
      <c r="L33" s="91"/>
      <c r="M33" s="82"/>
    </row>
    <row r="34" spans="1:13">
      <c r="A34" s="62"/>
      <c r="B34" s="64"/>
      <c r="C34" s="170"/>
      <c r="D34" s="171"/>
      <c r="E34" s="172"/>
      <c r="F34" s="130" t="s">
        <v>181</v>
      </c>
      <c r="G34" s="173"/>
      <c r="H34" s="71">
        <f>SUM(H35,H45)</f>
        <v>498000</v>
      </c>
      <c r="I34" s="71">
        <v>498000</v>
      </c>
      <c r="J34" s="71">
        <f t="shared" si="4"/>
        <v>0</v>
      </c>
      <c r="K34" s="211"/>
      <c r="L34" s="51"/>
      <c r="M34" s="37"/>
    </row>
    <row r="35" spans="1:13">
      <c r="A35" s="62"/>
      <c r="B35" s="64"/>
      <c r="C35" s="64"/>
      <c r="D35" s="139"/>
      <c r="E35" s="174"/>
      <c r="F35" s="174"/>
      <c r="G35" s="67" t="s">
        <v>182</v>
      </c>
      <c r="H35" s="72">
        <f>M35</f>
        <v>250000</v>
      </c>
      <c r="I35" s="72">
        <v>450000</v>
      </c>
      <c r="J35" s="72">
        <f t="shared" si="4"/>
        <v>-200000</v>
      </c>
      <c r="K35" s="83" t="s">
        <v>183</v>
      </c>
      <c r="L35" s="41"/>
      <c r="M35" s="209">
        <f>SUM(M36:M41,M44)</f>
        <v>250000</v>
      </c>
    </row>
    <row r="36" spans="1:13">
      <c r="A36" s="62"/>
      <c r="B36" s="64"/>
      <c r="C36" s="64"/>
      <c r="D36" s="139"/>
      <c r="E36" s="174"/>
      <c r="F36" s="174"/>
      <c r="G36" s="67"/>
      <c r="H36" s="73"/>
      <c r="I36" s="73"/>
      <c r="J36" s="73"/>
      <c r="K36" s="212" t="s">
        <v>457</v>
      </c>
      <c r="L36" s="42" t="s">
        <v>184</v>
      </c>
      <c r="M36" s="175">
        <v>40000</v>
      </c>
    </row>
    <row r="37" spans="1:13">
      <c r="A37" s="62"/>
      <c r="B37" s="64"/>
      <c r="C37" s="64"/>
      <c r="D37" s="139"/>
      <c r="E37" s="174"/>
      <c r="F37" s="174"/>
      <c r="G37" s="67"/>
      <c r="H37" s="73"/>
      <c r="I37" s="73"/>
      <c r="J37" s="73"/>
      <c r="K37" s="212" t="s">
        <v>459</v>
      </c>
      <c r="L37" s="42" t="s">
        <v>446</v>
      </c>
      <c r="M37" s="175">
        <v>16000</v>
      </c>
    </row>
    <row r="38" spans="1:13">
      <c r="A38" s="62"/>
      <c r="B38" s="64"/>
      <c r="C38" s="64"/>
      <c r="D38" s="139"/>
      <c r="E38" s="174"/>
      <c r="F38" s="174"/>
      <c r="G38" s="67"/>
      <c r="H38" s="73"/>
      <c r="I38" s="73"/>
      <c r="J38" s="73"/>
      <c r="K38" s="212" t="s">
        <v>462</v>
      </c>
      <c r="L38" s="42" t="s">
        <v>446</v>
      </c>
      <c r="M38" s="175">
        <v>24000</v>
      </c>
    </row>
    <row r="39" spans="1:13">
      <c r="A39" s="62"/>
      <c r="B39" s="64"/>
      <c r="C39" s="64"/>
      <c r="D39" s="139"/>
      <c r="E39" s="174"/>
      <c r="F39" s="174"/>
      <c r="G39" s="67"/>
      <c r="H39" s="73"/>
      <c r="I39" s="73"/>
      <c r="J39" s="73"/>
      <c r="K39" s="212" t="s">
        <v>463</v>
      </c>
      <c r="L39" s="42" t="s">
        <v>446</v>
      </c>
      <c r="M39" s="175">
        <v>100000</v>
      </c>
    </row>
    <row r="40" spans="1:13">
      <c r="A40" s="62"/>
      <c r="B40" s="64"/>
      <c r="C40" s="64"/>
      <c r="D40" s="139"/>
      <c r="E40" s="174"/>
      <c r="F40" s="174"/>
      <c r="G40" s="67"/>
      <c r="H40" s="73"/>
      <c r="I40" s="73"/>
      <c r="J40" s="73"/>
      <c r="K40" s="212" t="s">
        <v>464</v>
      </c>
      <c r="L40" s="42" t="s">
        <v>460</v>
      </c>
      <c r="M40" s="175">
        <v>30000</v>
      </c>
    </row>
    <row r="41" spans="1:13">
      <c r="A41" s="62"/>
      <c r="B41" s="64"/>
      <c r="C41" s="64"/>
      <c r="D41" s="139"/>
      <c r="E41" s="174"/>
      <c r="F41" s="174"/>
      <c r="G41" s="67"/>
      <c r="H41" s="73"/>
      <c r="I41" s="73"/>
      <c r="J41" s="73"/>
      <c r="K41" s="212" t="s">
        <v>506</v>
      </c>
      <c r="L41" s="42" t="s">
        <v>461</v>
      </c>
      <c r="M41" s="175">
        <v>40000</v>
      </c>
    </row>
    <row r="42" spans="1:13">
      <c r="A42" s="62"/>
      <c r="B42" s="64"/>
      <c r="C42" s="64"/>
      <c r="D42" s="139"/>
      <c r="E42" s="174"/>
      <c r="F42" s="174"/>
      <c r="G42" s="67"/>
      <c r="H42" s="73"/>
      <c r="I42" s="73"/>
      <c r="J42" s="73"/>
      <c r="K42" s="345" t="s">
        <v>532</v>
      </c>
      <c r="L42" s="42" t="s">
        <v>33</v>
      </c>
      <c r="M42" s="175">
        <v>200000</v>
      </c>
    </row>
    <row r="43" spans="1:13">
      <c r="A43" s="62"/>
      <c r="B43" s="64"/>
      <c r="C43" s="64"/>
      <c r="D43" s="139"/>
      <c r="E43" s="174"/>
      <c r="F43" s="174"/>
      <c r="G43" s="67"/>
      <c r="H43" s="73"/>
      <c r="I43" s="73"/>
      <c r="J43" s="73"/>
      <c r="K43" s="391" t="s">
        <v>572</v>
      </c>
      <c r="L43" s="42"/>
      <c r="M43" s="175"/>
    </row>
    <row r="44" spans="1:13">
      <c r="A44" s="62"/>
      <c r="B44" s="64"/>
      <c r="C44" s="64"/>
      <c r="D44" s="139"/>
      <c r="E44" s="174"/>
      <c r="F44" s="174"/>
      <c r="G44" s="66"/>
      <c r="H44" s="73"/>
      <c r="I44" s="73"/>
      <c r="J44" s="73"/>
      <c r="K44" s="395" t="s">
        <v>573</v>
      </c>
      <c r="L44" s="396" t="s">
        <v>446</v>
      </c>
      <c r="M44" s="397">
        <v>0</v>
      </c>
    </row>
    <row r="45" spans="1:13">
      <c r="A45" s="62"/>
      <c r="B45" s="64"/>
      <c r="C45" s="64"/>
      <c r="D45" s="139"/>
      <c r="E45" s="174"/>
      <c r="F45" s="174"/>
      <c r="G45" s="67" t="s">
        <v>185</v>
      </c>
      <c r="H45" s="72">
        <f>M45</f>
        <v>248000</v>
      </c>
      <c r="I45" s="72">
        <v>48000</v>
      </c>
      <c r="J45" s="72">
        <f t="shared" ref="J45" si="6">H45-I45</f>
        <v>200000</v>
      </c>
      <c r="K45" s="83" t="s">
        <v>186</v>
      </c>
      <c r="L45" s="41"/>
      <c r="M45" s="209">
        <f>SUM(M46:M48)</f>
        <v>248000</v>
      </c>
    </row>
    <row r="46" spans="1:13">
      <c r="A46" s="62"/>
      <c r="B46" s="64"/>
      <c r="C46" s="64"/>
      <c r="D46" s="139"/>
      <c r="E46" s="174"/>
      <c r="F46" s="174"/>
      <c r="G46" s="67"/>
      <c r="H46" s="73"/>
      <c r="I46" s="73"/>
      <c r="J46" s="73"/>
      <c r="K46" s="212" t="s">
        <v>531</v>
      </c>
      <c r="L46" s="42" t="s">
        <v>0</v>
      </c>
      <c r="M46" s="175">
        <v>48000</v>
      </c>
    </row>
    <row r="47" spans="1:13">
      <c r="A47" s="62"/>
      <c r="B47" s="64"/>
      <c r="C47" s="64"/>
      <c r="D47" s="139"/>
      <c r="E47" s="174"/>
      <c r="F47" s="174"/>
      <c r="G47" s="67"/>
      <c r="H47" s="73"/>
      <c r="I47" s="73"/>
      <c r="J47" s="73"/>
      <c r="K47" s="83" t="s">
        <v>564</v>
      </c>
      <c r="L47" s="42"/>
      <c r="M47" s="178"/>
    </row>
    <row r="48" spans="1:13">
      <c r="A48" s="62"/>
      <c r="B48" s="64"/>
      <c r="C48" s="64"/>
      <c r="D48" s="139"/>
      <c r="E48" s="174"/>
      <c r="F48" s="174"/>
      <c r="G48" s="66"/>
      <c r="H48" s="70"/>
      <c r="I48" s="70"/>
      <c r="J48" s="70"/>
      <c r="K48" s="380" t="s">
        <v>574</v>
      </c>
      <c r="L48" s="381" t="s">
        <v>0</v>
      </c>
      <c r="M48" s="358">
        <v>200000</v>
      </c>
    </row>
    <row r="49" spans="1:13">
      <c r="A49" s="10"/>
      <c r="B49" s="6"/>
      <c r="C49" s="128"/>
      <c r="D49" s="237"/>
      <c r="E49" s="123" t="s">
        <v>56</v>
      </c>
      <c r="F49" s="124"/>
      <c r="G49" s="125"/>
      <c r="H49" s="89">
        <f t="shared" ref="H49" si="7">H50</f>
        <v>162000</v>
      </c>
      <c r="I49" s="89">
        <v>162000</v>
      </c>
      <c r="J49" s="93">
        <f t="shared" ref="J49:J51" si="8">H49-I49</f>
        <v>0</v>
      </c>
      <c r="K49" s="84"/>
      <c r="L49" s="91"/>
      <c r="M49" s="82"/>
    </row>
    <row r="50" spans="1:13">
      <c r="A50" s="62"/>
      <c r="B50" s="64"/>
      <c r="C50" s="170"/>
      <c r="D50" s="171"/>
      <c r="E50" s="172"/>
      <c r="F50" s="130" t="s">
        <v>57</v>
      </c>
      <c r="G50" s="173"/>
      <c r="H50" s="71">
        <f>SUM(H51,H54)</f>
        <v>162000</v>
      </c>
      <c r="I50" s="71">
        <v>162000</v>
      </c>
      <c r="J50" s="71">
        <f t="shared" si="8"/>
        <v>0</v>
      </c>
      <c r="K50" s="211"/>
      <c r="L50" s="51"/>
      <c r="M50" s="37"/>
    </row>
    <row r="51" spans="1:13">
      <c r="A51" s="62"/>
      <c r="B51" s="64"/>
      <c r="C51" s="64"/>
      <c r="D51" s="139"/>
      <c r="E51" s="174"/>
      <c r="F51" s="174"/>
      <c r="G51" s="67" t="s">
        <v>455</v>
      </c>
      <c r="H51" s="72">
        <f>M51</f>
        <v>132000</v>
      </c>
      <c r="I51" s="72">
        <v>132000</v>
      </c>
      <c r="J51" s="72">
        <f t="shared" si="8"/>
        <v>0</v>
      </c>
      <c r="K51" s="83" t="s">
        <v>458</v>
      </c>
      <c r="L51" s="41"/>
      <c r="M51" s="209">
        <f>SUM(M52:M53)</f>
        <v>132000</v>
      </c>
    </row>
    <row r="52" spans="1:13">
      <c r="A52" s="62"/>
      <c r="B52" s="64"/>
      <c r="C52" s="64"/>
      <c r="D52" s="139"/>
      <c r="E52" s="174"/>
      <c r="F52" s="174"/>
      <c r="G52" s="67"/>
      <c r="H52" s="73"/>
      <c r="I52" s="73"/>
      <c r="J52" s="73"/>
      <c r="K52" s="212" t="s">
        <v>465</v>
      </c>
      <c r="L52" s="42" t="s">
        <v>526</v>
      </c>
      <c r="M52" s="175">
        <v>32000</v>
      </c>
    </row>
    <row r="53" spans="1:13">
      <c r="A53" s="62"/>
      <c r="B53" s="64"/>
      <c r="C53" s="64"/>
      <c r="D53" s="139"/>
      <c r="E53" s="174"/>
      <c r="F53" s="174"/>
      <c r="G53" s="67"/>
      <c r="H53" s="73"/>
      <c r="I53" s="73"/>
      <c r="J53" s="73"/>
      <c r="K53" s="207" t="s">
        <v>466</v>
      </c>
      <c r="L53" s="42" t="s">
        <v>184</v>
      </c>
      <c r="M53" s="175">
        <v>100000</v>
      </c>
    </row>
    <row r="54" spans="1:13">
      <c r="A54" s="62"/>
      <c r="B54" s="64"/>
      <c r="C54" s="64"/>
      <c r="D54" s="139"/>
      <c r="E54" s="174"/>
      <c r="F54" s="174"/>
      <c r="G54" s="63" t="s">
        <v>467</v>
      </c>
      <c r="H54" s="72">
        <f>M54</f>
        <v>30000</v>
      </c>
      <c r="I54" s="72">
        <v>30000</v>
      </c>
      <c r="J54" s="72">
        <f t="shared" ref="J54" si="9">H54-I54</f>
        <v>0</v>
      </c>
      <c r="K54" s="83" t="s">
        <v>468</v>
      </c>
      <c r="L54" s="41"/>
      <c r="M54" s="209">
        <f>SUM(M55:M55)</f>
        <v>30000</v>
      </c>
    </row>
    <row r="55" spans="1:13">
      <c r="A55" s="62"/>
      <c r="B55" s="64"/>
      <c r="C55" s="64"/>
      <c r="D55" s="236"/>
      <c r="E55" s="263"/>
      <c r="F55" s="263"/>
      <c r="G55" s="66"/>
      <c r="H55" s="70"/>
      <c r="I55" s="70"/>
      <c r="J55" s="70"/>
      <c r="K55" s="207" t="s">
        <v>525</v>
      </c>
      <c r="L55" s="136" t="s">
        <v>184</v>
      </c>
      <c r="M55" s="181">
        <v>30000</v>
      </c>
    </row>
    <row r="56" spans="1:13">
      <c r="A56" s="10"/>
      <c r="B56" s="6"/>
      <c r="C56" s="6"/>
      <c r="D56" s="260" t="s">
        <v>453</v>
      </c>
      <c r="E56" s="261"/>
      <c r="F56" s="261"/>
      <c r="G56" s="262"/>
      <c r="H56" s="324">
        <f>H57+H67</f>
        <v>290000</v>
      </c>
      <c r="I56" s="324">
        <v>290000</v>
      </c>
      <c r="J56" s="93">
        <f t="shared" ref="J56:J57" si="10">H56-I56</f>
        <v>0</v>
      </c>
      <c r="K56" s="81"/>
      <c r="L56" s="127"/>
      <c r="M56" s="80"/>
    </row>
    <row r="57" spans="1:13">
      <c r="A57" s="10"/>
      <c r="B57" s="6"/>
      <c r="C57" s="128"/>
      <c r="D57" s="129"/>
      <c r="E57" s="123" t="s">
        <v>180</v>
      </c>
      <c r="F57" s="124"/>
      <c r="G57" s="125"/>
      <c r="H57" s="89">
        <f>H58</f>
        <v>173250</v>
      </c>
      <c r="I57" s="89">
        <v>120000</v>
      </c>
      <c r="J57" s="93">
        <f t="shared" si="10"/>
        <v>53250</v>
      </c>
      <c r="K57" s="84"/>
      <c r="L57" s="91"/>
      <c r="M57" s="82"/>
    </row>
    <row r="58" spans="1:13">
      <c r="A58" s="62"/>
      <c r="B58" s="64"/>
      <c r="C58" s="170"/>
      <c r="D58" s="171"/>
      <c r="E58" s="172"/>
      <c r="F58" s="130" t="s">
        <v>181</v>
      </c>
      <c r="G58" s="173"/>
      <c r="H58" s="71">
        <f>SUM(H59,H63)</f>
        <v>173250</v>
      </c>
      <c r="I58" s="71">
        <v>120000</v>
      </c>
      <c r="J58" s="71">
        <f>H58-I58</f>
        <v>53250</v>
      </c>
      <c r="K58" s="211"/>
      <c r="L58" s="51"/>
      <c r="M58" s="37"/>
    </row>
    <row r="59" spans="1:13">
      <c r="A59" s="62"/>
      <c r="B59" s="64"/>
      <c r="C59" s="64"/>
      <c r="D59" s="139"/>
      <c r="E59" s="174"/>
      <c r="F59" s="174"/>
      <c r="G59" s="67" t="s">
        <v>32</v>
      </c>
      <c r="H59" s="72">
        <f>M59</f>
        <v>3250</v>
      </c>
      <c r="I59" s="72">
        <v>0</v>
      </c>
      <c r="J59" s="72">
        <f>H59-I59</f>
        <v>3250</v>
      </c>
      <c r="K59" s="83" t="s">
        <v>60</v>
      </c>
      <c r="L59" s="41"/>
      <c r="M59" s="209">
        <f>SUM(M61:M62)</f>
        <v>3250</v>
      </c>
    </row>
    <row r="60" spans="1:13">
      <c r="A60" s="62"/>
      <c r="B60" s="64"/>
      <c r="C60" s="64"/>
      <c r="D60" s="139"/>
      <c r="E60" s="174"/>
      <c r="F60" s="174"/>
      <c r="G60" s="67"/>
      <c r="H60" s="73"/>
      <c r="I60" s="73"/>
      <c r="J60" s="73"/>
      <c r="K60" s="391" t="s">
        <v>575</v>
      </c>
      <c r="L60" s="42"/>
      <c r="M60" s="175"/>
    </row>
    <row r="61" spans="1:13">
      <c r="A61" s="62"/>
      <c r="B61" s="64"/>
      <c r="C61" s="64"/>
      <c r="D61" s="139"/>
      <c r="E61" s="174"/>
      <c r="F61" s="174"/>
      <c r="G61" s="64"/>
      <c r="H61" s="73"/>
      <c r="I61" s="73"/>
      <c r="J61" s="73"/>
      <c r="K61" s="392" t="s">
        <v>580</v>
      </c>
      <c r="L61" s="385" t="s">
        <v>33</v>
      </c>
      <c r="M61" s="358">
        <f>250*9</f>
        <v>2250</v>
      </c>
    </row>
    <row r="62" spans="1:13">
      <c r="A62" s="62"/>
      <c r="B62" s="64"/>
      <c r="C62" s="64"/>
      <c r="D62" s="139"/>
      <c r="E62" s="174"/>
      <c r="F62" s="174"/>
      <c r="G62" s="66"/>
      <c r="H62" s="70"/>
      <c r="I62" s="70"/>
      <c r="J62" s="70"/>
      <c r="K62" s="380" t="s">
        <v>581</v>
      </c>
      <c r="L62" s="381" t="s">
        <v>33</v>
      </c>
      <c r="M62" s="393">
        <v>1000</v>
      </c>
    </row>
    <row r="63" spans="1:13">
      <c r="A63" s="62"/>
      <c r="B63" s="64"/>
      <c r="C63" s="64"/>
      <c r="D63" s="139"/>
      <c r="E63" s="174"/>
      <c r="F63" s="174"/>
      <c r="G63" s="67" t="s">
        <v>185</v>
      </c>
      <c r="H63" s="73">
        <f>M63</f>
        <v>170000</v>
      </c>
      <c r="I63" s="73">
        <v>120000</v>
      </c>
      <c r="J63" s="73">
        <f>H63-I63</f>
        <v>50000</v>
      </c>
      <c r="K63" s="83" t="s">
        <v>186</v>
      </c>
      <c r="L63" s="42"/>
      <c r="M63" s="178">
        <f>M66</f>
        <v>170000</v>
      </c>
    </row>
    <row r="64" spans="1:13">
      <c r="A64" s="62"/>
      <c r="B64" s="64"/>
      <c r="C64" s="64"/>
      <c r="D64" s="139"/>
      <c r="E64" s="174"/>
      <c r="F64" s="174"/>
      <c r="G64" s="67"/>
      <c r="H64" s="73"/>
      <c r="I64" s="73"/>
      <c r="J64" s="73"/>
      <c r="K64" s="212" t="s">
        <v>505</v>
      </c>
      <c r="L64" s="42" t="s">
        <v>0</v>
      </c>
      <c r="M64" s="175">
        <v>120000</v>
      </c>
    </row>
    <row r="65" spans="1:13">
      <c r="A65" s="62"/>
      <c r="B65" s="64"/>
      <c r="C65" s="64"/>
      <c r="D65" s="139"/>
      <c r="E65" s="174"/>
      <c r="F65" s="174"/>
      <c r="G65" s="67"/>
      <c r="H65" s="73"/>
      <c r="I65" s="73"/>
      <c r="J65" s="73"/>
      <c r="K65" s="83" t="s">
        <v>576</v>
      </c>
      <c r="L65" s="42"/>
      <c r="M65" s="178"/>
    </row>
    <row r="66" spans="1:13">
      <c r="A66" s="62"/>
      <c r="B66" s="64"/>
      <c r="C66" s="64"/>
      <c r="D66" s="139"/>
      <c r="E66" s="174"/>
      <c r="F66" s="174"/>
      <c r="G66" s="66"/>
      <c r="H66" s="70"/>
      <c r="I66" s="70"/>
      <c r="J66" s="70"/>
      <c r="K66" s="380" t="s">
        <v>577</v>
      </c>
      <c r="L66" s="381" t="s">
        <v>0</v>
      </c>
      <c r="M66" s="358">
        <v>170000</v>
      </c>
    </row>
    <row r="67" spans="1:13">
      <c r="A67" s="10"/>
      <c r="B67" s="6"/>
      <c r="C67" s="128"/>
      <c r="D67" s="237"/>
      <c r="E67" s="123" t="s">
        <v>56</v>
      </c>
      <c r="F67" s="124"/>
      <c r="G67" s="125"/>
      <c r="H67" s="89">
        <f t="shared" ref="H67" si="11">H68</f>
        <v>116750</v>
      </c>
      <c r="I67" s="89">
        <v>170000</v>
      </c>
      <c r="J67" s="93">
        <f>H67-I67</f>
        <v>-53250</v>
      </c>
      <c r="K67" s="84"/>
      <c r="L67" s="91"/>
      <c r="M67" s="82"/>
    </row>
    <row r="68" spans="1:13">
      <c r="A68" s="62"/>
      <c r="B68" s="64"/>
      <c r="C68" s="170"/>
      <c r="D68" s="171"/>
      <c r="E68" s="172"/>
      <c r="F68" s="130" t="s">
        <v>454</v>
      </c>
      <c r="G68" s="173"/>
      <c r="H68" s="71">
        <f>H69</f>
        <v>116750</v>
      </c>
      <c r="I68" s="71">
        <v>170000</v>
      </c>
      <c r="J68" s="71">
        <f t="shared" ref="J68:J69" si="12">H68-I68</f>
        <v>-53250</v>
      </c>
      <c r="K68" s="211"/>
      <c r="L68" s="51"/>
      <c r="M68" s="37"/>
    </row>
    <row r="69" spans="1:13">
      <c r="A69" s="62"/>
      <c r="B69" s="64"/>
      <c r="C69" s="64"/>
      <c r="D69" s="139"/>
      <c r="E69" s="174"/>
      <c r="F69" s="174"/>
      <c r="G69" s="67" t="s">
        <v>455</v>
      </c>
      <c r="H69" s="72">
        <f>M69</f>
        <v>116750</v>
      </c>
      <c r="I69" s="72">
        <v>170000</v>
      </c>
      <c r="J69" s="72">
        <f t="shared" si="12"/>
        <v>-53250</v>
      </c>
      <c r="K69" s="83" t="s">
        <v>456</v>
      </c>
      <c r="L69" s="41"/>
      <c r="M69" s="209">
        <f>SUM(M72:M72)</f>
        <v>116750</v>
      </c>
    </row>
    <row r="70" spans="1:13">
      <c r="A70" s="62"/>
      <c r="B70" s="64"/>
      <c r="C70" s="64"/>
      <c r="D70" s="139"/>
      <c r="E70" s="174"/>
      <c r="F70" s="174"/>
      <c r="G70" s="67"/>
      <c r="H70" s="73"/>
      <c r="I70" s="73"/>
      <c r="J70" s="73"/>
      <c r="K70" s="394" t="s">
        <v>578</v>
      </c>
      <c r="L70" s="42" t="s">
        <v>0</v>
      </c>
      <c r="M70" s="175">
        <v>170000</v>
      </c>
    </row>
    <row r="71" spans="1:13">
      <c r="A71" s="62"/>
      <c r="B71" s="64"/>
      <c r="C71" s="64"/>
      <c r="D71" s="139"/>
      <c r="E71" s="174"/>
      <c r="F71" s="174"/>
      <c r="G71" s="67"/>
      <c r="H71" s="73"/>
      <c r="I71" s="73"/>
      <c r="J71" s="73"/>
      <c r="K71" s="83" t="s">
        <v>564</v>
      </c>
      <c r="L71" s="42"/>
      <c r="M71" s="178"/>
    </row>
    <row r="72" spans="1:13" ht="17.25" thickBot="1">
      <c r="A72" s="288"/>
      <c r="B72" s="68"/>
      <c r="C72" s="68"/>
      <c r="D72" s="289"/>
      <c r="E72" s="290"/>
      <c r="F72" s="290"/>
      <c r="G72" s="68"/>
      <c r="H72" s="291"/>
      <c r="I72" s="291"/>
      <c r="J72" s="291"/>
      <c r="K72" s="398" t="s">
        <v>579</v>
      </c>
      <c r="L72" s="399" t="s">
        <v>0</v>
      </c>
      <c r="M72" s="400">
        <v>116750</v>
      </c>
    </row>
    <row r="75" spans="1:13">
      <c r="G75" s="349"/>
    </row>
  </sheetData>
  <mergeCells count="8"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2:J3">
    <cfRule type="containsText" dxfId="185" priority="1" operator="containsText" text="허하나로">
      <formula>NOT(ISERROR(SEARCH("허하나로",H774)))</formula>
    </cfRule>
    <cfRule type="containsText" dxfId="184" priority="2" operator="containsText" text="한별">
      <formula>NOT(ISERROR(SEARCH("한별",H774)))</formula>
    </cfRule>
    <cfRule type="containsText" dxfId="183" priority="3" operator="containsText" text="정홍조">
      <formula>NOT(ISERROR(SEARCH("정홍조",H774)))</formula>
    </cfRule>
    <cfRule type="containsText" dxfId="182" priority="4" operator="containsText" text="김지윤">
      <formula>NOT(ISERROR(SEARCH("김지윤",H774)))</formula>
    </cfRule>
    <cfRule type="containsText" dxfId="181" priority="5" operator="containsText" text="전준영">
      <formula>NOT(ISERROR(SEARCH("전준영",H774)))</formula>
    </cfRule>
    <cfRule type="containsText" dxfId="180" priority="6" operator="containsText" text="차재성">
      <formula>NOT(ISERROR(SEARCH("차재성",H774)))</formula>
    </cfRule>
  </conditionalFormatting>
  <pageMargins left="0.70866141732283472" right="0.70866141732283472" top="0.74803149606299213" bottom="0.74803149606299213" header="0.31496062992125984" footer="0.31496062992125984"/>
  <pageSetup paperSize="9" scale="67" fitToHeight="0" orientation="landscape" r:id="rId1"/>
  <rowBreaks count="1" manualBreakCount="1">
    <brk id="42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3" operator="containsText" text="허하나로" id="{EAD63AA0-C563-4A68-A405-41D8F11AC68C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74" operator="containsText" text="한별" id="{523F99FD-E80E-4C3B-B41E-773E0BE2125B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75" operator="containsText" text="정홍조" id="{6CFB9313-19D9-4A1B-9D52-28B4C4E14384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6" operator="containsText" text="김지윤" id="{C772CDEF-4B49-4CFA-A8A8-3F9A22C4AEAC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7" operator="containsText" text="전준영" id="{6FA28620-93BF-403A-89AA-DEF7EFD51B12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8" operator="containsText" text="차재성" id="{5D29B390-D6CD-4A08-9641-C0A4AF232EB0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containsText" priority="79" operator="containsText" text="허하나로" id="{DCB723A8-B16B-4F55-A142-7E36B3833F0A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0" operator="containsText" text="한별" id="{307D23A8-BCD0-41A0-879D-52FBDD86F4B2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1" operator="containsText" text="정홍조" id="{59DCB63D-60AD-4B3A-AE21-A95812E94686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2" operator="containsText" text="김지윤" id="{8BFEAD57-7A92-4AF8-98CD-5FFD139324A5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3" operator="containsText" text="전준영" id="{34BFC8A7-C9CB-4655-A80B-2A6DFFF6B991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84" operator="containsText" text="차재성" id="{B24BF2D4-DB5D-4EB4-8F4B-6D009B95AE10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H5:I5</xm:sqref>
        </x14:conditionalFormatting>
        <x14:conditionalFormatting xmlns:xm="http://schemas.microsoft.com/office/excel/2006/main">
          <x14:cfRule type="containsText" priority="67" operator="containsText" text="허하나로" id="{274D4AB6-36A7-4A65-877F-2AE74A0792BD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8" operator="containsText" text="한별" id="{BE363504-F5A4-4759-87D3-62329E580848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9" operator="containsText" text="정홍조" id="{29A2C3FC-77F7-457E-93B6-F6C4C819A20D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0" operator="containsText" text="김지윤" id="{6578C41D-08D7-43C2-9741-262778BDEBD9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1" operator="containsText" text="전준영" id="{CEE9D741-C4E3-4621-ACCC-0A0490076D34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2" operator="containsText" text="차재성" id="{FB47FD5F-3927-4CA0-84D4-306DD6EF16C9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J7:J9</xm:sqref>
        </x14:conditionalFormatting>
        <x14:conditionalFormatting xmlns:xm="http://schemas.microsoft.com/office/excel/2006/main">
          <x14:cfRule type="containsText" priority="61" operator="containsText" text="허하나로" id="{8A68CF4B-600A-4514-B1C6-BC99A6F110BA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2" operator="containsText" text="한별" id="{C9BBE1EB-34E5-4D2B-8BEB-595A89295550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3" operator="containsText" text="정홍조" id="{FA0A74EB-4106-4917-BA28-B4DCE1C7584E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64" operator="containsText" text="김지윤" id="{7735151E-B75C-4FE1-97B1-DA0A5FF54F6B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65" operator="containsText" text="전준영" id="{2F308FA7-B9C5-41AA-865B-E466B659C76A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6" operator="containsText" text="차재성" id="{34A3E008-6C05-4B27-A478-07F75389ED92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</xm:sqref>
        </x14:conditionalFormatting>
        <x14:conditionalFormatting xmlns:xm="http://schemas.microsoft.com/office/excel/2006/main">
          <x14:cfRule type="containsText" priority="43" operator="containsText" text="허하나로" id="{AF748F91-B999-4B97-A16A-710CAE99A7BF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4" operator="containsText" text="한별" id="{56B3B6B6-3BE3-4430-9C7D-8585CE22A4B6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5" operator="containsText" text="정홍조" id="{E15898C1-AC4B-4521-A18B-7ADD0D0CD7C4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6" operator="containsText" text="김지윤" id="{73F0802D-7E5E-416D-8B9B-EDD7817575D7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7" operator="containsText" text="전준영" id="{8D0B8406-462F-421E-B786-8B23B0098B81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8" operator="containsText" text="차재성" id="{C3CB3B8F-FBC0-45CE-AA61-C66D78F29CBF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I4</xm:sqref>
        </x14:conditionalFormatting>
        <x14:conditionalFormatting xmlns:xm="http://schemas.microsoft.com/office/excel/2006/main">
          <x14:cfRule type="containsText" priority="37" operator="containsText" text="허하나로" id="{4757BA95-B130-4817-952E-527895860DDA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8" operator="containsText" text="한별" id="{FC6CF46E-9E86-4364-9CA5-0EE27FF7F17E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9" operator="containsText" text="정홍조" id="{BE1E2E1A-8E13-49B3-BA1A-9CB4AA6CBF56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0" operator="containsText" text="김지윤" id="{DE6C79B6-C280-491E-AABC-F2E6C6F6DD78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1" operator="containsText" text="전준영" id="{28057FDF-D15E-4939-BCDB-5CEED1C16B08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2" operator="containsText" text="차재성" id="{2C6F487A-D78C-4C11-987B-07DA04B0CA3C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J31:J33</xm:sqref>
        </x14:conditionalFormatting>
        <x14:conditionalFormatting xmlns:xm="http://schemas.microsoft.com/office/excel/2006/main">
          <x14:cfRule type="containsText" priority="31" operator="containsText" text="허하나로" id="{39A7311B-562A-49B1-9FC2-5CD0E73E7EAD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2" operator="containsText" text="한별" id="{CA90E9DA-87CC-40CA-BCF3-78DAA3FC4EE1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3" operator="containsText" text="정홍조" id="{D6B816CE-B40F-4B67-80C5-2D55B957AD20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34" operator="containsText" text="김지윤" id="{FE6B0A88-E49F-4FF6-90E1-C368D755ECFB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5" operator="containsText" text="전준영" id="{FD5ACCF8-B9E0-4A64-8BFF-083D822140E6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6" operator="containsText" text="차재성" id="{445A882D-0E1E-4F43-86F0-9F35BB9AB9BB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J30</xm:sqref>
        </x14:conditionalFormatting>
        <x14:conditionalFormatting xmlns:xm="http://schemas.microsoft.com/office/excel/2006/main">
          <x14:cfRule type="containsText" priority="25" operator="containsText" text="허하나로" id="{DFDFAF93-F0B3-4A23-A71E-B5824B346A25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6" operator="containsText" text="한별" id="{AE755553-1024-4648-8BA3-4A59C2B932B8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7" operator="containsText" text="정홍조" id="{B8FF4D31-4577-4E8E-981E-0DED78795251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8" operator="containsText" text="김지윤" id="{6C6FDA61-B8C7-4F7F-9D51-4F50BDDC3910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9" operator="containsText" text="전준영" id="{D0B530BD-66E6-40FD-9B10-87B6FBD8BA4C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0" operator="containsText" text="차재성" id="{5F1856A7-4A97-4FAA-B3D6-039DACD9CD14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J56:J57</xm:sqref>
        </x14:conditionalFormatting>
        <x14:conditionalFormatting xmlns:xm="http://schemas.microsoft.com/office/excel/2006/main">
          <x14:cfRule type="containsText" priority="19" operator="containsText" text="허하나로" id="{7783D2DD-F3E7-4BFD-922D-E976F7EBF1A5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0" operator="containsText" text="한별" id="{4421D622-DBD2-4D0F-A119-CA7508CE5140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1" operator="containsText" text="정홍조" id="{01AE0E8B-AA57-4427-AD1C-F7053F68CBA9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2" operator="containsText" text="김지윤" id="{B2E51FD6-FF3C-4225-A5DE-1F6FA3791E6B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3" operator="containsText" text="전준영" id="{EEA3BD86-3E58-4F35-A765-BEA8C9170026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4" operator="containsText" text="차재성" id="{646BBEFE-000A-40F8-A39B-CA1357EC6227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J25</xm:sqref>
        </x14:conditionalFormatting>
        <x14:conditionalFormatting xmlns:xm="http://schemas.microsoft.com/office/excel/2006/main">
          <x14:cfRule type="containsText" priority="13" operator="containsText" text="허하나로" id="{FD75FEC7-11F4-4D89-8962-AE681ACE445B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4" operator="containsText" text="한별" id="{75A0CB6B-2DD9-47BE-8F22-18CA34317F98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5" operator="containsText" text="정홍조" id="{6BB10AC4-82A7-4BB8-B485-F5F5B872A1DF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6" operator="containsText" text="김지윤" id="{AEC6EF95-C4E1-49A0-A164-85380064A246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" operator="containsText" text="전준영" id="{51377A2A-993C-4EF0-B1A3-AD38CD6BD7CA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8" operator="containsText" text="차재성" id="{078C19C8-3FB1-4742-B622-4CC30316E862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J67</xm:sqref>
        </x14:conditionalFormatting>
        <x14:conditionalFormatting xmlns:xm="http://schemas.microsoft.com/office/excel/2006/main">
          <x14:cfRule type="containsText" priority="7" operator="containsText" text="허하나로" id="{11C0987C-8C9D-4F03-9D36-739A5EF3E66B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" operator="containsText" text="한별" id="{37316219-9E3A-41E3-966A-1B945EAE7341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" operator="containsText" text="정홍조" id="{B952E414-9FAF-48A2-8733-B2A10D43602E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" operator="containsText" text="김지윤" id="{A3422F66-5F5D-4C34-A1CC-4ED2F1B211DD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" operator="containsText" text="전준영" id="{ED5C29BE-FBF5-4402-A7E5-C7487A31821F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" operator="containsText" text="차재성" id="{92E4A3A0-B913-41B2-9D32-449F19E3EB40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J49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M73"/>
  <sheetViews>
    <sheetView zoomScale="85" zoomScaleNormal="85" workbookViewId="0">
      <selection activeCell="B7" sqref="B7"/>
    </sheetView>
  </sheetViews>
  <sheetFormatPr defaultRowHeight="16.5"/>
  <cols>
    <col min="1" max="6" width="3.875" customWidth="1"/>
    <col min="7" max="7" width="32.625" customWidth="1"/>
    <col min="8" max="10" width="14.625" customWidth="1"/>
    <col min="11" max="11" width="62.625" customWidth="1"/>
    <col min="12" max="12" width="3.875" customWidth="1"/>
    <col min="13" max="13" width="14.625" customWidth="1"/>
  </cols>
  <sheetData>
    <row r="1" spans="1:13" ht="17.25" thickBot="1">
      <c r="A1" s="86" t="s">
        <v>207</v>
      </c>
      <c r="B1" s="40"/>
      <c r="C1" s="86"/>
      <c r="D1" s="86"/>
      <c r="E1" s="86"/>
      <c r="F1" s="86"/>
      <c r="G1" s="167"/>
      <c r="H1" s="168"/>
      <c r="I1" s="168"/>
      <c r="J1" s="167"/>
      <c r="K1" s="167"/>
      <c r="L1" s="167"/>
      <c r="M1" s="280" t="s">
        <v>188</v>
      </c>
    </row>
    <row r="2" spans="1:13">
      <c r="A2" s="423" t="s">
        <v>189</v>
      </c>
      <c r="B2" s="425" t="s">
        <v>190</v>
      </c>
      <c r="C2" s="426"/>
      <c r="D2" s="427"/>
      <c r="E2" s="425" t="s">
        <v>191</v>
      </c>
      <c r="F2" s="426"/>
      <c r="G2" s="427"/>
      <c r="H2" s="403" t="s">
        <v>544</v>
      </c>
      <c r="I2" s="403" t="s">
        <v>545</v>
      </c>
      <c r="J2" s="428" t="s">
        <v>546</v>
      </c>
      <c r="K2" s="415" t="s">
        <v>1</v>
      </c>
      <c r="L2" s="415"/>
      <c r="M2" s="416"/>
    </row>
    <row r="3" spans="1:13" ht="17.25" thickBot="1">
      <c r="A3" s="424"/>
      <c r="B3" s="113" t="s">
        <v>192</v>
      </c>
      <c r="C3" s="113" t="s">
        <v>193</v>
      </c>
      <c r="D3" s="113" t="s">
        <v>194</v>
      </c>
      <c r="E3" s="113" t="s">
        <v>195</v>
      </c>
      <c r="F3" s="113" t="s">
        <v>196</v>
      </c>
      <c r="G3" s="113" t="s">
        <v>197</v>
      </c>
      <c r="H3" s="404"/>
      <c r="I3" s="404"/>
      <c r="J3" s="429"/>
      <c r="K3" s="434"/>
      <c r="L3" s="434"/>
      <c r="M3" s="435"/>
    </row>
    <row r="4" spans="1:13" ht="17.25" thickBot="1">
      <c r="A4" s="420" t="s">
        <v>198</v>
      </c>
      <c r="B4" s="421"/>
      <c r="C4" s="421"/>
      <c r="D4" s="421"/>
      <c r="E4" s="421"/>
      <c r="F4" s="421"/>
      <c r="G4" s="422"/>
      <c r="H4" s="281">
        <f>H5+H26</f>
        <v>19600000</v>
      </c>
      <c r="I4" s="327">
        <v>19600000</v>
      </c>
      <c r="J4" s="114">
        <f>H4-I4</f>
        <v>0</v>
      </c>
      <c r="K4" s="87"/>
      <c r="L4" s="88"/>
      <c r="M4" s="115"/>
    </row>
    <row r="5" spans="1:13">
      <c r="A5" s="283" t="s">
        <v>199</v>
      </c>
      <c r="B5" s="284"/>
      <c r="C5" s="261"/>
      <c r="D5" s="261"/>
      <c r="E5" s="261"/>
      <c r="F5" s="261"/>
      <c r="G5" s="262"/>
      <c r="H5" s="282">
        <f>H6+H19</f>
        <v>2500000</v>
      </c>
      <c r="I5" s="323">
        <v>2500000</v>
      </c>
      <c r="J5" s="285">
        <f t="shared" ref="J5:J11" si="0">H5-I5</f>
        <v>0</v>
      </c>
      <c r="K5" s="78"/>
      <c r="L5" s="79"/>
      <c r="M5" s="80"/>
    </row>
    <row r="6" spans="1:13">
      <c r="A6" s="286"/>
      <c r="B6" s="287" t="s">
        <v>231</v>
      </c>
      <c r="C6" s="123"/>
      <c r="D6" s="124"/>
      <c r="E6" s="124"/>
      <c r="F6" s="124"/>
      <c r="G6" s="125"/>
      <c r="H6" s="89">
        <f t="shared" ref="H6:H9" si="1">H7</f>
        <v>1000000</v>
      </c>
      <c r="I6" s="89">
        <v>1000000</v>
      </c>
      <c r="J6" s="93">
        <f>H6-I6</f>
        <v>0</v>
      </c>
      <c r="K6" s="78"/>
      <c r="L6" s="79"/>
      <c r="M6" s="80"/>
    </row>
    <row r="7" spans="1:13">
      <c r="A7" s="10"/>
      <c r="B7" s="6"/>
      <c r="C7" s="123" t="s">
        <v>232</v>
      </c>
      <c r="D7" s="124"/>
      <c r="E7" s="124"/>
      <c r="F7" s="124"/>
      <c r="G7" s="125"/>
      <c r="H7" s="92">
        <f>H8+H14</f>
        <v>1000000</v>
      </c>
      <c r="I7" s="92">
        <v>1000000</v>
      </c>
      <c r="J7" s="93">
        <f t="shared" si="0"/>
        <v>0</v>
      </c>
      <c r="K7" s="78"/>
      <c r="L7" s="79"/>
      <c r="M7" s="80"/>
    </row>
    <row r="8" spans="1:13">
      <c r="A8" s="10"/>
      <c r="B8" s="6"/>
      <c r="C8" s="7"/>
      <c r="D8" s="123" t="s">
        <v>342</v>
      </c>
      <c r="E8" s="124"/>
      <c r="F8" s="124"/>
      <c r="G8" s="125"/>
      <c r="H8" s="126">
        <f t="shared" si="1"/>
        <v>400000</v>
      </c>
      <c r="I8" s="126">
        <v>400000</v>
      </c>
      <c r="J8" s="93">
        <f t="shared" si="0"/>
        <v>0</v>
      </c>
      <c r="K8" s="81"/>
      <c r="L8" s="127"/>
      <c r="M8" s="80"/>
    </row>
    <row r="9" spans="1:13">
      <c r="A9" s="10"/>
      <c r="B9" s="6"/>
      <c r="C9" s="128"/>
      <c r="D9" s="129"/>
      <c r="E9" s="123" t="s">
        <v>200</v>
      </c>
      <c r="F9" s="124"/>
      <c r="G9" s="125"/>
      <c r="H9" s="89">
        <f t="shared" si="1"/>
        <v>400000</v>
      </c>
      <c r="I9" s="89">
        <v>400000</v>
      </c>
      <c r="J9" s="93">
        <f t="shared" si="0"/>
        <v>0</v>
      </c>
      <c r="K9" s="84"/>
      <c r="L9" s="91"/>
      <c r="M9" s="82"/>
    </row>
    <row r="10" spans="1:13">
      <c r="A10" s="62"/>
      <c r="B10" s="64"/>
      <c r="C10" s="170"/>
      <c r="D10" s="171"/>
      <c r="E10" s="172"/>
      <c r="F10" s="130" t="s">
        <v>201</v>
      </c>
      <c r="G10" s="173"/>
      <c r="H10" s="71">
        <f>H11</f>
        <v>400000</v>
      </c>
      <c r="I10" s="71">
        <v>400000</v>
      </c>
      <c r="J10" s="71">
        <f t="shared" si="0"/>
        <v>0</v>
      </c>
      <c r="K10" s="211"/>
      <c r="L10" s="51"/>
      <c r="M10" s="37"/>
    </row>
    <row r="11" spans="1:13">
      <c r="A11" s="62"/>
      <c r="B11" s="64"/>
      <c r="C11" s="64"/>
      <c r="D11" s="139"/>
      <c r="E11" s="174"/>
      <c r="F11" s="174"/>
      <c r="G11" s="67" t="s">
        <v>321</v>
      </c>
      <c r="H11" s="72">
        <f>M11</f>
        <v>400000</v>
      </c>
      <c r="I11" s="72">
        <v>400000</v>
      </c>
      <c r="J11" s="72">
        <f t="shared" si="0"/>
        <v>0</v>
      </c>
      <c r="K11" s="83" t="s">
        <v>345</v>
      </c>
      <c r="L11" s="41"/>
      <c r="M11" s="209">
        <f>SUM(M12:M13)</f>
        <v>400000</v>
      </c>
    </row>
    <row r="12" spans="1:13">
      <c r="A12" s="62"/>
      <c r="B12" s="64"/>
      <c r="C12" s="64"/>
      <c r="D12" s="139"/>
      <c r="E12" s="174"/>
      <c r="F12" s="174"/>
      <c r="G12" s="67"/>
      <c r="H12" s="73"/>
      <c r="I12" s="73"/>
      <c r="J12" s="73"/>
      <c r="K12" s="204" t="s">
        <v>380</v>
      </c>
      <c r="L12" s="42" t="s">
        <v>202</v>
      </c>
      <c r="M12" s="175">
        <v>280000</v>
      </c>
    </row>
    <row r="13" spans="1:13">
      <c r="A13" s="62"/>
      <c r="B13" s="64"/>
      <c r="C13" s="64"/>
      <c r="D13" s="139"/>
      <c r="E13" s="174"/>
      <c r="F13" s="174"/>
      <c r="G13" s="67"/>
      <c r="H13" s="73"/>
      <c r="I13" s="73"/>
      <c r="J13" s="73"/>
      <c r="K13" s="204" t="s">
        <v>423</v>
      </c>
      <c r="L13" s="42" t="s">
        <v>202</v>
      </c>
      <c r="M13" s="175">
        <v>120000</v>
      </c>
    </row>
    <row r="14" spans="1:13">
      <c r="A14" s="10"/>
      <c r="B14" s="6"/>
      <c r="C14" s="6"/>
      <c r="D14" s="123" t="s">
        <v>344</v>
      </c>
      <c r="E14" s="124"/>
      <c r="F14" s="124"/>
      <c r="G14" s="125"/>
      <c r="H14" s="126">
        <f t="shared" ref="H14:H15" si="2">H15</f>
        <v>600000</v>
      </c>
      <c r="I14" s="126">
        <v>600000</v>
      </c>
      <c r="J14" s="90">
        <f t="shared" ref="J14:J17" si="3">H14-I14</f>
        <v>0</v>
      </c>
      <c r="K14" s="154"/>
      <c r="L14" s="143"/>
      <c r="M14" s="144"/>
    </row>
    <row r="15" spans="1:13">
      <c r="A15" s="10"/>
      <c r="B15" s="6"/>
      <c r="C15" s="128"/>
      <c r="D15" s="129"/>
      <c r="E15" s="123" t="s">
        <v>200</v>
      </c>
      <c r="F15" s="124"/>
      <c r="G15" s="125"/>
      <c r="H15" s="89">
        <f t="shared" si="2"/>
        <v>600000</v>
      </c>
      <c r="I15" s="89">
        <v>600000</v>
      </c>
      <c r="J15" s="93">
        <f t="shared" si="3"/>
        <v>0</v>
      </c>
      <c r="K15" s="84"/>
      <c r="L15" s="91"/>
      <c r="M15" s="82"/>
    </row>
    <row r="16" spans="1:13">
      <c r="A16" s="62"/>
      <c r="B16" s="64"/>
      <c r="C16" s="170"/>
      <c r="D16" s="171"/>
      <c r="E16" s="172"/>
      <c r="F16" s="130" t="s">
        <v>201</v>
      </c>
      <c r="G16" s="173"/>
      <c r="H16" s="71">
        <f>H17</f>
        <v>600000</v>
      </c>
      <c r="I16" s="71">
        <v>600000</v>
      </c>
      <c r="J16" s="71">
        <f t="shared" si="3"/>
        <v>0</v>
      </c>
      <c r="K16" s="211"/>
      <c r="L16" s="51"/>
      <c r="M16" s="37"/>
    </row>
    <row r="17" spans="1:13">
      <c r="A17" s="62"/>
      <c r="B17" s="64"/>
      <c r="C17" s="64"/>
      <c r="D17" s="139"/>
      <c r="E17" s="174"/>
      <c r="F17" s="174"/>
      <c r="G17" s="67" t="s">
        <v>321</v>
      </c>
      <c r="H17" s="72">
        <f>M17</f>
        <v>600000</v>
      </c>
      <c r="I17" s="72">
        <v>600000</v>
      </c>
      <c r="J17" s="72">
        <f t="shared" si="3"/>
        <v>0</v>
      </c>
      <c r="K17" s="83" t="s">
        <v>345</v>
      </c>
      <c r="L17" s="41"/>
      <c r="M17" s="209">
        <f>M18</f>
        <v>600000</v>
      </c>
    </row>
    <row r="18" spans="1:13">
      <c r="A18" s="62"/>
      <c r="B18" s="64"/>
      <c r="C18" s="64"/>
      <c r="D18" s="139"/>
      <c r="E18" s="174"/>
      <c r="F18" s="174"/>
      <c r="G18" s="67"/>
      <c r="H18" s="73"/>
      <c r="I18" s="73"/>
      <c r="J18" s="73"/>
      <c r="K18" s="206" t="s">
        <v>346</v>
      </c>
      <c r="L18" s="42" t="s">
        <v>202</v>
      </c>
      <c r="M18" s="181">
        <v>600000</v>
      </c>
    </row>
    <row r="19" spans="1:13">
      <c r="A19" s="286"/>
      <c r="B19" s="287" t="s">
        <v>343</v>
      </c>
      <c r="C19" s="123"/>
      <c r="D19" s="124"/>
      <c r="E19" s="124"/>
      <c r="F19" s="124"/>
      <c r="G19" s="125"/>
      <c r="H19" s="89">
        <f t="shared" ref="H19" si="4">H20</f>
        <v>1500000</v>
      </c>
      <c r="I19" s="89">
        <v>1500000</v>
      </c>
      <c r="J19" s="90">
        <f>H19-I19</f>
        <v>0</v>
      </c>
      <c r="K19" s="78"/>
      <c r="L19" s="143"/>
      <c r="M19" s="80"/>
    </row>
    <row r="20" spans="1:13">
      <c r="A20" s="10"/>
      <c r="B20" s="6"/>
      <c r="C20" s="123" t="s">
        <v>243</v>
      </c>
      <c r="D20" s="124"/>
      <c r="E20" s="124"/>
      <c r="F20" s="124"/>
      <c r="G20" s="125"/>
      <c r="H20" s="89">
        <f t="shared" ref="H20:H22" si="5">H21</f>
        <v>1500000</v>
      </c>
      <c r="I20" s="89">
        <v>1500000</v>
      </c>
      <c r="J20" s="90">
        <f t="shared" ref="J20:J24" si="6">H20-I20</f>
        <v>0</v>
      </c>
      <c r="K20" s="153"/>
      <c r="L20" s="143"/>
      <c r="M20" s="144"/>
    </row>
    <row r="21" spans="1:13">
      <c r="A21" s="10"/>
      <c r="B21" s="6"/>
      <c r="C21" s="7"/>
      <c r="D21" s="123" t="s">
        <v>244</v>
      </c>
      <c r="E21" s="124"/>
      <c r="F21" s="124"/>
      <c r="G21" s="125"/>
      <c r="H21" s="126">
        <f t="shared" si="5"/>
        <v>1500000</v>
      </c>
      <c r="I21" s="126">
        <v>1500000</v>
      </c>
      <c r="J21" s="93">
        <f t="shared" si="6"/>
        <v>0</v>
      </c>
      <c r="K21" s="81"/>
      <c r="L21" s="127"/>
      <c r="M21" s="80"/>
    </row>
    <row r="22" spans="1:13">
      <c r="A22" s="10"/>
      <c r="B22" s="6"/>
      <c r="C22" s="128"/>
      <c r="D22" s="129"/>
      <c r="E22" s="123" t="s">
        <v>200</v>
      </c>
      <c r="F22" s="124"/>
      <c r="G22" s="125"/>
      <c r="H22" s="89">
        <f t="shared" si="5"/>
        <v>1500000</v>
      </c>
      <c r="I22" s="89">
        <v>1500000</v>
      </c>
      <c r="J22" s="93">
        <f t="shared" si="6"/>
        <v>0</v>
      </c>
      <c r="K22" s="84"/>
      <c r="L22" s="91"/>
      <c r="M22" s="82"/>
    </row>
    <row r="23" spans="1:13">
      <c r="A23" s="62"/>
      <c r="B23" s="64"/>
      <c r="C23" s="170"/>
      <c r="D23" s="171"/>
      <c r="E23" s="172"/>
      <c r="F23" s="130" t="s">
        <v>201</v>
      </c>
      <c r="G23" s="173"/>
      <c r="H23" s="71">
        <f>H24</f>
        <v>1500000</v>
      </c>
      <c r="I23" s="71">
        <v>1500000</v>
      </c>
      <c r="J23" s="71">
        <f t="shared" si="6"/>
        <v>0</v>
      </c>
      <c r="K23" s="211"/>
      <c r="L23" s="51"/>
      <c r="M23" s="37"/>
    </row>
    <row r="24" spans="1:13">
      <c r="A24" s="62"/>
      <c r="B24" s="64"/>
      <c r="C24" s="64"/>
      <c r="D24" s="139"/>
      <c r="E24" s="174"/>
      <c r="F24" s="174"/>
      <c r="G24" s="67" t="s">
        <v>61</v>
      </c>
      <c r="H24" s="72">
        <f>M24</f>
        <v>1500000</v>
      </c>
      <c r="I24" s="72">
        <v>1500000</v>
      </c>
      <c r="J24" s="72">
        <f t="shared" si="6"/>
        <v>0</v>
      </c>
      <c r="K24" s="83" t="s">
        <v>347</v>
      </c>
      <c r="L24" s="41"/>
      <c r="M24" s="209">
        <f>SUM(M25:M25)</f>
        <v>1500000</v>
      </c>
    </row>
    <row r="25" spans="1:13" ht="17.25" thickBot="1">
      <c r="A25" s="288"/>
      <c r="B25" s="68"/>
      <c r="C25" s="68"/>
      <c r="D25" s="289"/>
      <c r="E25" s="290"/>
      <c r="F25" s="290"/>
      <c r="G25" s="350"/>
      <c r="H25" s="291"/>
      <c r="I25" s="291"/>
      <c r="J25" s="291"/>
      <c r="K25" s="224" t="s">
        <v>348</v>
      </c>
      <c r="L25" s="328" t="s">
        <v>202</v>
      </c>
      <c r="M25" s="235">
        <v>1500000</v>
      </c>
    </row>
    <row r="26" spans="1:13">
      <c r="A26" s="283" t="s">
        <v>157</v>
      </c>
      <c r="B26" s="284"/>
      <c r="C26" s="261"/>
      <c r="D26" s="261"/>
      <c r="E26" s="261"/>
      <c r="F26" s="261"/>
      <c r="G26" s="262"/>
      <c r="H26" s="323">
        <f>H27+H57</f>
        <v>17100000</v>
      </c>
      <c r="I26" s="323">
        <v>17100000</v>
      </c>
      <c r="J26" s="285">
        <f t="shared" ref="J26" si="7">H26-I26</f>
        <v>0</v>
      </c>
      <c r="K26" s="78"/>
      <c r="L26" s="79"/>
      <c r="M26" s="80"/>
    </row>
    <row r="27" spans="1:13">
      <c r="A27" s="286"/>
      <c r="B27" s="287" t="s">
        <v>233</v>
      </c>
      <c r="C27" s="123"/>
      <c r="D27" s="124"/>
      <c r="E27" s="124"/>
      <c r="F27" s="124"/>
      <c r="G27" s="125"/>
      <c r="H27" s="89">
        <f t="shared" ref="H27:H30" si="8">H28</f>
        <v>10300000</v>
      </c>
      <c r="I27" s="89">
        <v>10300000</v>
      </c>
      <c r="J27" s="93">
        <f>H27-I27</f>
        <v>0</v>
      </c>
      <c r="K27" s="78"/>
      <c r="L27" s="79"/>
      <c r="M27" s="80"/>
    </row>
    <row r="28" spans="1:13">
      <c r="A28" s="10"/>
      <c r="B28" s="6"/>
      <c r="C28" s="123" t="s">
        <v>234</v>
      </c>
      <c r="D28" s="124"/>
      <c r="E28" s="124"/>
      <c r="F28" s="124"/>
      <c r="G28" s="125"/>
      <c r="H28" s="92">
        <f>SUM(H29,H36,H43,H50)</f>
        <v>10300000</v>
      </c>
      <c r="I28" s="92">
        <v>10300000</v>
      </c>
      <c r="J28" s="93">
        <f t="shared" ref="J28:J32" si="9">H28-I28</f>
        <v>0</v>
      </c>
      <c r="K28" s="78"/>
      <c r="L28" s="79"/>
      <c r="M28" s="80"/>
    </row>
    <row r="29" spans="1:13">
      <c r="A29" s="10"/>
      <c r="B29" s="6"/>
      <c r="C29" s="7"/>
      <c r="D29" s="123" t="s">
        <v>377</v>
      </c>
      <c r="E29" s="124"/>
      <c r="F29" s="124"/>
      <c r="G29" s="125"/>
      <c r="H29" s="126">
        <f t="shared" si="8"/>
        <v>5000000</v>
      </c>
      <c r="I29" s="126">
        <v>5000000</v>
      </c>
      <c r="J29" s="93">
        <f t="shared" si="9"/>
        <v>0</v>
      </c>
      <c r="K29" s="81"/>
      <c r="L29" s="127"/>
      <c r="M29" s="80"/>
    </row>
    <row r="30" spans="1:13">
      <c r="A30" s="10"/>
      <c r="B30" s="6"/>
      <c r="C30" s="128"/>
      <c r="D30" s="129"/>
      <c r="E30" s="123" t="s">
        <v>409</v>
      </c>
      <c r="F30" s="124"/>
      <c r="G30" s="125"/>
      <c r="H30" s="89">
        <f t="shared" si="8"/>
        <v>5000000</v>
      </c>
      <c r="I30" s="89">
        <v>5000000</v>
      </c>
      <c r="J30" s="93">
        <f t="shared" si="9"/>
        <v>0</v>
      </c>
      <c r="K30" s="84"/>
      <c r="L30" s="91"/>
      <c r="M30" s="82"/>
    </row>
    <row r="31" spans="1:13">
      <c r="A31" s="62"/>
      <c r="B31" s="64"/>
      <c r="C31" s="170"/>
      <c r="D31" s="171"/>
      <c r="E31" s="172"/>
      <c r="F31" s="130" t="s">
        <v>410</v>
      </c>
      <c r="G31" s="173"/>
      <c r="H31" s="71">
        <f>SUM(H32,H34)</f>
        <v>5000000</v>
      </c>
      <c r="I31" s="71">
        <v>5000000</v>
      </c>
      <c r="J31" s="71">
        <f t="shared" si="9"/>
        <v>0</v>
      </c>
      <c r="K31" s="211"/>
      <c r="L31" s="51"/>
      <c r="M31" s="37"/>
    </row>
    <row r="32" spans="1:13">
      <c r="A32" s="62"/>
      <c r="B32" s="64"/>
      <c r="C32" s="64"/>
      <c r="D32" s="139"/>
      <c r="E32" s="174"/>
      <c r="F32" s="174"/>
      <c r="G32" s="67" t="s">
        <v>407</v>
      </c>
      <c r="H32" s="72">
        <f>M32</f>
        <v>4986500</v>
      </c>
      <c r="I32" s="72">
        <v>4986500</v>
      </c>
      <c r="J32" s="72">
        <f t="shared" si="9"/>
        <v>0</v>
      </c>
      <c r="K32" s="83" t="s">
        <v>411</v>
      </c>
      <c r="L32" s="41"/>
      <c r="M32" s="209">
        <f>SUM(M33:M33)</f>
        <v>4986500</v>
      </c>
    </row>
    <row r="33" spans="1:13">
      <c r="A33" s="62"/>
      <c r="B33" s="64"/>
      <c r="C33" s="64"/>
      <c r="D33" s="139"/>
      <c r="E33" s="174"/>
      <c r="F33" s="174"/>
      <c r="G33" s="66"/>
      <c r="H33" s="70"/>
      <c r="I33" s="70"/>
      <c r="J33" s="70"/>
      <c r="K33" s="206" t="s">
        <v>420</v>
      </c>
      <c r="L33" s="136" t="s">
        <v>202</v>
      </c>
      <c r="M33" s="181">
        <v>4986500</v>
      </c>
    </row>
    <row r="34" spans="1:13">
      <c r="A34" s="62"/>
      <c r="B34" s="64"/>
      <c r="C34" s="64"/>
      <c r="D34" s="139"/>
      <c r="E34" s="174"/>
      <c r="F34" s="174"/>
      <c r="G34" s="67" t="s">
        <v>408</v>
      </c>
      <c r="H34" s="73">
        <f>M34</f>
        <v>13500</v>
      </c>
      <c r="I34" s="73">
        <v>13500</v>
      </c>
      <c r="J34" s="73">
        <f>H34-I34</f>
        <v>0</v>
      </c>
      <c r="K34" s="83" t="s">
        <v>412</v>
      </c>
      <c r="L34" s="42"/>
      <c r="M34" s="178">
        <f>SUM(M35)</f>
        <v>13500</v>
      </c>
    </row>
    <row r="35" spans="1:13">
      <c r="A35" s="62"/>
      <c r="B35" s="64"/>
      <c r="C35" s="64"/>
      <c r="D35" s="236"/>
      <c r="E35" s="263"/>
      <c r="F35" s="263"/>
      <c r="G35" s="66"/>
      <c r="H35" s="70"/>
      <c r="I35" s="70"/>
      <c r="J35" s="70"/>
      <c r="K35" s="204" t="s">
        <v>435</v>
      </c>
      <c r="L35" s="136" t="s">
        <v>0</v>
      </c>
      <c r="M35" s="175">
        <v>13500</v>
      </c>
    </row>
    <row r="36" spans="1:13">
      <c r="A36" s="10"/>
      <c r="B36" s="6"/>
      <c r="C36" s="141"/>
      <c r="D36" s="260" t="s">
        <v>376</v>
      </c>
      <c r="E36" s="261"/>
      <c r="F36" s="261"/>
      <c r="G36" s="262"/>
      <c r="H36" s="324">
        <f t="shared" ref="H36:H37" si="10">H37</f>
        <v>3000000</v>
      </c>
      <c r="I36" s="324">
        <v>3000000</v>
      </c>
      <c r="J36" s="93">
        <f t="shared" ref="J36:J39" si="11">H36-I36</f>
        <v>0</v>
      </c>
      <c r="K36" s="154"/>
      <c r="L36" s="127"/>
      <c r="M36" s="144"/>
    </row>
    <row r="37" spans="1:13">
      <c r="A37" s="10"/>
      <c r="B37" s="6"/>
      <c r="C37" s="128"/>
      <c r="D37" s="129"/>
      <c r="E37" s="123" t="s">
        <v>409</v>
      </c>
      <c r="F37" s="124"/>
      <c r="G37" s="125"/>
      <c r="H37" s="89">
        <f t="shared" si="10"/>
        <v>3000000</v>
      </c>
      <c r="I37" s="89">
        <v>3000000</v>
      </c>
      <c r="J37" s="93">
        <f t="shared" si="11"/>
        <v>0</v>
      </c>
      <c r="K37" s="84"/>
      <c r="L37" s="91"/>
      <c r="M37" s="82"/>
    </row>
    <row r="38" spans="1:13">
      <c r="A38" s="62"/>
      <c r="B38" s="64"/>
      <c r="C38" s="170"/>
      <c r="D38" s="171"/>
      <c r="E38" s="172"/>
      <c r="F38" s="130" t="s">
        <v>410</v>
      </c>
      <c r="G38" s="173"/>
      <c r="H38" s="71">
        <f>SUM(H39,H41)</f>
        <v>3000000</v>
      </c>
      <c r="I38" s="71">
        <v>3000000</v>
      </c>
      <c r="J38" s="71">
        <f t="shared" si="11"/>
        <v>0</v>
      </c>
      <c r="K38" s="211"/>
      <c r="L38" s="51"/>
      <c r="M38" s="37"/>
    </row>
    <row r="39" spans="1:13">
      <c r="A39" s="62"/>
      <c r="B39" s="64"/>
      <c r="C39" s="64"/>
      <c r="D39" s="139"/>
      <c r="E39" s="174"/>
      <c r="F39" s="174"/>
      <c r="G39" s="67" t="s">
        <v>407</v>
      </c>
      <c r="H39" s="72">
        <f>M39</f>
        <v>2989200</v>
      </c>
      <c r="I39" s="72">
        <v>2989200</v>
      </c>
      <c r="J39" s="72">
        <f t="shared" si="11"/>
        <v>0</v>
      </c>
      <c r="K39" s="83" t="s">
        <v>411</v>
      </c>
      <c r="L39" s="41"/>
      <c r="M39" s="209">
        <f>M40</f>
        <v>2989200</v>
      </c>
    </row>
    <row r="40" spans="1:13">
      <c r="A40" s="62"/>
      <c r="B40" s="64"/>
      <c r="C40" s="64"/>
      <c r="D40" s="139"/>
      <c r="E40" s="174"/>
      <c r="F40" s="174"/>
      <c r="G40" s="66"/>
      <c r="H40" s="70"/>
      <c r="I40" s="70"/>
      <c r="J40" s="70"/>
      <c r="K40" s="204" t="s">
        <v>413</v>
      </c>
      <c r="L40" s="136" t="s">
        <v>202</v>
      </c>
      <c r="M40" s="175">
        <v>2989200</v>
      </c>
    </row>
    <row r="41" spans="1:13">
      <c r="A41" s="62"/>
      <c r="B41" s="64"/>
      <c r="C41" s="64"/>
      <c r="D41" s="139"/>
      <c r="E41" s="174"/>
      <c r="F41" s="174"/>
      <c r="G41" s="67" t="s">
        <v>408</v>
      </c>
      <c r="H41" s="73">
        <f>M41</f>
        <v>10800</v>
      </c>
      <c r="I41" s="73">
        <v>10800</v>
      </c>
      <c r="J41" s="73">
        <f>H41-I41</f>
        <v>0</v>
      </c>
      <c r="K41" s="205" t="s">
        <v>412</v>
      </c>
      <c r="L41" s="42"/>
      <c r="M41" s="209">
        <f>M42</f>
        <v>10800</v>
      </c>
    </row>
    <row r="42" spans="1:13">
      <c r="A42" s="62"/>
      <c r="B42" s="64"/>
      <c r="C42" s="64"/>
      <c r="D42" s="236"/>
      <c r="E42" s="263"/>
      <c r="F42" s="263"/>
      <c r="G42" s="66"/>
      <c r="H42" s="70"/>
      <c r="I42" s="70"/>
      <c r="J42" s="70"/>
      <c r="K42" s="206" t="s">
        <v>414</v>
      </c>
      <c r="L42" s="189" t="s">
        <v>0</v>
      </c>
      <c r="M42" s="181">
        <v>10800</v>
      </c>
    </row>
    <row r="43" spans="1:13">
      <c r="A43" s="10"/>
      <c r="B43" s="6"/>
      <c r="C43" s="141"/>
      <c r="D43" s="260" t="s">
        <v>378</v>
      </c>
      <c r="E43" s="261"/>
      <c r="F43" s="261"/>
      <c r="G43" s="262"/>
      <c r="H43" s="324">
        <f t="shared" ref="H43:H44" si="12">H44</f>
        <v>500000</v>
      </c>
      <c r="I43" s="324">
        <v>500000</v>
      </c>
      <c r="J43" s="93">
        <f t="shared" ref="J43:J46" si="13">H43-I43</f>
        <v>0</v>
      </c>
      <c r="K43" s="81"/>
      <c r="L43" s="127"/>
      <c r="M43" s="80"/>
    </row>
    <row r="44" spans="1:13">
      <c r="A44" s="10"/>
      <c r="B44" s="6"/>
      <c r="C44" s="128"/>
      <c r="D44" s="129"/>
      <c r="E44" s="123" t="s">
        <v>409</v>
      </c>
      <c r="F44" s="124"/>
      <c r="G44" s="125"/>
      <c r="H44" s="89">
        <f t="shared" si="12"/>
        <v>500000</v>
      </c>
      <c r="I44" s="89">
        <v>500000</v>
      </c>
      <c r="J44" s="93">
        <f t="shared" si="13"/>
        <v>0</v>
      </c>
      <c r="K44" s="84"/>
      <c r="L44" s="91"/>
      <c r="M44" s="82"/>
    </row>
    <row r="45" spans="1:13">
      <c r="A45" s="62"/>
      <c r="B45" s="64"/>
      <c r="C45" s="170"/>
      <c r="D45" s="171"/>
      <c r="E45" s="172"/>
      <c r="F45" s="130" t="s">
        <v>410</v>
      </c>
      <c r="G45" s="173"/>
      <c r="H45" s="71">
        <f>SUM(H46,H48)</f>
        <v>500000</v>
      </c>
      <c r="I45" s="71">
        <v>500000</v>
      </c>
      <c r="J45" s="71">
        <f t="shared" si="13"/>
        <v>0</v>
      </c>
      <c r="K45" s="211"/>
      <c r="L45" s="51"/>
      <c r="M45" s="37"/>
    </row>
    <row r="46" spans="1:13">
      <c r="A46" s="62"/>
      <c r="B46" s="64"/>
      <c r="C46" s="64"/>
      <c r="D46" s="139"/>
      <c r="E46" s="174"/>
      <c r="F46" s="174"/>
      <c r="G46" s="67" t="s">
        <v>407</v>
      </c>
      <c r="H46" s="72">
        <f>M46</f>
        <v>496400</v>
      </c>
      <c r="I46" s="72">
        <v>496400</v>
      </c>
      <c r="J46" s="72">
        <f t="shared" si="13"/>
        <v>0</v>
      </c>
      <c r="K46" s="83" t="s">
        <v>411</v>
      </c>
      <c r="L46" s="41"/>
      <c r="M46" s="209">
        <f>M47</f>
        <v>496400</v>
      </c>
    </row>
    <row r="47" spans="1:13">
      <c r="A47" s="62"/>
      <c r="B47" s="64"/>
      <c r="C47" s="64"/>
      <c r="D47" s="139"/>
      <c r="E47" s="174"/>
      <c r="F47" s="174"/>
      <c r="G47" s="66"/>
      <c r="H47" s="70"/>
      <c r="I47" s="70"/>
      <c r="J47" s="70"/>
      <c r="K47" s="206" t="s">
        <v>415</v>
      </c>
      <c r="L47" s="136" t="s">
        <v>202</v>
      </c>
      <c r="M47" s="181">
        <v>496400</v>
      </c>
    </row>
    <row r="48" spans="1:13">
      <c r="A48" s="62"/>
      <c r="B48" s="64"/>
      <c r="C48" s="64"/>
      <c r="D48" s="139"/>
      <c r="E48" s="174"/>
      <c r="F48" s="174"/>
      <c r="G48" s="67" t="s">
        <v>408</v>
      </c>
      <c r="H48" s="73">
        <f>M48</f>
        <v>3600</v>
      </c>
      <c r="I48" s="73">
        <v>3600</v>
      </c>
      <c r="J48" s="73">
        <f>H48-I48</f>
        <v>0</v>
      </c>
      <c r="K48" s="83" t="s">
        <v>412</v>
      </c>
      <c r="L48" s="42"/>
      <c r="M48" s="178">
        <f>M49</f>
        <v>3600</v>
      </c>
    </row>
    <row r="49" spans="1:13">
      <c r="A49" s="62"/>
      <c r="B49" s="64"/>
      <c r="C49" s="64"/>
      <c r="D49" s="236"/>
      <c r="E49" s="263"/>
      <c r="F49" s="263"/>
      <c r="G49" s="66"/>
      <c r="H49" s="70"/>
      <c r="I49" s="70"/>
      <c r="J49" s="70"/>
      <c r="K49" s="204" t="s">
        <v>416</v>
      </c>
      <c r="L49" s="189" t="s">
        <v>0</v>
      </c>
      <c r="M49" s="181">
        <v>3600</v>
      </c>
    </row>
    <row r="50" spans="1:13">
      <c r="A50" s="10"/>
      <c r="B50" s="6"/>
      <c r="C50" s="141"/>
      <c r="D50" s="260" t="s">
        <v>379</v>
      </c>
      <c r="E50" s="261"/>
      <c r="F50" s="261"/>
      <c r="G50" s="262"/>
      <c r="H50" s="324">
        <f t="shared" ref="H50:H51" si="14">H51</f>
        <v>1800000</v>
      </c>
      <c r="I50" s="324">
        <v>1800000</v>
      </c>
      <c r="J50" s="93">
        <f t="shared" ref="J50:J53" si="15">H50-I50</f>
        <v>0</v>
      </c>
      <c r="K50" s="154"/>
      <c r="L50" s="127"/>
      <c r="M50" s="80"/>
    </row>
    <row r="51" spans="1:13">
      <c r="A51" s="10"/>
      <c r="B51" s="6"/>
      <c r="C51" s="128"/>
      <c r="D51" s="129"/>
      <c r="E51" s="123" t="s">
        <v>409</v>
      </c>
      <c r="F51" s="124"/>
      <c r="G51" s="125"/>
      <c r="H51" s="89">
        <f t="shared" si="14"/>
        <v>1800000</v>
      </c>
      <c r="I51" s="89">
        <v>1800000</v>
      </c>
      <c r="J51" s="93">
        <f t="shared" si="15"/>
        <v>0</v>
      </c>
      <c r="K51" s="84"/>
      <c r="L51" s="91"/>
      <c r="M51" s="82"/>
    </row>
    <row r="52" spans="1:13">
      <c r="A52" s="62"/>
      <c r="B52" s="64"/>
      <c r="C52" s="170"/>
      <c r="D52" s="171"/>
      <c r="E52" s="172"/>
      <c r="F52" s="130" t="s">
        <v>410</v>
      </c>
      <c r="G52" s="173"/>
      <c r="H52" s="71">
        <f>SUM(H53,H55)</f>
        <v>1800000</v>
      </c>
      <c r="I52" s="71">
        <v>1800000</v>
      </c>
      <c r="J52" s="71">
        <f t="shared" si="15"/>
        <v>0</v>
      </c>
      <c r="K52" s="211"/>
      <c r="L52" s="51"/>
      <c r="M52" s="37"/>
    </row>
    <row r="53" spans="1:13">
      <c r="A53" s="62"/>
      <c r="B53" s="64"/>
      <c r="C53" s="64"/>
      <c r="D53" s="139"/>
      <c r="E53" s="174"/>
      <c r="F53" s="174"/>
      <c r="G53" s="67" t="s">
        <v>407</v>
      </c>
      <c r="H53" s="72">
        <f>M53</f>
        <v>1793520</v>
      </c>
      <c r="I53" s="72">
        <v>1793520</v>
      </c>
      <c r="J53" s="72">
        <f t="shared" si="15"/>
        <v>0</v>
      </c>
      <c r="K53" s="83" t="s">
        <v>417</v>
      </c>
      <c r="L53" s="41"/>
      <c r="M53" s="209">
        <f>M54</f>
        <v>1793520</v>
      </c>
    </row>
    <row r="54" spans="1:13">
      <c r="A54" s="62"/>
      <c r="B54" s="64"/>
      <c r="C54" s="64"/>
      <c r="D54" s="139"/>
      <c r="E54" s="174"/>
      <c r="F54" s="174"/>
      <c r="G54" s="67"/>
      <c r="H54" s="70"/>
      <c r="I54" s="70"/>
      <c r="J54" s="70"/>
      <c r="K54" s="206" t="s">
        <v>418</v>
      </c>
      <c r="L54" s="136" t="s">
        <v>202</v>
      </c>
      <c r="M54" s="181">
        <v>1793520</v>
      </c>
    </row>
    <row r="55" spans="1:13">
      <c r="A55" s="62"/>
      <c r="B55" s="64"/>
      <c r="C55" s="64"/>
      <c r="D55" s="139"/>
      <c r="E55" s="174"/>
      <c r="F55" s="174"/>
      <c r="G55" s="63" t="s">
        <v>408</v>
      </c>
      <c r="H55" s="73">
        <f>M55</f>
        <v>6480</v>
      </c>
      <c r="I55" s="73">
        <v>6480</v>
      </c>
      <c r="J55" s="73">
        <f>H55-I55</f>
        <v>0</v>
      </c>
      <c r="K55" s="83" t="s">
        <v>412</v>
      </c>
      <c r="L55" s="42"/>
      <c r="M55" s="178">
        <f>M56</f>
        <v>6480</v>
      </c>
    </row>
    <row r="56" spans="1:13">
      <c r="A56" s="62"/>
      <c r="B56" s="66"/>
      <c r="C56" s="66"/>
      <c r="D56" s="236"/>
      <c r="E56" s="263"/>
      <c r="F56" s="263"/>
      <c r="G56" s="66"/>
      <c r="H56" s="70"/>
      <c r="I56" s="70"/>
      <c r="J56" s="70"/>
      <c r="K56" s="204" t="s">
        <v>419</v>
      </c>
      <c r="L56" s="189" t="s">
        <v>0</v>
      </c>
      <c r="M56" s="181">
        <v>6480</v>
      </c>
    </row>
    <row r="57" spans="1:13">
      <c r="A57" s="286"/>
      <c r="B57" s="284" t="s">
        <v>235</v>
      </c>
      <c r="C57" s="260"/>
      <c r="D57" s="261"/>
      <c r="E57" s="261"/>
      <c r="F57" s="261"/>
      <c r="G57" s="262"/>
      <c r="H57" s="92">
        <f t="shared" ref="H57:H67" si="16">H58</f>
        <v>6800000</v>
      </c>
      <c r="I57" s="92">
        <v>6800000</v>
      </c>
      <c r="J57" s="93">
        <f>H57-I57</f>
        <v>0</v>
      </c>
      <c r="K57" s="188"/>
      <c r="L57" s="79"/>
      <c r="M57" s="80"/>
    </row>
    <row r="58" spans="1:13">
      <c r="A58" s="10"/>
      <c r="B58" s="6"/>
      <c r="C58" s="123" t="s">
        <v>236</v>
      </c>
      <c r="D58" s="124"/>
      <c r="E58" s="124"/>
      <c r="F58" s="124"/>
      <c r="G58" s="125"/>
      <c r="H58" s="92">
        <f>SUM(H59,H66)</f>
        <v>6800000</v>
      </c>
      <c r="I58" s="92">
        <v>6800000</v>
      </c>
      <c r="J58" s="93">
        <f t="shared" ref="J58:J69" si="17">H58-I58</f>
        <v>0</v>
      </c>
      <c r="K58" s="78"/>
      <c r="L58" s="79"/>
      <c r="M58" s="80"/>
    </row>
    <row r="59" spans="1:13">
      <c r="A59" s="10"/>
      <c r="B59" s="6"/>
      <c r="C59" s="7"/>
      <c r="D59" s="284" t="s">
        <v>530</v>
      </c>
      <c r="E59" s="124"/>
      <c r="F59" s="124"/>
      <c r="G59" s="125"/>
      <c r="H59" s="126">
        <f t="shared" si="16"/>
        <v>5000000</v>
      </c>
      <c r="I59" s="126">
        <v>5000000</v>
      </c>
      <c r="J59" s="93">
        <f t="shared" ref="J59:J62" si="18">H59-I59</f>
        <v>0</v>
      </c>
      <c r="K59" s="81"/>
      <c r="L59" s="127"/>
      <c r="M59" s="80"/>
    </row>
    <row r="60" spans="1:13">
      <c r="A60" s="10"/>
      <c r="B60" s="6"/>
      <c r="C60" s="128"/>
      <c r="D60" s="129"/>
      <c r="E60" s="123" t="s">
        <v>409</v>
      </c>
      <c r="F60" s="124"/>
      <c r="G60" s="125"/>
      <c r="H60" s="89">
        <f t="shared" si="16"/>
        <v>5000000</v>
      </c>
      <c r="I60" s="89">
        <v>5000000</v>
      </c>
      <c r="J60" s="93">
        <f t="shared" si="18"/>
        <v>0</v>
      </c>
      <c r="K60" s="84"/>
      <c r="L60" s="91"/>
      <c r="M60" s="82"/>
    </row>
    <row r="61" spans="1:13">
      <c r="A61" s="62"/>
      <c r="B61" s="64"/>
      <c r="C61" s="170"/>
      <c r="D61" s="171"/>
      <c r="E61" s="172"/>
      <c r="F61" s="130" t="s">
        <v>410</v>
      </c>
      <c r="G61" s="173"/>
      <c r="H61" s="71">
        <f>SUM(H62,H64)</f>
        <v>5000000</v>
      </c>
      <c r="I61" s="71">
        <v>5000000</v>
      </c>
      <c r="J61" s="71">
        <f t="shared" si="18"/>
        <v>0</v>
      </c>
      <c r="K61" s="211"/>
      <c r="L61" s="51"/>
      <c r="M61" s="37"/>
    </row>
    <row r="62" spans="1:13">
      <c r="A62" s="62"/>
      <c r="B62" s="64"/>
      <c r="C62" s="64"/>
      <c r="D62" s="139"/>
      <c r="E62" s="174"/>
      <c r="F62" s="174"/>
      <c r="G62" s="67" t="s">
        <v>407</v>
      </c>
      <c r="H62" s="72">
        <f>M62</f>
        <v>4986500</v>
      </c>
      <c r="I62" s="72">
        <v>4986500</v>
      </c>
      <c r="J62" s="72">
        <f t="shared" si="18"/>
        <v>0</v>
      </c>
      <c r="K62" s="83" t="s">
        <v>417</v>
      </c>
      <c r="L62" s="41"/>
      <c r="M62" s="209">
        <f>M63</f>
        <v>4986500</v>
      </c>
    </row>
    <row r="63" spans="1:13">
      <c r="A63" s="62"/>
      <c r="B63" s="64"/>
      <c r="C63" s="64"/>
      <c r="D63" s="139"/>
      <c r="E63" s="174"/>
      <c r="F63" s="174"/>
      <c r="G63" s="66"/>
      <c r="H63" s="70"/>
      <c r="I63" s="70"/>
      <c r="J63" s="70"/>
      <c r="K63" s="206" t="s">
        <v>437</v>
      </c>
      <c r="L63" s="136" t="s">
        <v>202</v>
      </c>
      <c r="M63" s="181">
        <v>4986500</v>
      </c>
    </row>
    <row r="64" spans="1:13">
      <c r="A64" s="62"/>
      <c r="B64" s="64"/>
      <c r="C64" s="64"/>
      <c r="D64" s="139"/>
      <c r="E64" s="174"/>
      <c r="F64" s="174"/>
      <c r="G64" s="67" t="s">
        <v>408</v>
      </c>
      <c r="H64" s="73">
        <f>M64</f>
        <v>13500</v>
      </c>
      <c r="I64" s="73">
        <v>13500</v>
      </c>
      <c r="J64" s="73">
        <f>H64-I64</f>
        <v>0</v>
      </c>
      <c r="K64" s="83" t="s">
        <v>412</v>
      </c>
      <c r="L64" s="42"/>
      <c r="M64" s="178">
        <f>M65</f>
        <v>13500</v>
      </c>
    </row>
    <row r="65" spans="1:13">
      <c r="A65" s="62"/>
      <c r="B65" s="64"/>
      <c r="C65" s="64"/>
      <c r="D65" s="236"/>
      <c r="E65" s="263"/>
      <c r="F65" s="263"/>
      <c r="G65" s="66"/>
      <c r="H65" s="70"/>
      <c r="I65" s="70"/>
      <c r="J65" s="70"/>
      <c r="K65" s="206" t="s">
        <v>436</v>
      </c>
      <c r="L65" s="187" t="s">
        <v>0</v>
      </c>
      <c r="M65" s="175">
        <v>13500</v>
      </c>
    </row>
    <row r="66" spans="1:13">
      <c r="A66" s="10"/>
      <c r="B66" s="6"/>
      <c r="C66" s="141"/>
      <c r="D66" s="287" t="s">
        <v>523</v>
      </c>
      <c r="E66" s="261"/>
      <c r="F66" s="261"/>
      <c r="G66" s="262"/>
      <c r="H66" s="324">
        <f t="shared" si="16"/>
        <v>1800000</v>
      </c>
      <c r="I66" s="324">
        <v>1800000</v>
      </c>
      <c r="J66" s="93">
        <f t="shared" si="17"/>
        <v>0</v>
      </c>
      <c r="K66" s="81"/>
      <c r="L66" s="143"/>
      <c r="M66" s="144"/>
    </row>
    <row r="67" spans="1:13">
      <c r="A67" s="10"/>
      <c r="B67" s="6"/>
      <c r="C67" s="128"/>
      <c r="D67" s="129"/>
      <c r="E67" s="123" t="s">
        <v>409</v>
      </c>
      <c r="F67" s="124"/>
      <c r="G67" s="125"/>
      <c r="H67" s="89">
        <f t="shared" si="16"/>
        <v>1800000</v>
      </c>
      <c r="I67" s="89">
        <v>1800000</v>
      </c>
      <c r="J67" s="93">
        <f t="shared" si="17"/>
        <v>0</v>
      </c>
      <c r="K67" s="84"/>
      <c r="L67" s="91"/>
      <c r="M67" s="82"/>
    </row>
    <row r="68" spans="1:13">
      <c r="A68" s="62"/>
      <c r="B68" s="64"/>
      <c r="C68" s="170"/>
      <c r="D68" s="171"/>
      <c r="E68" s="172"/>
      <c r="F68" s="130" t="s">
        <v>410</v>
      </c>
      <c r="G68" s="173"/>
      <c r="H68" s="71">
        <f>SUM(H69,H71)</f>
        <v>1800000</v>
      </c>
      <c r="I68" s="71">
        <v>1800000</v>
      </c>
      <c r="J68" s="71">
        <f t="shared" si="17"/>
        <v>0</v>
      </c>
      <c r="K68" s="211"/>
      <c r="L68" s="51"/>
      <c r="M68" s="37"/>
    </row>
    <row r="69" spans="1:13">
      <c r="A69" s="62"/>
      <c r="B69" s="64"/>
      <c r="C69" s="64"/>
      <c r="D69" s="139"/>
      <c r="E69" s="174"/>
      <c r="F69" s="174"/>
      <c r="G69" s="67" t="s">
        <v>407</v>
      </c>
      <c r="H69" s="72">
        <f>M69</f>
        <v>1793520</v>
      </c>
      <c r="I69" s="72">
        <v>1793520</v>
      </c>
      <c r="J69" s="72">
        <f t="shared" si="17"/>
        <v>0</v>
      </c>
      <c r="K69" s="83" t="s">
        <v>411</v>
      </c>
      <c r="L69" s="41"/>
      <c r="M69" s="209">
        <f>M70</f>
        <v>1793520</v>
      </c>
    </row>
    <row r="70" spans="1:13">
      <c r="A70" s="62"/>
      <c r="B70" s="64"/>
      <c r="C70" s="64"/>
      <c r="D70" s="139"/>
      <c r="E70" s="174"/>
      <c r="F70" s="174"/>
      <c r="G70" s="66"/>
      <c r="H70" s="70"/>
      <c r="I70" s="70"/>
      <c r="J70" s="70"/>
      <c r="K70" s="206" t="s">
        <v>439</v>
      </c>
      <c r="L70" s="136" t="s">
        <v>202</v>
      </c>
      <c r="M70" s="181">
        <v>1793520</v>
      </c>
    </row>
    <row r="71" spans="1:13">
      <c r="A71" s="62"/>
      <c r="B71" s="64"/>
      <c r="C71" s="64"/>
      <c r="D71" s="139"/>
      <c r="E71" s="174"/>
      <c r="F71" s="174"/>
      <c r="G71" s="67" t="s">
        <v>408</v>
      </c>
      <c r="H71" s="73">
        <f>M71</f>
        <v>6480</v>
      </c>
      <c r="I71" s="73">
        <v>6480</v>
      </c>
      <c r="J71" s="73">
        <f>H71-I71</f>
        <v>0</v>
      </c>
      <c r="K71" s="83" t="s">
        <v>412</v>
      </c>
      <c r="L71" s="42"/>
      <c r="M71" s="178">
        <f>M72</f>
        <v>6480</v>
      </c>
    </row>
    <row r="72" spans="1:13" ht="17.25" thickBot="1">
      <c r="A72" s="288"/>
      <c r="B72" s="68"/>
      <c r="C72" s="68"/>
      <c r="D72" s="289"/>
      <c r="E72" s="290"/>
      <c r="F72" s="290"/>
      <c r="G72" s="68"/>
      <c r="H72" s="291"/>
      <c r="I72" s="291"/>
      <c r="J72" s="291"/>
      <c r="K72" s="224" t="s">
        <v>438</v>
      </c>
      <c r="L72" s="225" t="s">
        <v>0</v>
      </c>
      <c r="M72" s="235">
        <v>6480</v>
      </c>
    </row>
    <row r="73" spans="1:13">
      <c r="M73" s="346"/>
    </row>
  </sheetData>
  <protectedRanges>
    <protectedRange password="ECE8" sqref="K33 K25 K18 K12:K13 K47 K40 K35 K42 K49 K54 K56 K63 K65 K70 K72" name="작성자만수정_2_1_1_1"/>
  </protectedRanges>
  <mergeCells count="8"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2:J3">
    <cfRule type="containsText" dxfId="113" priority="1" operator="containsText" text="허하나로">
      <formula>NOT(ISERROR(SEARCH("허하나로",H762)))</formula>
    </cfRule>
    <cfRule type="containsText" dxfId="112" priority="2" operator="containsText" text="한별">
      <formula>NOT(ISERROR(SEARCH("한별",H762)))</formula>
    </cfRule>
    <cfRule type="containsText" dxfId="111" priority="3" operator="containsText" text="정홍조">
      <formula>NOT(ISERROR(SEARCH("정홍조",H762)))</formula>
    </cfRule>
    <cfRule type="containsText" dxfId="110" priority="4" operator="containsText" text="김지윤">
      <formula>NOT(ISERROR(SEARCH("김지윤",H762)))</formula>
    </cfRule>
    <cfRule type="containsText" dxfId="109" priority="5" operator="containsText" text="전준영">
      <formula>NOT(ISERROR(SEARCH("전준영",H762)))</formula>
    </cfRule>
    <cfRule type="containsText" dxfId="108" priority="6" operator="containsText" text="차재성">
      <formula>NOT(ISERROR(SEARCH("차재성",H762)))</formula>
    </cfRule>
  </conditionalFormatting>
  <pageMargins left="0.70866141732283472" right="0.70866141732283472" top="0.74803149606299213" bottom="0.74803149606299213" header="0.31496062992125984" footer="0.31496062992125984"/>
  <pageSetup paperSize="9" scale="67" fitToHeight="0" orientation="landscape" r:id="rId1"/>
  <rowBreaks count="1" manualBreakCount="1">
    <brk id="42" max="12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15" operator="containsText" text="허하나로" id="{28638BD0-53C8-416D-AEA7-086F4C3B2612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16" operator="containsText" text="한별" id="{31B8AA79-2D9D-439B-8B41-94BDADC4EAE7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17" operator="containsText" text="정홍조" id="{2CAA77AC-0EAE-4146-BD2E-0A25B355284F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18" operator="containsText" text="김지윤" id="{FEABD15A-02A5-4CD7-B34C-C4D219CEF5D3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9" operator="containsText" text="전준영" id="{DE2AD7CF-855A-46FB-A16E-241701A3E40C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0" operator="containsText" text="차재성" id="{AEE920D6-A787-4F27-92F5-0E99ED63827B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containsText" priority="121" operator="containsText" text="허하나로" id="{84ABEAFC-27D9-480D-B84A-5AB2AE61292C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22" operator="containsText" text="한별" id="{18453F90-08FF-4B67-9587-44306ED7AB84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23" operator="containsText" text="정홍조" id="{B7F98469-D02B-42F6-9A10-23A76F6FE069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24" operator="containsText" text="김지윤" id="{B26ACED7-A018-4823-9868-13E68E500B40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25" operator="containsText" text="전준영" id="{B57C2009-3BAB-4FAC-BFF0-8C6F65377C62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6" operator="containsText" text="차재성" id="{051401DA-5E9B-4873-9A18-26068B845AA7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H5:I5</xm:sqref>
        </x14:conditionalFormatting>
        <x14:conditionalFormatting xmlns:xm="http://schemas.microsoft.com/office/excel/2006/main">
          <x14:cfRule type="containsText" priority="109" operator="containsText" text="허하나로" id="{89235DDE-1071-4605-B173-BD45F7FF09F3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10" operator="containsText" text="한별" id="{0BEF1513-C5C7-4A14-8A85-ABF4AF30D9E8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11" operator="containsText" text="정홍조" id="{0D7B9E5E-199A-48F4-A930-C4CF5DA10819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12" operator="containsText" text="김지윤" id="{38B077B6-7E42-469C-8002-C0418CDDEE04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3" operator="containsText" text="전준영" id="{A9FB81D0-A109-4483-A39B-076950B959C6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14" operator="containsText" text="차재성" id="{BECC4EFC-1168-4B65-841B-CA7EF201B0D8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J7:J9</xm:sqref>
        </x14:conditionalFormatting>
        <x14:conditionalFormatting xmlns:xm="http://schemas.microsoft.com/office/excel/2006/main">
          <x14:cfRule type="containsText" priority="103" operator="containsText" text="허하나로" id="{B3A30445-95BB-48BC-BEFA-67DBDC362914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04" operator="containsText" text="한별" id="{0B01D86B-AF1F-4FE3-907A-5879EA65757D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05" operator="containsText" text="정홍조" id="{62054932-FFCF-451C-BEA2-7F4CE12449C9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6" operator="containsText" text="김지윤" id="{947ADF9A-3CB4-4157-A489-E266B4F1B3D6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07" operator="containsText" text="전준영" id="{CBF69331-510E-4635-B572-6AC9FD061D1C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08" operator="containsText" text="차재성" id="{E2062335-7998-4748-9E5D-147E0AC78558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</xm:sqref>
        </x14:conditionalFormatting>
        <x14:conditionalFormatting xmlns:xm="http://schemas.microsoft.com/office/excel/2006/main">
          <x14:cfRule type="containsText" priority="85" operator="containsText" text="허하나로" id="{F0776EFC-8E3A-4D8B-AE9E-2E1EDBA61334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6" operator="containsText" text="한별" id="{8F512229-F18A-4A20-B5F5-69BC952AB635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7" operator="containsText" text="정홍조" id="{4B76C7E6-2EB9-420C-A8BC-11B4894BB93A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8" operator="containsText" text="김지윤" id="{3EAD65EB-88DD-4F85-BA94-125BAC5C1B13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9" operator="containsText" text="전준영" id="{A1E05917-A8AE-40A9-8B52-5ED43B4F493F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0" operator="containsText" text="차재성" id="{2626D1A1-5D3A-425D-983F-614D41A59424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I4</xm:sqref>
        </x14:conditionalFormatting>
        <x14:conditionalFormatting xmlns:xm="http://schemas.microsoft.com/office/excel/2006/main">
          <x14:cfRule type="containsText" priority="79" operator="containsText" text="허하나로" id="{DC5B024D-1B4E-421A-BB83-FCF6D1E4F405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0" operator="containsText" text="한별" id="{9AE5CA7D-1D6C-4D7C-8468-27FCC56E497D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1" operator="containsText" text="정홍조" id="{C33207A9-6255-4D92-9095-0A4847D4A069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2" operator="containsText" text="김지윤" id="{99EDDE61-2A77-4B38-88C3-FE33BCE7638C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3" operator="containsText" text="전준영" id="{75CE6EAE-2881-4A24-85B3-0B07D36DB77A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84" operator="containsText" text="차재성" id="{D2D1FF06-A19E-4B2F-8DF6-B9B2FF257370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H26</xm:sqref>
        </x14:conditionalFormatting>
        <x14:conditionalFormatting xmlns:xm="http://schemas.microsoft.com/office/excel/2006/main">
          <x14:cfRule type="containsText" priority="73" operator="containsText" text="허하나로" id="{CC550875-2786-4525-A770-AB222A6D8FD8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74" operator="containsText" text="한별" id="{BC767287-1A59-4639-A998-3BDEC90FE36E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75" operator="containsText" text="정홍조" id="{D166153D-029D-4502-BD50-534D2EAA8F5D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6" operator="containsText" text="김지윤" id="{DA3F8C2B-D0E6-43FA-8BC2-E707C9F5AE97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7" operator="containsText" text="전준영" id="{8568F444-DC9F-4978-AD82-DE423B556D25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8" operator="containsText" text="차재성" id="{27F4669B-1FEA-4595-B546-C2D769C41A9A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J28:J30</xm:sqref>
        </x14:conditionalFormatting>
        <x14:conditionalFormatting xmlns:xm="http://schemas.microsoft.com/office/excel/2006/main">
          <x14:cfRule type="containsText" priority="67" operator="containsText" text="허하나로" id="{1A05E6F2-373C-4407-8985-E09379A0138F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8" operator="containsText" text="한별" id="{1DEBA8E4-D9E9-4D49-89B6-58EF0847F443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9" operator="containsText" text="정홍조" id="{6810E50D-9479-40DC-BC93-241AC65C99A9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0" operator="containsText" text="김지윤" id="{2C5E59D9-E025-43FB-95E5-EC56F21BBECF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1" operator="containsText" text="전준영" id="{386481DC-7D83-4D78-9C0E-C737E1E44443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2" operator="containsText" text="차재성" id="{89BA7F21-8EE3-4152-BA7D-C381E2FFBE71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J27</xm:sqref>
        </x14:conditionalFormatting>
        <x14:conditionalFormatting xmlns:xm="http://schemas.microsoft.com/office/excel/2006/main">
          <x14:cfRule type="containsText" priority="61" operator="containsText" text="허하나로" id="{BCDB1C43-8BD3-4A5F-A099-08D2EEB153AC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2" operator="containsText" text="한별" id="{ECCED475-948E-4E57-89C6-2900681D7E3C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3" operator="containsText" text="정홍조" id="{A38EE1CC-59A0-404E-9498-F640120BA44E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64" operator="containsText" text="김지윤" id="{100237B7-CFCF-4A44-AB61-E7366F2D0994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65" operator="containsText" text="전준영" id="{31096114-70E2-4A1F-9B35-5B876634827D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6" operator="containsText" text="차재성" id="{B126A396-1B9B-4D8C-9D41-C2AEAC8F63C0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I26</xm:sqref>
        </x14:conditionalFormatting>
        <x14:conditionalFormatting xmlns:xm="http://schemas.microsoft.com/office/excel/2006/main">
          <x14:cfRule type="containsText" priority="55" operator="containsText" text="허하나로" id="{32FF62E2-9292-49F9-AF0A-F1A668DE0E19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56" operator="containsText" text="한별" id="{C5774498-CA8A-441F-BFFB-CD699EE3769D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57" operator="containsText" text="정홍조" id="{D10E7E17-4E65-4D55-81B5-AA1282B88074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58" operator="containsText" text="김지윤" id="{9046ACE1-3A73-4B29-8C66-7C9BC09EDBBF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9" operator="containsText" text="전준영" id="{46DD9E08-73B5-4E8F-879C-A46E5C82CE3C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0" operator="containsText" text="차재성" id="{AC71C39B-A6C0-4743-889B-A234260443BE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J50:J51</xm:sqref>
        </x14:conditionalFormatting>
        <x14:conditionalFormatting xmlns:xm="http://schemas.microsoft.com/office/excel/2006/main">
          <x14:cfRule type="containsText" priority="49" operator="containsText" text="허하나로" id="{FFFFD91E-9C96-4995-B143-48196195E2BD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50" operator="containsText" text="한별" id="{CD63161A-A5DA-43C2-9C08-510A59DA8CDE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51" operator="containsText" text="정홍조" id="{337E64F5-C270-479D-B462-8C5967F0E03D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52" operator="containsText" text="김지윤" id="{424FB007-E177-473C-81A9-C8223BA73BE6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3" operator="containsText" text="전준영" id="{6FA2DEEB-CDB0-4E13-823C-02D5882331DC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54" operator="containsText" text="차재성" id="{587DA76C-E3EE-48D0-9348-80754C739E77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J58 J66:J67</xm:sqref>
        </x14:conditionalFormatting>
        <x14:conditionalFormatting xmlns:xm="http://schemas.microsoft.com/office/excel/2006/main">
          <x14:cfRule type="containsText" priority="43" operator="containsText" text="허하나로" id="{AF6B8880-4BE9-4BDA-AFAC-94CBC841699E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4" operator="containsText" text="한별" id="{2CD10CBB-A400-4DA9-8A5F-9A605C881D25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5" operator="containsText" text="정홍조" id="{FAEB4972-F482-4388-A2F8-EF39772D612B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6" operator="containsText" text="김지윤" id="{B1D70695-6BCA-42EC-B94C-101A166A3460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7" operator="containsText" text="전준영" id="{AB384378-222B-445C-B668-D5899361E56E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8" operator="containsText" text="차재성" id="{BFC6D678-E726-4A71-A69B-AB24F6875172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J57</xm:sqref>
        </x14:conditionalFormatting>
        <x14:conditionalFormatting xmlns:xm="http://schemas.microsoft.com/office/excel/2006/main">
          <x14:cfRule type="containsText" priority="37" operator="containsText" text="허하나로" id="{6F85EACA-2A8C-4DC8-856F-1F687BCA32AE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8" operator="containsText" text="한별" id="{E846A9E7-3B48-4011-8FDC-429AD7764DEC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9" operator="containsText" text="정홍조" id="{803A58E8-6C25-44B5-B0C9-48AABB637B48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0" operator="containsText" text="김지윤" id="{07FCE2EF-A18C-46BD-9979-4E0EC19067CC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1" operator="containsText" text="전준영" id="{21808195-82C1-48C1-9674-1FD3959419FD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2" operator="containsText" text="차재성" id="{8071ACFB-708D-4BC3-B8FD-8BDABD4E9BEF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J20:J22</xm:sqref>
        </x14:conditionalFormatting>
        <x14:conditionalFormatting xmlns:xm="http://schemas.microsoft.com/office/excel/2006/main">
          <x14:cfRule type="containsText" priority="31" operator="containsText" text="허하나로" id="{0E3BA01D-ECC7-494A-AEAC-5010F879D10E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2" operator="containsText" text="한별" id="{9CBBFD54-BE4F-4AA7-81D8-91EC2A835A0F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3" operator="containsText" text="정홍조" id="{7D3FE18A-933F-471C-94A4-538EA9D4F928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34" operator="containsText" text="김지윤" id="{FCA49F57-4BFA-4AFE-BB7F-653DD5BF07C5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5" operator="containsText" text="전준영" id="{A193A813-F817-4818-A6B7-4110E1F01364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6" operator="containsText" text="차재성" id="{FDAC11BA-64FE-4B0D-BB18-D1B7BBAECCD9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J14:J15</xm:sqref>
        </x14:conditionalFormatting>
        <x14:conditionalFormatting xmlns:xm="http://schemas.microsoft.com/office/excel/2006/main">
          <x14:cfRule type="containsText" priority="25" operator="containsText" text="허하나로" id="{53E2B25A-6F15-4886-8C98-37A16E531506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6" operator="containsText" text="한별" id="{018BDF2C-A1F4-45F0-AC58-2C09101F9F18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7" operator="containsText" text="정홍조" id="{96EB6039-9116-4E30-97C3-7BC9C712E5B2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8" operator="containsText" text="김지윤" id="{6D6F6143-CC85-4AD3-B523-6CBD2A04234D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9" operator="containsText" text="전준영" id="{03839964-0321-41CF-A384-CD6BE498B9DE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0" operator="containsText" text="차재성" id="{62D8A496-5FF2-42E3-B115-42DECD38D332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J19</xm:sqref>
        </x14:conditionalFormatting>
        <x14:conditionalFormatting xmlns:xm="http://schemas.microsoft.com/office/excel/2006/main">
          <x14:cfRule type="containsText" priority="19" operator="containsText" text="허하나로" id="{84129093-70EE-4B89-A62C-1FDEA92236D9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0" operator="containsText" text="한별" id="{A5AF2A4C-A0F1-4A7F-A199-2D524EFFC8BD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1" operator="containsText" text="정홍조" id="{0AB912F3-AC72-4CDE-AF9E-65095E13309C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2" operator="containsText" text="김지윤" id="{0E705F02-76DA-4FC1-9570-9E9B2E7593BE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3" operator="containsText" text="전준영" id="{4B03BD70-492D-485D-A365-43CC5F74F446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4" operator="containsText" text="차재성" id="{6A9A5827-A8DE-4868-A5C4-3F2E9033547C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J43:J44</xm:sqref>
        </x14:conditionalFormatting>
        <x14:conditionalFormatting xmlns:xm="http://schemas.microsoft.com/office/excel/2006/main">
          <x14:cfRule type="containsText" priority="13" operator="containsText" text="허하나로" id="{447A8153-9EF2-4E19-945C-13F8C65C27CF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4" operator="containsText" text="한별" id="{69510E86-740F-4A01-A95D-65DF61C29D16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5" operator="containsText" text="정홍조" id="{02AF5224-0E0E-46B4-BD06-74D789287F63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6" operator="containsText" text="김지윤" id="{67E21E89-2F90-49DE-8FE8-39695615B9AD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" operator="containsText" text="전준영" id="{A2D81CA1-14EB-4E4B-B28B-E38733788792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8" operator="containsText" text="차재성" id="{2199287F-3060-45E4-B349-41F2FC40B642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J36:J37</xm:sqref>
        </x14:conditionalFormatting>
        <x14:conditionalFormatting xmlns:xm="http://schemas.microsoft.com/office/excel/2006/main">
          <x14:cfRule type="containsText" priority="7" operator="containsText" text="허하나로" id="{05A1BF34-F91C-4634-98A7-1D91EAE7F593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" operator="containsText" text="한별" id="{8FDD87EE-C560-454B-A8F0-7ACB03E05F3F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" operator="containsText" text="정홍조" id="{0F8B45D0-924A-4B86-A5F4-D058FF63E084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" operator="containsText" text="김지윤" id="{8FE05FF8-CF4E-453B-B2A6-820F4F1D3F78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" operator="containsText" text="전준영" id="{4208599C-0041-488F-B5E3-8A9B19D15833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" operator="containsText" text="차재성" id="{EFB68A28-345C-4CD8-8A77-C58451FBBF4D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J59:J60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이름이 지정된 범위</vt:lpstr>
      </vt:variant>
      <vt:variant>
        <vt:i4>4</vt:i4>
      </vt:variant>
    </vt:vector>
  </HeadingPairs>
  <TitlesOfParts>
    <vt:vector size="18" baseType="lpstr">
      <vt:lpstr>표지</vt:lpstr>
      <vt:lpstr>수입예산 총괄표</vt:lpstr>
      <vt:lpstr>지출예산 총괄표</vt:lpstr>
      <vt:lpstr>행정관리부</vt:lpstr>
      <vt:lpstr>기획홍보부</vt:lpstr>
      <vt:lpstr>수익사업부</vt:lpstr>
      <vt:lpstr>유치협력부</vt:lpstr>
      <vt:lpstr>운영부</vt:lpstr>
      <vt:lpstr>행사부</vt:lpstr>
      <vt:lpstr>시설조성부</vt:lpstr>
      <vt:lpstr>전시연출부</vt:lpstr>
      <vt:lpstr>예비비</vt:lpstr>
      <vt:lpstr>기획본부(위탁)</vt:lpstr>
      <vt:lpstr>운영본부(위탁)</vt:lpstr>
      <vt:lpstr>수익사업부!Print_Area</vt:lpstr>
      <vt:lpstr>'운영본부(위탁)'!Print_Area</vt:lpstr>
      <vt:lpstr>유치협력부!Print_Area</vt:lpstr>
      <vt:lpstr>수익사업부!Print_Titles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섬 박람회 조직위원회</cp:lastModifiedBy>
  <cp:revision>14</cp:revision>
  <cp:lastPrinted>2025-03-04T11:42:21Z</cp:lastPrinted>
  <dcterms:created xsi:type="dcterms:W3CDTF">2022-08-16T06:55:23Z</dcterms:created>
  <dcterms:modified xsi:type="dcterms:W3CDTF">2025-03-04T11:45:45Z</dcterms:modified>
  <cp:version>0906.0100.01</cp:version>
</cp:coreProperties>
</file>