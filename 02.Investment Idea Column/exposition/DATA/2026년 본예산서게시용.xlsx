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섬 박람회 조직위원회\Desktop\예산서\"/>
    </mc:Choice>
  </mc:AlternateContent>
  <bookViews>
    <workbookView xWindow="0" yWindow="0" windowWidth="16200" windowHeight="10740" tabRatio="813"/>
  </bookViews>
  <sheets>
    <sheet name="표지" sheetId="47" r:id="rId1"/>
    <sheet name="수입예산 총괄표" sheetId="41" r:id="rId2"/>
    <sheet name="지출예산 총괄표" sheetId="46" r:id="rId3"/>
    <sheet name="지출예산(직접)" sheetId="29" r:id="rId4"/>
    <sheet name="행정관리부" sheetId="36" r:id="rId5"/>
    <sheet name="기획홍보부" sheetId="34" r:id="rId6"/>
    <sheet name="수익사업부" sheetId="30" r:id="rId7"/>
    <sheet name="유치협력부" sheetId="35" r:id="rId8"/>
    <sheet name="운영부" sheetId="37" r:id="rId9"/>
    <sheet name="행사부" sheetId="38" r:id="rId10"/>
    <sheet name="시설조성부" sheetId="39" r:id="rId11"/>
    <sheet name="전시연출부" sheetId="40" r:id="rId12"/>
    <sheet name="종합상황실" sheetId="48" r:id="rId13"/>
    <sheet name="예비비" sheetId="42" r:id="rId14"/>
    <sheet name="지출예산(위탁)" sheetId="43" r:id="rId15"/>
    <sheet name="기획본부(위탁)" sheetId="44" r:id="rId16"/>
    <sheet name="운영본부(위탁)" sheetId="45" r:id="rId17"/>
  </sheets>
  <externalReferences>
    <externalReference r:id="rId18"/>
    <externalReference r:id="rId19"/>
  </externalReferences>
  <definedNames>
    <definedName name="_xlnm._FilterDatabase" localSheetId="5" hidden="1">기획홍보부!$A$3:$M$68</definedName>
    <definedName name="_xlnm._FilterDatabase" localSheetId="6" hidden="1">수익사업부!$A$3:$AY$56</definedName>
    <definedName name="_xlnm._FilterDatabase" localSheetId="10" hidden="1">시설조성부!$A$3:$M$24</definedName>
    <definedName name="_xlnm._FilterDatabase" localSheetId="8" hidden="1">운영부!$A$3:$M$43</definedName>
    <definedName name="_xlnm._FilterDatabase" localSheetId="7" hidden="1">유치협력부!$A$3:$BP$36</definedName>
    <definedName name="_xlnm._FilterDatabase" localSheetId="11" hidden="1">전시연출부!$A$3:$M$40</definedName>
    <definedName name="_xlnm._FilterDatabase" localSheetId="12" hidden="1">종합상황실!$A$3:$M$24</definedName>
    <definedName name="_xlnm._FilterDatabase" localSheetId="3" hidden="1">'지출예산(직접)'!$A$4:$I$229</definedName>
    <definedName name="_xlnm._FilterDatabase" localSheetId="9" hidden="1">행사부!$A$3:$M$24</definedName>
    <definedName name="_xlnm._FilterDatabase" localSheetId="4" hidden="1">행정관리부!$A$3:$M$114</definedName>
    <definedName name="_xlnm.Database" localSheetId="5">#REF!</definedName>
    <definedName name="_xlnm.Database" localSheetId="12">#REF!</definedName>
    <definedName name="_xlnm.Database" localSheetId="3">#REF!</definedName>
    <definedName name="_xlnm.Database" localSheetId="0">#REF!</definedName>
    <definedName name="_xlnm.Database">#REF!</definedName>
    <definedName name="_xlnm.Print_Area" localSheetId="6">수익사업부!$A$1:$M$56</definedName>
    <definedName name="_xlnm.Print_Area" localSheetId="1">'수입예산 총괄표'!$A$1:$H$33</definedName>
    <definedName name="_xlnm.Print_Area" localSheetId="10">시설조성부!$A$1:$M$52</definedName>
    <definedName name="_xlnm.Print_Area" localSheetId="16">'운영본부(위탁)'!$A$1:$M$47</definedName>
    <definedName name="_xlnm.Print_Area" localSheetId="7">유치협력부!$A$1:$M$36</definedName>
    <definedName name="_xlnm.Print_Area" localSheetId="3">'지출예산(직접)'!$A$1:$I$229</definedName>
    <definedName name="_xlnm.Print_Titles" localSheetId="15">'기획본부(위탁)'!$1:$4</definedName>
    <definedName name="_xlnm.Print_Titles" localSheetId="5">기획홍보부!$1:$4</definedName>
    <definedName name="_xlnm.Print_Titles" localSheetId="6">수익사업부!$1:$4</definedName>
    <definedName name="_xlnm.Print_Titles" localSheetId="10">시설조성부!$1:$4</definedName>
    <definedName name="_xlnm.Print_Titles" localSheetId="13">예비비!$1:$4</definedName>
    <definedName name="_xlnm.Print_Titles" localSheetId="16">'운영본부(위탁)'!$1:$4</definedName>
    <definedName name="_xlnm.Print_Titles" localSheetId="8">운영부!$1:$4</definedName>
    <definedName name="_xlnm.Print_Titles" localSheetId="7">유치협력부!$1:$4</definedName>
    <definedName name="_xlnm.Print_Titles" localSheetId="11">전시연출부!$1:$4</definedName>
    <definedName name="_xlnm.Print_Titles" localSheetId="12">종합상황실!$1:$4</definedName>
    <definedName name="_xlnm.Print_Titles" localSheetId="14">'지출예산(위탁)'!$1:$5</definedName>
    <definedName name="_xlnm.Print_Titles" localSheetId="3">'지출예산(직접)'!$1:$5</definedName>
    <definedName name="_xlnm.Print_Titles" localSheetId="9">행사부!$1:$4</definedName>
    <definedName name="_xlnm.Print_Titles" localSheetId="4">행정관리부!$1:$4</definedName>
    <definedName name="ㄹㄹㄹ" localSheetId="5">#REF!</definedName>
    <definedName name="ㄹㄹㄹ" localSheetId="12">#REF!</definedName>
    <definedName name="ㄹㄹㄹ" localSheetId="3">#REF!</definedName>
    <definedName name="ㄹㄹㄹ" localSheetId="0">#REF!</definedName>
    <definedName name="ㄹㄹㄹ">#REF!</definedName>
    <definedName name="ㅁ1" localSheetId="5">#REF!</definedName>
    <definedName name="ㅁ1" localSheetId="6">#REF!</definedName>
    <definedName name="ㅁ1" localSheetId="12">#REF!</definedName>
    <definedName name="ㅁ1" localSheetId="3">#REF!</definedName>
    <definedName name="ㅁ1" localSheetId="0">#REF!</definedName>
    <definedName name="ㅁ1">#REF!</definedName>
    <definedName name="ㅇㅇ" localSheetId="12">#REF!</definedName>
    <definedName name="ㅇㅇ" localSheetId="0">#REF!</definedName>
    <definedName name="ㅇㅇ">#REF!</definedName>
    <definedName name="ㅇㅇㅇ" localSheetId="12">#REF!</definedName>
    <definedName name="ㅇㅇㅇ" localSheetId="0">#REF!</definedName>
    <definedName name="ㅇㅇㅇ">#REF!</definedName>
  </definedNames>
  <calcPr calcId="162913"/>
</workbook>
</file>

<file path=xl/calcChain.xml><?xml version="1.0" encoding="utf-8"?>
<calcChain xmlns="http://schemas.openxmlformats.org/spreadsheetml/2006/main">
  <c r="I5" i="46" l="1"/>
  <c r="G7" i="46" l="1"/>
  <c r="H6" i="40"/>
  <c r="G39" i="29"/>
  <c r="H6" i="34"/>
  <c r="H13" i="34"/>
  <c r="G171" i="29"/>
  <c r="H103" i="36"/>
  <c r="M13" i="36"/>
  <c r="H11" i="36" s="1"/>
  <c r="H11" i="37"/>
  <c r="H9" i="48"/>
  <c r="H4" i="48"/>
  <c r="M16" i="39"/>
  <c r="M13" i="39"/>
  <c r="M11" i="39"/>
  <c r="M30" i="37"/>
  <c r="H27" i="37"/>
  <c r="H23" i="37"/>
  <c r="M27" i="37"/>
  <c r="M23" i="37"/>
  <c r="M11" i="37"/>
  <c r="M48" i="30"/>
  <c r="M21" i="30"/>
  <c r="M15" i="30"/>
  <c r="M11" i="30"/>
  <c r="M42" i="34"/>
  <c r="M16" i="34"/>
  <c r="M108" i="36"/>
  <c r="M103" i="36"/>
  <c r="H91" i="36"/>
  <c r="H88" i="36"/>
  <c r="M88" i="36"/>
  <c r="M83" i="36"/>
  <c r="M80" i="36"/>
  <c r="M76" i="36"/>
  <c r="H69" i="36"/>
  <c r="M73" i="36"/>
  <c r="M69" i="36"/>
  <c r="H62" i="36"/>
  <c r="M66" i="36"/>
  <c r="M62" i="36"/>
  <c r="H47" i="36"/>
  <c r="M60" i="36"/>
  <c r="M47" i="36"/>
  <c r="M41" i="36"/>
  <c r="H36" i="36"/>
  <c r="H30" i="36"/>
  <c r="H25" i="36"/>
  <c r="G48" i="29"/>
  <c r="M33" i="36" l="1"/>
  <c r="H37" i="45" l="1"/>
  <c r="H40" i="45"/>
  <c r="M46" i="45"/>
  <c r="J25" i="36" l="1"/>
  <c r="G169" i="29" l="1"/>
  <c r="G168" i="29"/>
  <c r="G167" i="29"/>
  <c r="I167" i="29" s="1"/>
  <c r="G166" i="29"/>
  <c r="I166" i="29" s="1"/>
  <c r="I169" i="29"/>
  <c r="I168" i="29"/>
  <c r="I22" i="46" l="1"/>
  <c r="G22" i="46"/>
  <c r="G16" i="46"/>
  <c r="G13" i="46"/>
  <c r="G203" i="29" l="1"/>
  <c r="G202" i="29"/>
  <c r="G201" i="29"/>
  <c r="G200" i="29"/>
  <c r="G199" i="29"/>
  <c r="G198" i="29"/>
  <c r="G197" i="29"/>
  <c r="G196" i="29"/>
  <c r="G195" i="29"/>
  <c r="G194" i="29"/>
  <c r="G193" i="29"/>
  <c r="G192" i="29"/>
  <c r="G191" i="29"/>
  <c r="G190" i="29"/>
  <c r="G189" i="29"/>
  <c r="G188" i="29"/>
  <c r="G187" i="29"/>
  <c r="G186" i="29"/>
  <c r="G185" i="29"/>
  <c r="G184" i="29"/>
  <c r="G183" i="29"/>
  <c r="G182" i="29"/>
  <c r="G181" i="29"/>
  <c r="G174" i="29"/>
  <c r="I174" i="29" s="1"/>
  <c r="G173" i="29"/>
  <c r="G172" i="29"/>
  <c r="I173" i="29"/>
  <c r="I172" i="29"/>
  <c r="M11" i="40"/>
  <c r="H11" i="40" s="1"/>
  <c r="H10" i="40" s="1"/>
  <c r="F12" i="41"/>
  <c r="G219" i="29"/>
  <c r="I219" i="29" s="1"/>
  <c r="G218" i="29"/>
  <c r="I218" i="29" s="1"/>
  <c r="G217" i="29"/>
  <c r="I217" i="29" s="1"/>
  <c r="G216" i="29"/>
  <c r="I216" i="29" s="1"/>
  <c r="M44" i="39"/>
  <c r="H44" i="39"/>
  <c r="J44" i="39" s="1"/>
  <c r="H43" i="39"/>
  <c r="J43" i="39" s="1"/>
  <c r="H42" i="39"/>
  <c r="J42" i="39" s="1"/>
  <c r="H41" i="39"/>
  <c r="J41" i="39" s="1"/>
  <c r="H40" i="39"/>
  <c r="H39" i="39" s="1"/>
  <c r="M51" i="39"/>
  <c r="H51" i="39" s="1"/>
  <c r="M29" i="39"/>
  <c r="H29" i="39"/>
  <c r="J29" i="39" s="1"/>
  <c r="M24" i="45"/>
  <c r="M19" i="45"/>
  <c r="M15" i="37"/>
  <c r="J51" i="39" l="1"/>
  <c r="G224" i="29"/>
  <c r="I224" i="29" s="1"/>
  <c r="J39" i="39"/>
  <c r="G20" i="46"/>
  <c r="I20" i="46" s="1"/>
  <c r="G215" i="29"/>
  <c r="I215" i="29" s="1"/>
  <c r="J11" i="40"/>
  <c r="H50" i="39"/>
  <c r="G223" i="29" s="1"/>
  <c r="I223" i="29" s="1"/>
  <c r="J40" i="39"/>
  <c r="H28" i="39"/>
  <c r="G29" i="43"/>
  <c r="I29" i="43" s="1"/>
  <c r="M73" i="44"/>
  <c r="H73" i="44" s="1"/>
  <c r="M69" i="44"/>
  <c r="H69" i="44" s="1"/>
  <c r="J69" i="44" s="1"/>
  <c r="M66" i="44"/>
  <c r="H66" i="44" s="1"/>
  <c r="G38" i="43" s="1"/>
  <c r="I38" i="43" s="1"/>
  <c r="M61" i="44"/>
  <c r="M57" i="44"/>
  <c r="M49" i="44"/>
  <c r="H49" i="44"/>
  <c r="J49" i="44" s="1"/>
  <c r="M45" i="44"/>
  <c r="H45" i="44"/>
  <c r="J45" i="44" s="1"/>
  <c r="M40" i="44"/>
  <c r="H40" i="44" s="1"/>
  <c r="G24" i="43" s="1"/>
  <c r="I24" i="43" s="1"/>
  <c r="M35" i="44"/>
  <c r="H35" i="44" s="1"/>
  <c r="H34" i="44" s="1"/>
  <c r="G20" i="43" s="1"/>
  <c r="M11" i="42"/>
  <c r="G108" i="29"/>
  <c r="I108" i="29" s="1"/>
  <c r="G107" i="29"/>
  <c r="I107" i="29"/>
  <c r="H26" i="35"/>
  <c r="M16" i="35"/>
  <c r="M14" i="35"/>
  <c r="H14" i="35" s="1"/>
  <c r="G110" i="29" s="1"/>
  <c r="I110" i="29" s="1"/>
  <c r="H16" i="35"/>
  <c r="J16" i="35" s="1"/>
  <c r="M11" i="35"/>
  <c r="H11" i="35" s="1"/>
  <c r="H10" i="35" s="1"/>
  <c r="M26" i="30"/>
  <c r="H26" i="30" s="1"/>
  <c r="J73" i="44" l="1"/>
  <c r="G41" i="43"/>
  <c r="I41" i="43" s="1"/>
  <c r="G21" i="43"/>
  <c r="G27" i="43"/>
  <c r="I27" i="43" s="1"/>
  <c r="G39" i="43"/>
  <c r="I39" i="43" s="1"/>
  <c r="G111" i="29"/>
  <c r="I111" i="29" s="1"/>
  <c r="J26" i="30"/>
  <c r="G86" i="29"/>
  <c r="I86" i="29" s="1"/>
  <c r="J10" i="40"/>
  <c r="H9" i="40"/>
  <c r="J50" i="39"/>
  <c r="H49" i="39"/>
  <c r="J28" i="39"/>
  <c r="H27" i="39"/>
  <c r="H72" i="44"/>
  <c r="G40" i="43" s="1"/>
  <c r="I40" i="43" s="1"/>
  <c r="H65" i="44"/>
  <c r="G37" i="43" s="1"/>
  <c r="I37" i="43" s="1"/>
  <c r="J66" i="44"/>
  <c r="H48" i="44"/>
  <c r="G28" i="43" s="1"/>
  <c r="I28" i="43" s="1"/>
  <c r="H44" i="44"/>
  <c r="G26" i="43" s="1"/>
  <c r="I26" i="43" s="1"/>
  <c r="J40" i="44"/>
  <c r="H39" i="44"/>
  <c r="G23" i="43" s="1"/>
  <c r="I23" i="43" s="1"/>
  <c r="J14" i="35"/>
  <c r="H13" i="35"/>
  <c r="G109" i="29" s="1"/>
  <c r="I109" i="29" s="1"/>
  <c r="J11" i="35"/>
  <c r="H25" i="30"/>
  <c r="H22" i="41"/>
  <c r="F21" i="41"/>
  <c r="H21" i="41" s="1"/>
  <c r="F13" i="41"/>
  <c r="H14" i="41"/>
  <c r="F9" i="41"/>
  <c r="H10" i="41"/>
  <c r="H9" i="41"/>
  <c r="M27" i="44"/>
  <c r="H11" i="30" l="1"/>
  <c r="J25" i="30"/>
  <c r="G85" i="29"/>
  <c r="I85" i="29" s="1"/>
  <c r="J9" i="40"/>
  <c r="H8" i="40"/>
  <c r="J8" i="40" s="1"/>
  <c r="J49" i="39"/>
  <c r="H48" i="39"/>
  <c r="G222" i="29" s="1"/>
  <c r="I222" i="29" s="1"/>
  <c r="J27" i="39"/>
  <c r="H26" i="39"/>
  <c r="J72" i="44"/>
  <c r="H71" i="44"/>
  <c r="J71" i="44" s="1"/>
  <c r="H64" i="44"/>
  <c r="J65" i="44"/>
  <c r="J48" i="44"/>
  <c r="H47" i="44"/>
  <c r="J47" i="44" s="1"/>
  <c r="J44" i="44"/>
  <c r="H43" i="44"/>
  <c r="J39" i="44"/>
  <c r="H38" i="44"/>
  <c r="H9" i="35"/>
  <c r="J13" i="35"/>
  <c r="H13" i="41"/>
  <c r="M21" i="44"/>
  <c r="M17" i="44"/>
  <c r="M11" i="44"/>
  <c r="M67" i="34"/>
  <c r="M64" i="34"/>
  <c r="M62" i="34"/>
  <c r="M31" i="34"/>
  <c r="H31" i="34" s="1"/>
  <c r="J48" i="39" l="1"/>
  <c r="H47" i="39"/>
  <c r="G221" i="29" s="1"/>
  <c r="I221" i="29" s="1"/>
  <c r="J26" i="39"/>
  <c r="H25" i="39"/>
  <c r="J64" i="44"/>
  <c r="H63" i="44"/>
  <c r="J43" i="44"/>
  <c r="H42" i="44"/>
  <c r="J38" i="44"/>
  <c r="H37" i="44"/>
  <c r="H30" i="34"/>
  <c r="J31" i="34"/>
  <c r="J37" i="44" l="1"/>
  <c r="G22" i="43"/>
  <c r="I22" i="43" s="1"/>
  <c r="J42" i="44"/>
  <c r="G25" i="43"/>
  <c r="I25" i="43" s="1"/>
  <c r="J63" i="44"/>
  <c r="G36" i="43"/>
  <c r="I36" i="43" s="1"/>
  <c r="H46" i="39"/>
  <c r="J47" i="39"/>
  <c r="J25" i="39"/>
  <c r="H29" i="34"/>
  <c r="J30" i="34"/>
  <c r="J46" i="39" l="1"/>
  <c r="G21" i="46"/>
  <c r="I21" i="46" s="1"/>
  <c r="G220" i="29"/>
  <c r="I220" i="29" s="1"/>
  <c r="H28" i="34"/>
  <c r="J28" i="34" s="1"/>
  <c r="J29" i="34"/>
  <c r="M11" i="34" l="1"/>
  <c r="H11" i="34" s="1"/>
  <c r="H10" i="34" l="1"/>
  <c r="H9" i="34" s="1"/>
  <c r="J11" i="34"/>
  <c r="M36" i="36"/>
  <c r="M30" i="36"/>
  <c r="M28" i="36"/>
  <c r="M25" i="36"/>
  <c r="J10" i="34" l="1"/>
  <c r="I199" i="29"/>
  <c r="I197" i="29"/>
  <c r="M23" i="48"/>
  <c r="H23" i="48" s="1"/>
  <c r="M20" i="48"/>
  <c r="H20" i="48"/>
  <c r="J20" i="48" s="1"/>
  <c r="M16" i="48"/>
  <c r="H16" i="48" s="1"/>
  <c r="M13" i="48"/>
  <c r="H13" i="48"/>
  <c r="J13" i="48" s="1"/>
  <c r="M11" i="48"/>
  <c r="H11" i="48" s="1"/>
  <c r="H30" i="37"/>
  <c r="H29" i="37" s="1"/>
  <c r="J23" i="48" l="1"/>
  <c r="I203" i="29"/>
  <c r="H22" i="48"/>
  <c r="I201" i="29"/>
  <c r="H19" i="48"/>
  <c r="J11" i="48"/>
  <c r="H10" i="48"/>
  <c r="I196" i="29"/>
  <c r="H8" i="34"/>
  <c r="J9" i="34"/>
  <c r="H15" i="48"/>
  <c r="I198" i="29" s="1"/>
  <c r="J16" i="48"/>
  <c r="J22" i="48" l="1"/>
  <c r="I202" i="29"/>
  <c r="J19" i="48"/>
  <c r="I200" i="29"/>
  <c r="J10" i="48"/>
  <c r="I195" i="29"/>
  <c r="J8" i="34"/>
  <c r="J15" i="48"/>
  <c r="H8" i="48" l="1"/>
  <c r="I194" i="29" s="1"/>
  <c r="J9" i="48"/>
  <c r="J8" i="48" l="1"/>
  <c r="H7" i="48"/>
  <c r="I192" i="29" l="1"/>
  <c r="I193" i="29"/>
  <c r="J7" i="48"/>
  <c r="H6" i="48"/>
  <c r="I16" i="46" s="1"/>
  <c r="H5" i="48" l="1"/>
  <c r="J6" i="48"/>
  <c r="J5" i="48" l="1"/>
  <c r="J4" i="48"/>
  <c r="M35" i="30" l="1"/>
  <c r="H35" i="30" s="1"/>
  <c r="J35" i="30" s="1"/>
  <c r="G91" i="29" l="1"/>
  <c r="I91" i="29" s="1"/>
  <c r="H34" i="30"/>
  <c r="G90" i="29" l="1"/>
  <c r="I90" i="29" s="1"/>
  <c r="H33" i="30"/>
  <c r="J34" i="30"/>
  <c r="J33" i="30" l="1"/>
  <c r="H32" i="30"/>
  <c r="J32" i="30" l="1"/>
  <c r="G89" i="29"/>
  <c r="I89" i="29" s="1"/>
  <c r="M25" i="44" l="1"/>
  <c r="H25" i="44" s="1"/>
  <c r="J25" i="44" s="1"/>
  <c r="H5" i="29"/>
  <c r="G15" i="43" l="1"/>
  <c r="I15" i="43" s="1"/>
  <c r="M37" i="39"/>
  <c r="H37" i="39" s="1"/>
  <c r="G214" i="29" l="1"/>
  <c r="H36" i="39"/>
  <c r="J37" i="39"/>
  <c r="G213" i="29"/>
  <c r="J36" i="39" l="1"/>
  <c r="H35" i="39"/>
  <c r="H34" i="39" l="1"/>
  <c r="G212" i="29" s="1"/>
  <c r="J35" i="39"/>
  <c r="H33" i="39" l="1"/>
  <c r="G211" i="29" s="1"/>
  <c r="J34" i="39"/>
  <c r="J33" i="39" l="1"/>
  <c r="H32" i="39"/>
  <c r="H31" i="39" s="1"/>
  <c r="G18" i="46" s="1"/>
  <c r="G19" i="46" l="1"/>
  <c r="I19" i="46" s="1"/>
  <c r="G210" i="29"/>
  <c r="J32" i="39"/>
  <c r="J31" i="39"/>
  <c r="G54" i="29" l="1"/>
  <c r="G53" i="29"/>
  <c r="G52" i="29" l="1"/>
  <c r="I214" i="29" l="1"/>
  <c r="I213" i="29"/>
  <c r="I212" i="29"/>
  <c r="I211" i="29"/>
  <c r="I210" i="29"/>
  <c r="I53" i="29"/>
  <c r="I54" i="29"/>
  <c r="I52" i="29"/>
  <c r="H18" i="41"/>
  <c r="H33" i="41"/>
  <c r="H32" i="41"/>
  <c r="F31" i="41"/>
  <c r="F30" i="41" s="1"/>
  <c r="H29" i="41"/>
  <c r="F28" i="41"/>
  <c r="H28" i="41" s="1"/>
  <c r="F27" i="41" l="1"/>
  <c r="H27" i="41" s="1"/>
  <c r="M54" i="44" l="1"/>
  <c r="M21" i="40" l="1"/>
  <c r="H21" i="40" s="1"/>
  <c r="M16" i="40"/>
  <c r="H16" i="40" s="1"/>
  <c r="G177" i="29" s="1"/>
  <c r="H20" i="40" l="1"/>
  <c r="G179" i="29" s="1"/>
  <c r="G180" i="29"/>
  <c r="J21" i="40"/>
  <c r="I180" i="29"/>
  <c r="J16" i="40"/>
  <c r="H15" i="40"/>
  <c r="G176" i="29" s="1"/>
  <c r="I177" i="29"/>
  <c r="J20" i="40"/>
  <c r="I179" i="29"/>
  <c r="H19" i="40"/>
  <c r="M13" i="37"/>
  <c r="I176" i="29" l="1"/>
  <c r="H14" i="40"/>
  <c r="J19" i="40"/>
  <c r="H18" i="40"/>
  <c r="J15" i="40"/>
  <c r="G178" i="29" l="1"/>
  <c r="I178" i="29" s="1"/>
  <c r="J18" i="40"/>
  <c r="J14" i="40"/>
  <c r="H13" i="40"/>
  <c r="G175" i="29" l="1"/>
  <c r="I175" i="29" s="1"/>
  <c r="H7" i="40"/>
  <c r="J13" i="40"/>
  <c r="G43" i="29"/>
  <c r="I43" i="29" s="1"/>
  <c r="J7" i="40" l="1"/>
  <c r="G42" i="29"/>
  <c r="I42" i="29" s="1"/>
  <c r="G41" i="29" l="1"/>
  <c r="I41" i="29" s="1"/>
  <c r="M22" i="35" l="1"/>
  <c r="M97" i="36" l="1"/>
  <c r="H97" i="36" s="1"/>
  <c r="J97" i="36" l="1"/>
  <c r="M30" i="30" l="1"/>
  <c r="H30" i="30" s="1"/>
  <c r="G88" i="29" s="1"/>
  <c r="I88" i="29" s="1"/>
  <c r="H21" i="30"/>
  <c r="G84" i="29" s="1"/>
  <c r="I84" i="29" s="1"/>
  <c r="H10" i="30"/>
  <c r="H20" i="41"/>
  <c r="F19" i="41"/>
  <c r="H19" i="41" s="1"/>
  <c r="J11" i="30" l="1"/>
  <c r="G81" i="29"/>
  <c r="J30" i="30"/>
  <c r="H29" i="30"/>
  <c r="G87" i="29" s="1"/>
  <c r="I87" i="29" s="1"/>
  <c r="J21" i="30"/>
  <c r="H20" i="30"/>
  <c r="M17" i="36"/>
  <c r="G83" i="29" l="1"/>
  <c r="I83" i="29" s="1"/>
  <c r="H19" i="30"/>
  <c r="H18" i="30" s="1"/>
  <c r="J29" i="30"/>
  <c r="H28" i="30"/>
  <c r="J28" i="30" s="1"/>
  <c r="J20" i="30"/>
  <c r="G82" i="29" l="1"/>
  <c r="I82" i="29" s="1"/>
  <c r="J19" i="30"/>
  <c r="J18" i="30"/>
  <c r="M31" i="35"/>
  <c r="H61" i="44"/>
  <c r="G35" i="43" s="1"/>
  <c r="I35" i="43" l="1"/>
  <c r="H60" i="44"/>
  <c r="J61" i="44"/>
  <c r="M29" i="45"/>
  <c r="M34" i="45"/>
  <c r="M41" i="45"/>
  <c r="M36" i="37"/>
  <c r="H59" i="44" l="1"/>
  <c r="G34" i="43"/>
  <c r="I34" i="43" s="1"/>
  <c r="J59" i="44"/>
  <c r="J60" i="44"/>
  <c r="H27" i="44"/>
  <c r="H24" i="44" s="1"/>
  <c r="G14" i="43" s="1"/>
  <c r="I14" i="43" s="1"/>
  <c r="G16" i="43" l="1"/>
  <c r="I16" i="43" s="1"/>
  <c r="J27" i="44"/>
  <c r="M27" i="35"/>
  <c r="H41" i="45"/>
  <c r="H24" i="45"/>
  <c r="H23" i="45" s="1"/>
  <c r="H29" i="45"/>
  <c r="M11" i="45"/>
  <c r="M39" i="40"/>
  <c r="H39" i="40" s="1"/>
  <c r="I191" i="29" s="1"/>
  <c r="M23" i="39"/>
  <c r="H23" i="39" s="1"/>
  <c r="M23" i="38"/>
  <c r="H23" i="38" s="1"/>
  <c r="M35" i="35"/>
  <c r="H35" i="35" s="1"/>
  <c r="G122" i="29" s="1"/>
  <c r="I122" i="29" s="1"/>
  <c r="M55" i="30"/>
  <c r="H55" i="30" s="1"/>
  <c r="G103" i="29" s="1"/>
  <c r="I103" i="29" s="1"/>
  <c r="M49" i="34"/>
  <c r="H49" i="34" s="1"/>
  <c r="G65" i="29" s="1"/>
  <c r="I65" i="29" s="1"/>
  <c r="G58" i="43" l="1"/>
  <c r="I58" i="43" s="1"/>
  <c r="H28" i="45"/>
  <c r="G57" i="43" s="1"/>
  <c r="I57" i="43" s="1"/>
  <c r="G55" i="43"/>
  <c r="I55" i="43" s="1"/>
  <c r="J41" i="45"/>
  <c r="G66" i="43"/>
  <c r="I66" i="43" s="1"/>
  <c r="J23" i="38"/>
  <c r="G153" i="29"/>
  <c r="I153" i="29" s="1"/>
  <c r="H22" i="38"/>
  <c r="H22" i="39"/>
  <c r="G165" i="29"/>
  <c r="I165" i="29" s="1"/>
  <c r="J39" i="40"/>
  <c r="H38" i="40"/>
  <c r="J49" i="34"/>
  <c r="H48" i="34"/>
  <c r="J24" i="45"/>
  <c r="G65" i="43"/>
  <c r="I65" i="43" s="1"/>
  <c r="J29" i="45"/>
  <c r="J23" i="39"/>
  <c r="J35" i="35"/>
  <c r="H34" i="35"/>
  <c r="J55" i="30"/>
  <c r="H54" i="30"/>
  <c r="H11" i="45"/>
  <c r="M42" i="37"/>
  <c r="H42" i="37" s="1"/>
  <c r="M40" i="37"/>
  <c r="M34" i="37"/>
  <c r="H34" i="37" s="1"/>
  <c r="G138" i="29" s="1"/>
  <c r="J27" i="37"/>
  <c r="J23" i="37"/>
  <c r="M17" i="37"/>
  <c r="H10" i="37" s="1"/>
  <c r="H15" i="37"/>
  <c r="J15" i="37" s="1"/>
  <c r="H10" i="45" l="1"/>
  <c r="G45" i="43" s="1"/>
  <c r="I45" i="43" s="1"/>
  <c r="G46" i="43"/>
  <c r="I46" i="43" s="1"/>
  <c r="H17" i="37"/>
  <c r="J17" i="37" s="1"/>
  <c r="H22" i="45"/>
  <c r="H21" i="45" s="1"/>
  <c r="J21" i="45" s="1"/>
  <c r="G54" i="43"/>
  <c r="I54" i="43" s="1"/>
  <c r="G53" i="43"/>
  <c r="I53" i="43" s="1"/>
  <c r="J22" i="38"/>
  <c r="G152" i="29"/>
  <c r="I152" i="29" s="1"/>
  <c r="H9" i="37"/>
  <c r="J9" i="37" s="1"/>
  <c r="J34" i="35"/>
  <c r="G121" i="29"/>
  <c r="I121" i="29" s="1"/>
  <c r="J48" i="34"/>
  <c r="G64" i="29"/>
  <c r="I64" i="29" s="1"/>
  <c r="J54" i="30"/>
  <c r="G102" i="29"/>
  <c r="I102" i="29" s="1"/>
  <c r="J38" i="40"/>
  <c r="I190" i="29"/>
  <c r="J22" i="39"/>
  <c r="G164" i="29"/>
  <c r="I164" i="29" s="1"/>
  <c r="I138" i="29"/>
  <c r="J23" i="45"/>
  <c r="H33" i="37"/>
  <c r="J33" i="37" s="1"/>
  <c r="G128" i="29"/>
  <c r="I128" i="29" s="1"/>
  <c r="G133" i="29"/>
  <c r="H40" i="37"/>
  <c r="J40" i="37" s="1"/>
  <c r="H39" i="37"/>
  <c r="H39" i="45"/>
  <c r="J40" i="45"/>
  <c r="H27" i="45"/>
  <c r="J28" i="45"/>
  <c r="J11" i="37"/>
  <c r="G127" i="29"/>
  <c r="I127" i="29" s="1"/>
  <c r="G134" i="29"/>
  <c r="J42" i="37"/>
  <c r="G141" i="29"/>
  <c r="J30" i="37"/>
  <c r="G136" i="29"/>
  <c r="J11" i="45"/>
  <c r="J34" i="37"/>
  <c r="H22" i="37"/>
  <c r="G132" i="29" s="1"/>
  <c r="M11" i="36"/>
  <c r="M113" i="36"/>
  <c r="H41" i="36"/>
  <c r="J22" i="45" l="1"/>
  <c r="G129" i="29"/>
  <c r="H8" i="37"/>
  <c r="G125" i="29" s="1"/>
  <c r="J10" i="37"/>
  <c r="G126" i="29"/>
  <c r="G137" i="29"/>
  <c r="I137" i="29" s="1"/>
  <c r="J103" i="36"/>
  <c r="G140" i="29"/>
  <c r="I140" i="29" s="1"/>
  <c r="J41" i="36"/>
  <c r="G20" i="29"/>
  <c r="I20" i="29" s="1"/>
  <c r="H38" i="45"/>
  <c r="G64" i="43" s="1"/>
  <c r="I64" i="43" s="1"/>
  <c r="J39" i="45"/>
  <c r="H26" i="45"/>
  <c r="J27" i="45"/>
  <c r="J39" i="37"/>
  <c r="G139" i="29"/>
  <c r="J29" i="37"/>
  <c r="G135" i="29"/>
  <c r="J22" i="37"/>
  <c r="H21" i="37"/>
  <c r="H40" i="36"/>
  <c r="H7" i="37" l="1"/>
  <c r="J8" i="37"/>
  <c r="J26" i="45"/>
  <c r="G56" i="43"/>
  <c r="I56" i="43" s="1"/>
  <c r="G38" i="29"/>
  <c r="I38" i="29" s="1"/>
  <c r="H102" i="36"/>
  <c r="H101" i="36" s="1"/>
  <c r="J40" i="36"/>
  <c r="G19" i="29"/>
  <c r="I19" i="29" s="1"/>
  <c r="J38" i="45"/>
  <c r="H20" i="37"/>
  <c r="G131" i="29" s="1"/>
  <c r="J21" i="37"/>
  <c r="J7" i="37"/>
  <c r="J36" i="36" l="1"/>
  <c r="G18" i="29"/>
  <c r="H19" i="37"/>
  <c r="G130" i="29" s="1"/>
  <c r="J20" i="37"/>
  <c r="J30" i="36" l="1"/>
  <c r="G17" i="29"/>
  <c r="I17" i="29" s="1"/>
  <c r="J19" i="37"/>
  <c r="H6" i="37"/>
  <c r="M29" i="40"/>
  <c r="H29" i="40" s="1"/>
  <c r="H13" i="39"/>
  <c r="M13" i="38"/>
  <c r="H13" i="38" s="1"/>
  <c r="G147" i="29" s="1"/>
  <c r="I147" i="29" s="1"/>
  <c r="M24" i="35"/>
  <c r="H24" i="35" s="1"/>
  <c r="M45" i="30"/>
  <c r="H45" i="30" s="1"/>
  <c r="J45" i="30" s="1"/>
  <c r="M39" i="34"/>
  <c r="H39" i="34" s="1"/>
  <c r="J24" i="35" l="1"/>
  <c r="G116" i="29"/>
  <c r="I116" i="29" s="1"/>
  <c r="J29" i="40"/>
  <c r="I185" i="29"/>
  <c r="J13" i="39"/>
  <c r="G159" i="29"/>
  <c r="I159" i="29" s="1"/>
  <c r="G97" i="29"/>
  <c r="I97" i="29" s="1"/>
  <c r="J13" i="38"/>
  <c r="H5" i="37"/>
  <c r="G12" i="46" s="1"/>
  <c r="J6" i="37"/>
  <c r="J39" i="34"/>
  <c r="G59" i="29"/>
  <c r="I59" i="29" s="1"/>
  <c r="I133" i="29"/>
  <c r="I134" i="29"/>
  <c r="I126" i="29"/>
  <c r="I139" i="29"/>
  <c r="I135" i="29"/>
  <c r="H46" i="45"/>
  <c r="H34" i="45"/>
  <c r="H19" i="45"/>
  <c r="G69" i="43" l="1"/>
  <c r="I69" i="43" s="1"/>
  <c r="H45" i="45"/>
  <c r="G61" i="43"/>
  <c r="I61" i="43" s="1"/>
  <c r="H33" i="45"/>
  <c r="H18" i="45"/>
  <c r="H17" i="45" s="1"/>
  <c r="G52" i="43"/>
  <c r="I52" i="43" s="1"/>
  <c r="H54" i="44"/>
  <c r="G32" i="43" s="1"/>
  <c r="I32" i="43" s="1"/>
  <c r="H57" i="44"/>
  <c r="G33" i="43" s="1"/>
  <c r="J34" i="45"/>
  <c r="G60" i="43"/>
  <c r="I60" i="43" s="1"/>
  <c r="J46" i="45"/>
  <c r="J5" i="37"/>
  <c r="H4" i="37"/>
  <c r="J4" i="37" s="1"/>
  <c r="J35" i="44"/>
  <c r="J19" i="45"/>
  <c r="I21" i="43" l="1"/>
  <c r="H44" i="45"/>
  <c r="J44" i="45" s="1"/>
  <c r="G68" i="43"/>
  <c r="I68" i="43" s="1"/>
  <c r="H32" i="45"/>
  <c r="H31" i="45" s="1"/>
  <c r="G59" i="43" s="1"/>
  <c r="I59" i="43" s="1"/>
  <c r="H16" i="45"/>
  <c r="G51" i="43"/>
  <c r="I51" i="43" s="1"/>
  <c r="I33" i="43"/>
  <c r="J57" i="44"/>
  <c r="J54" i="44"/>
  <c r="H53" i="44"/>
  <c r="G31" i="43" s="1"/>
  <c r="H33" i="44"/>
  <c r="I20" i="43"/>
  <c r="I131" i="29"/>
  <c r="I130" i="29"/>
  <c r="J18" i="45"/>
  <c r="J45" i="45"/>
  <c r="H43" i="45"/>
  <c r="G67" i="43" s="1"/>
  <c r="I67" i="43" s="1"/>
  <c r="J34" i="44"/>
  <c r="J17" i="45"/>
  <c r="J33" i="45"/>
  <c r="J31" i="45"/>
  <c r="J32" i="45"/>
  <c r="J16" i="45"/>
  <c r="G50" i="43" l="1"/>
  <c r="I50" i="43" s="1"/>
  <c r="H15" i="45"/>
  <c r="J33" i="44"/>
  <c r="H32" i="44"/>
  <c r="J53" i="44"/>
  <c r="H52" i="44"/>
  <c r="I31" i="43"/>
  <c r="H23" i="44"/>
  <c r="J23" i="44" s="1"/>
  <c r="J24" i="44"/>
  <c r="J43" i="45"/>
  <c r="G19" i="43" l="1"/>
  <c r="J37" i="45"/>
  <c r="G63" i="43"/>
  <c r="G49" i="43"/>
  <c r="I49" i="43" s="1"/>
  <c r="H14" i="45"/>
  <c r="G29" i="46" s="1"/>
  <c r="I29" i="46" s="1"/>
  <c r="J15" i="45"/>
  <c r="H51" i="44"/>
  <c r="G30" i="43" s="1"/>
  <c r="J52" i="44"/>
  <c r="H36" i="45"/>
  <c r="J36" i="45" s="1"/>
  <c r="H31" i="44" l="1"/>
  <c r="G18" i="43" s="1"/>
  <c r="G17" i="43" s="1"/>
  <c r="G48" i="43"/>
  <c r="I48" i="43" s="1"/>
  <c r="J14" i="45"/>
  <c r="I63" i="43"/>
  <c r="G62" i="43"/>
  <c r="I62" i="43" s="1"/>
  <c r="J51" i="44"/>
  <c r="I30" i="43"/>
  <c r="I19" i="43"/>
  <c r="J32" i="44"/>
  <c r="H13" i="45"/>
  <c r="J13" i="45" s="1"/>
  <c r="G30" i="46"/>
  <c r="G47" i="43" l="1"/>
  <c r="I47" i="43" s="1"/>
  <c r="H30" i="44"/>
  <c r="J31" i="44"/>
  <c r="I30" i="46"/>
  <c r="G28" i="46"/>
  <c r="I28" i="46" s="1"/>
  <c r="G37" i="29"/>
  <c r="I37" i="29" s="1"/>
  <c r="M46" i="34"/>
  <c r="M55" i="34"/>
  <c r="H55" i="34" s="1"/>
  <c r="J55" i="34" s="1"/>
  <c r="M59" i="34"/>
  <c r="H59" i="34" s="1"/>
  <c r="J59" i="34" s="1"/>
  <c r="H67" i="34"/>
  <c r="J67" i="34" s="1"/>
  <c r="H64" i="34"/>
  <c r="J64" i="34" s="1"/>
  <c r="H62" i="34"/>
  <c r="M57" i="34"/>
  <c r="G26" i="46" l="1"/>
  <c r="I26" i="46" s="1"/>
  <c r="J30" i="44"/>
  <c r="I17" i="43"/>
  <c r="I18" i="43"/>
  <c r="H57" i="34"/>
  <c r="J57" i="34" s="1"/>
  <c r="J101" i="36"/>
  <c r="J102" i="36"/>
  <c r="H61" i="34"/>
  <c r="J61" i="34" s="1"/>
  <c r="H66" i="34"/>
  <c r="J66" i="34" s="1"/>
  <c r="H54" i="34"/>
  <c r="J54" i="34" s="1"/>
  <c r="J62" i="34"/>
  <c r="H53" i="34" l="1"/>
  <c r="H52" i="34" s="1"/>
  <c r="G67" i="29" s="1"/>
  <c r="H9" i="45" l="1"/>
  <c r="J10" i="45"/>
  <c r="J53" i="34"/>
  <c r="J52" i="34"/>
  <c r="H51" i="34"/>
  <c r="G66" i="29" s="1"/>
  <c r="J9" i="45" l="1"/>
  <c r="H8" i="45"/>
  <c r="H7" i="45" s="1"/>
  <c r="J51" i="34"/>
  <c r="J8" i="45" l="1"/>
  <c r="G44" i="43"/>
  <c r="I44" i="43" s="1"/>
  <c r="H31" i="41"/>
  <c r="H21" i="44"/>
  <c r="G13" i="43" s="1"/>
  <c r="I13" i="43" s="1"/>
  <c r="H17" i="44"/>
  <c r="H11" i="44"/>
  <c r="M19" i="42"/>
  <c r="H19" i="42" s="1"/>
  <c r="H11" i="42"/>
  <c r="G208" i="29" s="1"/>
  <c r="I208" i="29" s="1"/>
  <c r="M36" i="40"/>
  <c r="H36" i="40" s="1"/>
  <c r="I189" i="29" s="1"/>
  <c r="M32" i="40"/>
  <c r="H32" i="40" s="1"/>
  <c r="I187" i="29" s="1"/>
  <c r="M27" i="40"/>
  <c r="H27" i="40" s="1"/>
  <c r="M20" i="39"/>
  <c r="H20" i="39" s="1"/>
  <c r="H16" i="39"/>
  <c r="M20" i="38"/>
  <c r="H20" i="38" s="1"/>
  <c r="G151" i="29" s="1"/>
  <c r="I151" i="29" s="1"/>
  <c r="M16" i="38"/>
  <c r="H16" i="38" s="1"/>
  <c r="G149" i="29" s="1"/>
  <c r="I149" i="29" s="1"/>
  <c r="M11" i="38"/>
  <c r="H11" i="38" s="1"/>
  <c r="I129" i="29"/>
  <c r="M20" i="34"/>
  <c r="H20" i="34" s="1"/>
  <c r="H16" i="34"/>
  <c r="G46" i="29" s="1"/>
  <c r="H25" i="41"/>
  <c r="F24" i="41"/>
  <c r="F23" i="41" s="1"/>
  <c r="F17" i="41"/>
  <c r="H16" i="41"/>
  <c r="F15" i="41"/>
  <c r="H12" i="41"/>
  <c r="F11" i="41"/>
  <c r="F8" i="41" l="1"/>
  <c r="H10" i="44"/>
  <c r="H15" i="34"/>
  <c r="J19" i="42"/>
  <c r="G229" i="29"/>
  <c r="I229" i="29" s="1"/>
  <c r="H18" i="42"/>
  <c r="J18" i="42" s="1"/>
  <c r="H10" i="38"/>
  <c r="G145" i="29" s="1"/>
  <c r="I145" i="29" s="1"/>
  <c r="G146" i="29"/>
  <c r="I146" i="29" s="1"/>
  <c r="F7" i="41"/>
  <c r="H11" i="39"/>
  <c r="J17" i="44"/>
  <c r="G12" i="43"/>
  <c r="I12" i="43" s="1"/>
  <c r="J11" i="44"/>
  <c r="G11" i="43"/>
  <c r="I11" i="43" s="1"/>
  <c r="I184" i="29"/>
  <c r="H26" i="40"/>
  <c r="I183" i="29" s="1"/>
  <c r="J16" i="39"/>
  <c r="G161" i="29"/>
  <c r="I161" i="29" s="1"/>
  <c r="J20" i="39"/>
  <c r="G163" i="29"/>
  <c r="I163" i="29" s="1"/>
  <c r="H23" i="41"/>
  <c r="J20" i="34"/>
  <c r="G47" i="29"/>
  <c r="J27" i="40"/>
  <c r="I136" i="29"/>
  <c r="I141" i="29"/>
  <c r="J36" i="40"/>
  <c r="H35" i="40"/>
  <c r="J32" i="40"/>
  <c r="H31" i="40"/>
  <c r="H15" i="39"/>
  <c r="J16" i="38"/>
  <c r="H15" i="38"/>
  <c r="F26" i="41"/>
  <c r="H17" i="41"/>
  <c r="J21" i="44"/>
  <c r="J11" i="42"/>
  <c r="H10" i="42"/>
  <c r="H17" i="42"/>
  <c r="G228" i="29" s="1"/>
  <c r="I228" i="29" s="1"/>
  <c r="H19" i="39"/>
  <c r="J11" i="38"/>
  <c r="J20" i="38"/>
  <c r="H19" i="38"/>
  <c r="J16" i="34"/>
  <c r="G45" i="29"/>
  <c r="H24" i="41"/>
  <c r="H11" i="41"/>
  <c r="H15" i="41"/>
  <c r="J15" i="38" l="1"/>
  <c r="G148" i="29"/>
  <c r="I148" i="29" s="1"/>
  <c r="G158" i="29"/>
  <c r="I158" i="29" s="1"/>
  <c r="H10" i="39"/>
  <c r="G157" i="29" s="1"/>
  <c r="I157" i="29" s="1"/>
  <c r="J11" i="39"/>
  <c r="H9" i="44"/>
  <c r="H8" i="44" s="1"/>
  <c r="G9" i="43" s="1"/>
  <c r="I9" i="43" s="1"/>
  <c r="G10" i="43"/>
  <c r="I10" i="43" s="1"/>
  <c r="J19" i="38"/>
  <c r="G150" i="29"/>
  <c r="I150" i="29" s="1"/>
  <c r="H9" i="39"/>
  <c r="J10" i="44"/>
  <c r="H9" i="38"/>
  <c r="H25" i="40"/>
  <c r="J31" i="40"/>
  <c r="I186" i="29"/>
  <c r="J35" i="40"/>
  <c r="I188" i="29"/>
  <c r="J15" i="39"/>
  <c r="G160" i="29"/>
  <c r="I160" i="29" s="1"/>
  <c r="J19" i="39"/>
  <c r="G162" i="29"/>
  <c r="I162" i="29" s="1"/>
  <c r="I132" i="29"/>
  <c r="H8" i="41"/>
  <c r="H30" i="41"/>
  <c r="H26" i="41"/>
  <c r="H7" i="41"/>
  <c r="F6" i="41"/>
  <c r="H6" i="41" s="1"/>
  <c r="J10" i="42"/>
  <c r="H9" i="42"/>
  <c r="G207" i="29" s="1"/>
  <c r="I207" i="29" s="1"/>
  <c r="J17" i="42"/>
  <c r="H16" i="42"/>
  <c r="G227" i="29" s="1"/>
  <c r="I227" i="29" s="1"/>
  <c r="J26" i="40"/>
  <c r="J10" i="38"/>
  <c r="H14" i="34"/>
  <c r="H7" i="34" s="1"/>
  <c r="J15" i="34"/>
  <c r="J9" i="44" l="1"/>
  <c r="J10" i="39"/>
  <c r="H7" i="44"/>
  <c r="G8" i="43" s="1"/>
  <c r="I8" i="43" s="1"/>
  <c r="J8" i="44"/>
  <c r="F5" i="41"/>
  <c r="J9" i="42"/>
  <c r="H8" i="42"/>
  <c r="G206" i="29" s="1"/>
  <c r="I206" i="29" s="1"/>
  <c r="J16" i="42"/>
  <c r="H15" i="42"/>
  <c r="G226" i="29" s="1"/>
  <c r="J25" i="40"/>
  <c r="H24" i="40"/>
  <c r="H8" i="39"/>
  <c r="G156" i="29" s="1"/>
  <c r="I156" i="29" s="1"/>
  <c r="J9" i="39"/>
  <c r="J9" i="38"/>
  <c r="H8" i="38"/>
  <c r="G144" i="29" s="1"/>
  <c r="I144" i="29" s="1"/>
  <c r="J14" i="34"/>
  <c r="H5" i="41" l="1"/>
  <c r="I182" i="29"/>
  <c r="H23" i="40"/>
  <c r="I171" i="29" s="1"/>
  <c r="G40" i="29"/>
  <c r="J7" i="45"/>
  <c r="G43" i="43"/>
  <c r="G225" i="29"/>
  <c r="G209" i="29" s="1"/>
  <c r="I226" i="29"/>
  <c r="H6" i="44"/>
  <c r="G7" i="43" s="1"/>
  <c r="J7" i="44"/>
  <c r="H6" i="45"/>
  <c r="H5" i="45" s="1"/>
  <c r="I125" i="29"/>
  <c r="G124" i="29"/>
  <c r="J13" i="34"/>
  <c r="G44" i="29"/>
  <c r="H7" i="42"/>
  <c r="G205" i="29" s="1"/>
  <c r="G204" i="29" s="1"/>
  <c r="J8" i="42"/>
  <c r="H14" i="42"/>
  <c r="J15" i="42"/>
  <c r="J24" i="40"/>
  <c r="J8" i="39"/>
  <c r="H7" i="39"/>
  <c r="H6" i="39" s="1"/>
  <c r="H5" i="39" s="1"/>
  <c r="H7" i="38"/>
  <c r="G143" i="29" s="1"/>
  <c r="J8" i="38"/>
  <c r="G14" i="46" l="1"/>
  <c r="J5" i="39"/>
  <c r="I43" i="43"/>
  <c r="G42" i="43"/>
  <c r="I42" i="43" s="1"/>
  <c r="I209" i="29"/>
  <c r="I225" i="29"/>
  <c r="G25" i="46"/>
  <c r="I25" i="46" s="1"/>
  <c r="H5" i="44"/>
  <c r="H4" i="44" s="1"/>
  <c r="J6" i="44"/>
  <c r="I7" i="43"/>
  <c r="G155" i="29"/>
  <c r="G154" i="29" s="1"/>
  <c r="G142" i="29"/>
  <c r="I142" i="29" s="1"/>
  <c r="I143" i="29"/>
  <c r="H4" i="45"/>
  <c r="G27" i="46"/>
  <c r="I27" i="46" s="1"/>
  <c r="J6" i="45"/>
  <c r="I204" i="29"/>
  <c r="I205" i="29"/>
  <c r="J7" i="38"/>
  <c r="H6" i="38"/>
  <c r="J23" i="40"/>
  <c r="I124" i="29"/>
  <c r="G123" i="29"/>
  <c r="I123" i="29" s="1"/>
  <c r="H6" i="42"/>
  <c r="J7" i="42"/>
  <c r="J5" i="45"/>
  <c r="H13" i="42"/>
  <c r="J14" i="42"/>
  <c r="J7" i="39"/>
  <c r="G6" i="43" l="1"/>
  <c r="I18" i="46"/>
  <c r="J5" i="44"/>
  <c r="I155" i="29"/>
  <c r="I154" i="29"/>
  <c r="G24" i="46"/>
  <c r="G23" i="46" s="1"/>
  <c r="I181" i="29"/>
  <c r="H5" i="42"/>
  <c r="J6" i="42"/>
  <c r="J4" i="45"/>
  <c r="J4" i="44"/>
  <c r="J13" i="42"/>
  <c r="J6" i="40"/>
  <c r="H5" i="40"/>
  <c r="G15" i="46" s="1"/>
  <c r="H4" i="39"/>
  <c r="J4" i="39" s="1"/>
  <c r="J6" i="39"/>
  <c r="J6" i="38"/>
  <c r="H5" i="38"/>
  <c r="J5" i="42" l="1"/>
  <c r="G17" i="46"/>
  <c r="I17" i="46" s="1"/>
  <c r="G170" i="29"/>
  <c r="I170" i="29" s="1"/>
  <c r="H4" i="40"/>
  <c r="I6" i="43"/>
  <c r="G5" i="43"/>
  <c r="I5" i="43" s="1"/>
  <c r="H4" i="42"/>
  <c r="J4" i="42" s="1"/>
  <c r="I23" i="46"/>
  <c r="I24" i="46"/>
  <c r="J5" i="40"/>
  <c r="J4" i="40"/>
  <c r="I15" i="46"/>
  <c r="I14" i="46"/>
  <c r="I13" i="46"/>
  <c r="H4" i="38"/>
  <c r="J4" i="38" s="1"/>
  <c r="J5" i="38"/>
  <c r="I12" i="46" l="1"/>
  <c r="G24" i="29" l="1"/>
  <c r="I24" i="29" s="1"/>
  <c r="J69" i="36"/>
  <c r="G70" i="29"/>
  <c r="G71" i="29"/>
  <c r="M94" i="36" l="1"/>
  <c r="H94" i="36" s="1"/>
  <c r="M99" i="36"/>
  <c r="H99" i="36" s="1"/>
  <c r="H96" i="36" s="1"/>
  <c r="J96" i="36" s="1"/>
  <c r="G30" i="29"/>
  <c r="I30" i="29" s="1"/>
  <c r="M91" i="36"/>
  <c r="H76" i="36"/>
  <c r="H75" i="36" s="1"/>
  <c r="M19" i="36"/>
  <c r="H19" i="36" s="1"/>
  <c r="H10" i="36" s="1"/>
  <c r="H9" i="36" s="1"/>
  <c r="H8" i="36" s="1"/>
  <c r="H7" i="36" s="1"/>
  <c r="G11" i="29"/>
  <c r="I11" i="29" s="1"/>
  <c r="I47" i="29"/>
  <c r="H46" i="34"/>
  <c r="G63" i="29" s="1"/>
  <c r="I63" i="29" s="1"/>
  <c r="H42" i="34"/>
  <c r="G61" i="29" s="1"/>
  <c r="I61" i="29" s="1"/>
  <c r="M37" i="34"/>
  <c r="H37" i="34" s="1"/>
  <c r="H36" i="34" s="1"/>
  <c r="M26" i="34"/>
  <c r="H26" i="34" s="1"/>
  <c r="G51" i="29" s="1"/>
  <c r="I51" i="29" s="1"/>
  <c r="H31" i="35"/>
  <c r="G120" i="29" s="1"/>
  <c r="I120" i="29" s="1"/>
  <c r="H27" i="35"/>
  <c r="H22" i="35"/>
  <c r="H21" i="35" s="1"/>
  <c r="M52" i="30"/>
  <c r="M43" i="30"/>
  <c r="H43" i="30" s="1"/>
  <c r="M41" i="30"/>
  <c r="H41" i="30" s="1"/>
  <c r="G22" i="29" l="1"/>
  <c r="I22" i="29" s="1"/>
  <c r="H46" i="36"/>
  <c r="J9" i="36"/>
  <c r="G10" i="29"/>
  <c r="G9" i="29" s="1"/>
  <c r="G8" i="29" s="1"/>
  <c r="I81" i="29"/>
  <c r="H40" i="30"/>
  <c r="G94" i="29" s="1"/>
  <c r="G118" i="29"/>
  <c r="I118" i="29" s="1"/>
  <c r="G12" i="29"/>
  <c r="I12" i="29" s="1"/>
  <c r="H80" i="36"/>
  <c r="G28" i="29" s="1"/>
  <c r="I28" i="29" s="1"/>
  <c r="G96" i="29"/>
  <c r="I96" i="29" s="1"/>
  <c r="G31" i="29"/>
  <c r="I31" i="29" s="1"/>
  <c r="J91" i="36"/>
  <c r="G57" i="29"/>
  <c r="G58" i="29"/>
  <c r="I58" i="29" s="1"/>
  <c r="G69" i="29"/>
  <c r="I69" i="29" s="1"/>
  <c r="G74" i="29"/>
  <c r="I74" i="29" s="1"/>
  <c r="G76" i="29"/>
  <c r="I76" i="29" s="1"/>
  <c r="J41" i="30"/>
  <c r="G95" i="29"/>
  <c r="I95" i="29" s="1"/>
  <c r="G114" i="29"/>
  <c r="G115" i="29"/>
  <c r="I115" i="29" s="1"/>
  <c r="I71" i="29"/>
  <c r="I70" i="29"/>
  <c r="G26" i="29"/>
  <c r="I26" i="29" s="1"/>
  <c r="G25" i="29"/>
  <c r="I25" i="29" s="1"/>
  <c r="G33" i="29"/>
  <c r="I33" i="29" s="1"/>
  <c r="H93" i="36"/>
  <c r="G32" i="29" s="1"/>
  <c r="I32" i="29" s="1"/>
  <c r="H87" i="36"/>
  <c r="G29" i="29" s="1"/>
  <c r="G36" i="29"/>
  <c r="I36" i="29" s="1"/>
  <c r="J99" i="36"/>
  <c r="I46" i="29"/>
  <c r="J19" i="36"/>
  <c r="J43" i="30"/>
  <c r="J47" i="36"/>
  <c r="J11" i="36"/>
  <c r="J26" i="34"/>
  <c r="H25" i="34"/>
  <c r="J42" i="34"/>
  <c r="H41" i="34"/>
  <c r="G60" i="29" s="1"/>
  <c r="I60" i="29" s="1"/>
  <c r="J46" i="34"/>
  <c r="H45" i="34"/>
  <c r="J37" i="34"/>
  <c r="J27" i="35"/>
  <c r="J22" i="35"/>
  <c r="H30" i="35"/>
  <c r="J31" i="35"/>
  <c r="H20" i="35" l="1"/>
  <c r="G23" i="29"/>
  <c r="I23" i="29" s="1"/>
  <c r="G21" i="29"/>
  <c r="I21" i="29" s="1"/>
  <c r="G80" i="29"/>
  <c r="H79" i="36"/>
  <c r="G27" i="29" s="1"/>
  <c r="I27" i="29" s="1"/>
  <c r="H35" i="34"/>
  <c r="H24" i="36"/>
  <c r="G16" i="29"/>
  <c r="I16" i="29" s="1"/>
  <c r="I18" i="29"/>
  <c r="J36" i="34"/>
  <c r="J62" i="36"/>
  <c r="J45" i="34"/>
  <c r="G62" i="29"/>
  <c r="I62" i="29" s="1"/>
  <c r="J25" i="34"/>
  <c r="G50" i="29"/>
  <c r="I57" i="29"/>
  <c r="G73" i="29"/>
  <c r="I73" i="29" s="1"/>
  <c r="G72" i="29"/>
  <c r="I72" i="29" s="1"/>
  <c r="I94" i="29"/>
  <c r="J30" i="35"/>
  <c r="G119" i="29"/>
  <c r="I119" i="29" s="1"/>
  <c r="J26" i="35"/>
  <c r="G117" i="29"/>
  <c r="I117" i="29" s="1"/>
  <c r="I114" i="29"/>
  <c r="J93" i="36"/>
  <c r="I29" i="29"/>
  <c r="G75" i="29"/>
  <c r="I75" i="29" s="1"/>
  <c r="G68" i="29"/>
  <c r="I45" i="29"/>
  <c r="G35" i="29"/>
  <c r="I35" i="29" s="1"/>
  <c r="J41" i="34"/>
  <c r="J40" i="30"/>
  <c r="J94" i="36"/>
  <c r="J10" i="36"/>
  <c r="H24" i="34"/>
  <c r="H23" i="34" s="1"/>
  <c r="H22" i="34" s="1"/>
  <c r="J21" i="35"/>
  <c r="I10" i="29" l="1"/>
  <c r="J23" i="34"/>
  <c r="G49" i="29"/>
  <c r="I49" i="29" s="1"/>
  <c r="J10" i="30"/>
  <c r="H9" i="30"/>
  <c r="H8" i="30" s="1"/>
  <c r="H7" i="30" s="1"/>
  <c r="H23" i="36"/>
  <c r="J23" i="36" s="1"/>
  <c r="G15" i="29"/>
  <c r="J24" i="36"/>
  <c r="H45" i="36"/>
  <c r="J46" i="36"/>
  <c r="I80" i="29"/>
  <c r="I50" i="29"/>
  <c r="J24" i="34"/>
  <c r="I68" i="29"/>
  <c r="G34" i="29"/>
  <c r="I34" i="29" s="1"/>
  <c r="J76" i="36"/>
  <c r="J8" i="36"/>
  <c r="J35" i="34"/>
  <c r="H34" i="34"/>
  <c r="G56" i="29" s="1"/>
  <c r="I56" i="29" s="1"/>
  <c r="J20" i="35"/>
  <c r="H19" i="35"/>
  <c r="G113" i="29" s="1"/>
  <c r="I15" i="29" l="1"/>
  <c r="G14" i="29"/>
  <c r="G13" i="29" s="1"/>
  <c r="G7" i="29" s="1"/>
  <c r="G79" i="29"/>
  <c r="I79" i="29" s="1"/>
  <c r="J9" i="30"/>
  <c r="J8" i="30"/>
  <c r="H22" i="36"/>
  <c r="J7" i="36"/>
  <c r="I113" i="29"/>
  <c r="J79" i="36"/>
  <c r="J80" i="36"/>
  <c r="J87" i="36"/>
  <c r="J88" i="36"/>
  <c r="J75" i="36"/>
  <c r="H33" i="34"/>
  <c r="J34" i="34"/>
  <c r="J19" i="35"/>
  <c r="H18" i="35"/>
  <c r="G112" i="29" l="1"/>
  <c r="G55" i="29"/>
  <c r="J18" i="35"/>
  <c r="J33" i="34"/>
  <c r="J45" i="36"/>
  <c r="I112" i="29" l="1"/>
  <c r="J10" i="35"/>
  <c r="I55" i="29"/>
  <c r="G6" i="29"/>
  <c r="J22" i="36"/>
  <c r="H21" i="36"/>
  <c r="H6" i="36" s="1"/>
  <c r="J9" i="35" l="1"/>
  <c r="H8" i="35"/>
  <c r="G106" i="29" s="1"/>
  <c r="I106" i="29" s="1"/>
  <c r="J21" i="36"/>
  <c r="H5" i="36"/>
  <c r="H48" i="30"/>
  <c r="G99" i="29" s="1"/>
  <c r="I99" i="29" s="1"/>
  <c r="H52" i="30"/>
  <c r="H4" i="36" l="1"/>
  <c r="J4" i="36" s="1"/>
  <c r="G8" i="46"/>
  <c r="I8" i="46" s="1"/>
  <c r="J8" i="35"/>
  <c r="H7" i="35"/>
  <c r="G105" i="29" s="1"/>
  <c r="J5" i="36"/>
  <c r="H51" i="30"/>
  <c r="G100" i="29" s="1"/>
  <c r="I100" i="29" s="1"/>
  <c r="G101" i="29"/>
  <c r="I101" i="29" s="1"/>
  <c r="J48" i="30"/>
  <c r="H47" i="30"/>
  <c r="H39" i="30" s="1"/>
  <c r="J52" i="30"/>
  <c r="J51" i="30"/>
  <c r="I105" i="29" l="1"/>
  <c r="G104" i="29"/>
  <c r="I104" i="29" s="1"/>
  <c r="J7" i="35"/>
  <c r="H6" i="35"/>
  <c r="H38" i="30"/>
  <c r="G98" i="29"/>
  <c r="G93" i="29" s="1"/>
  <c r="J6" i="36"/>
  <c r="J47" i="30"/>
  <c r="H5" i="35" l="1"/>
  <c r="G11" i="46" s="1"/>
  <c r="J6" i="35"/>
  <c r="H37" i="30"/>
  <c r="J37" i="30" s="1"/>
  <c r="J39" i="30"/>
  <c r="I98" i="29"/>
  <c r="J38" i="30"/>
  <c r="H4" i="35" l="1"/>
  <c r="J4" i="35" s="1"/>
  <c r="J5" i="35"/>
  <c r="I11" i="46"/>
  <c r="I93" i="29"/>
  <c r="G92" i="29"/>
  <c r="I92" i="29" l="1"/>
  <c r="I67" i="29"/>
  <c r="I66" i="29"/>
  <c r="I14" i="29" l="1"/>
  <c r="I13" i="29" l="1"/>
  <c r="I9" i="29" l="1"/>
  <c r="I44" i="29"/>
  <c r="I8" i="29" l="1"/>
  <c r="I7" i="29" l="1"/>
  <c r="I40" i="29" l="1"/>
  <c r="I48" i="29" l="1"/>
  <c r="H5" i="34"/>
  <c r="H4" i="34" l="1"/>
  <c r="J4" i="34" s="1"/>
  <c r="G9" i="46"/>
  <c r="J5" i="34"/>
  <c r="I39" i="29"/>
  <c r="J22" i="34"/>
  <c r="I9" i="46" l="1"/>
  <c r="J7" i="34"/>
  <c r="J6" i="34"/>
  <c r="J7" i="30"/>
  <c r="G78" i="29"/>
  <c r="I78" i="29" s="1"/>
  <c r="H6" i="30"/>
  <c r="J6" i="30" l="1"/>
  <c r="G77" i="29"/>
  <c r="H5" i="30"/>
  <c r="G10" i="46" s="1"/>
  <c r="I77" i="29" l="1"/>
  <c r="J5" i="30"/>
  <c r="H4" i="30"/>
  <c r="J4" i="30" s="1"/>
  <c r="I10" i="46" l="1"/>
  <c r="G5" i="29"/>
  <c r="I5" i="29" s="1"/>
  <c r="I6" i="29"/>
  <c r="I7" i="46" l="1"/>
  <c r="G6" i="46"/>
  <c r="G5" i="46" l="1"/>
  <c r="I6" i="46"/>
</calcChain>
</file>

<file path=xl/sharedStrings.xml><?xml version="1.0" encoding="utf-8"?>
<sst xmlns="http://schemas.openxmlformats.org/spreadsheetml/2006/main" count="1471" uniqueCount="766">
  <si>
    <t>=</t>
  </si>
  <si>
    <t>산     출     기     초</t>
  </si>
  <si>
    <t>사업예산</t>
    <phoneticPr fontId="12" type="noConversion"/>
  </si>
  <si>
    <t>예비비</t>
    <phoneticPr fontId="12" type="noConversion"/>
  </si>
  <si>
    <t xml:space="preserve"> </t>
    <phoneticPr fontId="12" type="noConversion"/>
  </si>
  <si>
    <t>과                                    목</t>
    <phoneticPr fontId="12" type="noConversion"/>
  </si>
  <si>
    <t>목</t>
    <phoneticPr fontId="12" type="noConversion"/>
  </si>
  <si>
    <t>02 공공운영비</t>
    <phoneticPr fontId="12" type="noConversion"/>
  </si>
  <si>
    <t>15 복리후생비</t>
    <phoneticPr fontId="12" type="noConversion"/>
  </si>
  <si>
    <t xml:space="preserve"> ○ 수영강사 공무직 전환으로 본부 일괄 편성</t>
  </si>
  <si>
    <t>'- 새벽출근(05:30)에 따른 야간근무</t>
  </si>
  <si>
    <t>○ 연 1회 법정점검 실시 / 1대</t>
  </si>
  <si>
    <t>구분</t>
    <phoneticPr fontId="12" type="noConversion"/>
  </si>
  <si>
    <t>정책사업</t>
    <phoneticPr fontId="12" type="noConversion"/>
  </si>
  <si>
    <t>단위사업</t>
    <phoneticPr fontId="12" type="noConversion"/>
  </si>
  <si>
    <t>세부사업</t>
    <phoneticPr fontId="12" type="noConversion"/>
  </si>
  <si>
    <t xml:space="preserve"> ○ 직원 병가 및 휴직 등 공백발생 시 채용(인건비 23년 기준)</t>
    <phoneticPr fontId="12" type="noConversion"/>
  </si>
  <si>
    <t>○ 한글 250천원, ms오피스 420천원</t>
    <phoneticPr fontId="12" type="noConversion"/>
  </si>
  <si>
    <t>○ 알약 임대비용</t>
    <phoneticPr fontId="12" type="noConversion"/>
  </si>
  <si>
    <t>세목</t>
    <phoneticPr fontId="12" type="noConversion"/>
  </si>
  <si>
    <t>행사운영비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</si>
  <si>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</si>
  <si>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</si>
  <si>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</si>
  <si>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</si>
  <si>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</si>
  <si>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</si>
  <si>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</si>
  <si>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</si>
  <si>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</si>
  <si>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</si>
  <si>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200 물건비</t>
    <phoneticPr fontId="12" type="noConversion"/>
  </si>
  <si>
    <t>단위 : 천원</t>
    <phoneticPr fontId="12" type="noConversion"/>
  </si>
  <si>
    <t>200 물건비</t>
    <phoneticPr fontId="12" type="noConversion"/>
  </si>
  <si>
    <t>기본경비</t>
    <phoneticPr fontId="48" type="noConversion"/>
  </si>
  <si>
    <t>201 일반운영비</t>
    <phoneticPr fontId="12" type="noConversion"/>
  </si>
  <si>
    <t>01 사무관리비</t>
    <phoneticPr fontId="12" type="noConversion"/>
  </si>
  <si>
    <t>=</t>
    <phoneticPr fontId="12" type="noConversion"/>
  </si>
  <si>
    <t>02 공공운영비</t>
    <phoneticPr fontId="12" type="noConversion"/>
  </si>
  <si>
    <t>=</t>
    <phoneticPr fontId="12" type="noConversion"/>
  </si>
  <si>
    <t>202 여비</t>
    <phoneticPr fontId="12" type="noConversion"/>
  </si>
  <si>
    <t>01 국내여비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</si>
  <si>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</si>
  <si>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</si>
  <si>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[우편료]</t>
    <phoneticPr fontId="12" type="noConversion"/>
  </si>
  <si>
    <t>[차량선박비]</t>
    <phoneticPr fontId="12" type="noConversion"/>
  </si>
  <si>
    <t>202 여비</t>
    <phoneticPr fontId="12" type="noConversion"/>
  </si>
  <si>
    <t>[일반수용비]</t>
    <phoneticPr fontId="12" type="noConversion"/>
  </si>
  <si>
    <t>[우편료]</t>
    <phoneticPr fontId="12" type="noConversion"/>
  </si>
  <si>
    <t>[국내여비]</t>
    <phoneticPr fontId="12" type="noConversion"/>
  </si>
  <si>
    <t>[국내여비]</t>
    <phoneticPr fontId="12" type="noConversion"/>
  </si>
  <si>
    <t>[국외업무여비]</t>
    <phoneticPr fontId="12" type="noConversion"/>
  </si>
  <si>
    <t>[일반수용비]</t>
    <phoneticPr fontId="12" type="noConversion"/>
  </si>
  <si>
    <t>202 여비</t>
    <phoneticPr fontId="12" type="noConversion"/>
  </si>
  <si>
    <t>홈페이지 유지관리</t>
    <phoneticPr fontId="48" type="noConversion"/>
  </si>
  <si>
    <t>214 수선유지교체비</t>
    <phoneticPr fontId="12" type="noConversion"/>
  </si>
  <si>
    <t>05 수선유지비</t>
    <phoneticPr fontId="12" type="noConversion"/>
  </si>
  <si>
    <t>[수선유지비]</t>
    <phoneticPr fontId="12" type="noConversion"/>
  </si>
  <si>
    <t>300 경상이전</t>
    <phoneticPr fontId="12" type="noConversion"/>
  </si>
  <si>
    <t>301 일반보상금</t>
    <phoneticPr fontId="12" type="noConversion"/>
  </si>
  <si>
    <t>201 일반운영비</t>
    <phoneticPr fontId="12" type="noConversion"/>
  </si>
  <si>
    <t>201 일반운영비</t>
    <phoneticPr fontId="12" type="noConversion"/>
  </si>
  <si>
    <t>[운영수당]</t>
    <phoneticPr fontId="12" type="noConversion"/>
  </si>
  <si>
    <t>03 행사운영비</t>
    <phoneticPr fontId="12" type="noConversion"/>
  </si>
  <si>
    <t>[회의비]</t>
    <phoneticPr fontId="12" type="noConversion"/>
  </si>
  <si>
    <t>14 회의비</t>
    <phoneticPr fontId="12" type="noConversion"/>
  </si>
  <si>
    <t>사무국운영</t>
    <phoneticPr fontId="12" type="noConversion"/>
  </si>
  <si>
    <t>100 인건비</t>
    <phoneticPr fontId="12" type="noConversion"/>
  </si>
  <si>
    <t>101 인건비</t>
    <phoneticPr fontId="12" type="noConversion"/>
  </si>
  <si>
    <t>01 보수</t>
    <phoneticPr fontId="12" type="noConversion"/>
  </si>
  <si>
    <t>[직원파견수당]</t>
    <phoneticPr fontId="12" type="noConversion"/>
  </si>
  <si>
    <t>[주거지원비]</t>
    <phoneticPr fontId="12" type="noConversion"/>
  </si>
  <si>
    <t>200 물건비</t>
    <phoneticPr fontId="12" type="noConversion"/>
  </si>
  <si>
    <t>[일반수용비]</t>
    <phoneticPr fontId="12" type="noConversion"/>
  </si>
  <si>
    <t>[임차료]</t>
    <phoneticPr fontId="12" type="noConversion"/>
  </si>
  <si>
    <t>02 공공운영비</t>
    <phoneticPr fontId="12" type="noConversion"/>
  </si>
  <si>
    <t>[공공요금 및 제세]</t>
    <phoneticPr fontId="12" type="noConversion"/>
  </si>
  <si>
    <t>[국내여비]</t>
    <phoneticPr fontId="12" type="noConversion"/>
  </si>
  <si>
    <t>[국외업무여비]</t>
    <phoneticPr fontId="12" type="noConversion"/>
  </si>
  <si>
    <t>03 국외업무여비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</si>
  <si>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</si>
  <si>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</si>
  <si>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</si>
  <si>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>[시책추진업무추진비]</t>
    <phoneticPr fontId="12" type="noConversion"/>
  </si>
  <si>
    <t>204 직무수행경비</t>
    <phoneticPr fontId="12" type="noConversion"/>
  </si>
  <si>
    <t>01 직급보조비</t>
    <phoneticPr fontId="12" type="noConversion"/>
  </si>
  <si>
    <t>[직책급업무수행경비]</t>
    <phoneticPr fontId="12" type="noConversion"/>
  </si>
  <si>
    <t>[특정업무경비]</t>
    <phoneticPr fontId="12" type="noConversion"/>
  </si>
  <si>
    <t>214 수선유지교체비</t>
    <phoneticPr fontId="12" type="noConversion"/>
  </si>
  <si>
    <t>217 관서업무비</t>
    <phoneticPr fontId="12" type="noConversion"/>
  </si>
  <si>
    <t>01 정원가산업무비</t>
    <phoneticPr fontId="12" type="noConversion"/>
  </si>
  <si>
    <t>[수선유지비]</t>
    <phoneticPr fontId="12" type="noConversion"/>
  </si>
  <si>
    <t>[정원가산업무비]</t>
    <phoneticPr fontId="12" type="noConversion"/>
  </si>
  <si>
    <t>02 부서업무비</t>
    <phoneticPr fontId="12" type="noConversion"/>
  </si>
  <si>
    <t>[부서업무비]</t>
    <phoneticPr fontId="12" type="noConversion"/>
  </si>
  <si>
    <t>예산공통 행정운영</t>
    <phoneticPr fontId="12" type="noConversion"/>
  </si>
  <si>
    <t>기관공통 운영경비</t>
    <phoneticPr fontId="48" type="noConversion"/>
  </si>
  <si>
    <t>예비비</t>
    <phoneticPr fontId="12" type="noConversion"/>
  </si>
  <si>
    <t>[공공운영비]</t>
    <phoneticPr fontId="12" type="noConversion"/>
  </si>
  <si>
    <t xml:space="preserve"> ○ 기관공통운영 공공운영비 : 5,000,000원*1식</t>
    <phoneticPr fontId="12" type="noConversion"/>
  </si>
  <si>
    <t xml:space="preserve"> ○ 기관공통운영 사무관리비 : 5,000,000원*1식</t>
    <phoneticPr fontId="12" type="noConversion"/>
  </si>
  <si>
    <t>[사무관리비]</t>
    <phoneticPr fontId="12" type="noConversion"/>
  </si>
  <si>
    <t xml:space="preserve"> ○ 기관공통운영 시책추진업무추진비 : 5,000,000원*1식</t>
    <phoneticPr fontId="12" type="noConversion"/>
  </si>
  <si>
    <t xml:space="preserve"> ○ 기관공통운영 급식비 : 5,000,000원*1식</t>
    <phoneticPr fontId="12" type="noConversion"/>
  </si>
  <si>
    <t>2026여수세계섬박람회 기획</t>
    <phoneticPr fontId="12" type="noConversion"/>
  </si>
  <si>
    <t>일반운영비</t>
    <phoneticPr fontId="12" type="noConversion"/>
  </si>
  <si>
    <t>사무관리비</t>
    <phoneticPr fontId="12" type="noConversion"/>
  </si>
  <si>
    <t>국내여비</t>
    <phoneticPr fontId="12" type="noConversion"/>
  </si>
  <si>
    <t>행사운영비</t>
    <phoneticPr fontId="12" type="noConversion"/>
  </si>
  <si>
    <t>회의비</t>
    <phoneticPr fontId="12" type="noConversion"/>
  </si>
  <si>
    <t>기본경비</t>
    <phoneticPr fontId="12" type="noConversion"/>
  </si>
  <si>
    <t>인건비</t>
    <phoneticPr fontId="12" type="noConversion"/>
  </si>
  <si>
    <t>보수</t>
    <phoneticPr fontId="12" type="noConversion"/>
  </si>
  <si>
    <t>일반운영비</t>
    <phoneticPr fontId="12" type="noConversion"/>
  </si>
  <si>
    <t>사무관리비</t>
    <phoneticPr fontId="12" type="noConversion"/>
  </si>
  <si>
    <t>공공운영비</t>
    <phoneticPr fontId="12" type="noConversion"/>
  </si>
  <si>
    <t>여비</t>
    <phoneticPr fontId="12" type="noConversion"/>
  </si>
  <si>
    <t>국외업무여비</t>
    <phoneticPr fontId="12" type="noConversion"/>
  </si>
  <si>
    <t>업무추진비</t>
    <phoneticPr fontId="12" type="noConversion"/>
  </si>
  <si>
    <t>사업업무추진비</t>
    <phoneticPr fontId="12" type="noConversion"/>
  </si>
  <si>
    <t>직무수행경비</t>
    <phoneticPr fontId="12" type="noConversion"/>
  </si>
  <si>
    <t>직급보조비</t>
    <phoneticPr fontId="12" type="noConversion"/>
  </si>
  <si>
    <t>수선유지교체비</t>
    <phoneticPr fontId="12" type="noConversion"/>
  </si>
  <si>
    <t>수선유지비</t>
    <phoneticPr fontId="12" type="noConversion"/>
  </si>
  <si>
    <t>관서업무비</t>
    <phoneticPr fontId="12" type="noConversion"/>
  </si>
  <si>
    <t>정원가산업무비</t>
    <phoneticPr fontId="12" type="noConversion"/>
  </si>
  <si>
    <t>부서업무비</t>
    <phoneticPr fontId="12" type="noConversion"/>
  </si>
  <si>
    <t>예비비</t>
    <phoneticPr fontId="12" type="noConversion"/>
  </si>
  <si>
    <t>일반예비비</t>
    <phoneticPr fontId="12" type="noConversion"/>
  </si>
  <si>
    <t>2026여수세계섬박람회 홍보</t>
    <phoneticPr fontId="12" type="noConversion"/>
  </si>
  <si>
    <t>일반보상금</t>
    <phoneticPr fontId="12" type="noConversion"/>
  </si>
  <si>
    <t>수선유지교체비</t>
    <phoneticPr fontId="12" type="noConversion"/>
  </si>
  <si>
    <t>기본경비</t>
    <phoneticPr fontId="12" type="noConversion"/>
  </si>
  <si>
    <t>일반운영비</t>
    <phoneticPr fontId="12" type="noConversion"/>
  </si>
  <si>
    <t>공공운영비</t>
    <phoneticPr fontId="12" type="noConversion"/>
  </si>
  <si>
    <t>사업예산</t>
    <phoneticPr fontId="12" type="noConversion"/>
  </si>
  <si>
    <t>02 특정업무경비</t>
    <phoneticPr fontId="12" type="noConversion"/>
  </si>
  <si>
    <t>[급량비]</t>
    <phoneticPr fontId="12" type="noConversion"/>
  </si>
  <si>
    <t>복리후생비</t>
    <phoneticPr fontId="12" type="noConversion"/>
  </si>
  <si>
    <t>총계</t>
    <phoneticPr fontId="12" type="noConversion"/>
  </si>
  <si>
    <t>특정업무경비</t>
    <phoneticPr fontId="12" type="noConversion"/>
  </si>
  <si>
    <t>복리후생비</t>
    <phoneticPr fontId="12" type="noConversion"/>
  </si>
  <si>
    <t>15 복리후생비</t>
    <phoneticPr fontId="12" type="noConversion"/>
  </si>
  <si>
    <t xml:space="preserve"> ○ 기관공통운영 국내여비 : 5,000,000원*1식</t>
    <phoneticPr fontId="12" type="noConversion"/>
  </si>
  <si>
    <t>총계(사업예산 + 자본예산)</t>
    <phoneticPr fontId="12" type="noConversion"/>
  </si>
  <si>
    <t>지출예산 총괄표</t>
    <phoneticPr fontId="12" type="noConversion"/>
  </si>
  <si>
    <t>지출예산(세부사업) - 유치협력부</t>
    <phoneticPr fontId="12" type="noConversion"/>
  </si>
  <si>
    <t>(단위 : 천 원)</t>
    <phoneticPr fontId="12" type="noConversion"/>
  </si>
  <si>
    <t>수입예산 총괄표(출연금+위탁사업비)</t>
    <phoneticPr fontId="12" type="noConversion"/>
  </si>
  <si>
    <t>(단위 : 천 원)</t>
    <phoneticPr fontId="12" type="noConversion"/>
  </si>
  <si>
    <t>비교증감</t>
    <phoneticPr fontId="12" type="noConversion"/>
  </si>
  <si>
    <t>관</t>
    <phoneticPr fontId="12" type="noConversion"/>
  </si>
  <si>
    <t>항</t>
    <phoneticPr fontId="12" type="noConversion"/>
  </si>
  <si>
    <t>세항</t>
    <phoneticPr fontId="12" type="noConversion"/>
  </si>
  <si>
    <t>총계(사업예산+자본예산)</t>
    <phoneticPr fontId="12" type="noConversion"/>
  </si>
  <si>
    <t>자체수입금</t>
    <phoneticPr fontId="12" type="noConversion"/>
  </si>
  <si>
    <t>600 사업수익</t>
    <phoneticPr fontId="12" type="noConversion"/>
  </si>
  <si>
    <t>610 영업수익</t>
    <phoneticPr fontId="12" type="noConversion"/>
  </si>
  <si>
    <t>623 대행사업수익</t>
    <phoneticPr fontId="12" type="noConversion"/>
  </si>
  <si>
    <t>01 직접관리비수익</t>
    <phoneticPr fontId="12" type="noConversion"/>
  </si>
  <si>
    <t>01 기부금수익</t>
    <phoneticPr fontId="12" type="noConversion"/>
  </si>
  <si>
    <t>648 출연금 수익</t>
    <phoneticPr fontId="12" type="noConversion"/>
  </si>
  <si>
    <t>02 자치단체출연금수익</t>
    <phoneticPr fontId="12" type="noConversion"/>
  </si>
  <si>
    <t>670 영업외수익</t>
    <phoneticPr fontId="12" type="noConversion"/>
  </si>
  <si>
    <t>671 이자수익</t>
    <phoneticPr fontId="12" type="noConversion"/>
  </si>
  <si>
    <t>01 예금이자수익</t>
    <phoneticPr fontId="12" type="noConversion"/>
  </si>
  <si>
    <t>100 자본적수입</t>
    <phoneticPr fontId="12" type="noConversion"/>
  </si>
  <si>
    <t>170 자본잉여금수입</t>
    <phoneticPr fontId="12" type="noConversion"/>
  </si>
  <si>
    <t>177 출연금 수입</t>
    <phoneticPr fontId="12" type="noConversion"/>
  </si>
  <si>
    <t>01 정부출연금</t>
    <phoneticPr fontId="12" type="noConversion"/>
  </si>
  <si>
    <t>지출예산(세부사업) - 수익사업부</t>
    <phoneticPr fontId="12" type="noConversion"/>
  </si>
  <si>
    <t>지출예산(세부사업) - 기획홍보부</t>
    <phoneticPr fontId="12" type="noConversion"/>
  </si>
  <si>
    <t>지출예산(세부사업) - 행정관리부</t>
    <phoneticPr fontId="12" type="noConversion"/>
  </si>
  <si>
    <t>지출예산(세부사업) - 행사부</t>
    <phoneticPr fontId="12" type="noConversion"/>
  </si>
  <si>
    <t>지출예산(세부사업) - 시설조성부</t>
    <phoneticPr fontId="12" type="noConversion"/>
  </si>
  <si>
    <t>지출예산(세부사업) - 예비비</t>
    <phoneticPr fontId="12" type="noConversion"/>
  </si>
  <si>
    <t>단위 : 천원</t>
    <phoneticPr fontId="12" type="noConversion"/>
  </si>
  <si>
    <t>구
분</t>
    <phoneticPr fontId="48" type="noConversion"/>
  </si>
  <si>
    <t>편성목</t>
    <phoneticPr fontId="48" type="noConversion"/>
  </si>
  <si>
    <t>정책</t>
    <phoneticPr fontId="48" type="noConversion"/>
  </si>
  <si>
    <t>세부</t>
    <phoneticPr fontId="48" type="noConversion"/>
  </si>
  <si>
    <t>그룹</t>
    <phoneticPr fontId="48" type="noConversion"/>
  </si>
  <si>
    <t>세목</t>
    <phoneticPr fontId="48" type="noConversion"/>
  </si>
  <si>
    <t>총계(사업예산 + 자본예산)</t>
    <phoneticPr fontId="12" type="noConversion"/>
  </si>
  <si>
    <t>예비비</t>
    <phoneticPr fontId="12" type="noConversion"/>
  </si>
  <si>
    <t>예비비</t>
    <phoneticPr fontId="12" type="noConversion"/>
  </si>
  <si>
    <t>예비비</t>
    <phoneticPr fontId="48" type="noConversion"/>
  </si>
  <si>
    <t>800 예비비</t>
    <phoneticPr fontId="12" type="noConversion"/>
  </si>
  <si>
    <t>801 예비비</t>
    <phoneticPr fontId="12" type="noConversion"/>
  </si>
  <si>
    <t>01 일반예비비</t>
    <phoneticPr fontId="12" type="noConversion"/>
  </si>
  <si>
    <t>[일반예비비]</t>
    <phoneticPr fontId="12" type="noConversion"/>
  </si>
  <si>
    <t>자본예산</t>
    <phoneticPr fontId="12" type="noConversion"/>
  </si>
  <si>
    <t>자본예산</t>
    <phoneticPr fontId="12" type="noConversion"/>
  </si>
  <si>
    <t>예비비(자본)</t>
    <phoneticPr fontId="12" type="noConversion"/>
  </si>
  <si>
    <t>예비비(자본)</t>
    <phoneticPr fontId="12" type="noConversion"/>
  </si>
  <si>
    <t>예비비(자본)</t>
    <phoneticPr fontId="48" type="noConversion"/>
  </si>
  <si>
    <t>800 예비비</t>
    <phoneticPr fontId="12" type="noConversion"/>
  </si>
  <si>
    <t>01 일반예비비</t>
    <phoneticPr fontId="12" type="noConversion"/>
  </si>
  <si>
    <t>[일반예비비]</t>
    <phoneticPr fontId="12" type="noConversion"/>
  </si>
  <si>
    <t>=</t>
    <phoneticPr fontId="12" type="noConversion"/>
  </si>
  <si>
    <t>2026여수세계섬박람회 홍보</t>
    <phoneticPr fontId="12" type="noConversion"/>
  </si>
  <si>
    <t>박람회 홍보</t>
    <phoneticPr fontId="12" type="noConversion"/>
  </si>
  <si>
    <t>일반운영비</t>
    <phoneticPr fontId="12" type="noConversion"/>
  </si>
  <si>
    <t>사무관리비</t>
    <phoneticPr fontId="12" type="noConversion"/>
  </si>
  <si>
    <t>광고선전비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</si>
  <si>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</si>
  <si>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</si>
  <si>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</si>
  <si>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</si>
  <si>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</si>
  <si>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</si>
  <si>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</si>
  <si>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</si>
  <si>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</si>
  <si>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</si>
  <si>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</si>
  <si>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</si>
  <si>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2026여수세계섬박람회 홍보</t>
    <phoneticPr fontId="12" type="noConversion"/>
  </si>
  <si>
    <t>박람회 홍보</t>
    <phoneticPr fontId="48" type="noConversion"/>
  </si>
  <si>
    <t>200 물건비</t>
    <phoneticPr fontId="12" type="noConversion"/>
  </si>
  <si>
    <t>201 일반운영비</t>
    <phoneticPr fontId="12" type="noConversion"/>
  </si>
  <si>
    <t>01 사무관리비</t>
    <phoneticPr fontId="12" type="noConversion"/>
  </si>
  <si>
    <t>[사무관리비]</t>
    <phoneticPr fontId="12" type="noConversion"/>
  </si>
  <si>
    <t>=</t>
    <phoneticPr fontId="12" type="noConversion"/>
  </si>
  <si>
    <t>03 행사운영비</t>
    <phoneticPr fontId="12" type="noConversion"/>
  </si>
  <si>
    <t>[행사운영비]</t>
    <phoneticPr fontId="12" type="noConversion"/>
  </si>
  <si>
    <t>[광고료]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</si>
  <si>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</si>
  <si>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</si>
  <si>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</si>
  <si>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</si>
  <si>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</si>
  <si>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</si>
  <si>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</si>
  <si>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</si>
  <si>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</si>
  <si>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</si>
  <si>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</si>
  <si>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</si>
  <si>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200 물건비</t>
    <phoneticPr fontId="12" type="noConversion"/>
  </si>
  <si>
    <t>201 일반운영비</t>
    <phoneticPr fontId="12" type="noConversion"/>
  </si>
  <si>
    <t>=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</si>
  <si>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</si>
  <si>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</si>
  <si>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전시연출부 부서운영</t>
    <phoneticPr fontId="12" type="noConversion"/>
  </si>
  <si>
    <t>지출예산(위탁) - 본예산</t>
    <phoneticPr fontId="12" type="noConversion"/>
  </si>
  <si>
    <t>지출예산 - 기획본부(위탁)</t>
    <phoneticPr fontId="12" type="noConversion"/>
  </si>
  <si>
    <t>지출예산 - 운영본부(위탁)</t>
    <phoneticPr fontId="12" type="noConversion"/>
  </si>
  <si>
    <t>지출예산 총괄표(출연금+위탁사업비)</t>
    <phoneticPr fontId="12" type="noConversion"/>
  </si>
  <si>
    <t>비교증감</t>
    <phoneticPr fontId="12" type="noConversion"/>
  </si>
  <si>
    <t>구분</t>
    <phoneticPr fontId="12" type="noConversion"/>
  </si>
  <si>
    <t>총계(출연금+위탁사업비)</t>
    <phoneticPr fontId="12" type="noConversion"/>
  </si>
  <si>
    <t>2026여수세계섬박람회 유치협력</t>
    <phoneticPr fontId="12" type="noConversion"/>
  </si>
  <si>
    <t>2026여수세계섬박람회 수익사업</t>
    <phoneticPr fontId="12" type="noConversion"/>
  </si>
  <si>
    <t>수익사업부 부서운영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</si>
  <si>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</si>
  <si>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</si>
  <si>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2026여수세계섬박람회 수익사업</t>
    <phoneticPr fontId="12" type="noConversion"/>
  </si>
  <si>
    <t>2026여수세계섬박람회 유치협력</t>
    <phoneticPr fontId="12" type="noConversion"/>
  </si>
  <si>
    <t>2026여수세계섬박람회 운영</t>
    <phoneticPr fontId="12" type="noConversion"/>
  </si>
  <si>
    <t>2026여수세계섬박람회 행사</t>
    <phoneticPr fontId="12" type="noConversion"/>
  </si>
  <si>
    <t>2026여수세계섬박람회 시설조성</t>
    <phoneticPr fontId="12" type="noConversion"/>
  </si>
  <si>
    <t>2026여수세계섬박람회 전시연출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</si>
  <si>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</si>
  <si>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</si>
  <si>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</si>
  <si>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</si>
  <si>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</si>
  <si>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유치</t>
    <phoneticPr fontId="12" type="noConversion"/>
  </si>
  <si>
    <t>2026여수세계섬박람회 행사(위탁)</t>
    <phoneticPr fontId="12" type="noConversion"/>
  </si>
  <si>
    <t>2026여수세계섬박람회 행사</t>
    <phoneticPr fontId="12" type="noConversion"/>
  </si>
  <si>
    <t>2026여수세계섬박람회 시설조성(위탁)</t>
    <phoneticPr fontId="12" type="noConversion"/>
  </si>
  <si>
    <t>2026여수세계섬박람회 시설조성(위탁)</t>
    <phoneticPr fontId="12" type="noConversion"/>
  </si>
  <si>
    <t>2026여수세계섬박람회 시설조성</t>
    <phoneticPr fontId="12" type="noConversion"/>
  </si>
  <si>
    <t>2026여수세계섬박람회 전시연출(위탁)</t>
    <phoneticPr fontId="12" type="noConversion"/>
  </si>
  <si>
    <t>2026여수세계섬박람회 전시연출</t>
    <phoneticPr fontId="12" type="noConversion"/>
  </si>
  <si>
    <t>자본예산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</si>
  <si>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</si>
  <si>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</si>
  <si>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전시연출(위탁)</t>
    <phoneticPr fontId="12" type="noConversion"/>
  </si>
  <si>
    <t>2026여수세계섬박람회 연출</t>
    <phoneticPr fontId="12" type="noConversion"/>
  </si>
  <si>
    <t>2026여수세계섬박람회 기획</t>
    <phoneticPr fontId="12" type="noConversion"/>
  </si>
  <si>
    <t>사무국운영</t>
    <phoneticPr fontId="12" type="noConversion"/>
  </si>
  <si>
    <t>기본경비</t>
    <phoneticPr fontId="12" type="noConversion"/>
  </si>
  <si>
    <t>예산공통 행정운영</t>
    <phoneticPr fontId="12" type="noConversion"/>
  </si>
  <si>
    <t>기관공통 운영경비</t>
    <phoneticPr fontId="12" type="noConversion"/>
  </si>
  <si>
    <t>2026여수세계섬박람회 홍보</t>
    <phoneticPr fontId="12" type="noConversion"/>
  </si>
  <si>
    <t>홈페이지 유지관리</t>
    <phoneticPr fontId="12" type="noConversion"/>
  </si>
  <si>
    <t>2026여수세계섬박람회 전시연출</t>
    <phoneticPr fontId="12" type="noConversion"/>
  </si>
  <si>
    <t>2026여수세계섬박람회 시설조성</t>
    <phoneticPr fontId="12" type="noConversion"/>
  </si>
  <si>
    <t>2026여수세계섬박람회 행사</t>
    <phoneticPr fontId="12" type="noConversion"/>
  </si>
  <si>
    <t>2026여수세계섬박람회 행정관리</t>
    <phoneticPr fontId="12" type="noConversion"/>
  </si>
  <si>
    <t>2026여수세계섬박람회 수익사업</t>
    <phoneticPr fontId="12" type="noConversion"/>
  </si>
  <si>
    <t>2026여수세계섬박람회 박람회장 수익사업</t>
    <phoneticPr fontId="12" type="noConversion"/>
  </si>
  <si>
    <t>2026여수세계섬박람회 운영</t>
    <phoneticPr fontId="12" type="noConversion"/>
  </si>
  <si>
    <t>유치협력부 부서운영</t>
    <phoneticPr fontId="12" type="noConversion"/>
  </si>
  <si>
    <t>기획홍보부 부서운영</t>
    <phoneticPr fontId="12" type="noConversion"/>
  </si>
  <si>
    <t>기획홍보부 부서운영</t>
    <phoneticPr fontId="12" type="noConversion"/>
  </si>
  <si>
    <t>수익사업부 부서운영</t>
    <phoneticPr fontId="12" type="noConversion"/>
  </si>
  <si>
    <t>유치협력부 부서운영</t>
    <phoneticPr fontId="12" type="noConversion"/>
  </si>
  <si>
    <t>2026여수세계섬박람회 행사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</si>
  <si>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</si>
  <si>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</si>
  <si>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2026여수세계섬박람회 전시연출</t>
    <phoneticPr fontId="12" type="noConversion"/>
  </si>
  <si>
    <t>예비비(자본)</t>
    <phoneticPr fontId="12" type="noConversion"/>
  </si>
  <si>
    <t>일반예비비(자본)</t>
    <phoneticPr fontId="12" type="noConversion"/>
  </si>
  <si>
    <t>위탁사업비(사업예산+자본예산)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</si>
  <si>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</si>
  <si>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</si>
  <si>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</si>
  <si>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</si>
  <si>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</si>
  <si>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</si>
  <si>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>자문위원회 운영</t>
    <phoneticPr fontId="48" type="noConversion"/>
  </si>
  <si>
    <t>02 기타직 보수</t>
    <phoneticPr fontId="12" type="noConversion"/>
  </si>
  <si>
    <t>[총감독 급여]</t>
    <phoneticPr fontId="12" type="noConversion"/>
  </si>
  <si>
    <t>04 기간제근로자등보수</t>
    <phoneticPr fontId="12" type="noConversion"/>
  </si>
  <si>
    <t>[본부장실 관리요원]</t>
    <phoneticPr fontId="12" type="noConversion"/>
  </si>
  <si>
    <t>=</t>
    <phoneticPr fontId="12" type="noConversion"/>
  </si>
  <si>
    <t>107 퇴직급여</t>
    <phoneticPr fontId="12" type="noConversion"/>
  </si>
  <si>
    <t>퇴직급여충당금</t>
    <phoneticPr fontId="12" type="noConversion"/>
  </si>
  <si>
    <t>[퇴직급여충당금]</t>
    <phoneticPr fontId="12" type="noConversion"/>
  </si>
  <si>
    <t xml:space="preserve"> ○ 4급보조기관장(기획본부장) : 6,600,000원*1식 </t>
    <phoneticPr fontId="12" type="noConversion"/>
  </si>
  <si>
    <t>=</t>
    <phoneticPr fontId="12" type="noConversion"/>
  </si>
  <si>
    <t>=</t>
    <phoneticPr fontId="12" type="noConversion"/>
  </si>
  <si>
    <t xml:space="preserve"> ○ 본부장(4급) : 350,000원*2명*12월</t>
    <phoneticPr fontId="12" type="noConversion"/>
  </si>
  <si>
    <t xml:space="preserve"> ○ 예산결산계약 실무담당직원 : 80,000원*7명*12월</t>
    <phoneticPr fontId="12" type="noConversion"/>
  </si>
  <si>
    <t>300 경상이전</t>
    <phoneticPr fontId="12" type="noConversion"/>
  </si>
  <si>
    <t>304 연금부담금 등</t>
    <phoneticPr fontId="12" type="noConversion"/>
  </si>
  <si>
    <t>01 연금부담금</t>
    <phoneticPr fontId="12" type="noConversion"/>
  </si>
  <si>
    <t>[사무총장 사회보험 사용자 부담금]</t>
    <phoneticPr fontId="12" type="noConversion"/>
  </si>
  <si>
    <t>[총감독 사회보험 사용자 부담금]</t>
    <phoneticPr fontId="12" type="noConversion"/>
  </si>
  <si>
    <t>[본부장실 관리요원 사회보험 사용자 부담금]</t>
    <phoneticPr fontId="12" type="noConversion"/>
  </si>
  <si>
    <t>2026여수세계섬박람회 행정 업무추진</t>
    <phoneticPr fontId="12" type="noConversion"/>
  </si>
  <si>
    <t>이사회 및 각종 위원회 운영</t>
    <phoneticPr fontId="48" type="noConversion"/>
  </si>
  <si>
    <t>2026여수세계섬박람회 행정 업무추진</t>
    <phoneticPr fontId="12" type="noConversion"/>
  </si>
  <si>
    <t>이사회 및 각종 위원회 운영</t>
    <phoneticPr fontId="12" type="noConversion"/>
  </si>
  <si>
    <t>기타직보수</t>
    <phoneticPr fontId="12" type="noConversion"/>
  </si>
  <si>
    <t>기간제근로자등보수</t>
    <phoneticPr fontId="12" type="noConversion"/>
  </si>
  <si>
    <t>퇴직급여</t>
    <phoneticPr fontId="12" type="noConversion"/>
  </si>
  <si>
    <t>퇴직급여충당금</t>
    <phoneticPr fontId="12" type="noConversion"/>
  </si>
  <si>
    <t>연금부담금 등</t>
    <phoneticPr fontId="12" type="noConversion"/>
  </si>
  <si>
    <t>연금부담금</t>
    <phoneticPr fontId="12" type="noConversion"/>
  </si>
  <si>
    <t>박람회장 운영</t>
    <phoneticPr fontId="12" type="noConversion"/>
  </si>
  <si>
    <t>대행사 선정</t>
    <phoneticPr fontId="12" type="noConversion"/>
  </si>
  <si>
    <t>일반운영비</t>
    <phoneticPr fontId="12" type="noConversion"/>
  </si>
  <si>
    <t>행사운영비</t>
    <phoneticPr fontId="12" type="noConversion"/>
  </si>
  <si>
    <t>지출예산(세부사업) - 운영부</t>
    <phoneticPr fontId="12" type="noConversion"/>
  </si>
  <si>
    <t>단위 : 천원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</si>
  <si>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</si>
  <si>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</si>
  <si>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</si>
  <si>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</si>
  <si>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</si>
  <si>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</si>
  <si>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</si>
  <si>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</si>
  <si>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</si>
  <si>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</si>
  <si>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박람회장 운영</t>
    <phoneticPr fontId="12" type="noConversion"/>
  </si>
  <si>
    <t>대행사 선정</t>
    <phoneticPr fontId="48" type="noConversion"/>
  </si>
  <si>
    <t>200 물건비</t>
    <phoneticPr fontId="12" type="noConversion"/>
  </si>
  <si>
    <t>01 사무관리비</t>
    <phoneticPr fontId="12" type="noConversion"/>
  </si>
  <si>
    <t>03 행사운영비</t>
    <phoneticPr fontId="12" type="noConversion"/>
  </si>
  <si>
    <t>14 회의비</t>
    <phoneticPr fontId="12" type="noConversion"/>
  </si>
  <si>
    <t>[회의비]</t>
    <phoneticPr fontId="12" type="noConversion"/>
  </si>
  <si>
    <t>운영부 사무국운영</t>
    <phoneticPr fontId="12" type="noConversion"/>
  </si>
  <si>
    <t>기본경비</t>
    <phoneticPr fontId="48" type="noConversion"/>
  </si>
  <si>
    <t>201 일반운영비</t>
    <phoneticPr fontId="12" type="noConversion"/>
  </si>
  <si>
    <t>15 복리후생비</t>
    <phoneticPr fontId="12" type="noConversion"/>
  </si>
  <si>
    <t>[급량비]</t>
    <phoneticPr fontId="12" type="noConversion"/>
  </si>
  <si>
    <t>01 국내여비</t>
    <phoneticPr fontId="12" type="noConversion"/>
  </si>
  <si>
    <t>[국내여비]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</si>
  <si>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</si>
  <si>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</si>
  <si>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</si>
  <si>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 xml:space="preserve"> ○ 4급보조기관장(운영본부장) : 6,600,000원*1식 </t>
    <phoneticPr fontId="12" type="noConversion"/>
  </si>
  <si>
    <t>217 관서업무비</t>
    <phoneticPr fontId="12" type="noConversion"/>
  </si>
  <si>
    <t>[정원가산업무비]</t>
    <phoneticPr fontId="12" type="noConversion"/>
  </si>
  <si>
    <t>02 부서업무비</t>
    <phoneticPr fontId="12" type="noConversion"/>
  </si>
  <si>
    <t>운영부 사무국운영</t>
    <phoneticPr fontId="12" type="noConversion"/>
  </si>
  <si>
    <t>정원가산업무비</t>
    <phoneticPr fontId="12" type="noConversion"/>
  </si>
  <si>
    <t>부서업무비</t>
    <phoneticPr fontId="12" type="noConversion"/>
  </si>
  <si>
    <t>2026여수세계섬박람회 전시연출(위탁)</t>
    <phoneticPr fontId="12" type="noConversion"/>
  </si>
  <si>
    <t>문화행사 추진</t>
    <phoneticPr fontId="48" type="noConversion"/>
  </si>
  <si>
    <t>[행사운영비]</t>
    <phoneticPr fontId="12" type="noConversion"/>
  </si>
  <si>
    <t xml:space="preserve"> ○ 누리집 유지관리 용역 : 50,000,000원*1식</t>
    <phoneticPr fontId="12" type="noConversion"/>
  </si>
  <si>
    <t xml:space="preserve"> ○ 기본업무수행 급량비 : 9,000원*7명*8일*12월</t>
    <phoneticPr fontId="12" type="noConversion"/>
  </si>
  <si>
    <t>[부서업무비]</t>
    <phoneticPr fontId="12" type="noConversion"/>
  </si>
  <si>
    <t xml:space="preserve"> ○ 기획홍보부 부서운영 총액계상 : 175,000원*12월</t>
    <phoneticPr fontId="12" type="noConversion"/>
  </si>
  <si>
    <t xml:space="preserve"> ○ 유치협력부 부서운영 총액계상 : 175,000원*12월</t>
    <phoneticPr fontId="12" type="noConversion"/>
  </si>
  <si>
    <t xml:space="preserve"> ○ 행사부 부서운영 총액계상 : 175,000원*12월</t>
    <phoneticPr fontId="12" type="noConversion"/>
  </si>
  <si>
    <t xml:space="preserve"> ○ 시설조성부 부서운영 총액계상 : 175,000원*12월</t>
    <phoneticPr fontId="12" type="noConversion"/>
  </si>
  <si>
    <t xml:space="preserve"> ○ 전시연출부 부서운영 총액계상 : 175,000원*12월</t>
    <phoneticPr fontId="12" type="noConversion"/>
  </si>
  <si>
    <t xml:space="preserve"> ○ 운영부 부서운영 총액계상 : 175,000원*12월</t>
    <phoneticPr fontId="12" type="noConversion"/>
  </si>
  <si>
    <t xml:space="preserve"> ○ 기본업무수행 급량비 : 9,000원*9명*8일*12월</t>
    <phoneticPr fontId="12" type="noConversion"/>
  </si>
  <si>
    <t>섬박람회장 안전시설물 설치사업</t>
    <phoneticPr fontId="48" type="noConversion"/>
  </si>
  <si>
    <t>섬박람회 랜드마크 조성사업</t>
    <phoneticPr fontId="48" type="noConversion"/>
  </si>
  <si>
    <t>섬박람회장 입구게이트 조성</t>
    <phoneticPr fontId="48" type="noConversion"/>
  </si>
  <si>
    <t>섬박람회장 열린문화공간 조성</t>
    <phoneticPr fontId="48" type="noConversion"/>
  </si>
  <si>
    <t xml:space="preserve"> ○ 수익사업부 부서운영 총액계상 : 175,000원*12월</t>
    <phoneticPr fontId="12" type="noConversion"/>
  </si>
  <si>
    <t xml:space="preserve"> ○ 예비비(자본) : 0원</t>
    <phoneticPr fontId="12" type="noConversion"/>
  </si>
  <si>
    <t>자문위원회 운영</t>
    <phoneticPr fontId="12" type="noConversion"/>
  </si>
  <si>
    <t>=</t>
    <phoneticPr fontId="12" type="noConversion"/>
  </si>
  <si>
    <t>=</t>
    <phoneticPr fontId="12" type="noConversion"/>
  </si>
  <si>
    <t xml:space="preserve"> ○ 홍보대사, 서포터즈 운영 : 20,000,000원*1식</t>
    <phoneticPr fontId="12" type="noConversion"/>
  </si>
  <si>
    <t>300 경상이전</t>
    <phoneticPr fontId="12" type="noConversion"/>
  </si>
  <si>
    <t>[기타보상금]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</si>
  <si>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</si>
  <si>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</si>
  <si>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행사(위탁)</t>
    <phoneticPr fontId="12" type="noConversion"/>
  </si>
  <si>
    <t>2026여수세계섬박람회 시설조성(위탁)</t>
    <phoneticPr fontId="12" type="noConversion"/>
  </si>
  <si>
    <t>[행사운영비]</t>
    <phoneticPr fontId="12" type="noConversion"/>
  </si>
  <si>
    <t>01 시설비</t>
    <phoneticPr fontId="12" type="noConversion"/>
  </si>
  <si>
    <t>400 자본지출</t>
    <phoneticPr fontId="12" type="noConversion"/>
  </si>
  <si>
    <t>401 시설비및부대비</t>
    <phoneticPr fontId="12" type="noConversion"/>
  </si>
  <si>
    <t>[시설비]</t>
    <phoneticPr fontId="12" type="noConversion"/>
  </si>
  <si>
    <t>[시설비]</t>
    <phoneticPr fontId="12" type="noConversion"/>
  </si>
  <si>
    <t>관서업무비</t>
    <phoneticPr fontId="12" type="noConversion"/>
  </si>
  <si>
    <t>부서운영비</t>
    <phoneticPr fontId="12" type="noConversion"/>
  </si>
  <si>
    <t>01 국내여비</t>
    <phoneticPr fontId="12" type="noConversion"/>
  </si>
  <si>
    <t>기타보상금</t>
    <phoneticPr fontId="12" type="noConversion"/>
  </si>
  <si>
    <t>문화행사 추진</t>
    <phoneticPr fontId="12" type="noConversion"/>
  </si>
  <si>
    <t>섬박람회 랜드마크 조성사업</t>
    <phoneticPr fontId="12" type="noConversion"/>
  </si>
  <si>
    <t>시설비및부대비</t>
    <phoneticPr fontId="12" type="noConversion"/>
  </si>
  <si>
    <t>시설비</t>
    <phoneticPr fontId="12" type="noConversion"/>
  </si>
  <si>
    <t>2026여수세계섬박람회 시설조성</t>
    <phoneticPr fontId="12" type="noConversion"/>
  </si>
  <si>
    <t>섬박람회장 열린문화공간 조성</t>
    <phoneticPr fontId="48" type="noConversion"/>
  </si>
  <si>
    <t>섬박람회 상징 아트 포토존 조성</t>
  </si>
  <si>
    <t>03 국외업무여비</t>
    <phoneticPr fontId="12" type="noConversion"/>
  </si>
  <si>
    <t>301 일반보상금</t>
    <phoneticPr fontId="12" type="noConversion"/>
  </si>
  <si>
    <t>13 외빈초청여비</t>
    <phoneticPr fontId="12" type="noConversion"/>
  </si>
  <si>
    <t>[외빈초청여비]</t>
    <phoneticPr fontId="12" type="noConversion"/>
  </si>
  <si>
    <t>14 기타보상금</t>
    <phoneticPr fontId="12" type="noConversion"/>
  </si>
  <si>
    <t>일반보상금</t>
    <phoneticPr fontId="12" type="noConversion"/>
  </si>
  <si>
    <t>외빈초청여비</t>
    <phoneticPr fontId="12" type="noConversion"/>
  </si>
  <si>
    <t>2026여수세계섬박람회 유치</t>
    <phoneticPr fontId="12" type="noConversion"/>
  </si>
  <si>
    <t>[임차료]</t>
    <phoneticPr fontId="12" type="noConversion"/>
  </si>
  <si>
    <t>201 일반운영비</t>
    <phoneticPr fontId="12" type="noConversion"/>
  </si>
  <si>
    <t>649 후원금 수익</t>
    <phoneticPr fontId="12" type="noConversion"/>
  </si>
  <si>
    <t>01 지정후원금수익</t>
    <phoneticPr fontId="12" type="noConversion"/>
  </si>
  <si>
    <t>박람회 휘장업무 추진</t>
    <phoneticPr fontId="48" type="noConversion"/>
  </si>
  <si>
    <t>01 사무관리비</t>
    <phoneticPr fontId="12" type="noConversion"/>
  </si>
  <si>
    <t>=</t>
    <phoneticPr fontId="12" type="noConversion"/>
  </si>
  <si>
    <t>박람회 입장권 사업</t>
    <phoneticPr fontId="48" type="noConversion"/>
  </si>
  <si>
    <t>14 기타보상금</t>
    <phoneticPr fontId="12" type="noConversion"/>
  </si>
  <si>
    <t>[기타보상금]</t>
    <phoneticPr fontId="12" type="noConversion"/>
  </si>
  <si>
    <t>박람회 휘장업무 추진</t>
    <phoneticPr fontId="12" type="noConversion"/>
  </si>
  <si>
    <t>일반운영비</t>
    <phoneticPr fontId="12" type="noConversion"/>
  </si>
  <si>
    <t>사무관리비</t>
    <phoneticPr fontId="12" type="noConversion"/>
  </si>
  <si>
    <t>사무관리비</t>
    <phoneticPr fontId="12" type="noConversion"/>
  </si>
  <si>
    <t>박람회 입장권 사업</t>
    <phoneticPr fontId="12" type="noConversion"/>
  </si>
  <si>
    <t>일반보상금</t>
    <phoneticPr fontId="12" type="noConversion"/>
  </si>
  <si>
    <t>기타보상금</t>
    <phoneticPr fontId="12" type="noConversion"/>
  </si>
  <si>
    <t>정책</t>
    <phoneticPr fontId="48" type="noConversion"/>
  </si>
  <si>
    <t>=</t>
    <phoneticPr fontId="12" type="noConversion"/>
  </si>
  <si>
    <t>=</t>
    <phoneticPr fontId="12" type="noConversion"/>
  </si>
  <si>
    <t>[사무총장]</t>
    <phoneticPr fontId="12" type="noConversion"/>
  </si>
  <si>
    <t>[복리후생비]</t>
    <phoneticPr fontId="12" type="noConversion"/>
  </si>
  <si>
    <t xml:space="preserve"> ○ 3급기관장(사무총장) : 10,000,000원*1식</t>
    <phoneticPr fontId="12" type="noConversion"/>
  </si>
  <si>
    <t>섬박람회 상징 아트 포토존 조성</t>
    <phoneticPr fontId="48" type="noConversion"/>
  </si>
  <si>
    <t>관람객 유치</t>
    <phoneticPr fontId="48" type="noConversion"/>
  </si>
  <si>
    <t>16 광고선전비</t>
    <phoneticPr fontId="12" type="noConversion"/>
  </si>
  <si>
    <r>
      <t>세계 섬</t>
    </r>
    <r>
      <rPr>
        <b/>
        <sz val="10"/>
        <color theme="1"/>
        <rFont val="맑은 고딕 Semilight"/>
        <family val="3"/>
        <charset val="129"/>
      </rPr>
      <t>‧</t>
    </r>
    <r>
      <rPr>
        <b/>
        <sz val="10"/>
        <color theme="1"/>
        <rFont val="굴림"/>
        <family val="3"/>
        <charset val="129"/>
      </rPr>
      <t>한국의 섬 테마존 조성</t>
    </r>
    <phoneticPr fontId="48" type="noConversion"/>
  </si>
  <si>
    <t xml:space="preserve"> ○ 인터넷 사용료 : 330,000원*12월</t>
    <phoneticPr fontId="12" type="noConversion"/>
  </si>
  <si>
    <t>647 기부금수익</t>
    <phoneticPr fontId="12" type="noConversion"/>
  </si>
  <si>
    <t>지출예산(세부사업) - 전시연출부</t>
    <phoneticPr fontId="12" type="noConversion"/>
  </si>
  <si>
    <t>관람객 유치</t>
    <phoneticPr fontId="12" type="noConversion"/>
  </si>
  <si>
    <t>비교증감
(A-B)</t>
    <phoneticPr fontId="12" type="noConversion"/>
  </si>
  <si>
    <t>박람회 기획</t>
    <phoneticPr fontId="48" type="noConversion"/>
  </si>
  <si>
    <t>박람회 기획</t>
    <phoneticPr fontId="12" type="noConversion"/>
  </si>
  <si>
    <t>2026여수세계섬박람회 전시연출</t>
    <phoneticPr fontId="12" type="noConversion"/>
  </si>
  <si>
    <t>섬 테마존 조성 업무 추진</t>
    <phoneticPr fontId="48" type="noConversion"/>
  </si>
  <si>
    <t>[임차료]</t>
    <phoneticPr fontId="12" type="noConversion"/>
  </si>
  <si>
    <t>섬박람회 상징 아트포토존 조성 업무 추진</t>
    <phoneticPr fontId="48" type="noConversion"/>
  </si>
  <si>
    <t>2026여수세계섬박람회 전시연출</t>
  </si>
  <si>
    <t>180 유보자금</t>
    <phoneticPr fontId="12" type="noConversion"/>
  </si>
  <si>
    <t>181 순세계잉여금</t>
    <phoneticPr fontId="12" type="noConversion"/>
  </si>
  <si>
    <t>01 순세계잉여금</t>
    <phoneticPr fontId="12" type="noConversion"/>
  </si>
  <si>
    <t>03 대행사업비 사용잔액</t>
    <phoneticPr fontId="12" type="noConversion"/>
  </si>
  <si>
    <t>박람회 홍보</t>
    <phoneticPr fontId="12" type="noConversion"/>
  </si>
  <si>
    <t xml:space="preserve"> </t>
    <phoneticPr fontId="12" type="noConversion"/>
  </si>
  <si>
    <t>2026여수세계섬박람회 주행사장 조성연출</t>
    <phoneticPr fontId="12" type="noConversion"/>
  </si>
  <si>
    <t>박람회 조성</t>
    <phoneticPr fontId="12" type="noConversion"/>
  </si>
  <si>
    <t>박람회 조성</t>
    <phoneticPr fontId="12" type="noConversion"/>
  </si>
  <si>
    <t>시설비 및 부대비</t>
    <phoneticPr fontId="12" type="noConversion"/>
  </si>
  <si>
    <t>시설비</t>
    <phoneticPr fontId="12" type="noConversion"/>
  </si>
  <si>
    <t>박람회 조성</t>
    <phoneticPr fontId="12" type="noConversion"/>
  </si>
  <si>
    <t>박람회 조성</t>
    <phoneticPr fontId="48" type="noConversion"/>
  </si>
  <si>
    <t>400 자본지출</t>
    <phoneticPr fontId="12" type="noConversion"/>
  </si>
  <si>
    <t>401 시설비 및 부대비</t>
    <phoneticPr fontId="12" type="noConversion"/>
  </si>
  <si>
    <t>01 시설비</t>
    <phoneticPr fontId="12" type="noConversion"/>
  </si>
  <si>
    <t>[시설비]</t>
    <phoneticPr fontId="12" type="noConversion"/>
  </si>
  <si>
    <t>자본예산</t>
    <phoneticPr fontId="12" type="noConversion"/>
  </si>
  <si>
    <t xml:space="preserve"> ○ 섬박람회 광고 홍보료 : 500,000,000원*1식</t>
    <phoneticPr fontId="12" type="noConversion"/>
  </si>
  <si>
    <t>10 행사실비보상금</t>
    <phoneticPr fontId="12" type="noConversion"/>
  </si>
  <si>
    <t>[행사실비보상금]</t>
    <phoneticPr fontId="12" type="noConversion"/>
  </si>
  <si>
    <t>행사실비보상금</t>
    <phoneticPr fontId="12" type="noConversion"/>
  </si>
  <si>
    <t>2026여수세계섬박람회 조성연출</t>
  </si>
  <si>
    <t>2026여수세계섬박람회 조성연출</t>
    <phoneticPr fontId="12" type="noConversion"/>
  </si>
  <si>
    <t xml:space="preserve"> (재)2026여수세계섬박람회 조직위</t>
    <phoneticPr fontId="53" type="noConversion"/>
  </si>
  <si>
    <r>
      <t>세계 섬</t>
    </r>
    <r>
      <rPr>
        <b/>
        <sz val="10"/>
        <rFont val="맑은 고딕 Semilight"/>
        <family val="3"/>
        <charset val="129"/>
      </rPr>
      <t>‧</t>
    </r>
    <r>
      <rPr>
        <b/>
        <sz val="10"/>
        <rFont val="굴림"/>
        <family val="3"/>
        <charset val="129"/>
      </rPr>
      <t>한국의 섬 테마존 조성</t>
    </r>
    <phoneticPr fontId="48" type="noConversion"/>
  </si>
  <si>
    <t>박람회 굿즈 제작</t>
    <phoneticPr fontId="48" type="noConversion"/>
  </si>
  <si>
    <t>박람회 굿즈 제작</t>
    <phoneticPr fontId="12" type="noConversion"/>
  </si>
  <si>
    <t>2026여수세계섬박람회 종합상황실</t>
    <phoneticPr fontId="12" type="noConversion"/>
  </si>
  <si>
    <t>종합상황실 부서운영</t>
    <phoneticPr fontId="12" type="noConversion"/>
  </si>
  <si>
    <t>지출예산(세부사업) - 종합상황실</t>
    <phoneticPr fontId="12" type="noConversion"/>
  </si>
  <si>
    <t>2026여수세계섬박람회 종합상황실</t>
    <phoneticPr fontId="12" type="noConversion"/>
  </si>
  <si>
    <t>종합상황실 부서운영</t>
    <phoneticPr fontId="12" type="noConversion"/>
  </si>
  <si>
    <t>[시책추진업무추진비]</t>
    <phoneticPr fontId="12" type="noConversion"/>
  </si>
  <si>
    <t>2026여수세계섬박람회 종합상황실</t>
    <phoneticPr fontId="12" type="noConversion"/>
  </si>
  <si>
    <t>업무추진비</t>
    <phoneticPr fontId="12" type="noConversion"/>
  </si>
  <si>
    <t xml:space="preserve"> ○ 변경등기 수수료 : 200,000원*4회</t>
    <phoneticPr fontId="12" type="noConversion"/>
  </si>
  <si>
    <t xml:space="preserve"> ○ 이사회 참석수당 : 150,000원*12명*7회</t>
    <phoneticPr fontId="12" type="noConversion"/>
  </si>
  <si>
    <t xml:space="preserve"> ○ 이사회 참석자 실비보상 : 100,000원*12명*7회</t>
    <phoneticPr fontId="12" type="noConversion"/>
  </si>
  <si>
    <t xml:space="preserve"> ○ 이사회 등 회의 운영비 : 400,000원*3회</t>
    <phoneticPr fontId="12" type="noConversion"/>
  </si>
  <si>
    <t xml:space="preserve"> ○ 연봉 : 8,468,460원*11월 </t>
    <phoneticPr fontId="12" type="noConversion"/>
  </si>
  <si>
    <t xml:space="preserve"> ○ 연차수당 : 8,468,460원*86%*1/30*17일</t>
    <phoneticPr fontId="12" type="noConversion"/>
  </si>
  <si>
    <t xml:space="preserve"> ○ 인부임 : 98,440원*1명*22일*11월</t>
    <phoneticPr fontId="12" type="noConversion"/>
  </si>
  <si>
    <t xml:space="preserve"> ○ 주휴수당 : 98,440원*1명*4일*11월</t>
    <phoneticPr fontId="12" type="noConversion"/>
  </si>
  <si>
    <t xml:space="preserve"> ○ 연차수당 : 98,440원*1명*17일</t>
    <phoneticPr fontId="12" type="noConversion"/>
  </si>
  <si>
    <t xml:space="preserve"> ○ 사무총장 : 17,000,000원*1회</t>
    <phoneticPr fontId="12" type="noConversion"/>
  </si>
  <si>
    <t>=</t>
    <phoneticPr fontId="12" type="noConversion"/>
  </si>
  <si>
    <t>=</t>
    <phoneticPr fontId="12" type="noConversion"/>
  </si>
  <si>
    <t xml:space="preserve"> ○ 본부장실 관리요원 : 5,200,000원*1회</t>
    <phoneticPr fontId="12" type="noConversion"/>
  </si>
  <si>
    <t xml:space="preserve"> ○ 총감독 : 30,000,000원*1회</t>
    <phoneticPr fontId="12" type="noConversion"/>
  </si>
  <si>
    <t xml:space="preserve"> ○ 공용차량 임차비(업무용, 수행용) 950,000원*2대*12월</t>
    <phoneticPr fontId="12" type="noConversion"/>
  </si>
  <si>
    <t xml:space="preserve"> ○ 전기요금 등 공공요금 납부 : 2,000,000원*12월</t>
    <phoneticPr fontId="12" type="noConversion"/>
  </si>
  <si>
    <t xml:space="preserve"> ○ 회계관계공무원 재정보증보험 : 1,500,000원*1식</t>
    <phoneticPr fontId="12" type="noConversion"/>
  </si>
  <si>
    <t xml:space="preserve"> ○ 차량 주유비 : 200,000원*2대*12월</t>
    <phoneticPr fontId="12" type="noConversion"/>
  </si>
  <si>
    <t xml:space="preserve"> ○ 차량 유지관리비 : 50,000원*2대*12월</t>
    <phoneticPr fontId="12" type="noConversion"/>
  </si>
  <si>
    <t xml:space="preserve"> ○ 행정관리 기본업무 수행 관내여비 : 20,000원*8명*2일*11월</t>
    <phoneticPr fontId="12" type="noConversion"/>
  </si>
  <si>
    <t xml:space="preserve"> ○ 행정관리 업무추진 관외여비 : 110,000원*7명*11월</t>
    <phoneticPr fontId="12" type="noConversion"/>
  </si>
  <si>
    <t xml:space="preserve"> ○ 부장, 협력관(5급) : 100,000원*10명*12월</t>
    <phoneticPr fontId="12" type="noConversion"/>
  </si>
  <si>
    <t xml:space="preserve"> ○ 사무실 통신선 등 수선유지비 : 8,000,000원*1식</t>
    <phoneticPr fontId="12" type="noConversion"/>
  </si>
  <si>
    <t xml:space="preserve"> ○ 기획본부 정원가산총액계상 : 80,000원*38명</t>
    <phoneticPr fontId="12" type="noConversion"/>
  </si>
  <si>
    <t xml:space="preserve"> ○ 건강보험 : 8,468,460원*3.6%*11월</t>
    <phoneticPr fontId="12" type="noConversion"/>
  </si>
  <si>
    <t xml:space="preserve"> ○ 고용연금 : 8,468,460원*1.5%*11월</t>
    <phoneticPr fontId="12" type="noConversion"/>
  </si>
  <si>
    <t xml:space="preserve"> ○ 산재보험 : 8,468,460원*1.4%*11월</t>
    <phoneticPr fontId="12" type="noConversion"/>
  </si>
  <si>
    <t xml:space="preserve"> ○ 건강보험 : 11,100,000원*3.6%*11월 </t>
    <phoneticPr fontId="12" type="noConversion"/>
  </si>
  <si>
    <t xml:space="preserve"> ○ 고용연금 : 11,100,000원*1.5%*11월 </t>
    <phoneticPr fontId="12" type="noConversion"/>
  </si>
  <si>
    <t>○ 사용자부담금 : 29,829,000원*11%</t>
    <phoneticPr fontId="12" type="noConversion"/>
  </si>
  <si>
    <t>예산액
(A)</t>
    <phoneticPr fontId="12" type="noConversion"/>
  </si>
  <si>
    <t>전년도본예산액
(B)</t>
    <phoneticPr fontId="12" type="noConversion"/>
  </si>
  <si>
    <t xml:space="preserve"> ○ 자문위원회 자문수당(대면) : 150,000원*2회*25명</t>
    <phoneticPr fontId="12" type="noConversion"/>
  </si>
  <si>
    <t xml:space="preserve"> ○ 자문위원회 자문수당(서면) : 100,000원*2회*25명</t>
    <phoneticPr fontId="12" type="noConversion"/>
  </si>
  <si>
    <t xml:space="preserve"> ○ 자문위원회 참석자 실비 보상 : 2,500,000원*1식</t>
    <phoneticPr fontId="12" type="noConversion"/>
  </si>
  <si>
    <t>일반운영비</t>
    <phoneticPr fontId="12" type="noConversion"/>
  </si>
  <si>
    <t>사무관리비</t>
    <phoneticPr fontId="12" type="noConversion"/>
  </si>
  <si>
    <t>200 물건비</t>
  </si>
  <si>
    <t>202 여비</t>
  </si>
  <si>
    <t>01 국내여비</t>
  </si>
  <si>
    <t xml:space="preserve"> ○ 홍보물품 등 제작 : 200,000,000원*1식</t>
    <phoneticPr fontId="12" type="noConversion"/>
  </si>
  <si>
    <t>301 일반보상금</t>
    <phoneticPr fontId="12" type="noConversion"/>
  </si>
  <si>
    <t>전년도본예산액
(B)</t>
    <phoneticPr fontId="12" type="noConversion"/>
  </si>
  <si>
    <t>300 경상이전</t>
    <phoneticPr fontId="12" type="noConversion"/>
  </si>
  <si>
    <t xml:space="preserve"> ○ 사전 홍보 이벤트 : 50,000,000원*1식</t>
    <phoneticPr fontId="12" type="noConversion"/>
  </si>
  <si>
    <t>2026여수세계섬박람회 유치</t>
    <phoneticPr fontId="12" type="noConversion"/>
  </si>
  <si>
    <t>14 기타보상금</t>
    <phoneticPr fontId="12" type="noConversion"/>
  </si>
  <si>
    <t>[기타보상금]</t>
    <phoneticPr fontId="12" type="noConversion"/>
  </si>
  <si>
    <t xml:space="preserve"> ○ 각종 이벤트 경품 : 10,000,000원*1식</t>
    <phoneticPr fontId="12" type="noConversion"/>
  </si>
  <si>
    <t>621 상품등판매수익</t>
    <phoneticPr fontId="12" type="noConversion"/>
  </si>
  <si>
    <t>01 상품판매수익</t>
    <phoneticPr fontId="12" type="noConversion"/>
  </si>
  <si>
    <t>624 입장료수익</t>
    <phoneticPr fontId="12" type="noConversion"/>
  </si>
  <si>
    <t>01 입장료수익</t>
    <phoneticPr fontId="12" type="noConversion"/>
  </si>
  <si>
    <t>661 기타영업수익</t>
    <phoneticPr fontId="12" type="noConversion"/>
  </si>
  <si>
    <t>05 부대시설임대수익</t>
    <phoneticPr fontId="12" type="noConversion"/>
  </si>
  <si>
    <t>[운영수당]</t>
    <phoneticPr fontId="12" type="noConversion"/>
  </si>
  <si>
    <t xml:space="preserve"> ○ 휘장업무 추진 사무용품 등 구입 : 110,000원*10월</t>
    <phoneticPr fontId="12" type="noConversion"/>
  </si>
  <si>
    <t xml:space="preserve"> ○ 공식공급권자 선정 심사위원 교통비 등 기타실비 : 700,000원*1식</t>
    <phoneticPr fontId="12" type="noConversion"/>
  </si>
  <si>
    <t xml:space="preserve"> ○ 입장권 판촉 홍보물 제작 : 15,000,000원*1식  </t>
    <phoneticPr fontId="12" type="noConversion"/>
  </si>
  <si>
    <t>=</t>
    <phoneticPr fontId="12" type="noConversion"/>
  </si>
  <si>
    <t xml:space="preserve"> ○ 입장권 제휴 할인 홍보물 제작 : 3,000,000원*1식</t>
    <phoneticPr fontId="12" type="noConversion"/>
  </si>
  <si>
    <t xml:space="preserve"> ○ 입장권 사업 추진 사무용품 구입 : 216,000원*10월</t>
    <phoneticPr fontId="12" type="noConversion"/>
  </si>
  <si>
    <t xml:space="preserve"> ○ 입장권 구매보상금 지급 : 40,000,000원*1식</t>
    <phoneticPr fontId="12" type="noConversion"/>
  </si>
  <si>
    <t xml:space="preserve"> ○ 박람회 굿즈 제작 100,000,000원*1식</t>
    <phoneticPr fontId="12" type="noConversion"/>
  </si>
  <si>
    <t xml:space="preserve"> ○ 수익사업 관련 우편물 발송료 : 2,500원*200회 </t>
    <phoneticPr fontId="12" type="noConversion"/>
  </si>
  <si>
    <t xml:space="preserve"> ○ 수익사업부 기본업무 수행 관내여비 : 20,000원*6명*2일*10월</t>
    <phoneticPr fontId="12" type="noConversion"/>
  </si>
  <si>
    <t xml:space="preserve"> ○ 수익사업부 기본업무 수행 관외여비 : 110,000원*6명*10월</t>
    <phoneticPr fontId="12" type="noConversion"/>
  </si>
  <si>
    <t xml:space="preserve"> ○ 수익사업부 업무추진 : 1,500,000원*1식</t>
    <phoneticPr fontId="12" type="noConversion"/>
  </si>
  <si>
    <t>여비</t>
    <phoneticPr fontId="12" type="noConversion"/>
  </si>
  <si>
    <t>여비</t>
    <phoneticPr fontId="12" type="noConversion"/>
  </si>
  <si>
    <t>2026여수세계섬박람회 유치</t>
    <phoneticPr fontId="12" type="noConversion"/>
  </si>
  <si>
    <t>국가기업 등 유치</t>
    <phoneticPr fontId="48" type="noConversion"/>
  </si>
  <si>
    <t xml:space="preserve"> ○ 국내·외 관람객 홍보물 등 발송 우편료 : 2,500원*2,000개소</t>
    <phoneticPr fontId="12" type="noConversion"/>
  </si>
  <si>
    <t xml:space="preserve"> ○ 부서 운영을 위한 소모품 구입 : 200,000원*10월</t>
    <phoneticPr fontId="12" type="noConversion"/>
  </si>
  <si>
    <t xml:space="preserve"> ○ 기본업무수행 급량비 : 9,000원*7명*8일*10월</t>
    <phoneticPr fontId="12" type="noConversion"/>
  </si>
  <si>
    <t xml:space="preserve"> ○ 유치협력부 업무추진 : 1,500,000원*1식</t>
    <phoneticPr fontId="12" type="noConversion"/>
  </si>
  <si>
    <t xml:space="preserve"> ○ 협력관 업무추진 : 1,500,000원*1식</t>
    <phoneticPr fontId="12" type="noConversion"/>
  </si>
  <si>
    <t>국가 기업 등 유치</t>
    <phoneticPr fontId="12" type="noConversion"/>
  </si>
  <si>
    <t>공공운영비</t>
    <phoneticPr fontId="12" type="noConversion"/>
  </si>
  <si>
    <t>국외업무여비</t>
    <phoneticPr fontId="12" type="noConversion"/>
  </si>
  <si>
    <t xml:space="preserve"> ○ 공식여행사 인센티브 지급 250,000,000원*1식</t>
    <phoneticPr fontId="12" type="noConversion"/>
  </si>
  <si>
    <t>[행사운영비]</t>
    <phoneticPr fontId="12" type="noConversion"/>
  </si>
  <si>
    <t xml:space="preserve"> ○ 기업관 부스 운영 인력지원 등 60,000,000원*1식</t>
    <phoneticPr fontId="12" type="noConversion"/>
  </si>
  <si>
    <t>참가국 지원</t>
    <phoneticPr fontId="48" type="noConversion"/>
  </si>
  <si>
    <t xml:space="preserve"> ○ 참가국, 기업 유치 및 운영 2,340,000,000원*1식</t>
    <phoneticPr fontId="12" type="noConversion"/>
  </si>
  <si>
    <t>13 외빈초청여비</t>
    <phoneticPr fontId="12" type="noConversion"/>
  </si>
  <si>
    <t>[외빈초청여비]</t>
    <phoneticPr fontId="12" type="noConversion"/>
  </si>
  <si>
    <t xml:space="preserve"> ○ 참가국 초청대상자 등 외빈 초청 730,000,000원*1식</t>
    <phoneticPr fontId="12" type="noConversion"/>
  </si>
  <si>
    <t>기업관 부스 운영</t>
    <phoneticPr fontId="12" type="noConversion"/>
  </si>
  <si>
    <t>2026국제섬포럼in Yeosu</t>
    <phoneticPr fontId="48" type="noConversion"/>
  </si>
  <si>
    <t xml:space="preserve"> ○ 대행사 선정 심사수당 : 300,000원*10명</t>
    <phoneticPr fontId="12" type="noConversion"/>
  </si>
  <si>
    <t xml:space="preserve"> ○ 대행사 선정 심사위원 기타실비 : 1,000,000원*1식</t>
    <phoneticPr fontId="12" type="noConversion"/>
  </si>
  <si>
    <t xml:space="preserve"> ○ 2026 국제 섬 포럼 in Yeosu 개최 : 220,000,000원*1식</t>
    <phoneticPr fontId="12" type="noConversion"/>
  </si>
  <si>
    <t xml:space="preserve"> ○ 2026 국제 섬 포럼 in Yeosu 참가자 및 외빈 초청 : 46,000,000원*1식</t>
    <phoneticPr fontId="12" type="noConversion"/>
  </si>
  <si>
    <t>세계섬도시대회</t>
    <phoneticPr fontId="48" type="noConversion"/>
  </si>
  <si>
    <t xml:space="preserve"> ○ 세계섬도시대회 개최 : 354,000,000원*1식</t>
    <phoneticPr fontId="12" type="noConversion"/>
  </si>
  <si>
    <t xml:space="preserve"> ○ 세계섬도시대회 참가자 및 외빈 초청 : 242,000,000원*1식</t>
    <phoneticPr fontId="12" type="noConversion"/>
  </si>
  <si>
    <t>기업관 부스 운영</t>
    <phoneticPr fontId="12" type="noConversion"/>
  </si>
  <si>
    <t>참가국 지원</t>
    <phoneticPr fontId="12" type="noConversion"/>
  </si>
  <si>
    <t>2026국제섬포럼 in Yeosu</t>
    <phoneticPr fontId="12" type="noConversion"/>
  </si>
  <si>
    <t>사무관리비</t>
    <phoneticPr fontId="12" type="noConversion"/>
  </si>
  <si>
    <t>세계섬도시대회</t>
    <phoneticPr fontId="12" type="noConversion"/>
  </si>
  <si>
    <t>03 행사운영비</t>
    <phoneticPr fontId="12" type="noConversion"/>
  </si>
  <si>
    <t>[임차료]</t>
    <phoneticPr fontId="12" type="noConversion"/>
  </si>
  <si>
    <t>200 물건비</t>
    <phoneticPr fontId="12" type="noConversion"/>
  </si>
  <si>
    <t xml:space="preserve"> ○ 운영부 기본업무 수행 관외여비 : 110,000원*6명*11월</t>
    <phoneticPr fontId="12" type="noConversion"/>
  </si>
  <si>
    <t xml:space="preserve"> ○ 운영부 기본업무 수행 관내여비 : 20,000원*7명*2일*10월</t>
    <phoneticPr fontId="12" type="noConversion"/>
  </si>
  <si>
    <t xml:space="preserve"> ○ 운영본부 정원가산총액계상 : 80,000원*30명</t>
    <phoneticPr fontId="12" type="noConversion"/>
  </si>
  <si>
    <t xml:space="preserve"> ○ 부서운영을 위한 소모품 구입 : 200,000원*10월</t>
    <phoneticPr fontId="12" type="noConversion"/>
  </si>
  <si>
    <t xml:space="preserve"> ○ 행사부 업무추진 :1,500,000원*1식</t>
    <phoneticPr fontId="12" type="noConversion"/>
  </si>
  <si>
    <t xml:space="preserve"> ○ 기본업무수행 급량비 : 9,000원*7명*8일*12월</t>
    <phoneticPr fontId="12" type="noConversion"/>
  </si>
  <si>
    <t xml:space="preserve"> ○ 부서운영을 위한 소모품 구입 : 200,000원*10월</t>
    <phoneticPr fontId="12" type="noConversion"/>
  </si>
  <si>
    <t>2026여수세계섬박람회 시설조성(수익)</t>
    <phoneticPr fontId="12" type="noConversion"/>
  </si>
  <si>
    <t xml:space="preserve"> ○ 2026여수세계섬박람회 주행사장 조성사업 : 3,233,000,000원*1식
     [국 3,233,000]</t>
    <phoneticPr fontId="12" type="noConversion"/>
  </si>
  <si>
    <t>전시관 및 운영·부대시설 설치</t>
    <phoneticPr fontId="48" type="noConversion"/>
  </si>
  <si>
    <t>[행사운영비]</t>
    <phoneticPr fontId="12" type="noConversion"/>
  </si>
  <si>
    <t>섬박람회 랜드마크 조성사업(수익)</t>
  </si>
  <si>
    <t>랜드마크 조성(수익)</t>
    <phoneticPr fontId="12" type="noConversion"/>
  </si>
  <si>
    <t>랜드마크 조성(수익)</t>
    <phoneticPr fontId="48" type="noConversion"/>
  </si>
  <si>
    <t>섬박람회 안전시설물 설치사업(수익)</t>
    <phoneticPr fontId="12" type="noConversion"/>
  </si>
  <si>
    <t>안전시설물 설치(수익)</t>
    <phoneticPr fontId="12" type="noConversion"/>
  </si>
  <si>
    <t>섬박람회 랜드마크 조성사업(수익)</t>
    <phoneticPr fontId="12" type="noConversion"/>
  </si>
  <si>
    <t>박람회 전시연출</t>
  </si>
  <si>
    <t>박람회 전시연출</t>
    <phoneticPr fontId="48" type="noConversion"/>
  </si>
  <si>
    <t>03 행사운영비</t>
    <phoneticPr fontId="12" type="noConversion"/>
  </si>
  <si>
    <t>[행사운영비]</t>
    <phoneticPr fontId="12" type="noConversion"/>
  </si>
  <si>
    <t xml:space="preserve"> ○ 전시연출 콘텐츠 개발 2,098,000,000원*1식</t>
    <phoneticPr fontId="12" type="noConversion"/>
  </si>
  <si>
    <t>01 사무관리비</t>
    <phoneticPr fontId="12" type="noConversion"/>
  </si>
  <si>
    <t xml:space="preserve"> ○ 기본업무수행 급량비 : 9,000원*7명*8일*11월</t>
    <phoneticPr fontId="12" type="noConversion"/>
  </si>
  <si>
    <t xml:space="preserve"> ○ 전시연출부 업무추진 : 1,500,000원*1식</t>
    <phoneticPr fontId="12" type="noConversion"/>
  </si>
  <si>
    <t xml:space="preserve"> ○ 기본업무수행 급량비 : 9,000원*3명*8일*12월</t>
    <phoneticPr fontId="12" type="noConversion"/>
  </si>
  <si>
    <t xml:space="preserve"> ○ 종합상황실 부서운영 총액계상 : 100,000원*12월</t>
    <phoneticPr fontId="12" type="noConversion"/>
  </si>
  <si>
    <t xml:space="preserve"> ○ 산재보험 : 11,100,000원*1.4%*11월 </t>
    <phoneticPr fontId="12" type="noConversion"/>
  </si>
  <si>
    <t>섬박람회 안전시설물 설치사업(수익)</t>
  </si>
  <si>
    <t>직접사업비(사업예산+자본예산)</t>
    <phoneticPr fontId="12" type="noConversion"/>
  </si>
  <si>
    <t>2026여수세계섬박람회 시설조성(수익)</t>
  </si>
  <si>
    <t>전시관 및 운영·부대시설 설치</t>
  </si>
  <si>
    <t>행사운영비</t>
    <phoneticPr fontId="12" type="noConversion"/>
  </si>
  <si>
    <t xml:space="preserve"> ○ 기본업무수행 급량비 : 9,000원*8명*8일*12월</t>
    <phoneticPr fontId="12" type="noConversion"/>
  </si>
  <si>
    <t xml:space="preserve"> ○ 기본업무수행 급량비 : 9,000원*10명*8일*12월</t>
    <phoneticPr fontId="12" type="noConversion"/>
  </si>
  <si>
    <t xml:space="preserve"> ○ 기관공통운영 국외업무여비 : 50,000,000원*1식</t>
    <phoneticPr fontId="12" type="noConversion"/>
  </si>
  <si>
    <t xml:space="preserve"> ○ 회의실 임차료 : 400,000원*4회</t>
    <phoneticPr fontId="12" type="noConversion"/>
  </si>
  <si>
    <t xml:space="preserve"> ○ 회의실 임차료 : 400,000원*4회</t>
    <phoneticPr fontId="12" type="noConversion"/>
  </si>
  <si>
    <t xml:space="preserve"> ○ 섬박람회장 열린문화공간 조성 390,000,000원*1식
     [도 390,000]</t>
    <phoneticPr fontId="12" type="noConversion"/>
  </si>
  <si>
    <t xml:space="preserve"> ○ 추진상황 보고 PPT 제작 2,500,000원*2회</t>
    <phoneticPr fontId="12" type="noConversion"/>
  </si>
  <si>
    <t xml:space="preserve"> ○ 입장권 판촉활동 등 관외여비 : 110,000원*2명*3일*5월</t>
    <phoneticPr fontId="12" type="noConversion"/>
  </si>
  <si>
    <t xml:space="preserve"> ○ 박람회 홍보 관외여비 110,000원*2명*3일*5월</t>
    <phoneticPr fontId="12" type="noConversion"/>
  </si>
  <si>
    <t xml:space="preserve"> ○ 국가·기업 등 유치활동을 위한 관외여비 : 110,000원*2명*3일*5월</t>
    <phoneticPr fontId="12" type="noConversion"/>
  </si>
  <si>
    <t>예산액
(A)</t>
    <phoneticPr fontId="12" type="noConversion"/>
  </si>
  <si>
    <t xml:space="preserve"> ○ 후원 유치를 위한 홍보물 등 제작 : 4,000,000원*1식</t>
    <phoneticPr fontId="12" type="noConversion"/>
  </si>
  <si>
    <t xml:space="preserve"> ○ 2026여수세계섬박람회 문화행사 운영 : 5,500,000,000원*1식
     [도 1,650,000, 시 3,850,000]</t>
    <phoneticPr fontId="12" type="noConversion"/>
  </si>
  <si>
    <t xml:space="preserve"> [도 1,650,000, 시 3,850,000]</t>
    <phoneticPr fontId="12" type="noConversion"/>
  </si>
  <si>
    <t xml:space="preserve"> ○ 섬박람회장 안전시설물 설치사업 : 300,000,000원*1식
     [도 300,000]</t>
    <phoneticPr fontId="12" type="noConversion"/>
  </si>
  <si>
    <t>[도 300,000]</t>
    <phoneticPr fontId="12" type="noConversion"/>
  </si>
  <si>
    <t xml:space="preserve"> ○ 섬박람회장 입구게이트 조성 : 90,000,000원*1식
     [도 90,000]</t>
    <phoneticPr fontId="12" type="noConversion"/>
  </si>
  <si>
    <t>[도 390,000]</t>
    <phoneticPr fontId="12" type="noConversion"/>
  </si>
  <si>
    <t>[도 90,000]</t>
    <phoneticPr fontId="12" type="noConversion"/>
  </si>
  <si>
    <t>[도 1,200,000]</t>
    <phoneticPr fontId="12" type="noConversion"/>
  </si>
  <si>
    <t>[도 390,000]</t>
    <phoneticPr fontId="12" type="noConversion"/>
  </si>
  <si>
    <t>[도 103,500, 시 241,500]</t>
    <phoneticPr fontId="12" type="noConversion"/>
  </si>
  <si>
    <t>[도 36,000, 시 84,000]</t>
    <phoneticPr fontId="12" type="noConversion"/>
  </si>
  <si>
    <t>[도 150,000, 시 350,000]</t>
    <phoneticPr fontId="12" type="noConversion"/>
  </si>
  <si>
    <t>[도 7,500, 시 17,500]</t>
    <phoneticPr fontId="12" type="noConversion"/>
  </si>
  <si>
    <t>[도 75,000, 시 175,000]</t>
    <phoneticPr fontId="12" type="noConversion"/>
  </si>
  <si>
    <t>[도 18,000, 시 42,000]</t>
    <phoneticPr fontId="12" type="noConversion"/>
  </si>
  <si>
    <t>[도 702,000, 시 1,638,000]</t>
    <phoneticPr fontId="12" type="noConversion"/>
  </si>
  <si>
    <t>[도 219,000, 시 511,000]</t>
    <phoneticPr fontId="12" type="noConversion"/>
  </si>
  <si>
    <t>[도 1,200, 시 2,800]</t>
    <phoneticPr fontId="12" type="noConversion"/>
  </si>
  <si>
    <t>[도 66,000, 시 154,000]</t>
    <phoneticPr fontId="12" type="noConversion"/>
  </si>
  <si>
    <t>[도 13,800, 시 32,200]</t>
    <phoneticPr fontId="12" type="noConversion"/>
  </si>
  <si>
    <t>[도 1,200, 시 2,800]</t>
    <phoneticPr fontId="12" type="noConversion"/>
  </si>
  <si>
    <t>[도 106,200, 시 247,800]</t>
    <phoneticPr fontId="12" type="noConversion"/>
  </si>
  <si>
    <t>[도 72,600, 시 169,400]</t>
    <phoneticPr fontId="12" type="noConversion"/>
  </si>
  <si>
    <t xml:space="preserve"> ○ 섬박람회 랜드마크 조성사업(추가분) 1,000,000,000원*1식
     [사업수익 1,000,000]</t>
    <phoneticPr fontId="12" type="noConversion"/>
  </si>
  <si>
    <t>[사업수익 1,000,000]</t>
    <phoneticPr fontId="12" type="noConversion"/>
  </si>
  <si>
    <t xml:space="preserve"> ○ 섬박람회 안전시설물 설치사업(추가분) 2,000,000,000원*1식
     [사업수익 2,000,000]</t>
    <phoneticPr fontId="12" type="noConversion"/>
  </si>
  <si>
    <t>[사업수익 2,000,000]</t>
    <phoneticPr fontId="12" type="noConversion"/>
  </si>
  <si>
    <t>[국 3,233,000]</t>
    <phoneticPr fontId="12" type="noConversion"/>
  </si>
  <si>
    <t>[사업수익 1,745,000]</t>
    <phoneticPr fontId="12" type="noConversion"/>
  </si>
  <si>
    <t>[도 1,200,000]</t>
    <phoneticPr fontId="12" type="noConversion"/>
  </si>
  <si>
    <t xml:space="preserve"> ○ 비상임 급여 : 7,000,000원*2월</t>
    <phoneticPr fontId="12" type="noConversion"/>
  </si>
  <si>
    <t xml:space="preserve"> ○ 월급여 : 12,000,000원*9월</t>
    <phoneticPr fontId="12" type="noConversion"/>
  </si>
  <si>
    <t xml:space="preserve"> ○ 복사용지 등 사무용품 구입 : 6,000,000원*1식 </t>
  </si>
  <si>
    <t xml:space="preserve"> ○ 복사기 및 프린터토너 구입 : 7,000,000원*1식</t>
  </si>
  <si>
    <t xml:space="preserve"> ○ 사무실 환경정비용품 구입 : 5,000,000원*1식</t>
  </si>
  <si>
    <t xml:space="preserve"> ○ 방문차량 주차요금 : 1,000,000원*1식 </t>
  </si>
  <si>
    <t xml:space="preserve"> ○ 정수기 렌탈 요금 : 175,000원*12월</t>
  </si>
  <si>
    <t xml:space="preserve"> ○ 공기청정기 렌탈요금 : 341,600원*12월</t>
  </si>
  <si>
    <t xml:space="preserve"> ○ 무인경비시스템 이용료 : 330,000원*12월</t>
  </si>
  <si>
    <t xml:space="preserve"> ○ 공용차량 하이패스 이용료 : 50,000원*2대*12월</t>
  </si>
  <si>
    <t xml:space="preserve"> ○ 조달청 이용 수수료 : 500,000원*1식</t>
  </si>
  <si>
    <t xml:space="preserve"> ○ 4급이상 : 600,000원*2명*11월</t>
    <phoneticPr fontId="12" type="noConversion"/>
  </si>
  <si>
    <t xml:space="preserve"> ○ 5급이하 : 400,000원*66명*11월</t>
    <phoneticPr fontId="12" type="noConversion"/>
  </si>
  <si>
    <t xml:space="preserve"> ○ 타시군(도) 주거지원비 : 500,000원*18명*11월</t>
    <phoneticPr fontId="12" type="noConversion"/>
  </si>
  <si>
    <t xml:space="preserve"> ○ 사무총장 정액급식비 : 140,000원*11월</t>
    <phoneticPr fontId="12" type="noConversion"/>
  </si>
  <si>
    <t xml:space="preserve"> ○ 사무총장 직급보조비 : 300,000원*11월</t>
    <phoneticPr fontId="12" type="noConversion"/>
  </si>
  <si>
    <t xml:space="preserve"> ○ 사무총장 직책급업무수행비 : 600,000원*11월</t>
    <phoneticPr fontId="12" type="noConversion"/>
  </si>
  <si>
    <t xml:space="preserve"> ○ 장기요양보험 : 304,870원*14%*11월</t>
    <phoneticPr fontId="12" type="noConversion"/>
  </si>
  <si>
    <t xml:space="preserve"> ○ 장기요양보험 : 399,600원*14%*11월</t>
    <phoneticPr fontId="12" type="noConversion"/>
  </si>
  <si>
    <t>=</t>
    <phoneticPr fontId="12" type="noConversion"/>
  </si>
  <si>
    <t xml:space="preserve"> ○ 행정관리부 부서운영 총액계상 : 175,000원*12월</t>
    <phoneticPr fontId="12" type="noConversion"/>
  </si>
  <si>
    <t xml:space="preserve"> ○ 박람회 조직위원회 업무추진(3급) : 14,500,000원*1식</t>
    <phoneticPr fontId="12" type="noConversion"/>
  </si>
  <si>
    <t xml:space="preserve"> ○ 박람회 홍보 및 유치 업무추진(4급) : 4,000,000원*1식</t>
    <phoneticPr fontId="12" type="noConversion"/>
  </si>
  <si>
    <t xml:space="preserve"> ○ 행정관리부 업무추진 : 1,500,000원*1식</t>
    <phoneticPr fontId="12" type="noConversion"/>
  </si>
  <si>
    <t xml:space="preserve"> ○ 자문위원회 회의 운영비 : 100,000원*2회</t>
    <phoneticPr fontId="12" type="noConversion"/>
  </si>
  <si>
    <t xml:space="preserve"> ○ 부서 운영을 위한 소모품 구입 : 200,000원*10월</t>
    <phoneticPr fontId="12" type="noConversion"/>
  </si>
  <si>
    <t xml:space="preserve"> ○ 기획홍보부 기본업무 수행 관내여비 : 20,000원*6명*2일*10월</t>
    <phoneticPr fontId="12" type="noConversion"/>
  </si>
  <si>
    <t xml:space="preserve"> ○ 기획홍보부 기본업무 수행 관외여비 : 110,000원*6명*10월</t>
    <phoneticPr fontId="12" type="noConversion"/>
  </si>
  <si>
    <t xml:space="preserve"> ○ 기획홍보부 업무추진 : 1,500,000원*1식</t>
    <phoneticPr fontId="12" type="noConversion"/>
  </si>
  <si>
    <t xml:space="preserve"> ○ 홍보부스 참가비 : 40,000,000원*1식</t>
    <phoneticPr fontId="12" type="noConversion"/>
  </si>
  <si>
    <t xml:space="preserve"> ○ 공식공급권자 선정 심사수당 : 250,000원*10명*1회 </t>
    <phoneticPr fontId="12" type="noConversion"/>
  </si>
  <si>
    <t xml:space="preserve"> ○ 국제교류 등 각종 국제행사 참가 : 3,000,000원*2명*3회</t>
    <phoneticPr fontId="12" type="noConversion"/>
  </si>
  <si>
    <t xml:space="preserve"> ○ 유치협력부 기본업무 수행 관내여비 : 20,000원*6명*2일*10월</t>
    <phoneticPr fontId="12" type="noConversion"/>
  </si>
  <si>
    <t xml:space="preserve"> ○ 유치협력부 기본업무 수행 관외여비 : 110,000원*6명*10월</t>
    <phoneticPr fontId="12" type="noConversion"/>
  </si>
  <si>
    <t xml:space="preserve"> ○ 박람회 운영 및 조성 업무추진(4급) : 4,000,000원*1식</t>
    <phoneticPr fontId="12" type="noConversion"/>
  </si>
  <si>
    <t xml:space="preserve"> ○ 운영부 업무추진 : 1,500,000원*1식</t>
    <phoneticPr fontId="12" type="noConversion"/>
  </si>
  <si>
    <t xml:space="preserve"> ○ 행사부 기본업무 수행 관내여비 : 20,000원*6명*2일*10월</t>
    <phoneticPr fontId="12" type="noConversion"/>
  </si>
  <si>
    <t xml:space="preserve"> ○ 행사부 기본업무 수행 관외여비 : 110,000원*6명*10월</t>
    <phoneticPr fontId="12" type="noConversion"/>
  </si>
  <si>
    <t xml:space="preserve"> ○ 시설조성부 기본업무 수행 관내여비 : 20,000원*6명*2일*10월</t>
    <phoneticPr fontId="12" type="noConversion"/>
  </si>
  <si>
    <t xml:space="preserve"> ○ 시설조성부 기본업무 수행 관외여비 : 110,000원*6명*10월</t>
    <phoneticPr fontId="12" type="noConversion"/>
  </si>
  <si>
    <t xml:space="preserve"> ○ 시설조성부 업무추진 : 1,500,000원*1식</t>
    <phoneticPr fontId="12" type="noConversion"/>
  </si>
  <si>
    <t xml:space="preserve"> ○ 부서운영을 위한 소모품 구입 : 200,000원*10월</t>
    <phoneticPr fontId="12" type="noConversion"/>
  </si>
  <si>
    <t xml:space="preserve"> ○ 전시연출부 기본업무 수행 관내여비 : 20,000원*6명*2일*10월</t>
    <phoneticPr fontId="12" type="noConversion"/>
  </si>
  <si>
    <t xml:space="preserve"> ○ 전시연출부 기본업무 수행 관외여비 : 110,000원*6명*10월</t>
    <phoneticPr fontId="12" type="noConversion"/>
  </si>
  <si>
    <t xml:space="preserve"> ○ 종합상황실 기본업무 수행 관내여비 : 20,000원*6명*2일*10월</t>
    <phoneticPr fontId="12" type="noConversion"/>
  </si>
  <si>
    <t xml:space="preserve"> ○ 종합상황실 기본업무 수행 관외여비 : 110,000원*6명*10월</t>
    <phoneticPr fontId="12" type="noConversion"/>
  </si>
  <si>
    <t xml:space="preserve"> ○ 종합상황실 업무추진 : 1,500,000원*1식</t>
    <phoneticPr fontId="12" type="noConversion"/>
  </si>
  <si>
    <t xml:space="preserve"> ○ 중대재해예방 안전관리 용역 : 10,000,000원*1식</t>
    <phoneticPr fontId="12" type="noConversion"/>
  </si>
  <si>
    <t xml:space="preserve"> ○ 섬박람회 랜드마크 조성사업 : 1,200,000,000원*1식
     [도 1,200,000]</t>
    <phoneticPr fontId="12" type="noConversion"/>
  </si>
  <si>
    <t xml:space="preserve"> ○ 회계감사 및 세무조정 용역 : 18,000,000원*1식</t>
    <phoneticPr fontId="12" type="noConversion"/>
  </si>
  <si>
    <t>[도 3,000, 시 7,000]</t>
    <phoneticPr fontId="12" type="noConversion"/>
  </si>
  <si>
    <t xml:space="preserve"> ○ 회의실 임차료 : 400,000원*7회</t>
    <phoneticPr fontId="12" type="noConversion"/>
  </si>
  <si>
    <t xml:space="preserve"> ○ 이사회 등 보고회 개최 현수막 제작 : 80,000원*7회</t>
    <phoneticPr fontId="12" type="noConversion"/>
  </si>
  <si>
    <t xml:space="preserve"> ○ 세계의 섬·한국의 섬 테마존 조성 : 1,200,000,000원*1식
     [도 1,200,000]</t>
    <phoneticPr fontId="12" type="noConversion"/>
  </si>
  <si>
    <t xml:space="preserve"> ○ 섬박람회 상징 아트 포토존 조성 : 390,000,000원*1식
     [도 390,000]</t>
    <phoneticPr fontId="12" type="noConversion"/>
  </si>
  <si>
    <t>섬박람회 조직위원회 2026년 본예산서</t>
    <phoneticPr fontId="53" type="noConversion"/>
  </si>
  <si>
    <t xml:space="preserve"> ○ 인사위원회 위원 참석수당 : 100,000원*3명*1회</t>
    <phoneticPr fontId="12" type="noConversion"/>
  </si>
  <si>
    <t xml:space="preserve"> ○ 후원 관련 협약식 등 소모품 구입  : 500,000원*6회</t>
    <phoneticPr fontId="12" type="noConversion"/>
  </si>
  <si>
    <t xml:space="preserve"> ○ 세부실행계획 보고회 등 참석수당 : 100,000원*10명*4회</t>
    <phoneticPr fontId="12" type="noConversion"/>
  </si>
  <si>
    <t xml:space="preserve"> ○ 세부실행계획 보고회 회의실 임차비 : 250,000원*4회</t>
    <phoneticPr fontId="12" type="noConversion"/>
  </si>
  <si>
    <t xml:space="preserve"> ○ 2026여수세계섬박람회 회장운영 대행 용역비(2차분) : 3,628,156,000원*1식
     [사업수익 3,628,156]</t>
    <phoneticPr fontId="12" type="noConversion"/>
  </si>
  <si>
    <t xml:space="preserve"> ○ 세부실행계획 추진상황 보고회 등 운영비 500,000원*4회</t>
    <phoneticPr fontId="12" type="noConversion"/>
  </si>
  <si>
    <t xml:space="preserve"> ○ 운영본부 사무용품 등 구입 : 6,000,000원*1식 </t>
    <phoneticPr fontId="12" type="noConversion"/>
  </si>
  <si>
    <t xml:space="preserve"> ○ 운영본부 복사용지 및 토너 구입 : 7,000,000원*1식</t>
    <phoneticPr fontId="12" type="noConversion"/>
  </si>
  <si>
    <t xml:space="preserve"> ○ 운영본부 환경정비 및 청소용품 구입 : 5,000,000원*1식</t>
    <phoneticPr fontId="12" type="noConversion"/>
  </si>
  <si>
    <t xml:space="preserve"> ○ 기본업무수행 급량비 : 9,000원*9명*8일*11월</t>
    <phoneticPr fontId="12" type="noConversion"/>
  </si>
  <si>
    <t xml:space="preserve"> ○ 섬박람회 전시관 및 운영·부대시설 설치 1,745,000,000원*1식
     [사업수익 1,745,000]</t>
    <phoneticPr fontId="12" type="noConversion"/>
  </si>
  <si>
    <t xml:space="preserve"> ○ 홍보콘텐츠 등 제작 : 100,000,000원*1식</t>
    <phoneticPr fontId="12" type="noConversion"/>
  </si>
  <si>
    <t xml:space="preserve"> ○ 제안서, 공모전 평가위원 수당 : 4,000,000원*1식</t>
    <phoneticPr fontId="12" type="noConversion"/>
  </si>
  <si>
    <t xml:space="preserve"> ○ 제안서, 공모전 평가위원 실비 : 1,000,000원*1식</t>
    <phoneticPr fontId="12" type="noConversion"/>
  </si>
  <si>
    <t xml:space="preserve"> ○ 홍보부스 운영 : 5,000,000원*10회</t>
    <phoneticPr fontId="12" type="noConversion"/>
  </si>
  <si>
    <t xml:space="preserve"> ○ 홍보대사, 서포터즈 등 실비 : 100,000원*20명*5회</t>
    <phoneticPr fontId="12" type="noConversion"/>
  </si>
  <si>
    <t xml:space="preserve"> ○ 공모전 시상금 : 5,000,000원*3회</t>
    <phoneticPr fontId="12" type="noConversion"/>
  </si>
  <si>
    <t xml:space="preserve"> ○ 예비비 : 596,200,000원*1식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</si>
</sst>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#,##0;[Red]&quot;△&quot;#,##0;0"/>
    <numFmt numFmtId="177" formatCode="#,##0_ ;[Red]\-#,##0\ "/>
    <numFmt numFmtId="178" formatCode="#,##0_);[Red]\(#,##0\)"/>
    <numFmt numFmtId="179" formatCode="#,##0;[Red]&quot;△&quot;#,##0"/>
    <numFmt numFmtId="180" formatCode="#,##0_ "/>
    <numFmt numFmtId="181" formatCode="_-* #,##0.0_-;\-* #,##0.0_-;_-* &quot;-&quot;?_-;_-@_-"/>
    <numFmt numFmtId="182" formatCode="_-* #,##0_-;&quot;₩&quot;\!\-* #,##0_-;_-* &quot;-&quot;_-;_-@_-"/>
    <numFmt numFmtId="183" formatCode="mm&quot;월&quot;\ dd&quot;일&quot;"/>
    <numFmt numFmtId="184" formatCode="#,##0_);\(#,##0\)"/>
  </numFmts>
  <fonts count="60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rgb="FFFF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70C0"/>
      <name val="굴림"/>
      <family val="3"/>
      <charset val="129"/>
    </font>
    <font>
      <sz val="11"/>
      <color indexed="64"/>
      <name val="굴림"/>
      <family val="3"/>
      <charset val="129"/>
    </font>
    <font>
      <sz val="10"/>
      <color indexed="64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0"/>
      <color indexed="64"/>
      <name val="굴림"/>
      <family val="3"/>
      <charset val="129"/>
    </font>
    <font>
      <sz val="9"/>
      <color indexed="64"/>
      <name val="굴림"/>
      <family val="3"/>
      <charset val="129"/>
    </font>
    <font>
      <sz val="11"/>
      <color theme="1"/>
      <name val="돋움"/>
      <family val="3"/>
      <charset val="129"/>
    </font>
    <font>
      <b/>
      <sz val="11"/>
      <color indexed="64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굴림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C3D62"/>
      <name val="맑은 고딕"/>
      <family val="3"/>
      <charset val="129"/>
    </font>
    <font>
      <b/>
      <sz val="15"/>
      <color rgb="FF1C3D62"/>
      <name val="맑은 고딕"/>
      <family val="3"/>
      <charset val="129"/>
    </font>
    <font>
      <b/>
      <sz val="13"/>
      <color rgb="FF1C3D62"/>
      <name val="맑은 고딕"/>
      <family val="3"/>
      <charset val="129"/>
    </font>
    <font>
      <b/>
      <sz val="11"/>
      <color rgb="FF1C3D62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b/>
      <sz val="10"/>
      <color theme="1"/>
      <name val="맑은 고딕 Semilight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  <scheme val="major"/>
    </font>
    <font>
      <sz val="8"/>
      <name val="굴림"/>
      <family val="3"/>
      <charset val="129"/>
    </font>
    <font>
      <sz val="28"/>
      <name val="HY헤드라인M"/>
      <family val="1"/>
      <charset val="129"/>
    </font>
    <font>
      <sz val="12"/>
      <color rgb="FFFF0000"/>
      <name val="굴림"/>
      <family val="3"/>
      <charset val="129"/>
    </font>
    <font>
      <b/>
      <sz val="20"/>
      <name val="HY견명조"/>
      <family val="1"/>
      <charset val="129"/>
    </font>
    <font>
      <b/>
      <sz val="16"/>
      <color rgb="FF0000FF"/>
      <name val="함초롬돋움"/>
      <family val="3"/>
      <charset val="129"/>
    </font>
    <font>
      <b/>
      <sz val="22"/>
      <color theme="2" tint="-0.749992370372631"/>
      <name val="HY견고딕"/>
      <family val="1"/>
      <charset val="129"/>
    </font>
    <font>
      <b/>
      <sz val="10"/>
      <name val="맑은 고딕 Semilight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E9B9B9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729DD2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F2CE80"/>
        <bgColor indexed="64"/>
      </patternFill>
    </fill>
    <fill>
      <patternFill patternType="solid">
        <fgColor rgb="FFA5D07A"/>
        <bgColor indexed="64"/>
      </patternFill>
    </fill>
    <fill>
      <patternFill patternType="solid">
        <fgColor rgb="FF76C3CD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315F97"/>
        <bgColor indexed="64"/>
      </patternFill>
    </fill>
    <fill>
      <patternFill patternType="solid">
        <fgColor rgb="FFC75252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315F97"/>
      </top>
      <bottom style="double">
        <color rgb="FF315F97"/>
      </bottom>
      <diagonal/>
    </border>
    <border>
      <left/>
      <right/>
      <top/>
      <bottom style="thick">
        <color rgb="FF315F97"/>
      </bottom>
      <diagonal/>
    </border>
    <border>
      <left/>
      <right/>
      <top/>
      <bottom style="thick">
        <color rgb="FF8BAED9"/>
      </bottom>
      <diagonal/>
    </border>
    <border>
      <left/>
      <right/>
      <top/>
      <bottom style="medium">
        <color rgb="FF729DD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3">
    <xf numFmtId="0" fontId="0" fillId="0" borderId="0">
      <alignment vertical="center"/>
    </xf>
    <xf numFmtId="41" fontId="11" fillId="0" borderId="0">
      <alignment vertical="center"/>
    </xf>
    <xf numFmtId="0" fontId="6" fillId="0" borderId="0"/>
    <xf numFmtId="41" fontId="6" fillId="0" borderId="0"/>
    <xf numFmtId="41" fontId="11" fillId="0" borderId="0">
      <alignment vertical="center"/>
    </xf>
    <xf numFmtId="0" fontId="11" fillId="0" borderId="0">
      <alignment vertical="center"/>
    </xf>
    <xf numFmtId="41" fontId="6" fillId="0" borderId="0"/>
    <xf numFmtId="0" fontId="11" fillId="0" borderId="0">
      <alignment vertical="center"/>
    </xf>
    <xf numFmtId="9" fontId="6" fillId="0" borderId="0"/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21" fillId="0" borderId="0">
      <alignment vertical="center"/>
    </xf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0" fontId="30" fillId="0" borderId="0">
      <alignment vertical="center"/>
    </xf>
    <xf numFmtId="0" fontId="5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2" fontId="13" fillId="0" borderId="0" applyFont="0" applyFill="0" applyBorder="0" applyAlignment="0" applyProtection="0"/>
    <xf numFmtId="0" fontId="13" fillId="0" borderId="0"/>
    <xf numFmtId="0" fontId="13" fillId="0" borderId="0"/>
    <xf numFmtId="0" fontId="30" fillId="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6" borderId="52" applyNumberFormat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3" fillId="7" borderId="56" applyNumberFormat="0" applyFon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33" borderId="55" applyNumberFormat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0" fillId="0" borderId="54" applyNumberFormat="0" applyFill="0" applyAlignment="0" applyProtection="0">
      <alignment vertical="center"/>
    </xf>
    <xf numFmtId="0" fontId="35" fillId="0" borderId="57" applyNumberFormat="0" applyFill="0" applyAlignment="0" applyProtection="0">
      <alignment vertical="center"/>
    </xf>
    <xf numFmtId="0" fontId="41" fillId="8" borderId="52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58" applyNumberFormat="0" applyFill="0" applyAlignment="0" applyProtection="0">
      <alignment vertical="center"/>
    </xf>
    <xf numFmtId="0" fontId="44" fillId="0" borderId="59" applyNumberFormat="0" applyFill="0" applyAlignment="0" applyProtection="0">
      <alignment vertical="center"/>
    </xf>
    <xf numFmtId="0" fontId="45" fillId="0" borderId="6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6" borderId="53" applyNumberFormat="0" applyAlignment="0" applyProtection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3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661">
    <xf numFmtId="0" fontId="0" fillId="0" borderId="0" xfId="0" applyNumberFormat="1">
      <alignment vertical="center"/>
    </xf>
    <xf numFmtId="0" fontId="8" fillId="0" borderId="0" xfId="2" applyNumberFormat="1" applyFont="1" applyBorder="1" applyAlignment="1">
      <alignment vertical="center"/>
    </xf>
    <xf numFmtId="0" fontId="8" fillId="0" borderId="0" xfId="3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horizontal="center" vertical="center"/>
    </xf>
    <xf numFmtId="41" fontId="7" fillId="0" borderId="0" xfId="2" applyNumberFormat="1" applyFont="1" applyFill="1" applyBorder="1" applyAlignment="1">
      <alignment horizontal="right" vertical="center"/>
    </xf>
    <xf numFmtId="0" fontId="8" fillId="0" borderId="2" xfId="2" applyNumberFormat="1" applyFont="1" applyFill="1" applyBorder="1" applyAlignment="1">
      <alignment vertical="center"/>
    </xf>
    <xf numFmtId="0" fontId="8" fillId="0" borderId="3" xfId="2" applyNumberFormat="1" applyFont="1" applyFill="1" applyBorder="1" applyAlignment="1">
      <alignment vertical="center"/>
    </xf>
    <xf numFmtId="177" fontId="7" fillId="0" borderId="0" xfId="1" applyNumberFormat="1" applyFont="1" applyFill="1" applyBorder="1" applyAlignment="1">
      <alignment horizontal="center" vertical="center"/>
    </xf>
    <xf numFmtId="176" fontId="9" fillId="0" borderId="7" xfId="3" applyNumberFormat="1" applyFont="1" applyFill="1" applyBorder="1" applyAlignment="1">
      <alignment horizontal="right" vertical="center"/>
    </xf>
    <xf numFmtId="0" fontId="8" fillId="0" borderId="16" xfId="2" applyNumberFormat="1" applyFont="1" applyFill="1" applyBorder="1" applyAlignment="1">
      <alignment vertical="center"/>
    </xf>
    <xf numFmtId="177" fontId="8" fillId="0" borderId="0" xfId="1" applyNumberFormat="1" applyFont="1" applyFill="1" applyBorder="1" applyAlignment="1">
      <alignment horizontal="center" vertical="center"/>
    </xf>
    <xf numFmtId="41" fontId="8" fillId="0" borderId="0" xfId="3" applyNumberFormat="1" applyFont="1" applyFill="1" applyBorder="1" applyAlignment="1">
      <alignment horizontal="right" vertical="center"/>
    </xf>
    <xf numFmtId="0" fontId="7" fillId="0" borderId="0" xfId="2" applyNumberFormat="1" applyFont="1" applyFill="1" applyBorder="1" applyAlignment="1">
      <alignment horizontal="left" vertical="center"/>
    </xf>
    <xf numFmtId="176" fontId="15" fillId="0" borderId="3" xfId="12" applyNumberFormat="1" applyFont="1" applyFill="1" applyBorder="1" applyAlignment="1">
      <alignment vertical="center"/>
    </xf>
    <xf numFmtId="176" fontId="18" fillId="0" borderId="3" xfId="12" applyNumberFormat="1" applyFont="1" applyFill="1" applyBorder="1" applyAlignment="1">
      <alignment vertical="center"/>
    </xf>
    <xf numFmtId="176" fontId="15" fillId="2" borderId="3" xfId="12" applyNumberFormat="1" applyFont="1" applyFill="1" applyBorder="1" applyAlignment="1">
      <alignment vertical="center"/>
    </xf>
    <xf numFmtId="178" fontId="25" fillId="0" borderId="0" xfId="11" applyNumberFormat="1" applyFont="1" applyFill="1" applyBorder="1" applyAlignment="1">
      <alignment vertical="center"/>
    </xf>
    <xf numFmtId="177" fontId="22" fillId="0" borderId="0" xfId="11" applyNumberFormat="1" applyFont="1" applyFill="1" applyBorder="1" applyAlignment="1">
      <alignment vertical="center" shrinkToFit="1"/>
    </xf>
    <xf numFmtId="181" fontId="24" fillId="0" borderId="0" xfId="12" applyNumberFormat="1" applyFont="1" applyFill="1" applyBorder="1" applyAlignment="1">
      <alignment vertical="center" shrinkToFit="1"/>
    </xf>
    <xf numFmtId="178" fontId="24" fillId="0" borderId="0" xfId="11" applyNumberFormat="1" applyFont="1" applyFill="1" applyBorder="1" applyAlignment="1">
      <alignment vertical="center" shrinkToFit="1"/>
    </xf>
    <xf numFmtId="41" fontId="23" fillId="0" borderId="0" xfId="12" applyFont="1" applyFill="1" applyAlignment="1">
      <alignment vertical="center"/>
    </xf>
    <xf numFmtId="41" fontId="23" fillId="0" borderId="0" xfId="12" applyFont="1" applyFill="1" applyAlignment="1">
      <alignment horizontal="center" vertical="center"/>
    </xf>
    <xf numFmtId="0" fontId="23" fillId="2" borderId="0" xfId="11" applyFont="1" applyFill="1" applyAlignment="1">
      <alignment vertical="center"/>
    </xf>
    <xf numFmtId="0" fontId="27" fillId="0" borderId="0" xfId="11" applyFont="1" applyAlignment="1">
      <alignment vertical="center"/>
    </xf>
    <xf numFmtId="41" fontId="27" fillId="0" borderId="0" xfId="12" applyFont="1" applyFill="1" applyAlignment="1">
      <alignment vertical="center"/>
    </xf>
    <xf numFmtId="176" fontId="27" fillId="0" borderId="0" xfId="12" applyNumberFormat="1" applyFont="1" applyFill="1" applyAlignment="1">
      <alignment vertical="center"/>
    </xf>
    <xf numFmtId="177" fontId="16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77" fontId="17" fillId="0" borderId="0" xfId="12" applyNumberFormat="1" applyFont="1" applyAlignment="1">
      <alignment vertical="center"/>
    </xf>
    <xf numFmtId="177" fontId="14" fillId="0" borderId="20" xfId="0" applyNumberFormat="1" applyFont="1" applyBorder="1" applyAlignment="1">
      <alignment vertical="center"/>
    </xf>
    <xf numFmtId="177" fontId="14" fillId="0" borderId="0" xfId="12" applyNumberFormat="1" applyFont="1" applyAlignment="1">
      <alignment horizontal="right" vertical="center"/>
    </xf>
    <xf numFmtId="177" fontId="15" fillId="3" borderId="46" xfId="0" applyNumberFormat="1" applyFont="1" applyFill="1" applyBorder="1" applyAlignment="1">
      <alignment horizontal="center" vertical="center"/>
    </xf>
    <xf numFmtId="177" fontId="18" fillId="2" borderId="27" xfId="0" applyNumberFormat="1" applyFont="1" applyFill="1" applyBorder="1" applyAlignment="1">
      <alignment vertical="center"/>
    </xf>
    <xf numFmtId="0" fontId="23" fillId="0" borderId="0" xfId="11" applyFont="1" applyAlignment="1">
      <alignment vertical="center"/>
    </xf>
    <xf numFmtId="0" fontId="24" fillId="0" borderId="0" xfId="11" applyFont="1" applyAlignment="1">
      <alignment vertical="center"/>
    </xf>
    <xf numFmtId="0" fontId="19" fillId="0" borderId="27" xfId="65" applyNumberFormat="1" applyFont="1" applyFill="1" applyBorder="1" applyAlignment="1">
      <alignment horizontal="left" vertical="center"/>
    </xf>
    <xf numFmtId="41" fontId="19" fillId="0" borderId="15" xfId="65" applyFont="1" applyFill="1" applyBorder="1" applyAlignment="1">
      <alignment vertical="center"/>
    </xf>
    <xf numFmtId="0" fontId="20" fillId="0" borderId="6" xfId="65" applyNumberFormat="1" applyFont="1" applyFill="1" applyBorder="1" applyAlignment="1">
      <alignment horizontal="center" vertical="center" shrinkToFit="1"/>
    </xf>
    <xf numFmtId="0" fontId="20" fillId="0" borderId="1" xfId="65" applyNumberFormat="1" applyFont="1" applyFill="1" applyBorder="1" applyAlignment="1">
      <alignment horizontal="center" vertical="center" shrinkToFit="1"/>
    </xf>
    <xf numFmtId="41" fontId="24" fillId="0" borderId="15" xfId="65" applyNumberFormat="1" applyFont="1" applyFill="1" applyBorder="1" applyAlignment="1">
      <alignment horizontal="right" vertical="center"/>
    </xf>
    <xf numFmtId="179" fontId="15" fillId="0" borderId="3" xfId="65" applyNumberFormat="1" applyFont="1" applyFill="1" applyBorder="1" applyAlignment="1">
      <alignment horizontal="right" vertical="center"/>
    </xf>
    <xf numFmtId="0" fontId="13" fillId="0" borderId="0" xfId="11" applyNumberFormat="1" applyFill="1"/>
    <xf numFmtId="0" fontId="29" fillId="0" borderId="0" xfId="11" applyNumberFormat="1" applyFont="1" applyFill="1" applyAlignment="1">
      <alignment vertical="center"/>
    </xf>
    <xf numFmtId="0" fontId="20" fillId="0" borderId="1" xfId="11" applyNumberFormat="1" applyFont="1" applyFill="1" applyBorder="1" applyAlignment="1">
      <alignment horizontal="center" vertical="center"/>
    </xf>
    <xf numFmtId="0" fontId="20" fillId="0" borderId="0" xfId="11" applyNumberFormat="1" applyFont="1" applyFill="1" applyBorder="1" applyAlignment="1">
      <alignment horizontal="center" vertical="center"/>
    </xf>
    <xf numFmtId="0" fontId="10" fillId="0" borderId="0" xfId="11" applyNumberFormat="1" applyFont="1" applyFill="1" applyAlignment="1">
      <alignment vertical="center"/>
    </xf>
    <xf numFmtId="0" fontId="24" fillId="0" borderId="44" xfId="11" applyNumberFormat="1" applyFont="1" applyFill="1" applyBorder="1" applyAlignment="1">
      <alignment vertical="center"/>
    </xf>
    <xf numFmtId="179" fontId="24" fillId="0" borderId="2" xfId="65" applyNumberFormat="1" applyFont="1" applyFill="1" applyBorder="1" applyAlignment="1">
      <alignment horizontal="right" vertical="center"/>
    </xf>
    <xf numFmtId="179" fontId="24" fillId="0" borderId="8" xfId="65" applyNumberFormat="1" applyFont="1" applyFill="1" applyBorder="1" applyAlignment="1">
      <alignment horizontal="right" vertical="center"/>
    </xf>
    <xf numFmtId="179" fontId="15" fillId="0" borderId="2" xfId="65" applyNumberFormat="1" applyFont="1" applyFill="1" applyBorder="1" applyAlignment="1">
      <alignment horizontal="right" vertical="center"/>
    </xf>
    <xf numFmtId="0" fontId="20" fillId="0" borderId="0" xfId="65" applyNumberFormat="1" applyFont="1" applyFill="1" applyBorder="1" applyAlignment="1">
      <alignment horizontal="center" vertical="center" shrinkToFit="1"/>
    </xf>
    <xf numFmtId="41" fontId="24" fillId="0" borderId="27" xfId="65" applyNumberFormat="1" applyFont="1" applyFill="1" applyBorder="1" applyAlignment="1">
      <alignment vertical="center"/>
    </xf>
    <xf numFmtId="41" fontId="24" fillId="0" borderId="1" xfId="65" applyNumberFormat="1" applyFont="1" applyFill="1" applyBorder="1" applyAlignment="1">
      <alignment horizontal="center" vertical="center"/>
    </xf>
    <xf numFmtId="0" fontId="15" fillId="0" borderId="0" xfId="11" applyNumberFormat="1" applyFont="1" applyAlignment="1">
      <alignment vertical="center"/>
    </xf>
    <xf numFmtId="0" fontId="20" fillId="0" borderId="16" xfId="11" applyFont="1" applyBorder="1" applyAlignment="1">
      <alignment vertical="center"/>
    </xf>
    <xf numFmtId="0" fontId="20" fillId="0" borderId="2" xfId="17" applyFont="1" applyBorder="1" applyAlignment="1">
      <alignment vertical="center"/>
    </xf>
    <xf numFmtId="0" fontId="20" fillId="0" borderId="2" xfId="11" applyFont="1" applyBorder="1" applyAlignment="1">
      <alignment vertical="center"/>
    </xf>
    <xf numFmtId="41" fontId="20" fillId="2" borderId="5" xfId="65" applyNumberFormat="1" applyFont="1" applyFill="1" applyBorder="1" applyAlignment="1">
      <alignment horizontal="center" vertical="center" shrinkToFit="1"/>
    </xf>
    <xf numFmtId="0" fontId="15" fillId="0" borderId="0" xfId="11" applyFont="1" applyAlignment="1">
      <alignment vertical="center"/>
    </xf>
    <xf numFmtId="0" fontId="15" fillId="0" borderId="0" xfId="11" applyFont="1" applyBorder="1" applyAlignment="1">
      <alignment vertical="center"/>
    </xf>
    <xf numFmtId="0" fontId="24" fillId="0" borderId="0" xfId="11" applyNumberFormat="1" applyFont="1" applyFill="1" applyAlignment="1">
      <alignment vertical="center"/>
    </xf>
    <xf numFmtId="0" fontId="24" fillId="0" borderId="0" xfId="11" applyNumberFormat="1" applyFont="1" applyFill="1" applyBorder="1" applyAlignment="1">
      <alignment vertical="center"/>
    </xf>
    <xf numFmtId="0" fontId="24" fillId="0" borderId="16" xfId="11" applyNumberFormat="1" applyFont="1" applyFill="1" applyBorder="1" applyAlignment="1">
      <alignment vertical="center"/>
    </xf>
    <xf numFmtId="0" fontId="24" fillId="0" borderId="3" xfId="11" applyNumberFormat="1" applyFont="1" applyFill="1" applyBorder="1" applyAlignment="1">
      <alignment vertical="center"/>
    </xf>
    <xf numFmtId="0" fontId="24" fillId="0" borderId="2" xfId="11" applyNumberFormat="1" applyFont="1" applyFill="1" applyBorder="1" applyAlignment="1">
      <alignment vertical="center"/>
    </xf>
    <xf numFmtId="0" fontId="24" fillId="0" borderId="0" xfId="11" applyNumberFormat="1" applyFont="1" applyFill="1" applyBorder="1" applyAlignment="1">
      <alignment horizontal="center" vertical="center"/>
    </xf>
    <xf numFmtId="0" fontId="24" fillId="0" borderId="8" xfId="11" applyNumberFormat="1" applyFont="1" applyFill="1" applyBorder="1" applyAlignment="1">
      <alignment vertical="center"/>
    </xf>
    <xf numFmtId="0" fontId="24" fillId="0" borderId="26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center"/>
    </xf>
    <xf numFmtId="179" fontId="20" fillId="0" borderId="8" xfId="65" applyNumberFormat="1" applyFont="1" applyFill="1" applyBorder="1" applyAlignment="1">
      <alignment horizontal="right" vertical="center"/>
    </xf>
    <xf numFmtId="179" fontId="20" fillId="0" borderId="7" xfId="65" applyNumberFormat="1" applyFont="1" applyFill="1" applyBorder="1" applyAlignment="1">
      <alignment horizontal="right" vertical="center"/>
    </xf>
    <xf numFmtId="179" fontId="20" fillId="0" borderId="3" xfId="65" applyNumberFormat="1" applyFont="1" applyFill="1" applyBorder="1" applyAlignment="1">
      <alignment horizontal="right" vertical="center"/>
    </xf>
    <xf numFmtId="179" fontId="20" fillId="0" borderId="2" xfId="65" applyNumberFormat="1" applyFont="1" applyFill="1" applyBorder="1" applyAlignment="1">
      <alignment horizontal="right" vertical="center"/>
    </xf>
    <xf numFmtId="179" fontId="20" fillId="0" borderId="26" xfId="65" applyNumberFormat="1" applyFont="1" applyFill="1" applyBorder="1" applyAlignment="1">
      <alignment horizontal="right" vertical="center"/>
    </xf>
    <xf numFmtId="179" fontId="20" fillId="0" borderId="9" xfId="65" applyNumberFormat="1" applyFont="1" applyFill="1" applyBorder="1" applyAlignment="1">
      <alignment horizontal="right" vertical="center"/>
    </xf>
    <xf numFmtId="41" fontId="31" fillId="0" borderId="0" xfId="12" applyFont="1" applyFill="1" applyAlignment="1">
      <alignment vertical="center"/>
    </xf>
    <xf numFmtId="41" fontId="20" fillId="0" borderId="5" xfId="3" applyNumberFormat="1" applyFont="1" applyFill="1" applyBorder="1" applyAlignment="1">
      <alignment horizontal="left" vertical="center"/>
    </xf>
    <xf numFmtId="41" fontId="20" fillId="0" borderId="5" xfId="3" applyNumberFormat="1" applyFont="1" applyFill="1" applyBorder="1" applyAlignment="1">
      <alignment horizontal="center" vertical="center"/>
    </xf>
    <xf numFmtId="41" fontId="20" fillId="0" borderId="11" xfId="3" applyNumberFormat="1" applyFont="1" applyFill="1" applyBorder="1" applyAlignment="1">
      <alignment horizontal="right" vertical="center"/>
    </xf>
    <xf numFmtId="0" fontId="20" fillId="0" borderId="0" xfId="3" applyNumberFormat="1" applyFont="1" applyFill="1" applyBorder="1" applyAlignment="1">
      <alignment horizontal="left" vertical="center"/>
    </xf>
    <xf numFmtId="41" fontId="19" fillId="0" borderId="15" xfId="3" applyNumberFormat="1" applyFont="1" applyFill="1" applyBorder="1" applyAlignment="1">
      <alignment vertical="center"/>
    </xf>
    <xf numFmtId="0" fontId="19" fillId="0" borderId="0" xfId="2" applyNumberFormat="1" applyFont="1" applyBorder="1" applyAlignment="1">
      <alignment horizontal="left" vertical="center" shrinkToFit="1"/>
    </xf>
    <xf numFmtId="0" fontId="19" fillId="0" borderId="6" xfId="2" applyNumberFormat="1" applyFont="1" applyFill="1" applyBorder="1" applyAlignment="1">
      <alignment horizontal="left" vertical="center" shrinkToFit="1"/>
    </xf>
    <xf numFmtId="177" fontId="15" fillId="3" borderId="39" xfId="0" applyNumberFormat="1" applyFont="1" applyFill="1" applyBorder="1" applyAlignment="1">
      <alignment horizontal="center" vertical="center"/>
    </xf>
    <xf numFmtId="177" fontId="15" fillId="2" borderId="44" xfId="0" applyNumberFormat="1" applyFont="1" applyFill="1" applyBorder="1" applyAlignment="1">
      <alignment vertical="center"/>
    </xf>
    <xf numFmtId="176" fontId="15" fillId="2" borderId="46" xfId="12" applyNumberFormat="1" applyFont="1" applyFill="1" applyBorder="1" applyAlignment="1">
      <alignment vertical="center"/>
    </xf>
    <xf numFmtId="0" fontId="29" fillId="0" borderId="0" xfId="11" applyNumberFormat="1" applyFont="1" applyFill="1" applyBorder="1" applyAlignment="1">
      <alignment vertical="center"/>
    </xf>
    <xf numFmtId="0" fontId="24" fillId="3" borderId="51" xfId="11" applyNumberFormat="1" applyFont="1" applyFill="1" applyBorder="1" applyAlignment="1">
      <alignment horizontal="center" vertical="center"/>
    </xf>
    <xf numFmtId="0" fontId="24" fillId="3" borderId="37" xfId="11" applyNumberFormat="1" applyFont="1" applyFill="1" applyBorder="1" applyAlignment="1">
      <alignment horizontal="center" vertical="center"/>
    </xf>
    <xf numFmtId="176" fontId="19" fillId="0" borderId="7" xfId="3" applyNumberFormat="1" applyFont="1" applyFill="1" applyBorder="1" applyAlignment="1">
      <alignment horizontal="right" vertical="center"/>
    </xf>
    <xf numFmtId="176" fontId="18" fillId="0" borderId="7" xfId="3" applyNumberFormat="1" applyFont="1" applyFill="1" applyBorder="1" applyAlignment="1">
      <alignment horizontal="right" vertical="center"/>
    </xf>
    <xf numFmtId="0" fontId="19" fillId="0" borderId="6" xfId="2" applyNumberFormat="1" applyFont="1" applyFill="1" applyBorder="1" applyAlignment="1">
      <alignment horizontal="center" vertical="center"/>
    </xf>
    <xf numFmtId="176" fontId="19" fillId="0" borderId="8" xfId="3" applyNumberFormat="1" applyFont="1" applyFill="1" applyBorder="1" applyAlignment="1">
      <alignment horizontal="right" vertical="center"/>
    </xf>
    <xf numFmtId="176" fontId="18" fillId="0" borderId="8" xfId="3" applyNumberFormat="1" applyFont="1" applyFill="1" applyBorder="1" applyAlignment="1">
      <alignment horizontal="right" vertical="center"/>
    </xf>
    <xf numFmtId="0" fontId="20" fillId="0" borderId="0" xfId="17" applyFont="1" applyFill="1" applyBorder="1" applyAlignment="1">
      <alignment horizontal="center" vertical="center" shrinkToFit="1"/>
    </xf>
    <xf numFmtId="38" fontId="15" fillId="0" borderId="0" xfId="11" applyNumberFormat="1" applyFont="1" applyFill="1" applyBorder="1" applyAlignment="1">
      <alignment vertical="center"/>
    </xf>
    <xf numFmtId="179" fontId="15" fillId="0" borderId="7" xfId="65" applyNumberFormat="1" applyFont="1" applyFill="1" applyBorder="1" applyAlignment="1">
      <alignment horizontal="right" vertical="center"/>
    </xf>
    <xf numFmtId="38" fontId="15" fillId="0" borderId="0" xfId="11" applyNumberFormat="1" applyFont="1" applyFill="1" applyAlignment="1">
      <alignment vertical="center"/>
    </xf>
    <xf numFmtId="178" fontId="20" fillId="0" borderId="2" xfId="10" applyNumberFormat="1" applyFont="1" applyBorder="1" applyAlignment="1">
      <alignment horizontal="right" vertical="center"/>
    </xf>
    <xf numFmtId="0" fontId="15" fillId="0" borderId="0" xfId="5" applyNumberFormat="1" applyFont="1" applyAlignment="1">
      <alignment vertical="center"/>
    </xf>
    <xf numFmtId="179" fontId="20" fillId="0" borderId="2" xfId="10" applyNumberFormat="1" applyFont="1" applyBorder="1" applyAlignment="1">
      <alignment vertical="center"/>
    </xf>
    <xf numFmtId="178" fontId="20" fillId="0" borderId="8" xfId="10" applyNumberFormat="1" applyFont="1" applyBorder="1" applyAlignment="1">
      <alignment horizontal="right" vertical="center"/>
    </xf>
    <xf numFmtId="178" fontId="20" fillId="0" borderId="26" xfId="12" applyNumberFormat="1" applyFont="1" applyBorder="1" applyAlignment="1">
      <alignment vertical="center"/>
    </xf>
    <xf numFmtId="0" fontId="20" fillId="0" borderId="2" xfId="5" applyFont="1" applyBorder="1" applyAlignment="1">
      <alignment vertical="center"/>
    </xf>
    <xf numFmtId="178" fontId="20" fillId="0" borderId="2" xfId="12" applyNumberFormat="1" applyFont="1" applyBorder="1" applyAlignment="1">
      <alignment vertical="center"/>
    </xf>
    <xf numFmtId="176" fontId="20" fillId="0" borderId="2" xfId="12" applyNumberFormat="1" applyFont="1" applyBorder="1" applyAlignment="1">
      <alignment vertical="center"/>
    </xf>
    <xf numFmtId="178" fontId="20" fillId="0" borderId="8" xfId="12" applyNumberFormat="1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176" fontId="18" fillId="2" borderId="8" xfId="12" applyNumberFormat="1" applyFont="1" applyFill="1" applyBorder="1" applyAlignment="1">
      <alignment vertical="center"/>
    </xf>
    <xf numFmtId="176" fontId="18" fillId="2" borderId="7" xfId="12" applyNumberFormat="1" applyFont="1" applyFill="1" applyBorder="1" applyAlignment="1">
      <alignment vertical="center"/>
    </xf>
    <xf numFmtId="176" fontId="18" fillId="2" borderId="3" xfId="12" applyNumberFormat="1" applyFont="1" applyFill="1" applyBorder="1" applyAlignment="1">
      <alignment vertical="center"/>
    </xf>
    <xf numFmtId="176" fontId="18" fillId="35" borderId="7" xfId="12" applyNumberFormat="1" applyFont="1" applyFill="1" applyBorder="1" applyAlignment="1">
      <alignment vertical="center"/>
    </xf>
    <xf numFmtId="176" fontId="18" fillId="2" borderId="35" xfId="12" applyNumberFormat="1" applyFont="1" applyFill="1" applyBorder="1" applyAlignment="1">
      <alignment horizontal="right" vertical="center" shrinkToFit="1"/>
    </xf>
    <xf numFmtId="176" fontId="18" fillId="35" borderId="35" xfId="12" applyNumberFormat="1" applyFont="1" applyFill="1" applyBorder="1" applyAlignment="1">
      <alignment horizontal="right" vertical="center" shrinkToFit="1"/>
    </xf>
    <xf numFmtId="176" fontId="15" fillId="2" borderId="35" xfId="12" applyNumberFormat="1" applyFont="1" applyFill="1" applyBorder="1" applyAlignment="1">
      <alignment horizontal="right" vertical="center" shrinkToFit="1"/>
    </xf>
    <xf numFmtId="176" fontId="15" fillId="2" borderId="43" xfId="12" applyNumberFormat="1" applyFont="1" applyFill="1" applyBorder="1" applyAlignment="1">
      <alignment vertical="center"/>
    </xf>
    <xf numFmtId="176" fontId="15" fillId="2" borderId="40" xfId="12" applyNumberFormat="1" applyFont="1" applyFill="1" applyBorder="1" applyAlignment="1">
      <alignment horizontal="right" vertical="center" shrinkToFit="1"/>
    </xf>
    <xf numFmtId="0" fontId="8" fillId="3" borderId="46" xfId="2" applyNumberFormat="1" applyFont="1" applyFill="1" applyBorder="1" applyAlignment="1">
      <alignment horizontal="center" vertical="center"/>
    </xf>
    <xf numFmtId="176" fontId="26" fillId="3" borderId="50" xfId="12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center" vertical="center"/>
    </xf>
    <xf numFmtId="0" fontId="9" fillId="0" borderId="33" xfId="2" applyNumberFormat="1" applyFont="1" applyFill="1" applyBorder="1" applyAlignment="1">
      <alignment vertical="center"/>
    </xf>
    <xf numFmtId="0" fontId="9" fillId="0" borderId="21" xfId="2" applyNumberFormat="1" applyFont="1" applyFill="1" applyBorder="1" applyAlignment="1">
      <alignment vertical="center"/>
    </xf>
    <xf numFmtId="0" fontId="9" fillId="0" borderId="30" xfId="2" applyNumberFormat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horizontal="left" vertical="center"/>
    </xf>
    <xf numFmtId="0" fontId="8" fillId="0" borderId="0" xfId="2" applyNumberFormat="1" applyFont="1" applyFill="1" applyBorder="1" applyAlignment="1">
      <alignment horizontal="center" vertical="center"/>
    </xf>
    <xf numFmtId="41" fontId="8" fillId="0" borderId="0" xfId="2" applyNumberFormat="1" applyFont="1" applyFill="1" applyBorder="1" applyAlignment="1">
      <alignment horizontal="right" vertical="center"/>
    </xf>
    <xf numFmtId="0" fontId="8" fillId="0" borderId="0" xfId="2" applyNumberFormat="1" applyFont="1" applyFill="1" applyBorder="1" applyAlignment="1">
      <alignment vertical="center"/>
    </xf>
    <xf numFmtId="0" fontId="9" fillId="0" borderId="23" xfId="2" applyNumberFormat="1" applyFont="1" applyFill="1" applyBorder="1" applyAlignment="1">
      <alignment vertical="center"/>
    </xf>
    <xf numFmtId="0" fontId="9" fillId="0" borderId="6" xfId="2" applyNumberFormat="1" applyFont="1" applyFill="1" applyBorder="1" applyAlignment="1">
      <alignment vertical="center"/>
    </xf>
    <xf numFmtId="0" fontId="9" fillId="0" borderId="29" xfId="2" applyNumberFormat="1" applyFont="1" applyFill="1" applyBorder="1" applyAlignment="1">
      <alignment vertical="center"/>
    </xf>
    <xf numFmtId="176" fontId="19" fillId="0" borderId="7" xfId="3" applyNumberFormat="1" applyFont="1" applyFill="1" applyBorder="1" applyAlignment="1">
      <alignment vertical="center"/>
    </xf>
    <xf numFmtId="41" fontId="20" fillId="0" borderId="0" xfId="3" applyNumberFormat="1" applyFont="1" applyFill="1" applyBorder="1" applyAlignment="1">
      <alignment horizontal="center" vertical="center"/>
    </xf>
    <xf numFmtId="0" fontId="9" fillId="0" borderId="62" xfId="2" applyNumberFormat="1" applyFont="1" applyFill="1" applyBorder="1" applyAlignment="1">
      <alignment vertical="center"/>
    </xf>
    <xf numFmtId="0" fontId="9" fillId="0" borderId="3" xfId="2" applyNumberFormat="1" applyFont="1" applyFill="1" applyBorder="1" applyAlignment="1">
      <alignment vertical="center"/>
    </xf>
    <xf numFmtId="0" fontId="24" fillId="0" borderId="23" xfId="11" applyNumberFormat="1" applyFont="1" applyFill="1" applyBorder="1" applyAlignment="1">
      <alignment vertical="center"/>
    </xf>
    <xf numFmtId="0" fontId="15" fillId="0" borderId="0" xfId="11" applyFont="1"/>
    <xf numFmtId="0" fontId="24" fillId="0" borderId="31" xfId="11" applyNumberFormat="1" applyFont="1" applyFill="1" applyBorder="1" applyAlignment="1">
      <alignment vertical="center"/>
    </xf>
    <xf numFmtId="178" fontId="15" fillId="0" borderId="0" xfId="5" applyNumberFormat="1" applyFont="1" applyFill="1" applyBorder="1" applyAlignment="1">
      <alignment vertical="center"/>
    </xf>
    <xf numFmtId="0" fontId="24" fillId="0" borderId="29" xfId="11" applyNumberFormat="1" applyFont="1" applyFill="1" applyBorder="1" applyAlignment="1">
      <alignment vertical="center"/>
    </xf>
    <xf numFmtId="0" fontId="15" fillId="0" borderId="0" xfId="11" applyFont="1" applyFill="1"/>
    <xf numFmtId="0" fontId="20" fillId="0" borderId="5" xfId="11" applyNumberFormat="1" applyFont="1" applyFill="1" applyBorder="1" applyAlignment="1">
      <alignment horizontal="center" vertical="center"/>
    </xf>
    <xf numFmtId="0" fontId="24" fillId="0" borderId="12" xfId="11" applyNumberFormat="1" applyFont="1" applyFill="1" applyBorder="1" applyAlignment="1">
      <alignment vertical="center"/>
    </xf>
    <xf numFmtId="0" fontId="19" fillId="0" borderId="6" xfId="11" applyFont="1" applyFill="1" applyBorder="1" applyAlignment="1">
      <alignment vertical="center" shrinkToFit="1"/>
    </xf>
    <xf numFmtId="0" fontId="24" fillId="0" borderId="2" xfId="11" applyNumberFormat="1" applyFont="1" applyFill="1" applyBorder="1" applyAlignment="1">
      <alignment vertical="top"/>
    </xf>
    <xf numFmtId="179" fontId="15" fillId="0" borderId="8" xfId="65" applyNumberFormat="1" applyFont="1" applyFill="1" applyBorder="1" applyAlignment="1">
      <alignment horizontal="right" vertical="center"/>
    </xf>
    <xf numFmtId="0" fontId="8" fillId="0" borderId="63" xfId="2" applyNumberFormat="1" applyFont="1" applyFill="1" applyBorder="1" applyAlignment="1">
      <alignment vertical="center"/>
    </xf>
    <xf numFmtId="0" fontId="20" fillId="0" borderId="6" xfId="3" applyNumberFormat="1" applyFont="1" applyFill="1" applyBorder="1" applyAlignment="1">
      <alignment horizontal="left" vertical="center"/>
    </xf>
    <xf numFmtId="41" fontId="20" fillId="0" borderId="6" xfId="3" applyNumberFormat="1" applyFont="1" applyFill="1" applyBorder="1" applyAlignment="1">
      <alignment horizontal="center" vertical="center"/>
    </xf>
    <xf numFmtId="41" fontId="20" fillId="0" borderId="15" xfId="3" applyNumberFormat="1" applyFont="1" applyFill="1" applyBorder="1" applyAlignment="1">
      <alignment horizontal="right" vertical="center"/>
    </xf>
    <xf numFmtId="0" fontId="15" fillId="0" borderId="0" xfId="5" applyFont="1" applyBorder="1" applyAlignment="1">
      <alignment vertical="center"/>
    </xf>
    <xf numFmtId="38" fontId="20" fillId="0" borderId="7" xfId="65" applyNumberFormat="1" applyFont="1" applyBorder="1" applyAlignment="1">
      <alignment vertical="center"/>
    </xf>
    <xf numFmtId="176" fontId="20" fillId="0" borderId="7" xfId="65" applyNumberFormat="1" applyFont="1" applyBorder="1" applyAlignment="1">
      <alignment horizontal="right" vertical="center"/>
    </xf>
    <xf numFmtId="41" fontId="20" fillId="2" borderId="4" xfId="65" applyNumberFormat="1" applyFont="1" applyFill="1" applyBorder="1" applyAlignment="1">
      <alignment vertical="center" shrinkToFit="1"/>
    </xf>
    <xf numFmtId="179" fontId="20" fillId="0" borderId="8" xfId="10" applyNumberFormat="1" applyFont="1" applyBorder="1" applyAlignment="1">
      <alignment vertical="center"/>
    </xf>
    <xf numFmtId="176" fontId="20" fillId="0" borderId="8" xfId="12" applyNumberFormat="1" applyFont="1" applyBorder="1" applyAlignment="1">
      <alignment vertical="center"/>
    </xf>
    <xf numFmtId="0" fontId="15" fillId="2" borderId="0" xfId="11" applyNumberFormat="1" applyFont="1" applyFill="1" applyAlignment="1">
      <alignment vertical="center"/>
    </xf>
    <xf numFmtId="0" fontId="15" fillId="2" borderId="0" xfId="11" applyFont="1" applyFill="1" applyAlignment="1">
      <alignment vertical="center"/>
    </xf>
    <xf numFmtId="41" fontId="20" fillId="0" borderId="6" xfId="3" applyNumberFormat="1" applyFont="1" applyFill="1" applyBorder="1" applyAlignment="1">
      <alignment horizontal="left" vertical="center"/>
    </xf>
    <xf numFmtId="0" fontId="20" fillId="0" borderId="23" xfId="3" applyNumberFormat="1" applyFont="1" applyFill="1" applyBorder="1" applyAlignment="1">
      <alignment horizontal="left" vertical="center"/>
    </xf>
    <xf numFmtId="41" fontId="18" fillId="3" borderId="50" xfId="12" applyFont="1" applyFill="1" applyBorder="1" applyAlignment="1">
      <alignment horizontal="right" vertical="center"/>
    </xf>
    <xf numFmtId="176" fontId="18" fillId="3" borderId="61" xfId="12" applyNumberFormat="1" applyFont="1" applyFill="1" applyBorder="1" applyAlignment="1">
      <alignment horizontal="right" vertical="center"/>
    </xf>
    <xf numFmtId="177" fontId="18" fillId="2" borderId="47" xfId="0" applyNumberFormat="1" applyFont="1" applyFill="1" applyBorder="1" applyAlignment="1">
      <alignment vertical="center"/>
    </xf>
    <xf numFmtId="177" fontId="18" fillId="2" borderId="44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horizontal="left" vertical="center"/>
    </xf>
    <xf numFmtId="177" fontId="18" fillId="2" borderId="2" xfId="0" applyNumberFormat="1" applyFont="1" applyFill="1" applyBorder="1" applyAlignment="1">
      <alignment horizontal="left" vertical="center"/>
    </xf>
    <xf numFmtId="177" fontId="18" fillId="2" borderId="3" xfId="0" applyNumberFormat="1" applyFont="1" applyFill="1" applyBorder="1" applyAlignment="1">
      <alignment horizontal="left" vertical="center"/>
    </xf>
    <xf numFmtId="177" fontId="15" fillId="2" borderId="2" xfId="0" applyNumberFormat="1" applyFont="1" applyFill="1" applyBorder="1" applyAlignment="1">
      <alignment horizontal="left" vertical="center"/>
    </xf>
    <xf numFmtId="177" fontId="15" fillId="2" borderId="12" xfId="0" applyNumberFormat="1" applyFont="1" applyFill="1" applyBorder="1" applyAlignment="1">
      <alignment horizontal="left" vertical="center"/>
    </xf>
    <xf numFmtId="177" fontId="15" fillId="2" borderId="7" xfId="0" applyNumberFormat="1" applyFont="1" applyFill="1" applyBorder="1" applyAlignment="1">
      <alignment horizontal="left" vertical="center"/>
    </xf>
    <xf numFmtId="177" fontId="15" fillId="2" borderId="3" xfId="0" applyNumberFormat="1" applyFont="1" applyFill="1" applyBorder="1" applyAlignment="1">
      <alignment horizontal="left" vertical="center"/>
    </xf>
    <xf numFmtId="177" fontId="15" fillId="2" borderId="8" xfId="0" applyNumberFormat="1" applyFont="1" applyFill="1" applyBorder="1" applyAlignment="1">
      <alignment horizontal="left" vertical="center"/>
    </xf>
    <xf numFmtId="177" fontId="15" fillId="2" borderId="19" xfId="0" applyNumberFormat="1" applyFont="1" applyFill="1" applyBorder="1" applyAlignment="1">
      <alignment horizontal="left" vertical="center"/>
    </xf>
    <xf numFmtId="177" fontId="15" fillId="2" borderId="46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vertical="center"/>
    </xf>
    <xf numFmtId="177" fontId="18" fillId="35" borderId="23" xfId="0" applyNumberFormat="1" applyFont="1" applyFill="1" applyBorder="1" applyAlignment="1">
      <alignment vertical="center"/>
    </xf>
    <xf numFmtId="177" fontId="18" fillId="35" borderId="6" xfId="0" applyNumberFormat="1" applyFont="1" applyFill="1" applyBorder="1" applyAlignment="1">
      <alignment vertical="center"/>
    </xf>
    <xf numFmtId="177" fontId="18" fillId="35" borderId="29" xfId="0" applyNumberFormat="1" applyFont="1" applyFill="1" applyBorder="1" applyAlignment="1">
      <alignment vertical="center"/>
    </xf>
    <xf numFmtId="177" fontId="18" fillId="2" borderId="23" xfId="0" applyNumberFormat="1" applyFont="1" applyFill="1" applyBorder="1" applyAlignment="1">
      <alignment vertical="center"/>
    </xf>
    <xf numFmtId="177" fontId="18" fillId="2" borderId="6" xfId="0" applyNumberFormat="1" applyFont="1" applyFill="1" applyBorder="1" applyAlignment="1">
      <alignment vertical="center"/>
    </xf>
    <xf numFmtId="177" fontId="18" fillId="2" borderId="29" xfId="0" applyNumberFormat="1" applyFont="1" applyFill="1" applyBorder="1" applyAlignment="1">
      <alignment vertical="center"/>
    </xf>
    <xf numFmtId="41" fontId="31" fillId="0" borderId="20" xfId="3" applyNumberFormat="1" applyFont="1" applyFill="1" applyBorder="1" applyAlignment="1">
      <alignment horizontal="right" vertical="center"/>
    </xf>
    <xf numFmtId="0" fontId="13" fillId="0" borderId="0" xfId="11" applyNumberFormat="1" applyFill="1" applyAlignment="1"/>
    <xf numFmtId="0" fontId="28" fillId="0" borderId="0" xfId="11" applyNumberFormat="1" applyFont="1" applyFill="1" applyAlignment="1"/>
    <xf numFmtId="176" fontId="19" fillId="3" borderId="50" xfId="12" applyNumberFormat="1" applyFont="1" applyFill="1" applyBorder="1" applyAlignment="1">
      <alignment horizontal="right" vertical="center"/>
    </xf>
    <xf numFmtId="0" fontId="26" fillId="0" borderId="12" xfId="11" applyNumberFormat="1" applyFont="1" applyFill="1" applyBorder="1" applyAlignment="1">
      <alignment horizontal="left" vertical="center"/>
    </xf>
    <xf numFmtId="0" fontId="26" fillId="0" borderId="2" xfId="11" applyNumberFormat="1" applyFont="1" applyFill="1" applyBorder="1" applyAlignment="1">
      <alignment horizontal="left" vertical="center"/>
    </xf>
    <xf numFmtId="0" fontId="26" fillId="0" borderId="1" xfId="11" applyNumberFormat="1" applyFont="1" applyFill="1" applyBorder="1" applyAlignment="1">
      <alignment horizontal="left" vertical="center"/>
    </xf>
    <xf numFmtId="0" fontId="26" fillId="0" borderId="29" xfId="11" applyNumberFormat="1" applyFont="1" applyFill="1" applyBorder="1" applyAlignment="1">
      <alignment horizontal="left" vertical="center"/>
    </xf>
    <xf numFmtId="0" fontId="24" fillId="0" borderId="26" xfId="11" applyNumberFormat="1" applyFont="1" applyFill="1" applyBorder="1" applyAlignment="1">
      <alignment vertical="top"/>
    </xf>
    <xf numFmtId="3" fontId="20" fillId="0" borderId="10" xfId="5" applyNumberFormat="1" applyFont="1" applyFill="1" applyBorder="1" applyAlignment="1">
      <alignment horizontal="right" vertical="center"/>
    </xf>
    <xf numFmtId="0" fontId="20" fillId="0" borderId="3" xfId="17" applyFont="1" applyBorder="1" applyAlignment="1">
      <alignment horizontal="left" vertical="top"/>
    </xf>
    <xf numFmtId="3" fontId="19" fillId="0" borderId="10" xfId="5" applyNumberFormat="1" applyFont="1" applyFill="1" applyBorder="1" applyAlignment="1">
      <alignment horizontal="right" vertical="center"/>
    </xf>
    <xf numFmtId="0" fontId="20" fillId="0" borderId="2" xfId="5" applyFont="1" applyBorder="1" applyAlignment="1">
      <alignment vertical="top"/>
    </xf>
    <xf numFmtId="0" fontId="20" fillId="0" borderId="8" xfId="5" applyFont="1" applyBorder="1" applyAlignment="1">
      <alignment vertical="top"/>
    </xf>
    <xf numFmtId="3" fontId="20" fillId="0" borderId="11" xfId="5" applyNumberFormat="1" applyFont="1" applyFill="1" applyBorder="1" applyAlignment="1">
      <alignment horizontal="right" vertical="center"/>
    </xf>
    <xf numFmtId="0" fontId="20" fillId="0" borderId="26" xfId="5" applyFont="1" applyBorder="1" applyAlignment="1">
      <alignment vertical="top"/>
    </xf>
    <xf numFmtId="0" fontId="20" fillId="0" borderId="4" xfId="5" applyFont="1" applyFill="1" applyBorder="1" applyAlignment="1">
      <alignment horizontal="justify" vertical="center"/>
    </xf>
    <xf numFmtId="0" fontId="20" fillId="0" borderId="3" xfId="5" applyFont="1" applyBorder="1" applyAlignment="1">
      <alignment vertical="top"/>
    </xf>
    <xf numFmtId="0" fontId="20" fillId="0" borderId="19" xfId="5" applyFont="1" applyBorder="1" applyAlignment="1">
      <alignment vertical="top"/>
    </xf>
    <xf numFmtId="176" fontId="18" fillId="0" borderId="7" xfId="12" applyNumberFormat="1" applyFont="1" applyFill="1" applyBorder="1" applyAlignment="1">
      <alignment vertical="center"/>
    </xf>
    <xf numFmtId="176" fontId="20" fillId="0" borderId="3" xfId="12" applyNumberFormat="1" applyFont="1" applyBorder="1" applyAlignment="1">
      <alignment vertical="center"/>
    </xf>
    <xf numFmtId="0" fontId="20" fillId="0" borderId="0" xfId="11" applyFont="1" applyFill="1" applyBorder="1" applyAlignment="1">
      <alignment horizontal="center" vertical="center"/>
    </xf>
    <xf numFmtId="0" fontId="20" fillId="0" borderId="5" xfId="11" applyFont="1" applyFill="1" applyBorder="1" applyAlignment="1">
      <alignment horizontal="center" vertical="center"/>
    </xf>
    <xf numFmtId="0" fontId="9" fillId="0" borderId="32" xfId="2" applyNumberFormat="1" applyFont="1" applyFill="1" applyBorder="1" applyAlignment="1">
      <alignment vertical="center"/>
    </xf>
    <xf numFmtId="0" fontId="20" fillId="0" borderId="3" xfId="17" applyFont="1" applyBorder="1" applyAlignment="1">
      <alignment vertical="center"/>
    </xf>
    <xf numFmtId="178" fontId="20" fillId="0" borderId="3" xfId="10" applyNumberFormat="1" applyFont="1" applyBorder="1" applyAlignment="1">
      <alignment horizontal="right" vertical="center"/>
    </xf>
    <xf numFmtId="179" fontId="20" fillId="0" borderId="3" xfId="10" applyNumberFormat="1" applyFont="1" applyBorder="1" applyAlignment="1">
      <alignment vertical="center"/>
    </xf>
    <xf numFmtId="0" fontId="20" fillId="0" borderId="1" xfId="17" applyFont="1" applyFill="1" applyBorder="1" applyAlignment="1">
      <alignment horizontal="center" vertical="center" shrinkToFit="1"/>
    </xf>
    <xf numFmtId="178" fontId="20" fillId="0" borderId="3" xfId="12" applyNumberFormat="1" applyFont="1" applyBorder="1" applyAlignment="1">
      <alignment vertical="center"/>
    </xf>
    <xf numFmtId="0" fontId="20" fillId="0" borderId="5" xfId="17" applyFont="1" applyFill="1" applyBorder="1" applyAlignment="1">
      <alignment horizontal="center" vertical="center" shrinkToFit="1"/>
    </xf>
    <xf numFmtId="176" fontId="20" fillId="0" borderId="1" xfId="12" applyNumberFormat="1" applyFont="1" applyBorder="1" applyAlignment="1">
      <alignment vertical="center"/>
    </xf>
    <xf numFmtId="178" fontId="20" fillId="0" borderId="19" xfId="10" applyNumberFormat="1" applyFont="1" applyBorder="1" applyAlignment="1">
      <alignment horizontal="right" vertical="center"/>
    </xf>
    <xf numFmtId="0" fontId="20" fillId="0" borderId="20" xfId="17" applyFont="1" applyFill="1" applyBorder="1" applyAlignment="1">
      <alignment horizontal="center" vertical="center" shrinkToFit="1"/>
    </xf>
    <xf numFmtId="0" fontId="19" fillId="0" borderId="12" xfId="65" applyNumberFormat="1" applyFont="1" applyFill="1" applyBorder="1" applyAlignment="1">
      <alignment horizontal="left" vertical="center"/>
    </xf>
    <xf numFmtId="0" fontId="20" fillId="0" borderId="12" xfId="65" applyNumberFormat="1" applyFont="1" applyFill="1" applyBorder="1" applyAlignment="1">
      <alignment horizontal="left" vertical="center"/>
    </xf>
    <xf numFmtId="0" fontId="20" fillId="0" borderId="4" xfId="65" applyNumberFormat="1" applyFont="1" applyFill="1" applyBorder="1" applyAlignment="1">
      <alignment horizontal="left" vertical="center"/>
    </xf>
    <xf numFmtId="0" fontId="20" fillId="0" borderId="0" xfId="65" applyNumberFormat="1" applyFont="1" applyFill="1" applyBorder="1" applyAlignment="1">
      <alignment horizontal="left" vertical="center"/>
    </xf>
    <xf numFmtId="3" fontId="19" fillId="0" borderId="17" xfId="5" applyNumberFormat="1" applyFont="1" applyFill="1" applyBorder="1" applyAlignment="1">
      <alignment horizontal="right" vertical="center"/>
    </xf>
    <xf numFmtId="0" fontId="26" fillId="0" borderId="0" xfId="11" applyNumberFormat="1" applyFont="1" applyFill="1" applyBorder="1" applyAlignment="1">
      <alignment horizontal="left" vertical="center"/>
    </xf>
    <xf numFmtId="41" fontId="24" fillId="0" borderId="23" xfId="65" applyNumberFormat="1" applyFont="1" applyFill="1" applyBorder="1" applyAlignment="1">
      <alignment horizontal="center" vertical="center"/>
    </xf>
    <xf numFmtId="0" fontId="26" fillId="0" borderId="26" xfId="11" applyNumberFormat="1" applyFont="1" applyFill="1" applyBorder="1" applyAlignment="1">
      <alignment horizontal="left" vertical="center"/>
    </xf>
    <xf numFmtId="0" fontId="20" fillId="0" borderId="2" xfId="17" applyFont="1" applyBorder="1" applyAlignment="1">
      <alignment horizontal="left" vertical="top"/>
    </xf>
    <xf numFmtId="178" fontId="20" fillId="0" borderId="26" xfId="10" applyNumberFormat="1" applyFont="1" applyBorder="1" applyAlignment="1">
      <alignment horizontal="right" vertical="center"/>
    </xf>
    <xf numFmtId="0" fontId="20" fillId="0" borderId="8" xfId="5" applyFont="1" applyBorder="1" applyAlignment="1">
      <alignment vertical="center"/>
    </xf>
    <xf numFmtId="178" fontId="20" fillId="0" borderId="9" xfId="10" applyNumberFormat="1" applyFont="1" applyBorder="1" applyAlignment="1">
      <alignment horizontal="right" vertical="center"/>
    </xf>
    <xf numFmtId="0" fontId="20" fillId="0" borderId="18" xfId="11" applyFont="1" applyBorder="1" applyAlignment="1">
      <alignment vertical="center"/>
    </xf>
    <xf numFmtId="0" fontId="20" fillId="0" borderId="19" xfId="11" applyFont="1" applyBorder="1" applyAlignment="1">
      <alignment vertical="center"/>
    </xf>
    <xf numFmtId="0" fontId="20" fillId="0" borderId="19" xfId="17" applyFont="1" applyBorder="1" applyAlignment="1">
      <alignment horizontal="left" vertical="top"/>
    </xf>
    <xf numFmtId="0" fontId="20" fillId="0" borderId="19" xfId="17" applyFont="1" applyBorder="1" applyAlignment="1">
      <alignment vertical="center"/>
    </xf>
    <xf numFmtId="179" fontId="15" fillId="0" borderId="19" xfId="65" applyNumberFormat="1" applyFont="1" applyFill="1" applyBorder="1" applyAlignment="1">
      <alignment horizontal="right" vertical="center"/>
    </xf>
    <xf numFmtId="0" fontId="20" fillId="0" borderId="25" xfId="65" applyNumberFormat="1" applyFont="1" applyFill="1" applyBorder="1" applyAlignment="1">
      <alignment horizontal="left" vertical="center"/>
    </xf>
    <xf numFmtId="0" fontId="20" fillId="0" borderId="20" xfId="11" applyFont="1" applyFill="1" applyBorder="1" applyAlignment="1">
      <alignment horizontal="center" vertical="center"/>
    </xf>
    <xf numFmtId="3" fontId="20" fillId="0" borderId="11" xfId="11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right" vertical="center"/>
    </xf>
    <xf numFmtId="41" fontId="19" fillId="0" borderId="15" xfId="3" applyNumberFormat="1" applyFont="1" applyFill="1" applyBorder="1" applyAlignment="1">
      <alignment horizontal="right" vertical="center"/>
    </xf>
    <xf numFmtId="41" fontId="19" fillId="0" borderId="15" xfId="65" applyFon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177" fontId="15" fillId="2" borderId="24" xfId="0" applyNumberFormat="1" applyFont="1" applyFill="1" applyBorder="1" applyAlignment="1">
      <alignment vertical="center"/>
    </xf>
    <xf numFmtId="177" fontId="15" fillId="2" borderId="25" xfId="0" applyNumberFormat="1" applyFont="1" applyFill="1" applyBorder="1" applyAlignment="1">
      <alignment horizontal="left" vertical="center"/>
    </xf>
    <xf numFmtId="177" fontId="18" fillId="2" borderId="42" xfId="0" applyNumberFormat="1" applyFont="1" applyFill="1" applyBorder="1" applyAlignment="1">
      <alignment vertical="center"/>
    </xf>
    <xf numFmtId="176" fontId="15" fillId="0" borderId="46" xfId="12" applyNumberFormat="1" applyFont="1" applyFill="1" applyBorder="1" applyAlignment="1">
      <alignment vertical="center"/>
    </xf>
    <xf numFmtId="3" fontId="20" fillId="0" borderId="28" xfId="5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left" vertical="center"/>
    </xf>
    <xf numFmtId="0" fontId="24" fillId="0" borderId="8" xfId="11" applyNumberFormat="1" applyFont="1" applyFill="1" applyBorder="1" applyAlignment="1">
      <alignment vertical="top"/>
    </xf>
    <xf numFmtId="0" fontId="9" fillId="0" borderId="2" xfId="2" applyNumberFormat="1" applyFont="1" applyFill="1" applyBorder="1" applyAlignment="1">
      <alignment vertical="center"/>
    </xf>
    <xf numFmtId="176" fontId="49" fillId="0" borderId="0" xfId="0" applyNumberFormat="1" applyFont="1">
      <alignment vertical="center"/>
    </xf>
    <xf numFmtId="177" fontId="18" fillId="35" borderId="47" xfId="0" applyNumberFormat="1" applyFont="1" applyFill="1" applyBorder="1" applyAlignment="1">
      <alignment vertical="center"/>
    </xf>
    <xf numFmtId="176" fontId="18" fillId="35" borderId="8" xfId="12" applyNumberFormat="1" applyFont="1" applyFill="1" applyBorder="1" applyAlignment="1">
      <alignment vertical="center"/>
    </xf>
    <xf numFmtId="3" fontId="49" fillId="0" borderId="0" xfId="0" applyNumberFormat="1" applyFont="1">
      <alignment vertical="center"/>
    </xf>
    <xf numFmtId="177" fontId="18" fillId="2" borderId="16" xfId="0" applyNumberFormat="1" applyFont="1" applyFill="1" applyBorder="1" applyAlignment="1">
      <alignment vertical="center"/>
    </xf>
    <xf numFmtId="177" fontId="18" fillId="0" borderId="27" xfId="0" applyNumberFormat="1" applyFont="1" applyFill="1" applyBorder="1" applyAlignment="1">
      <alignment vertical="center"/>
    </xf>
    <xf numFmtId="0" fontId="11" fillId="0" borderId="0" xfId="0" applyNumberFormat="1" applyFont="1">
      <alignment vertical="center"/>
    </xf>
    <xf numFmtId="177" fontId="18" fillId="2" borderId="1" xfId="0" applyNumberFormat="1" applyFont="1" applyFill="1" applyBorder="1" applyAlignment="1">
      <alignment vertical="center"/>
    </xf>
    <xf numFmtId="0" fontId="18" fillId="2" borderId="7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vertical="center"/>
    </xf>
    <xf numFmtId="0" fontId="18" fillId="2" borderId="23" xfId="0" applyNumberFormat="1" applyFont="1" applyFill="1" applyBorder="1" applyAlignment="1">
      <alignment vertical="center"/>
    </xf>
    <xf numFmtId="177" fontId="18" fillId="0" borderId="2" xfId="0" applyNumberFormat="1" applyFont="1" applyFill="1" applyBorder="1" applyAlignment="1">
      <alignment vertical="center"/>
    </xf>
    <xf numFmtId="177" fontId="18" fillId="35" borderId="5" xfId="0" applyNumberFormat="1" applyFont="1" applyFill="1" applyBorder="1" applyAlignment="1">
      <alignment vertical="center"/>
    </xf>
    <xf numFmtId="177" fontId="18" fillId="2" borderId="24" xfId="0" applyNumberFormat="1" applyFont="1" applyFill="1" applyBorder="1" applyAlignment="1">
      <alignment vertical="center"/>
    </xf>
    <xf numFmtId="177" fontId="18" fillId="2" borderId="19" xfId="0" applyNumberFormat="1" applyFont="1" applyFill="1" applyBorder="1" applyAlignment="1">
      <alignment horizontal="left" vertical="center"/>
    </xf>
    <xf numFmtId="177" fontId="18" fillId="2" borderId="25" xfId="0" applyNumberFormat="1" applyFont="1" applyFill="1" applyBorder="1" applyAlignment="1">
      <alignment horizontal="left" vertical="center"/>
    </xf>
    <xf numFmtId="0" fontId="9" fillId="0" borderId="4" xfId="2" applyNumberFormat="1" applyFont="1" applyFill="1" applyBorder="1" applyAlignment="1">
      <alignment vertical="center"/>
    </xf>
    <xf numFmtId="0" fontId="9" fillId="0" borderId="5" xfId="2" applyNumberFormat="1" applyFont="1" applyFill="1" applyBorder="1" applyAlignment="1">
      <alignment vertical="center"/>
    </xf>
    <xf numFmtId="0" fontId="9" fillId="0" borderId="9" xfId="2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top"/>
    </xf>
    <xf numFmtId="180" fontId="31" fillId="0" borderId="20" xfId="3" applyNumberFormat="1" applyFont="1" applyFill="1" applyBorder="1" applyAlignment="1">
      <alignment horizontal="right" vertical="center"/>
    </xf>
    <xf numFmtId="180" fontId="24" fillId="3" borderId="38" xfId="11" applyNumberFormat="1" applyFont="1" applyFill="1" applyBorder="1" applyAlignment="1">
      <alignment horizontal="right" vertical="center"/>
    </xf>
    <xf numFmtId="180" fontId="20" fillId="0" borderId="11" xfId="3" applyNumberFormat="1" applyFont="1" applyFill="1" applyBorder="1" applyAlignment="1">
      <alignment horizontal="right" vertical="center"/>
    </xf>
    <xf numFmtId="180" fontId="19" fillId="0" borderId="15" xfId="3" applyNumberFormat="1" applyFont="1" applyFill="1" applyBorder="1" applyAlignment="1">
      <alignment horizontal="right" vertical="center"/>
    </xf>
    <xf numFmtId="176" fontId="15" fillId="0" borderId="8" xfId="3" applyNumberFormat="1" applyFont="1" applyFill="1" applyBorder="1" applyAlignment="1">
      <alignment horizontal="right" vertical="center"/>
    </xf>
    <xf numFmtId="176" fontId="15" fillId="0" borderId="2" xfId="3" applyNumberFormat="1" applyFont="1" applyFill="1" applyBorder="1" applyAlignment="1">
      <alignment horizontal="right" vertical="center"/>
    </xf>
    <xf numFmtId="180" fontId="19" fillId="0" borderId="17" xfId="5" applyNumberFormat="1" applyFont="1" applyFill="1" applyBorder="1" applyAlignment="1">
      <alignment horizontal="right" vertical="center"/>
    </xf>
    <xf numFmtId="180" fontId="20" fillId="0" borderId="28" xfId="5" applyNumberFormat="1" applyFont="1" applyFill="1" applyBorder="1" applyAlignment="1">
      <alignment horizontal="right" vertical="center"/>
    </xf>
    <xf numFmtId="0" fontId="19" fillId="0" borderId="5" xfId="11" applyFont="1" applyFill="1" applyBorder="1" applyAlignment="1">
      <alignment vertical="center" shrinkToFit="1"/>
    </xf>
    <xf numFmtId="0" fontId="20" fillId="0" borderId="5" xfId="65" applyNumberFormat="1" applyFont="1" applyFill="1" applyBorder="1" applyAlignment="1">
      <alignment horizontal="center" vertical="center" shrinkToFit="1"/>
    </xf>
    <xf numFmtId="180" fontId="19" fillId="0" borderId="11" xfId="65" applyNumberFormat="1" applyFont="1" applyFill="1" applyBorder="1" applyAlignment="1">
      <alignment horizontal="right" vertical="center"/>
    </xf>
    <xf numFmtId="184" fontId="20" fillId="0" borderId="19" xfId="10" applyNumberFormat="1" applyFont="1" applyBorder="1" applyAlignment="1">
      <alignment horizontal="right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right" vertical="center"/>
    </xf>
    <xf numFmtId="176" fontId="18" fillId="3" borderId="50" xfId="12" applyNumberFormat="1" applyFont="1" applyFill="1" applyBorder="1" applyAlignment="1">
      <alignment vertical="center"/>
    </xf>
    <xf numFmtId="177" fontId="15" fillId="2" borderId="7" xfId="0" applyNumberFormat="1" applyFont="1" applyFill="1" applyBorder="1" applyAlignment="1">
      <alignment vertical="center"/>
    </xf>
    <xf numFmtId="41" fontId="20" fillId="0" borderId="20" xfId="3" applyNumberFormat="1" applyFont="1" applyFill="1" applyBorder="1" applyAlignment="1">
      <alignment horizontal="right" vertical="center"/>
    </xf>
    <xf numFmtId="176" fontId="18" fillId="3" borderId="45" xfId="3" applyNumberFormat="1" applyFont="1" applyFill="1" applyBorder="1" applyAlignment="1">
      <alignment horizontal="right" vertical="center"/>
    </xf>
    <xf numFmtId="176" fontId="18" fillId="0" borderId="22" xfId="3" applyNumberFormat="1" applyFont="1" applyFill="1" applyBorder="1" applyAlignment="1">
      <alignment horizontal="right" vertical="center"/>
    </xf>
    <xf numFmtId="0" fontId="19" fillId="0" borderId="69" xfId="2" applyNumberFormat="1" applyFont="1" applyFill="1" applyBorder="1" applyAlignment="1">
      <alignment vertical="center"/>
    </xf>
    <xf numFmtId="0" fontId="19" fillId="0" borderId="4" xfId="2" applyNumberFormat="1" applyFont="1" applyFill="1" applyBorder="1" applyAlignment="1">
      <alignment vertical="center"/>
    </xf>
    <xf numFmtId="176" fontId="26" fillId="0" borderId="8" xfId="12" applyNumberFormat="1" applyFont="1" applyFill="1" applyBorder="1" applyAlignment="1">
      <alignment horizontal="right" vertical="center"/>
    </xf>
    <xf numFmtId="0" fontId="20" fillId="0" borderId="16" xfId="2" applyNumberFormat="1" applyFont="1" applyFill="1" applyBorder="1" applyAlignment="1">
      <alignment vertical="center"/>
    </xf>
    <xf numFmtId="0" fontId="19" fillId="0" borderId="23" xfId="2" applyNumberFormat="1" applyFont="1" applyFill="1" applyBorder="1" applyAlignment="1">
      <alignment vertical="center"/>
    </xf>
    <xf numFmtId="0" fontId="24" fillId="0" borderId="18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top"/>
    </xf>
    <xf numFmtId="0" fontId="24" fillId="0" borderId="70" xfId="11" applyNumberFormat="1" applyFont="1" applyFill="1" applyBorder="1" applyAlignment="1">
      <alignment vertical="top"/>
    </xf>
    <xf numFmtId="179" fontId="20" fillId="0" borderId="19" xfId="65" applyNumberFormat="1" applyFont="1" applyFill="1" applyBorder="1" applyAlignment="1">
      <alignment horizontal="right" vertical="center"/>
    </xf>
    <xf numFmtId="176" fontId="18" fillId="3" borderId="2" xfId="12" applyNumberFormat="1" applyFont="1" applyFill="1" applyBorder="1" applyAlignment="1">
      <alignment vertical="center"/>
    </xf>
    <xf numFmtId="177" fontId="18" fillId="35" borderId="65" xfId="0" applyNumberFormat="1" applyFont="1" applyFill="1" applyBorder="1" applyAlignment="1">
      <alignment vertical="center"/>
    </xf>
    <xf numFmtId="177" fontId="18" fillId="35" borderId="21" xfId="0" applyNumberFormat="1" applyFont="1" applyFill="1" applyBorder="1" applyAlignment="1">
      <alignment vertical="center"/>
    </xf>
    <xf numFmtId="177" fontId="18" fillId="35" borderId="0" xfId="0" applyNumberFormat="1" applyFont="1" applyFill="1" applyBorder="1" applyAlignment="1">
      <alignment horizontal="center" vertical="center"/>
    </xf>
    <xf numFmtId="177" fontId="18" fillId="35" borderId="26" xfId="0" applyNumberFormat="1" applyFont="1" applyFill="1" applyBorder="1" applyAlignment="1">
      <alignment horizontal="center" vertical="center"/>
    </xf>
    <xf numFmtId="176" fontId="18" fillId="35" borderId="22" xfId="12" applyNumberFormat="1" applyFont="1" applyFill="1" applyBorder="1" applyAlignment="1">
      <alignment vertical="center"/>
    </xf>
    <xf numFmtId="176" fontId="18" fillId="35" borderId="66" xfId="12" applyNumberFormat="1" applyFont="1" applyFill="1" applyBorder="1" applyAlignment="1">
      <alignment horizontal="right" vertical="center"/>
    </xf>
    <xf numFmtId="177" fontId="18" fillId="35" borderId="71" xfId="0" applyNumberFormat="1" applyFont="1" applyFill="1" applyBorder="1" applyAlignment="1">
      <alignment vertical="center"/>
    </xf>
    <xf numFmtId="177" fontId="18" fillId="2" borderId="69" xfId="0" applyNumberFormat="1" applyFont="1" applyFill="1" applyBorder="1" applyAlignment="1">
      <alignment vertical="center"/>
    </xf>
    <xf numFmtId="0" fontId="0" fillId="0" borderId="0" xfId="0" applyNumberFormat="1" applyFill="1">
      <alignment vertical="center"/>
    </xf>
    <xf numFmtId="177" fontId="18" fillId="2" borderId="18" xfId="0" applyNumberFormat="1" applyFont="1" applyFill="1" applyBorder="1" applyAlignment="1">
      <alignment vertical="center"/>
    </xf>
    <xf numFmtId="177" fontId="18" fillId="36" borderId="44" xfId="0" applyNumberFormat="1" applyFont="1" applyFill="1" applyBorder="1" applyAlignment="1">
      <alignment vertical="center"/>
    </xf>
    <xf numFmtId="177" fontId="18" fillId="36" borderId="5" xfId="0" applyNumberFormat="1" applyFont="1" applyFill="1" applyBorder="1" applyAlignment="1">
      <alignment vertical="center"/>
    </xf>
    <xf numFmtId="176" fontId="18" fillId="36" borderId="8" xfId="12" applyNumberFormat="1" applyFont="1" applyFill="1" applyBorder="1" applyAlignment="1">
      <alignment vertical="center"/>
    </xf>
    <xf numFmtId="176" fontId="18" fillId="36" borderId="73" xfId="12" applyNumberFormat="1" applyFont="1" applyFill="1" applyBorder="1" applyAlignment="1">
      <alignment horizontal="right" vertical="center"/>
    </xf>
    <xf numFmtId="177" fontId="18" fillId="36" borderId="47" xfId="0" applyNumberFormat="1" applyFont="1" applyFill="1" applyBorder="1" applyAlignment="1">
      <alignment vertical="center"/>
    </xf>
    <xf numFmtId="177" fontId="18" fillId="36" borderId="6" xfId="0" applyNumberFormat="1" applyFont="1" applyFill="1" applyBorder="1" applyAlignment="1">
      <alignment vertical="center"/>
    </xf>
    <xf numFmtId="177" fontId="18" fillId="36" borderId="29" xfId="0" applyNumberFormat="1" applyFont="1" applyFill="1" applyBorder="1" applyAlignment="1">
      <alignment vertical="center"/>
    </xf>
    <xf numFmtId="177" fontId="18" fillId="36" borderId="20" xfId="0" applyNumberFormat="1" applyFont="1" applyFill="1" applyBorder="1" applyAlignment="1">
      <alignment vertical="center"/>
    </xf>
    <xf numFmtId="177" fontId="18" fillId="36" borderId="70" xfId="0" applyNumberFormat="1" applyFont="1" applyFill="1" applyBorder="1" applyAlignment="1">
      <alignment vertical="center"/>
    </xf>
    <xf numFmtId="176" fontId="18" fillId="36" borderId="19" xfId="12" applyNumberFormat="1" applyFont="1" applyFill="1" applyBorder="1" applyAlignment="1">
      <alignment vertical="center"/>
    </xf>
    <xf numFmtId="177" fontId="18" fillId="36" borderId="23" xfId="0" applyNumberFormat="1" applyFont="1" applyFill="1" applyBorder="1" applyAlignment="1">
      <alignment vertical="center"/>
    </xf>
    <xf numFmtId="176" fontId="18" fillId="36" borderId="7" xfId="12" applyNumberFormat="1" applyFont="1" applyFill="1" applyBorder="1" applyAlignment="1">
      <alignment vertical="center"/>
    </xf>
    <xf numFmtId="176" fontId="18" fillId="36" borderId="35" xfId="12" applyNumberFormat="1" applyFont="1" applyFill="1" applyBorder="1" applyAlignment="1">
      <alignment horizontal="right" vertical="center"/>
    </xf>
    <xf numFmtId="0" fontId="20" fillId="2" borderId="16" xfId="11" applyFont="1" applyFill="1" applyBorder="1" applyAlignment="1">
      <alignment vertical="center"/>
    </xf>
    <xf numFmtId="0" fontId="20" fillId="2" borderId="2" xfId="11" applyFont="1" applyFill="1" applyBorder="1" applyAlignment="1">
      <alignment vertical="center"/>
    </xf>
    <xf numFmtId="176" fontId="18" fillId="0" borderId="2" xfId="3" applyNumberFormat="1" applyFont="1" applyFill="1" applyBorder="1" applyAlignment="1">
      <alignment horizontal="right" vertical="center"/>
    </xf>
    <xf numFmtId="176" fontId="19" fillId="0" borderId="8" xfId="3" applyNumberFormat="1" applyFont="1" applyFill="1" applyBorder="1" applyAlignment="1">
      <alignment vertical="center"/>
    </xf>
    <xf numFmtId="177" fontId="18" fillId="36" borderId="9" xfId="0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76" fontId="18" fillId="3" borderId="50" xfId="3" applyNumberFormat="1" applyFont="1" applyFill="1" applyBorder="1" applyAlignment="1">
      <alignment horizontal="right" vertical="center"/>
    </xf>
    <xf numFmtId="177" fontId="15" fillId="2" borderId="16" xfId="0" applyNumberFormat="1" applyFont="1" applyFill="1" applyBorder="1" applyAlignment="1">
      <alignment vertical="center"/>
    </xf>
    <xf numFmtId="177" fontId="18" fillId="35" borderId="4" xfId="0" applyNumberFormat="1" applyFont="1" applyFill="1" applyBorder="1" applyAlignment="1">
      <alignment vertical="center"/>
    </xf>
    <xf numFmtId="177" fontId="18" fillId="35" borderId="9" xfId="0" applyNumberFormat="1" applyFont="1" applyFill="1" applyBorder="1" applyAlignment="1">
      <alignment vertical="center"/>
    </xf>
    <xf numFmtId="176" fontId="18" fillId="35" borderId="73" xfId="12" applyNumberFormat="1" applyFont="1" applyFill="1" applyBorder="1" applyAlignment="1">
      <alignment horizontal="right" vertical="center" shrinkToFit="1"/>
    </xf>
    <xf numFmtId="176" fontId="15" fillId="2" borderId="7" xfId="12" applyNumberFormat="1" applyFont="1" applyFill="1" applyBorder="1" applyAlignment="1">
      <alignment vertical="center"/>
    </xf>
    <xf numFmtId="176" fontId="18" fillId="35" borderId="19" xfId="12" applyNumberFormat="1" applyFont="1" applyFill="1" applyBorder="1" applyAlignment="1">
      <alignment vertical="center"/>
    </xf>
    <xf numFmtId="177" fontId="18" fillId="2" borderId="8" xfId="0" applyNumberFormat="1" applyFont="1" applyFill="1" applyBorder="1" applyAlignment="1">
      <alignment vertical="center"/>
    </xf>
    <xf numFmtId="177" fontId="18" fillId="2" borderId="2" xfId="0" applyNumberFormat="1" applyFont="1" applyFill="1" applyBorder="1" applyAlignment="1">
      <alignment vertical="center"/>
    </xf>
    <xf numFmtId="0" fontId="20" fillId="0" borderId="26" xfId="5" applyFont="1" applyFill="1" applyBorder="1" applyAlignment="1">
      <alignment vertical="top"/>
    </xf>
    <xf numFmtId="0" fontId="24" fillId="0" borderId="4" xfId="11" applyNumberFormat="1" applyFont="1" applyFill="1" applyBorder="1" applyAlignment="1">
      <alignment vertical="center"/>
    </xf>
    <xf numFmtId="41" fontId="19" fillId="0" borderId="11" xfId="65" applyFont="1" applyFill="1" applyBorder="1" applyAlignment="1">
      <alignment horizontal="right" vertical="center"/>
    </xf>
    <xf numFmtId="0" fontId="20" fillId="0" borderId="19" xfId="5" applyFont="1" applyBorder="1" applyAlignment="1">
      <alignment vertical="center"/>
    </xf>
    <xf numFmtId="178" fontId="20" fillId="0" borderId="19" xfId="12" applyNumberFormat="1" applyFont="1" applyBorder="1" applyAlignment="1">
      <alignment vertical="center"/>
    </xf>
    <xf numFmtId="178" fontId="20" fillId="0" borderId="70" xfId="10" applyNumberFormat="1" applyFont="1" applyBorder="1" applyAlignment="1">
      <alignment horizontal="right" vertical="center"/>
    </xf>
    <xf numFmtId="176" fontId="20" fillId="0" borderId="19" xfId="12" applyNumberFormat="1" applyFont="1" applyBorder="1" applyAlignment="1">
      <alignment vertical="center"/>
    </xf>
    <xf numFmtId="0" fontId="20" fillId="0" borderId="70" xfId="5" applyFont="1" applyBorder="1" applyAlignment="1">
      <alignment vertical="top"/>
    </xf>
    <xf numFmtId="178" fontId="0" fillId="0" borderId="0" xfId="0" applyNumberFormat="1">
      <alignment vertical="center"/>
    </xf>
    <xf numFmtId="177" fontId="18" fillId="36" borderId="0" xfId="0" applyNumberFormat="1" applyFont="1" applyFill="1" applyBorder="1" applyAlignment="1">
      <alignment vertical="center"/>
    </xf>
    <xf numFmtId="177" fontId="18" fillId="36" borderId="68" xfId="0" applyNumberFormat="1" applyFont="1" applyFill="1" applyBorder="1" applyAlignment="1">
      <alignment vertical="center"/>
    </xf>
    <xf numFmtId="177" fontId="18" fillId="36" borderId="72" xfId="0" applyNumberFormat="1" applyFont="1" applyFill="1" applyBorder="1" applyAlignment="1">
      <alignment vertical="center"/>
    </xf>
    <xf numFmtId="176" fontId="18" fillId="36" borderId="40" xfId="12" applyNumberFormat="1" applyFont="1" applyFill="1" applyBorder="1" applyAlignment="1">
      <alignment horizontal="right" vertical="center"/>
    </xf>
    <xf numFmtId="177" fontId="18" fillId="2" borderId="8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vertical="center"/>
    </xf>
    <xf numFmtId="0" fontId="0" fillId="0" borderId="0" xfId="0" applyNumberFormat="1" applyBorder="1">
      <alignment vertical="center"/>
    </xf>
    <xf numFmtId="177" fontId="15" fillId="2" borderId="3" xfId="0" applyNumberFormat="1" applyFont="1" applyFill="1" applyBorder="1" applyAlignment="1">
      <alignment vertical="center"/>
    </xf>
    <xf numFmtId="0" fontId="20" fillId="0" borderId="12" xfId="5" applyFont="1" applyFill="1" applyBorder="1" applyAlignment="1">
      <alignment horizontal="justify" vertical="center"/>
    </xf>
    <xf numFmtId="0" fontId="11" fillId="0" borderId="0" xfId="0" applyNumberFormat="1" applyFont="1" applyAlignment="1">
      <alignment vertical="center"/>
    </xf>
    <xf numFmtId="0" fontId="18" fillId="0" borderId="23" xfId="2" applyNumberFormat="1" applyFont="1" applyFill="1" applyBorder="1" applyAlignment="1">
      <alignment vertical="center"/>
    </xf>
    <xf numFmtId="0" fontId="15" fillId="0" borderId="0" xfId="3" applyNumberFormat="1" applyFont="1" applyFill="1" applyBorder="1" applyAlignment="1">
      <alignment horizontal="left" vertical="center"/>
    </xf>
    <xf numFmtId="0" fontId="18" fillId="0" borderId="6" xfId="2" applyNumberFormat="1" applyFont="1" applyFill="1" applyBorder="1" applyAlignment="1">
      <alignment horizontal="left" vertical="center" shrinkToFit="1"/>
    </xf>
    <xf numFmtId="41" fontId="15" fillId="0" borderId="1" xfId="65" applyNumberFormat="1" applyFont="1" applyFill="1" applyBorder="1" applyAlignment="1">
      <alignment horizontal="center" vertical="center"/>
    </xf>
    <xf numFmtId="41" fontId="20" fillId="0" borderId="1" xfId="65" applyNumberFormat="1" applyFont="1" applyFill="1" applyBorder="1" applyAlignment="1">
      <alignment horizontal="center" vertical="center"/>
    </xf>
    <xf numFmtId="180" fontId="20" fillId="0" borderId="15" xfId="65" applyNumberFormat="1" applyFont="1" applyFill="1" applyBorder="1" applyAlignment="1">
      <alignment horizontal="right" vertical="center"/>
    </xf>
    <xf numFmtId="0" fontId="18" fillId="0" borderId="27" xfId="2" applyNumberFormat="1" applyFont="1" applyBorder="1" applyAlignment="1">
      <alignment horizontal="left" vertical="center" shrinkToFit="1"/>
    </xf>
    <xf numFmtId="180" fontId="19" fillId="0" borderId="17" xfId="65" applyNumberFormat="1" applyFont="1" applyFill="1" applyBorder="1" applyAlignment="1">
      <alignment horizontal="right" vertical="center"/>
    </xf>
    <xf numFmtId="0" fontId="18" fillId="0" borderId="12" xfId="65" applyNumberFormat="1" applyFont="1" applyFill="1" applyBorder="1" applyAlignment="1">
      <alignment horizontal="left" vertical="center"/>
    </xf>
    <xf numFmtId="0" fontId="15" fillId="0" borderId="16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center"/>
    </xf>
    <xf numFmtId="0" fontId="51" fillId="0" borderId="0" xfId="0" applyNumberFormat="1" applyFont="1">
      <alignment vertical="center"/>
    </xf>
    <xf numFmtId="3" fontId="51" fillId="0" borderId="0" xfId="0" applyNumberFormat="1" applyFont="1">
      <alignment vertical="center"/>
    </xf>
    <xf numFmtId="0" fontId="18" fillId="2" borderId="19" xfId="0" applyNumberFormat="1" applyFont="1" applyFill="1" applyBorder="1" applyAlignment="1">
      <alignment vertical="center"/>
    </xf>
    <xf numFmtId="0" fontId="18" fillId="2" borderId="3" xfId="0" applyNumberFormat="1" applyFont="1" applyFill="1" applyBorder="1" applyAlignment="1">
      <alignment vertical="center"/>
    </xf>
    <xf numFmtId="0" fontId="15" fillId="2" borderId="7" xfId="0" applyNumberFormat="1" applyFont="1" applyFill="1" applyBorder="1" applyAlignment="1">
      <alignment vertical="center"/>
    </xf>
    <xf numFmtId="176" fontId="15" fillId="2" borderId="29" xfId="12" applyNumberFormat="1" applyFont="1" applyFill="1" applyBorder="1" applyAlignment="1">
      <alignment vertical="center"/>
    </xf>
    <xf numFmtId="0" fontId="15" fillId="2" borderId="19" xfId="0" applyNumberFormat="1" applyFont="1" applyFill="1" applyBorder="1" applyAlignment="1">
      <alignment vertical="center"/>
    </xf>
    <xf numFmtId="176" fontId="15" fillId="2" borderId="70" xfId="12" applyNumberFormat="1" applyFont="1" applyFill="1" applyBorder="1" applyAlignment="1">
      <alignment vertical="center"/>
    </xf>
    <xf numFmtId="176" fontId="15" fillId="2" borderId="19" xfId="12" applyNumberFormat="1" applyFont="1" applyFill="1" applyBorder="1" applyAlignment="1">
      <alignment vertical="center"/>
    </xf>
    <xf numFmtId="176" fontId="15" fillId="2" borderId="67" xfId="12" applyNumberFormat="1" applyFont="1" applyFill="1" applyBorder="1" applyAlignment="1">
      <alignment horizontal="right" vertical="center" shrinkToFit="1"/>
    </xf>
    <xf numFmtId="176" fontId="15" fillId="0" borderId="7" xfId="12" applyNumberFormat="1" applyFont="1" applyFill="1" applyBorder="1" applyAlignment="1">
      <alignment vertical="center"/>
    </xf>
    <xf numFmtId="0" fontId="15" fillId="0" borderId="4" xfId="5" quotePrefix="1" applyFont="1" applyBorder="1" applyAlignment="1">
      <alignment horizontal="justify" vertical="center"/>
    </xf>
    <xf numFmtId="0" fontId="15" fillId="0" borderId="5" xfId="11" applyFont="1" applyFill="1" applyBorder="1" applyAlignment="1">
      <alignment horizontal="center" vertical="center"/>
    </xf>
    <xf numFmtId="3" fontId="15" fillId="0" borderId="10" xfId="5" applyNumberFormat="1" applyFont="1" applyFill="1" applyBorder="1" applyAlignment="1">
      <alignment horizontal="right" vertical="center"/>
    </xf>
    <xf numFmtId="0" fontId="15" fillId="0" borderId="0" xfId="11" applyNumberFormat="1" applyFont="1" applyFill="1" applyBorder="1" applyAlignment="1">
      <alignment horizontal="center" vertical="center"/>
    </xf>
    <xf numFmtId="0" fontId="15" fillId="0" borderId="4" xfId="2" applyNumberFormat="1" applyFont="1" applyBorder="1" applyAlignment="1">
      <alignment horizontal="left" vertical="center" shrinkToFit="1"/>
    </xf>
    <xf numFmtId="0" fontId="15" fillId="0" borderId="5" xfId="11" applyNumberFormat="1" applyFont="1" applyFill="1" applyBorder="1" applyAlignment="1">
      <alignment horizontal="center" vertical="center"/>
    </xf>
    <xf numFmtId="0" fontId="15" fillId="0" borderId="0" xfId="11" applyFont="1" applyFill="1" applyBorder="1" applyAlignment="1">
      <alignment horizontal="center" vertical="center"/>
    </xf>
    <xf numFmtId="3" fontId="18" fillId="0" borderId="10" xfId="5" applyNumberFormat="1" applyFont="1" applyFill="1" applyBorder="1" applyAlignment="1">
      <alignment horizontal="right" vertical="center"/>
    </xf>
    <xf numFmtId="0" fontId="15" fillId="0" borderId="4" xfId="65" applyNumberFormat="1" applyFont="1" applyFill="1" applyBorder="1" applyAlignment="1">
      <alignment horizontal="left" vertical="center"/>
    </xf>
    <xf numFmtId="3" fontId="15" fillId="0" borderId="11" xfId="5" applyNumberFormat="1" applyFont="1" applyFill="1" applyBorder="1" applyAlignment="1">
      <alignment horizontal="right" vertical="center"/>
    </xf>
    <xf numFmtId="0" fontId="15" fillId="0" borderId="12" xfId="65" applyNumberFormat="1" applyFont="1" applyFill="1" applyBorder="1" applyAlignment="1">
      <alignment horizontal="left" vertical="center"/>
    </xf>
    <xf numFmtId="0" fontId="18" fillId="0" borderId="6" xfId="11" applyFont="1" applyFill="1" applyBorder="1" applyAlignment="1">
      <alignment vertical="center" shrinkToFit="1"/>
    </xf>
    <xf numFmtId="0" fontId="15" fillId="0" borderId="6" xfId="65" applyNumberFormat="1" applyFont="1" applyFill="1" applyBorder="1" applyAlignment="1">
      <alignment horizontal="center" vertical="center" shrinkToFit="1"/>
    </xf>
    <xf numFmtId="41" fontId="18" fillId="0" borderId="15" xfId="65" applyFont="1" applyFill="1" applyBorder="1" applyAlignment="1">
      <alignment horizontal="right" vertical="center"/>
    </xf>
    <xf numFmtId="0" fontId="18" fillId="0" borderId="27" xfId="65" applyNumberFormat="1" applyFont="1" applyFill="1" applyBorder="1" applyAlignment="1">
      <alignment horizontal="left" vertical="center"/>
    </xf>
    <xf numFmtId="0" fontId="15" fillId="0" borderId="1" xfId="11" applyNumberFormat="1" applyFont="1" applyFill="1" applyBorder="1" applyAlignment="1">
      <alignment horizontal="center" vertical="center"/>
    </xf>
    <xf numFmtId="3" fontId="18" fillId="0" borderId="17" xfId="5" applyNumberFormat="1" applyFont="1" applyFill="1" applyBorder="1" applyAlignment="1">
      <alignment horizontal="right" vertical="center"/>
    </xf>
    <xf numFmtId="0" fontId="15" fillId="0" borderId="6" xfId="3" applyNumberFormat="1" applyFont="1" applyFill="1" applyBorder="1" applyAlignment="1">
      <alignment horizontal="left" vertical="center"/>
    </xf>
    <xf numFmtId="41" fontId="15" fillId="0" borderId="6" xfId="3" applyNumberFormat="1" applyFont="1" applyFill="1" applyBorder="1" applyAlignment="1">
      <alignment horizontal="center" vertical="center"/>
    </xf>
    <xf numFmtId="0" fontId="18" fillId="0" borderId="6" xfId="2" applyNumberFormat="1" applyFont="1" applyFill="1" applyBorder="1" applyAlignment="1">
      <alignment horizontal="center" vertical="center"/>
    </xf>
    <xf numFmtId="41" fontId="18" fillId="0" borderId="15" xfId="3" applyNumberFormat="1" applyFont="1" applyFill="1" applyBorder="1" applyAlignment="1">
      <alignment vertical="center"/>
    </xf>
    <xf numFmtId="41" fontId="15" fillId="0" borderId="27" xfId="65" applyNumberFormat="1" applyFont="1" applyFill="1" applyBorder="1" applyAlignment="1">
      <alignment vertical="center"/>
    </xf>
    <xf numFmtId="41" fontId="15" fillId="0" borderId="15" xfId="65" applyNumberFormat="1" applyFont="1" applyFill="1" applyBorder="1" applyAlignment="1">
      <alignment horizontal="right" vertical="center"/>
    </xf>
    <xf numFmtId="3" fontId="15" fillId="0" borderId="11" xfId="11" applyNumberFormat="1" applyFont="1" applyFill="1" applyBorder="1" applyAlignment="1">
      <alignment horizontal="right" vertical="center"/>
    </xf>
    <xf numFmtId="41" fontId="15" fillId="0" borderId="6" xfId="3" applyNumberFormat="1" applyFont="1" applyFill="1" applyBorder="1" applyAlignment="1">
      <alignment horizontal="left" vertical="center"/>
    </xf>
    <xf numFmtId="41" fontId="15" fillId="0" borderId="15" xfId="3" applyNumberFormat="1" applyFont="1" applyFill="1" applyBorder="1" applyAlignment="1">
      <alignment horizontal="right" vertical="center"/>
    </xf>
    <xf numFmtId="41" fontId="18" fillId="0" borderId="15" xfId="65" applyFont="1" applyFill="1" applyBorder="1" applyAlignment="1">
      <alignment vertical="center"/>
    </xf>
    <xf numFmtId="3" fontId="15" fillId="0" borderId="10" xfId="11" applyNumberFormat="1" applyFont="1" applyFill="1" applyBorder="1" applyAlignment="1">
      <alignment horizontal="right" vertical="center"/>
    </xf>
    <xf numFmtId="3" fontId="15" fillId="0" borderId="28" xfId="5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center" vertical="center"/>
    </xf>
    <xf numFmtId="180" fontId="15" fillId="0" borderId="11" xfId="3" applyNumberFormat="1" applyFont="1" applyFill="1" applyBorder="1" applyAlignment="1">
      <alignment horizontal="right" vertical="center"/>
    </xf>
    <xf numFmtId="41" fontId="15" fillId="0" borderId="0" xfId="3" applyNumberFormat="1" applyFont="1" applyFill="1" applyBorder="1" applyAlignment="1">
      <alignment horizontal="center" vertical="center"/>
    </xf>
    <xf numFmtId="180" fontId="18" fillId="0" borderId="15" xfId="3" applyNumberFormat="1" applyFont="1" applyFill="1" applyBorder="1" applyAlignment="1">
      <alignment vertical="center"/>
    </xf>
    <xf numFmtId="180" fontId="15" fillId="0" borderId="15" xfId="65" applyNumberFormat="1" applyFont="1" applyFill="1" applyBorder="1" applyAlignment="1">
      <alignment horizontal="right" vertical="center"/>
    </xf>
    <xf numFmtId="180" fontId="18" fillId="0" borderId="17" xfId="5" applyNumberFormat="1" applyFont="1" applyFill="1" applyBorder="1" applyAlignment="1">
      <alignment horizontal="right" vertical="center"/>
    </xf>
    <xf numFmtId="0" fontId="15" fillId="0" borderId="20" xfId="11" applyNumberFormat="1" applyFont="1" applyFill="1" applyBorder="1" applyAlignment="1">
      <alignment horizontal="center" vertical="center"/>
    </xf>
    <xf numFmtId="3" fontId="18" fillId="0" borderId="10" xfId="11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center" vertical="center" shrinkToFit="1"/>
    </xf>
    <xf numFmtId="0" fontId="15" fillId="0" borderId="1" xfId="65" applyNumberFormat="1" applyFont="1" applyFill="1" applyBorder="1" applyAlignment="1">
      <alignment horizontal="center" vertical="center" shrinkToFit="1"/>
    </xf>
    <xf numFmtId="0" fontId="15" fillId="0" borderId="1" xfId="17" applyFont="1" applyFill="1" applyBorder="1" applyAlignment="1">
      <alignment horizontal="center" vertical="center" shrinkToFit="1"/>
    </xf>
    <xf numFmtId="0" fontId="18" fillId="0" borderId="0" xfId="65" applyNumberFormat="1" applyFont="1" applyFill="1" applyBorder="1" applyAlignment="1">
      <alignment horizontal="left" vertical="center"/>
    </xf>
    <xf numFmtId="41" fontId="15" fillId="2" borderId="4" xfId="65" applyNumberFormat="1" applyFont="1" applyFill="1" applyBorder="1" applyAlignment="1">
      <alignment vertical="center" shrinkToFit="1"/>
    </xf>
    <xf numFmtId="41" fontId="15" fillId="2" borderId="5" xfId="65" applyNumberFormat="1" applyFont="1" applyFill="1" applyBorder="1" applyAlignment="1">
      <alignment horizontal="center" vertical="center" shrinkToFit="1"/>
    </xf>
    <xf numFmtId="41" fontId="18" fillId="2" borderId="15" xfId="65" applyFont="1" applyFill="1" applyBorder="1" applyAlignment="1">
      <alignment horizontal="right" vertical="center"/>
    </xf>
    <xf numFmtId="176" fontId="15" fillId="0" borderId="1" xfId="12" applyNumberFormat="1" applyFont="1" applyBorder="1" applyAlignment="1">
      <alignment vertical="center"/>
    </xf>
    <xf numFmtId="0" fontId="15" fillId="0" borderId="0" xfId="17" applyFont="1" applyFill="1" applyBorder="1" applyAlignment="1">
      <alignment horizontal="center" vertical="center" shrinkToFit="1"/>
    </xf>
    <xf numFmtId="0" fontId="15" fillId="0" borderId="12" xfId="5" quotePrefix="1" applyFont="1" applyBorder="1" applyAlignment="1">
      <alignment horizontal="justify" vertical="center"/>
    </xf>
    <xf numFmtId="41" fontId="15" fillId="0" borderId="11" xfId="3" applyNumberFormat="1" applyFont="1" applyFill="1" applyBorder="1" applyAlignment="1">
      <alignment horizontal="right" vertical="center"/>
    </xf>
    <xf numFmtId="41" fontId="15" fillId="0" borderId="23" xfId="65" applyNumberFormat="1" applyFont="1" applyFill="1" applyBorder="1" applyAlignment="1">
      <alignment horizontal="center" vertical="center"/>
    </xf>
    <xf numFmtId="0" fontId="18" fillId="0" borderId="0" xfId="2" applyNumberFormat="1" applyFont="1" applyBorder="1" applyAlignment="1">
      <alignment horizontal="left" vertical="center" shrinkToFit="1"/>
    </xf>
    <xf numFmtId="0" fontId="15" fillId="0" borderId="12" xfId="2" applyNumberFormat="1" applyFont="1" applyBorder="1" applyAlignment="1">
      <alignment horizontal="left" vertical="center" shrinkToFit="1"/>
    </xf>
    <xf numFmtId="0" fontId="15" fillId="0" borderId="12" xfId="2" applyNumberFormat="1" applyFont="1" applyFill="1" applyBorder="1" applyAlignment="1">
      <alignment horizontal="left" vertical="center" shrinkToFit="1"/>
    </xf>
    <xf numFmtId="0" fontId="15" fillId="0" borderId="0" xfId="2" applyNumberFormat="1" applyFont="1" applyBorder="1" applyAlignment="1">
      <alignment horizontal="left" vertical="center" shrinkToFit="1"/>
    </xf>
    <xf numFmtId="177" fontId="15" fillId="2" borderId="29" xfId="0" applyNumberFormat="1" applyFont="1" applyFill="1" applyBorder="1" applyAlignment="1">
      <alignment vertical="center"/>
    </xf>
    <xf numFmtId="177" fontId="18" fillId="2" borderId="3" xfId="0" applyNumberFormat="1" applyFont="1" applyFill="1" applyBorder="1" applyAlignment="1">
      <alignment vertical="center"/>
    </xf>
    <xf numFmtId="0" fontId="24" fillId="0" borderId="10" xfId="11" applyNumberFormat="1" applyFont="1" applyFill="1" applyBorder="1" applyAlignment="1">
      <alignment vertical="center"/>
    </xf>
    <xf numFmtId="0" fontId="24" fillId="0" borderId="17" xfId="11" applyNumberFormat="1" applyFont="1" applyFill="1" applyBorder="1" applyAlignment="1">
      <alignment vertical="center"/>
    </xf>
    <xf numFmtId="0" fontId="15" fillId="0" borderId="10" xfId="11" applyNumberFormat="1" applyFont="1" applyFill="1" applyBorder="1" applyAlignment="1">
      <alignment vertical="center"/>
    </xf>
    <xf numFmtId="0" fontId="10" fillId="0" borderId="17" xfId="11" applyFont="1" applyFill="1" applyBorder="1" applyAlignment="1">
      <alignment vertical="center"/>
    </xf>
    <xf numFmtId="0" fontId="20" fillId="0" borderId="15" xfId="11" applyFont="1" applyBorder="1" applyAlignment="1">
      <alignment vertical="center"/>
    </xf>
    <xf numFmtId="49" fontId="20" fillId="0" borderId="15" xfId="11" applyNumberFormat="1" applyFont="1" applyBorder="1" applyAlignment="1">
      <alignment vertical="center"/>
    </xf>
    <xf numFmtId="0" fontId="20" fillId="0" borderId="10" xfId="5" applyFont="1" applyFill="1" applyBorder="1" applyAlignment="1">
      <alignment vertical="center" wrapText="1"/>
    </xf>
    <xf numFmtId="0" fontId="20" fillId="0" borderId="10" xfId="5" applyFont="1" applyFill="1" applyBorder="1" applyAlignment="1">
      <alignment vertical="center" shrinkToFit="1"/>
    </xf>
    <xf numFmtId="0" fontId="20" fillId="2" borderId="15" xfId="11" applyFont="1" applyFill="1" applyBorder="1" applyAlignment="1">
      <alignment vertical="center"/>
    </xf>
    <xf numFmtId="0" fontId="20" fillId="2" borderId="15" xfId="5" applyFont="1" applyFill="1" applyBorder="1" applyAlignment="1">
      <alignment vertical="center"/>
    </xf>
    <xf numFmtId="0" fontId="20" fillId="2" borderId="10" xfId="5" applyFont="1" applyFill="1" applyBorder="1" applyAlignment="1">
      <alignment horizontal="justify" vertical="center" wrapText="1"/>
    </xf>
    <xf numFmtId="0" fontId="20" fillId="0" borderId="15" xfId="5" applyFont="1" applyBorder="1" applyAlignment="1">
      <alignment horizontal="justify" vertical="center" wrapText="1"/>
    </xf>
    <xf numFmtId="0" fontId="20" fillId="0" borderId="10" xfId="5" applyFont="1" applyBorder="1" applyAlignment="1">
      <alignment horizontal="justify" vertical="center" wrapText="1"/>
    </xf>
    <xf numFmtId="177" fontId="18" fillId="35" borderId="1" xfId="0" applyNumberFormat="1" applyFont="1" applyFill="1" applyBorder="1" applyAlignment="1">
      <alignment vertical="center"/>
    </xf>
    <xf numFmtId="177" fontId="18" fillId="35" borderId="20" xfId="0" applyNumberFormat="1" applyFont="1" applyFill="1" applyBorder="1" applyAlignment="1">
      <alignment vertical="center"/>
    </xf>
    <xf numFmtId="0" fontId="6" fillId="0" borderId="0" xfId="2"/>
    <xf numFmtId="0" fontId="52" fillId="0" borderId="0" xfId="2" applyFont="1" applyAlignment="1">
      <alignment horizontal="right"/>
    </xf>
    <xf numFmtId="0" fontId="6" fillId="37" borderId="0" xfId="2" applyFill="1"/>
    <xf numFmtId="0" fontId="6" fillId="37" borderId="0" xfId="2" applyFill="1" applyAlignment="1">
      <alignment horizontal="center"/>
    </xf>
    <xf numFmtId="0" fontId="6" fillId="0" borderId="0" xfId="2" applyAlignment="1"/>
    <xf numFmtId="0" fontId="56" fillId="0" borderId="0" xfId="2" applyFont="1" applyAlignment="1">
      <alignment horizontal="center" vertical="center"/>
    </xf>
    <xf numFmtId="0" fontId="18" fillId="0" borderId="32" xfId="2" applyNumberFormat="1" applyFont="1" applyFill="1" applyBorder="1" applyAlignment="1">
      <alignment vertical="center"/>
    </xf>
    <xf numFmtId="0" fontId="18" fillId="0" borderId="33" xfId="2" applyNumberFormat="1" applyFont="1" applyFill="1" applyBorder="1" applyAlignment="1">
      <alignment vertical="center"/>
    </xf>
    <xf numFmtId="0" fontId="18" fillId="0" borderId="21" xfId="2" applyNumberFormat="1" applyFont="1" applyFill="1" applyBorder="1" applyAlignment="1">
      <alignment vertical="center"/>
    </xf>
    <xf numFmtId="0" fontId="18" fillId="0" borderId="30" xfId="2" applyNumberFormat="1" applyFont="1" applyFill="1" applyBorder="1" applyAlignment="1">
      <alignment vertical="center"/>
    </xf>
    <xf numFmtId="0" fontId="15" fillId="0" borderId="16" xfId="2" applyNumberFormat="1" applyFont="1" applyFill="1" applyBorder="1" applyAlignment="1">
      <alignment vertical="center"/>
    </xf>
    <xf numFmtId="0" fontId="18" fillId="0" borderId="6" xfId="2" applyNumberFormat="1" applyFont="1" applyFill="1" applyBorder="1" applyAlignment="1">
      <alignment vertical="center"/>
    </xf>
    <xf numFmtId="0" fontId="18" fillId="0" borderId="29" xfId="2" applyNumberFormat="1" applyFont="1" applyFill="1" applyBorder="1" applyAlignment="1">
      <alignment vertical="center"/>
    </xf>
    <xf numFmtId="0" fontId="15" fillId="0" borderId="2" xfId="2" applyNumberFormat="1" applyFont="1" applyFill="1" applyBorder="1" applyAlignment="1">
      <alignment vertical="center"/>
    </xf>
    <xf numFmtId="176" fontId="18" fillId="0" borderId="7" xfId="3" applyNumberFormat="1" applyFont="1" applyFill="1" applyBorder="1" applyAlignment="1">
      <alignment vertical="center"/>
    </xf>
    <xf numFmtId="0" fontId="18" fillId="0" borderId="62" xfId="2" applyNumberFormat="1" applyFont="1" applyFill="1" applyBorder="1" applyAlignment="1">
      <alignment vertical="center"/>
    </xf>
    <xf numFmtId="0" fontId="18" fillId="0" borderId="3" xfId="2" applyNumberFormat="1" applyFont="1" applyFill="1" applyBorder="1" applyAlignment="1">
      <alignment vertical="center"/>
    </xf>
    <xf numFmtId="41" fontId="18" fillId="0" borderId="15" xfId="3" applyNumberFormat="1" applyFont="1" applyFill="1" applyBorder="1" applyAlignment="1">
      <alignment horizontal="right" vertical="center"/>
    </xf>
    <xf numFmtId="0" fontId="18" fillId="0" borderId="12" xfId="11" applyNumberFormat="1" applyFont="1" applyFill="1" applyBorder="1" applyAlignment="1">
      <alignment horizontal="left" vertical="center"/>
    </xf>
    <xf numFmtId="0" fontId="18" fillId="0" borderId="2" xfId="11" applyNumberFormat="1" applyFont="1" applyFill="1" applyBorder="1" applyAlignment="1">
      <alignment horizontal="left" vertical="center"/>
    </xf>
    <xf numFmtId="0" fontId="18" fillId="0" borderId="1" xfId="11" applyNumberFormat="1" applyFont="1" applyFill="1" applyBorder="1" applyAlignment="1">
      <alignment horizontal="left" vertical="center"/>
    </xf>
    <xf numFmtId="0" fontId="15" fillId="0" borderId="23" xfId="11" applyNumberFormat="1" applyFont="1" applyFill="1" applyBorder="1" applyAlignment="1">
      <alignment vertical="center"/>
    </xf>
    <xf numFmtId="0" fontId="18" fillId="0" borderId="29" xfId="11" applyNumberFormat="1" applyFont="1" applyFill="1" applyBorder="1" applyAlignment="1">
      <alignment horizontal="left" vertical="center"/>
    </xf>
    <xf numFmtId="0" fontId="15" fillId="0" borderId="31" xfId="11" applyNumberFormat="1" applyFont="1" applyFill="1" applyBorder="1" applyAlignment="1">
      <alignment vertical="center"/>
    </xf>
    <xf numFmtId="0" fontId="15" fillId="0" borderId="29" xfId="11" applyNumberFormat="1" applyFont="1" applyFill="1" applyBorder="1" applyAlignment="1">
      <alignment vertical="center"/>
    </xf>
    <xf numFmtId="0" fontId="15" fillId="0" borderId="12" xfId="11" applyNumberFormat="1" applyFont="1" applyFill="1" applyBorder="1" applyAlignment="1">
      <alignment vertical="center"/>
    </xf>
    <xf numFmtId="179" fontId="15" fillId="0" borderId="26" xfId="65" applyNumberFormat="1" applyFont="1" applyFill="1" applyBorder="1" applyAlignment="1">
      <alignment horizontal="right" vertical="center"/>
    </xf>
    <xf numFmtId="0" fontId="15" fillId="0" borderId="8" xfId="11" applyNumberFormat="1" applyFont="1" applyFill="1" applyBorder="1" applyAlignment="1">
      <alignment vertical="center"/>
    </xf>
    <xf numFmtId="179" fontId="15" fillId="0" borderId="9" xfId="65" applyNumberFormat="1" applyFont="1" applyFill="1" applyBorder="1" applyAlignment="1">
      <alignment horizontal="right" vertical="center"/>
    </xf>
    <xf numFmtId="0" fontId="15" fillId="0" borderId="3" xfId="5" applyFont="1" applyBorder="1" applyAlignment="1">
      <alignment vertical="top"/>
    </xf>
    <xf numFmtId="0" fontId="15" fillId="0" borderId="2" xfId="5" applyFont="1" applyBorder="1" applyAlignment="1">
      <alignment vertical="top"/>
    </xf>
    <xf numFmtId="0" fontId="15" fillId="0" borderId="63" xfId="2" applyNumberFormat="1" applyFont="1" applyFill="1" applyBorder="1" applyAlignment="1">
      <alignment vertical="center"/>
    </xf>
    <xf numFmtId="0" fontId="15" fillId="0" borderId="16" xfId="11" applyFont="1" applyBorder="1" applyAlignment="1">
      <alignment vertical="center"/>
    </xf>
    <xf numFmtId="0" fontId="15" fillId="0" borderId="2" xfId="11" applyFont="1" applyBorder="1" applyAlignment="1">
      <alignment vertical="center"/>
    </xf>
    <xf numFmtId="0" fontId="15" fillId="0" borderId="3" xfId="17" applyFont="1" applyBorder="1" applyAlignment="1">
      <alignment horizontal="left" vertical="top"/>
    </xf>
    <xf numFmtId="0" fontId="15" fillId="0" borderId="3" xfId="17" applyFont="1" applyBorder="1" applyAlignment="1">
      <alignment vertical="center"/>
    </xf>
    <xf numFmtId="178" fontId="15" fillId="0" borderId="3" xfId="10" applyNumberFormat="1" applyFont="1" applyBorder="1" applyAlignment="1">
      <alignment horizontal="right" vertical="center"/>
    </xf>
    <xf numFmtId="0" fontId="15" fillId="0" borderId="2" xfId="17" applyFont="1" applyBorder="1" applyAlignment="1">
      <alignment horizontal="left" vertical="top"/>
    </xf>
    <xf numFmtId="0" fontId="15" fillId="0" borderId="2" xfId="17" applyFont="1" applyBorder="1" applyAlignment="1">
      <alignment vertical="center"/>
    </xf>
    <xf numFmtId="178" fontId="15" fillId="0" borderId="2" xfId="10" applyNumberFormat="1" applyFont="1" applyBorder="1" applyAlignment="1">
      <alignment horizontal="right" vertical="center"/>
    </xf>
    <xf numFmtId="0" fontId="18" fillId="0" borderId="2" xfId="2" applyNumberFormat="1" applyFont="1" applyFill="1" applyBorder="1" applyAlignment="1">
      <alignment vertical="center"/>
    </xf>
    <xf numFmtId="0" fontId="15" fillId="0" borderId="0" xfId="5" quotePrefix="1" applyFont="1" applyBorder="1" applyAlignment="1">
      <alignment horizontal="justify" vertical="center"/>
    </xf>
    <xf numFmtId="0" fontId="15" fillId="0" borderId="8" xfId="17" applyFont="1" applyBorder="1" applyAlignment="1">
      <alignment vertical="center"/>
    </xf>
    <xf numFmtId="179" fontId="15" fillId="0" borderId="2" xfId="10" applyNumberFormat="1" applyFont="1" applyBorder="1" applyAlignment="1">
      <alignment vertical="center"/>
    </xf>
    <xf numFmtId="0" fontId="15" fillId="0" borderId="2" xfId="5" applyFont="1" applyBorder="1" applyAlignment="1">
      <alignment vertical="center"/>
    </xf>
    <xf numFmtId="178" fontId="15" fillId="0" borderId="3" xfId="12" applyNumberFormat="1" applyFont="1" applyBorder="1" applyAlignment="1">
      <alignment vertical="center"/>
    </xf>
    <xf numFmtId="176" fontId="15" fillId="0" borderId="3" xfId="12" applyNumberFormat="1" applyFont="1" applyBorder="1" applyAlignment="1">
      <alignment vertical="center"/>
    </xf>
    <xf numFmtId="178" fontId="15" fillId="0" borderId="2" xfId="12" applyNumberFormat="1" applyFont="1" applyBorder="1" applyAlignment="1">
      <alignment vertical="center"/>
    </xf>
    <xf numFmtId="178" fontId="15" fillId="0" borderId="26" xfId="10" applyNumberFormat="1" applyFont="1" applyBorder="1" applyAlignment="1">
      <alignment horizontal="right" vertical="center"/>
    </xf>
    <xf numFmtId="176" fontId="15" fillId="0" borderId="2" xfId="12" applyNumberFormat="1" applyFont="1" applyBorder="1" applyAlignment="1">
      <alignment vertical="center"/>
    </xf>
    <xf numFmtId="176" fontId="15" fillId="0" borderId="0" xfId="12" applyNumberFormat="1" applyFont="1" applyBorder="1" applyAlignment="1">
      <alignment vertical="center"/>
    </xf>
    <xf numFmtId="0" fontId="15" fillId="0" borderId="8" xfId="5" applyFont="1" applyBorder="1" applyAlignment="1">
      <alignment vertical="top"/>
    </xf>
    <xf numFmtId="178" fontId="15" fillId="0" borderId="8" xfId="12" applyNumberFormat="1" applyFont="1" applyBorder="1" applyAlignment="1">
      <alignment vertical="center"/>
    </xf>
    <xf numFmtId="178" fontId="15" fillId="0" borderId="9" xfId="10" applyNumberFormat="1" applyFont="1" applyBorder="1" applyAlignment="1">
      <alignment horizontal="right" vertical="center"/>
    </xf>
    <xf numFmtId="176" fontId="15" fillId="0" borderId="8" xfId="12" applyNumberFormat="1" applyFont="1" applyBorder="1" applyAlignment="1">
      <alignment vertical="center"/>
    </xf>
    <xf numFmtId="0" fontId="15" fillId="0" borderId="26" xfId="5" applyFont="1" applyBorder="1" applyAlignment="1">
      <alignment vertical="top"/>
    </xf>
    <xf numFmtId="0" fontId="15" fillId="0" borderId="8" xfId="5" applyFont="1" applyBorder="1" applyAlignment="1">
      <alignment vertical="center"/>
    </xf>
    <xf numFmtId="0" fontId="18" fillId="0" borderId="0" xfId="11" applyNumberFormat="1" applyFont="1" applyFill="1" applyBorder="1" applyAlignment="1">
      <alignment horizontal="left" vertical="center"/>
    </xf>
    <xf numFmtId="0" fontId="15" fillId="0" borderId="8" xfId="11" applyNumberFormat="1" applyFont="1" applyFill="1" applyBorder="1" applyAlignment="1">
      <alignment vertical="top"/>
    </xf>
    <xf numFmtId="0" fontId="18" fillId="0" borderId="26" xfId="11" applyNumberFormat="1" applyFont="1" applyFill="1" applyBorder="1" applyAlignment="1">
      <alignment horizontal="left" vertical="center"/>
    </xf>
    <xf numFmtId="0" fontId="15" fillId="2" borderId="26" xfId="5" applyFont="1" applyFill="1" applyBorder="1" applyAlignment="1">
      <alignment vertical="top"/>
    </xf>
    <xf numFmtId="0" fontId="15" fillId="0" borderId="9" xfId="5" applyFont="1" applyBorder="1" applyAlignment="1">
      <alignment vertical="top"/>
    </xf>
    <xf numFmtId="0" fontId="15" fillId="0" borderId="18" xfId="11" applyFont="1" applyBorder="1" applyAlignment="1">
      <alignment vertical="center"/>
    </xf>
    <xf numFmtId="0" fontId="15" fillId="0" borderId="19" xfId="11" applyFont="1" applyBorder="1" applyAlignment="1">
      <alignment vertical="center"/>
    </xf>
    <xf numFmtId="0" fontId="15" fillId="0" borderId="19" xfId="11" applyNumberFormat="1" applyFont="1" applyFill="1" applyBorder="1" applyAlignment="1">
      <alignment vertical="center"/>
    </xf>
    <xf numFmtId="0" fontId="15" fillId="0" borderId="19" xfId="17" applyFont="1" applyBorder="1" applyAlignment="1">
      <alignment horizontal="left" vertical="top"/>
    </xf>
    <xf numFmtId="0" fontId="15" fillId="0" borderId="19" xfId="17" applyFont="1" applyBorder="1" applyAlignment="1">
      <alignment vertical="center"/>
    </xf>
    <xf numFmtId="178" fontId="15" fillId="0" borderId="19" xfId="10" applyNumberFormat="1" applyFont="1" applyBorder="1" applyAlignment="1">
      <alignment horizontal="right" vertical="center"/>
    </xf>
    <xf numFmtId="0" fontId="15" fillId="0" borderId="25" xfId="65" applyNumberFormat="1" applyFont="1" applyFill="1" applyBorder="1" applyAlignment="1">
      <alignment horizontal="left" vertical="center"/>
    </xf>
    <xf numFmtId="0" fontId="15" fillId="0" borderId="20" xfId="11" applyFont="1" applyFill="1" applyBorder="1" applyAlignment="1">
      <alignment horizontal="center" vertical="center"/>
    </xf>
    <xf numFmtId="0" fontId="15" fillId="0" borderId="4" xfId="11" applyNumberFormat="1" applyFont="1" applyFill="1" applyBorder="1" applyAlignment="1">
      <alignment vertical="center"/>
    </xf>
    <xf numFmtId="38" fontId="15" fillId="0" borderId="7" xfId="65" applyNumberFormat="1" applyFont="1" applyBorder="1" applyAlignment="1">
      <alignment vertical="center"/>
    </xf>
    <xf numFmtId="176" fontId="15" fillId="0" borderId="7" xfId="65" applyNumberFormat="1" applyFont="1" applyBorder="1" applyAlignment="1">
      <alignment horizontal="right" vertical="center"/>
    </xf>
    <xf numFmtId="0" fontId="15" fillId="0" borderId="3" xfId="5" applyFont="1" applyBorder="1" applyAlignment="1">
      <alignment vertical="center"/>
    </xf>
    <xf numFmtId="0" fontId="15" fillId="2" borderId="16" xfId="11" applyFont="1" applyFill="1" applyBorder="1" applyAlignment="1">
      <alignment vertical="center"/>
    </xf>
    <xf numFmtId="0" fontId="15" fillId="2" borderId="2" xfId="11" applyFont="1" applyFill="1" applyBorder="1" applyAlignment="1">
      <alignment vertical="center"/>
    </xf>
    <xf numFmtId="178" fontId="15" fillId="0" borderId="8" xfId="10" applyNumberFormat="1" applyFont="1" applyBorder="1" applyAlignment="1">
      <alignment horizontal="right" vertical="center"/>
    </xf>
    <xf numFmtId="179" fontId="15" fillId="0" borderId="8" xfId="10" applyNumberFormat="1" applyFont="1" applyBorder="1" applyAlignment="1">
      <alignment vertical="center"/>
    </xf>
    <xf numFmtId="0" fontId="15" fillId="0" borderId="4" xfId="5" applyFont="1" applyFill="1" applyBorder="1" applyAlignment="1">
      <alignment horizontal="justify" vertical="center"/>
    </xf>
    <xf numFmtId="0" fontId="15" fillId="0" borderId="5" xfId="17" applyFont="1" applyFill="1" applyBorder="1" applyAlignment="1">
      <alignment horizontal="center" vertical="center" shrinkToFit="1"/>
    </xf>
    <xf numFmtId="0" fontId="18" fillId="0" borderId="1" xfId="65" applyNumberFormat="1" applyFont="1" applyFill="1" applyBorder="1" applyAlignment="1">
      <alignment horizontal="left" vertical="center"/>
    </xf>
    <xf numFmtId="0" fontId="15" fillId="0" borderId="1" xfId="11" applyFont="1" applyFill="1" applyBorder="1" applyAlignment="1">
      <alignment horizontal="center" vertical="center"/>
    </xf>
    <xf numFmtId="179" fontId="15" fillId="0" borderId="3" xfId="10" applyNumberFormat="1" applyFont="1" applyBorder="1" applyAlignment="1">
      <alignment vertical="center"/>
    </xf>
    <xf numFmtId="178" fontId="15" fillId="0" borderId="26" xfId="12" applyNumberFormat="1" applyFont="1" applyBorder="1" applyAlignment="1">
      <alignment vertical="center"/>
    </xf>
    <xf numFmtId="178" fontId="15" fillId="0" borderId="9" xfId="12" applyNumberFormat="1" applyFont="1" applyBorder="1" applyAlignment="1">
      <alignment vertical="center"/>
    </xf>
    <xf numFmtId="0" fontId="15" fillId="0" borderId="9" xfId="11" applyNumberFormat="1" applyFont="1" applyFill="1" applyBorder="1" applyAlignment="1">
      <alignment vertical="center"/>
    </xf>
    <xf numFmtId="0" fontId="18" fillId="0" borderId="5" xfId="11" applyFont="1" applyFill="1" applyBorder="1" applyAlignment="1">
      <alignment vertical="center" shrinkToFit="1"/>
    </xf>
    <xf numFmtId="0" fontId="15" fillId="0" borderId="5" xfId="65" applyNumberFormat="1" applyFont="1" applyFill="1" applyBorder="1" applyAlignment="1">
      <alignment horizontal="center" vertical="center" shrinkToFit="1"/>
    </xf>
    <xf numFmtId="41" fontId="18" fillId="0" borderId="11" xfId="65" applyFont="1" applyFill="1" applyBorder="1" applyAlignment="1">
      <alignment horizontal="right" vertical="center"/>
    </xf>
    <xf numFmtId="180" fontId="15" fillId="0" borderId="11" xfId="11" applyNumberFormat="1" applyFont="1" applyFill="1" applyBorder="1" applyAlignment="1">
      <alignment horizontal="right" vertical="center"/>
    </xf>
    <xf numFmtId="0" fontId="15" fillId="0" borderId="19" xfId="11" applyNumberFormat="1" applyFont="1" applyFill="1" applyBorder="1" applyAlignment="1">
      <alignment vertical="top"/>
    </xf>
    <xf numFmtId="0" fontId="15" fillId="0" borderId="70" xfId="11" applyNumberFormat="1" applyFont="1" applyFill="1" applyBorder="1" applyAlignment="1">
      <alignment vertical="top"/>
    </xf>
    <xf numFmtId="180" fontId="15" fillId="0" borderId="28" xfId="11" applyNumberFormat="1" applyFont="1" applyFill="1" applyBorder="1" applyAlignment="1">
      <alignment horizontal="right" vertical="center"/>
    </xf>
    <xf numFmtId="41" fontId="15" fillId="0" borderId="23" xfId="3" applyNumberFormat="1" applyFont="1" applyFill="1" applyBorder="1" applyAlignment="1">
      <alignment horizontal="left" vertical="center"/>
    </xf>
    <xf numFmtId="180" fontId="15" fillId="0" borderId="15" xfId="3" applyNumberFormat="1" applyFont="1" applyFill="1" applyBorder="1" applyAlignment="1">
      <alignment horizontal="right" vertical="center"/>
    </xf>
    <xf numFmtId="180" fontId="18" fillId="0" borderId="15" xfId="3" applyNumberFormat="1" applyFont="1" applyFill="1" applyBorder="1" applyAlignment="1">
      <alignment horizontal="right" vertical="center"/>
    </xf>
    <xf numFmtId="180" fontId="18" fillId="0" borderId="15" xfId="65" applyNumberFormat="1" applyFont="1" applyFill="1" applyBorder="1" applyAlignment="1">
      <alignment horizontal="right" vertical="center"/>
    </xf>
    <xf numFmtId="0" fontId="18" fillId="0" borderId="4" xfId="2" applyNumberFormat="1" applyFont="1" applyFill="1" applyBorder="1" applyAlignment="1">
      <alignment vertical="center"/>
    </xf>
    <xf numFmtId="0" fontId="15" fillId="0" borderId="3" xfId="2" applyNumberFormat="1" applyFont="1" applyFill="1" applyBorder="1" applyAlignment="1">
      <alignment vertical="center"/>
    </xf>
    <xf numFmtId="0" fontId="15" fillId="0" borderId="9" xfId="11" applyNumberFormat="1" applyFont="1" applyFill="1" applyBorder="1" applyAlignment="1">
      <alignment vertical="top"/>
    </xf>
    <xf numFmtId="0" fontId="18" fillId="0" borderId="5" xfId="2" applyNumberFormat="1" applyFont="1" applyFill="1" applyBorder="1" applyAlignment="1">
      <alignment vertical="center"/>
    </xf>
    <xf numFmtId="0" fontId="18" fillId="0" borderId="9" xfId="2" applyNumberFormat="1" applyFont="1" applyFill="1" applyBorder="1" applyAlignment="1">
      <alignment vertical="center"/>
    </xf>
    <xf numFmtId="176" fontId="18" fillId="0" borderId="8" xfId="12" applyNumberFormat="1" applyFont="1" applyFill="1" applyBorder="1" applyAlignment="1">
      <alignment horizontal="right" vertical="center"/>
    </xf>
    <xf numFmtId="0" fontId="15" fillId="0" borderId="3" xfId="11" applyNumberFormat="1" applyFont="1" applyFill="1" applyBorder="1" applyAlignment="1">
      <alignment vertical="center"/>
    </xf>
    <xf numFmtId="0" fontId="18" fillId="0" borderId="1" xfId="2" applyNumberFormat="1" applyFont="1" applyBorder="1" applyAlignment="1">
      <alignment horizontal="left" vertical="center" shrinkToFit="1"/>
    </xf>
    <xf numFmtId="176" fontId="18" fillId="0" borderId="8" xfId="3" applyNumberFormat="1" applyFont="1" applyFill="1" applyBorder="1" applyAlignment="1">
      <alignment vertical="center"/>
    </xf>
    <xf numFmtId="0" fontId="15" fillId="0" borderId="23" xfId="3" applyNumberFormat="1" applyFont="1" applyFill="1" applyBorder="1" applyAlignment="1">
      <alignment horizontal="left" vertical="center"/>
    </xf>
    <xf numFmtId="177" fontId="18" fillId="2" borderId="23" xfId="0" applyNumberFormat="1" applyFont="1" applyFill="1" applyBorder="1" applyAlignment="1">
      <alignment horizontal="left" vertical="center"/>
    </xf>
    <xf numFmtId="0" fontId="18" fillId="0" borderId="5" xfId="2" applyNumberFormat="1" applyFont="1" applyFill="1" applyBorder="1" applyAlignment="1">
      <alignment horizontal="left" vertical="center" shrinkToFit="1"/>
    </xf>
    <xf numFmtId="41" fontId="20" fillId="0" borderId="1" xfId="3" applyNumberFormat="1" applyFont="1" applyFill="1" applyBorder="1" applyAlignment="1">
      <alignment horizontal="center" vertical="center"/>
    </xf>
    <xf numFmtId="0" fontId="18" fillId="0" borderId="5" xfId="2" applyNumberFormat="1" applyFont="1" applyFill="1" applyBorder="1" applyAlignment="1">
      <alignment horizontal="center" vertical="center"/>
    </xf>
    <xf numFmtId="41" fontId="18" fillId="0" borderId="11" xfId="3" applyNumberFormat="1" applyFont="1" applyFill="1" applyBorder="1" applyAlignment="1">
      <alignment vertical="center"/>
    </xf>
    <xf numFmtId="0" fontId="15" fillId="0" borderId="69" xfId="11" applyNumberFormat="1" applyFont="1" applyFill="1" applyBorder="1" applyAlignment="1">
      <alignment vertical="center"/>
    </xf>
    <xf numFmtId="0" fontId="15" fillId="0" borderId="44" xfId="11" applyNumberFormat="1" applyFont="1" applyFill="1" applyBorder="1" applyAlignment="1">
      <alignment vertical="center"/>
    </xf>
    <xf numFmtId="0" fontId="15" fillId="0" borderId="0" xfId="11" applyNumberFormat="1" applyFont="1" applyFill="1" applyAlignment="1">
      <alignment vertical="center"/>
    </xf>
    <xf numFmtId="41" fontId="18" fillId="2" borderId="11" xfId="65" applyFont="1" applyFill="1" applyBorder="1" applyAlignment="1">
      <alignment horizontal="right" vertical="center"/>
    </xf>
    <xf numFmtId="41" fontId="19" fillId="2" borderId="11" xfId="65" applyFont="1" applyFill="1" applyBorder="1" applyAlignment="1">
      <alignment horizontal="right" vertical="center"/>
    </xf>
    <xf numFmtId="0" fontId="19" fillId="0" borderId="27" xfId="2" applyNumberFormat="1" applyFont="1" applyBorder="1" applyAlignment="1">
      <alignment horizontal="left" vertical="center" shrinkToFit="1"/>
    </xf>
    <xf numFmtId="0" fontId="9" fillId="0" borderId="69" xfId="2" applyNumberFormat="1" applyFont="1" applyFill="1" applyBorder="1" applyAlignment="1">
      <alignment vertical="center"/>
    </xf>
    <xf numFmtId="0" fontId="15" fillId="0" borderId="20" xfId="2" applyNumberFormat="1" applyFont="1" applyBorder="1" applyAlignment="1">
      <alignment horizontal="left" vertical="center" shrinkToFit="1"/>
    </xf>
    <xf numFmtId="179" fontId="20" fillId="0" borderId="31" xfId="65" applyNumberFormat="1" applyFont="1" applyFill="1" applyBorder="1" applyAlignment="1">
      <alignment horizontal="right" vertical="center"/>
    </xf>
    <xf numFmtId="179" fontId="24" fillId="0" borderId="3" xfId="65" applyNumberFormat="1" applyFont="1" applyFill="1" applyBorder="1" applyAlignment="1">
      <alignment horizontal="right" vertical="center"/>
    </xf>
    <xf numFmtId="41" fontId="24" fillId="0" borderId="23" xfId="65" applyNumberFormat="1" applyFont="1" applyFill="1" applyBorder="1" applyAlignment="1">
      <alignment vertical="center"/>
    </xf>
    <xf numFmtId="41" fontId="24" fillId="0" borderId="6" xfId="65" applyNumberFormat="1" applyFont="1" applyFill="1" applyBorder="1" applyAlignment="1">
      <alignment horizontal="center" vertical="center"/>
    </xf>
    <xf numFmtId="0" fontId="15" fillId="0" borderId="4" xfId="65" applyNumberFormat="1" applyFont="1" applyFill="1" applyBorder="1" applyAlignment="1">
      <alignment horizontal="left" vertical="center" wrapText="1"/>
    </xf>
    <xf numFmtId="0" fontId="19" fillId="0" borderId="32" xfId="2" applyNumberFormat="1" applyFont="1" applyFill="1" applyBorder="1" applyAlignment="1">
      <alignment vertical="center"/>
    </xf>
    <xf numFmtId="0" fontId="19" fillId="0" borderId="33" xfId="2" applyNumberFormat="1" applyFont="1" applyFill="1" applyBorder="1" applyAlignment="1">
      <alignment vertical="center"/>
    </xf>
    <xf numFmtId="176" fontId="18" fillId="0" borderId="45" xfId="3" applyNumberFormat="1" applyFont="1" applyFill="1" applyBorder="1" applyAlignment="1">
      <alignment horizontal="right" vertical="center"/>
    </xf>
    <xf numFmtId="176" fontId="26" fillId="0" borderId="22" xfId="12" applyNumberFormat="1" applyFont="1" applyFill="1" applyBorder="1" applyAlignment="1">
      <alignment horizontal="right" vertical="center"/>
    </xf>
    <xf numFmtId="41" fontId="20" fillId="0" borderId="21" xfId="3" applyNumberFormat="1" applyFont="1" applyFill="1" applyBorder="1" applyAlignment="1">
      <alignment horizontal="left" vertical="center"/>
    </xf>
    <xf numFmtId="41" fontId="20" fillId="0" borderId="21" xfId="3" applyNumberFormat="1" applyFont="1" applyFill="1" applyBorder="1" applyAlignment="1">
      <alignment horizontal="center" vertical="center"/>
    </xf>
    <xf numFmtId="41" fontId="20" fillId="0" borderId="74" xfId="3" applyNumberFormat="1" applyFont="1" applyFill="1" applyBorder="1" applyAlignment="1">
      <alignment horizontal="right" vertical="center"/>
    </xf>
    <xf numFmtId="0" fontId="24" fillId="0" borderId="69" xfId="11" applyNumberFormat="1" applyFont="1" applyFill="1" applyBorder="1" applyAlignment="1">
      <alignment vertical="center"/>
    </xf>
    <xf numFmtId="0" fontId="15" fillId="0" borderId="4" xfId="3" applyNumberFormat="1" applyFont="1" applyFill="1" applyBorder="1" applyAlignment="1">
      <alignment horizontal="left" vertical="center"/>
    </xf>
    <xf numFmtId="41" fontId="15" fillId="0" borderId="21" xfId="3" applyNumberFormat="1" applyFont="1" applyFill="1" applyBorder="1" applyAlignment="1">
      <alignment horizontal="left" vertical="center"/>
    </xf>
    <xf numFmtId="41" fontId="15" fillId="0" borderId="21" xfId="3" applyNumberFormat="1" applyFont="1" applyFill="1" applyBorder="1" applyAlignment="1">
      <alignment horizontal="center" vertical="center"/>
    </xf>
    <xf numFmtId="41" fontId="15" fillId="0" borderId="74" xfId="3" applyNumberFormat="1" applyFont="1" applyFill="1" applyBorder="1" applyAlignment="1">
      <alignment horizontal="right" vertical="center"/>
    </xf>
    <xf numFmtId="0" fontId="20" fillId="0" borderId="4" xfId="65" applyNumberFormat="1" applyFont="1" applyFill="1" applyBorder="1" applyAlignment="1">
      <alignment horizontal="left" vertical="center" wrapText="1"/>
    </xf>
    <xf numFmtId="0" fontId="15" fillId="0" borderId="25" xfId="65" applyNumberFormat="1" applyFont="1" applyFill="1" applyBorder="1" applyAlignment="1">
      <alignment horizontal="left" vertical="center" wrapText="1"/>
    </xf>
    <xf numFmtId="177" fontId="18" fillId="35" borderId="25" xfId="0" applyNumberFormat="1" applyFont="1" applyFill="1" applyBorder="1" applyAlignment="1">
      <alignment vertical="center"/>
    </xf>
    <xf numFmtId="177" fontId="18" fillId="35" borderId="27" xfId="0" applyNumberFormat="1" applyFont="1" applyFill="1" applyBorder="1" applyAlignment="1">
      <alignment vertical="center"/>
    </xf>
    <xf numFmtId="176" fontId="18" fillId="35" borderId="40" xfId="12" applyNumberFormat="1" applyFont="1" applyFill="1" applyBorder="1" applyAlignment="1">
      <alignment horizontal="right" vertical="center" shrinkToFit="1"/>
    </xf>
    <xf numFmtId="0" fontId="15" fillId="0" borderId="12" xfId="2" applyNumberFormat="1" applyFont="1" applyBorder="1" applyAlignment="1">
      <alignment horizontal="left" vertical="center" wrapText="1" shrinkToFit="1"/>
    </xf>
    <xf numFmtId="41" fontId="0" fillId="0" borderId="0" xfId="0" applyNumberFormat="1">
      <alignment vertical="center"/>
    </xf>
    <xf numFmtId="41" fontId="11" fillId="0" borderId="0" xfId="1">
      <alignment vertical="center"/>
    </xf>
    <xf numFmtId="41" fontId="24" fillId="0" borderId="0" xfId="11" applyNumberFormat="1" applyFont="1" applyFill="1" applyAlignment="1">
      <alignment vertical="center"/>
    </xf>
    <xf numFmtId="41" fontId="11" fillId="0" borderId="0" xfId="1" applyAlignment="1">
      <alignment vertical="center"/>
    </xf>
    <xf numFmtId="0" fontId="24" fillId="0" borderId="46" xfId="11" applyNumberFormat="1" applyFont="1" applyFill="1" applyBorder="1" applyAlignment="1">
      <alignment vertical="top"/>
    </xf>
    <xf numFmtId="179" fontId="20" fillId="0" borderId="46" xfId="65" applyNumberFormat="1" applyFont="1" applyFill="1" applyBorder="1" applyAlignment="1">
      <alignment horizontal="right" vertical="center"/>
    </xf>
    <xf numFmtId="177" fontId="18" fillId="2" borderId="25" xfId="0" applyNumberFormat="1" applyFont="1" applyFill="1" applyBorder="1" applyAlignment="1">
      <alignment vertical="center"/>
    </xf>
    <xf numFmtId="177" fontId="15" fillId="2" borderId="46" xfId="0" applyNumberFormat="1" applyFont="1" applyFill="1" applyBorder="1" applyAlignment="1">
      <alignment vertical="center"/>
    </xf>
    <xf numFmtId="41" fontId="11" fillId="0" borderId="0" xfId="1">
      <alignment vertical="center"/>
    </xf>
    <xf numFmtId="180" fontId="15" fillId="0" borderId="10" xfId="65" applyNumberFormat="1" applyFont="1" applyFill="1" applyBorder="1" applyAlignment="1">
      <alignment horizontal="right" vertical="center"/>
    </xf>
    <xf numFmtId="0" fontId="15" fillId="0" borderId="12" xfId="65" applyNumberFormat="1" applyFont="1" applyFill="1" applyBorder="1" applyAlignment="1">
      <alignment horizontal="left" vertical="center" shrinkToFit="1"/>
    </xf>
    <xf numFmtId="41" fontId="15" fillId="2" borderId="23" xfId="65" applyNumberFormat="1" applyFont="1" applyFill="1" applyBorder="1" applyAlignment="1">
      <alignment vertical="center" shrinkToFit="1"/>
    </xf>
    <xf numFmtId="0" fontId="15" fillId="0" borderId="12" xfId="5" quotePrefix="1" applyFont="1" applyFill="1" applyBorder="1" applyAlignment="1">
      <alignment horizontal="justify" vertical="center"/>
    </xf>
    <xf numFmtId="41" fontId="15" fillId="0" borderId="4" xfId="65" applyNumberFormat="1" applyFont="1" applyFill="1" applyBorder="1" applyAlignment="1">
      <alignment vertical="center" shrinkToFit="1"/>
    </xf>
    <xf numFmtId="41" fontId="15" fillId="0" borderId="5" xfId="65" applyNumberFormat="1" applyFont="1" applyFill="1" applyBorder="1" applyAlignment="1">
      <alignment horizontal="center" vertical="center" shrinkToFit="1"/>
    </xf>
    <xf numFmtId="176" fontId="15" fillId="0" borderId="1" xfId="12" applyNumberFormat="1" applyFont="1" applyFill="1" applyBorder="1" applyAlignment="1">
      <alignment vertical="center"/>
    </xf>
    <xf numFmtId="0" fontId="18" fillId="0" borderId="1" xfId="2" applyNumberFormat="1" applyFont="1" applyFill="1" applyBorder="1" applyAlignment="1">
      <alignment horizontal="left" vertical="center" shrinkToFit="1"/>
    </xf>
    <xf numFmtId="0" fontId="18" fillId="0" borderId="0" xfId="2" applyNumberFormat="1" applyFont="1" applyFill="1" applyBorder="1" applyAlignment="1">
      <alignment horizontal="left" vertical="center" shrinkToFit="1"/>
    </xf>
    <xf numFmtId="0" fontId="15" fillId="0" borderId="68" xfId="65" applyNumberFormat="1" applyFont="1" applyFill="1" applyBorder="1" applyAlignment="1">
      <alignment horizontal="left" vertical="center" wrapText="1"/>
    </xf>
    <xf numFmtId="0" fontId="15" fillId="0" borderId="72" xfId="11" applyNumberFormat="1" applyFont="1" applyFill="1" applyBorder="1" applyAlignment="1">
      <alignment horizontal="center" vertical="center"/>
    </xf>
    <xf numFmtId="3" fontId="15" fillId="0" borderId="75" xfId="5" applyNumberFormat="1" applyFont="1" applyFill="1" applyBorder="1" applyAlignment="1">
      <alignment horizontal="right" vertical="center"/>
    </xf>
    <xf numFmtId="0" fontId="18" fillId="0" borderId="27" xfId="11" applyNumberFormat="1" applyFont="1" applyFill="1" applyBorder="1" applyAlignment="1">
      <alignment horizontal="left" vertical="center"/>
    </xf>
    <xf numFmtId="0" fontId="15" fillId="0" borderId="70" xfId="11" applyNumberFormat="1" applyFont="1" applyFill="1" applyBorder="1" applyAlignment="1">
      <alignment vertical="center"/>
    </xf>
    <xf numFmtId="0" fontId="54" fillId="0" borderId="0" xfId="2" applyFont="1" applyAlignment="1">
      <alignment horizontal="center" vertical="center" shrinkToFit="1"/>
    </xf>
    <xf numFmtId="0" fontId="55" fillId="37" borderId="0" xfId="2" applyFont="1" applyFill="1" applyAlignment="1">
      <alignment horizontal="center"/>
    </xf>
    <xf numFmtId="0" fontId="57" fillId="0" borderId="0" xfId="2" applyFont="1" applyAlignment="1">
      <alignment horizontal="center" vertical="center"/>
    </xf>
    <xf numFmtId="0" fontId="58" fillId="38" borderId="0" xfId="2" applyFont="1" applyFill="1" applyAlignment="1">
      <alignment horizontal="center" vertical="center"/>
    </xf>
    <xf numFmtId="177" fontId="15" fillId="3" borderId="13" xfId="0" applyNumberFormat="1" applyFont="1" applyFill="1" applyBorder="1" applyAlignment="1">
      <alignment horizontal="center" vertical="center"/>
    </xf>
    <xf numFmtId="177" fontId="15" fillId="3" borderId="14" xfId="0" applyNumberFormat="1" applyFont="1" applyFill="1" applyBorder="1" applyAlignment="1">
      <alignment horizontal="center" vertical="center"/>
    </xf>
    <xf numFmtId="41" fontId="15" fillId="3" borderId="45" xfId="12" applyFont="1" applyFill="1" applyBorder="1" applyAlignment="1">
      <alignment horizontal="center" vertical="center" wrapText="1"/>
    </xf>
    <xf numFmtId="41" fontId="15" fillId="3" borderId="19" xfId="12" applyFont="1" applyFill="1" applyBorder="1" applyAlignment="1">
      <alignment horizontal="center" vertical="center"/>
    </xf>
    <xf numFmtId="177" fontId="15" fillId="3" borderId="34" xfId="12" applyNumberFormat="1" applyFont="1" applyFill="1" applyBorder="1" applyAlignment="1">
      <alignment horizontal="center" vertical="center" wrapText="1"/>
    </xf>
    <xf numFmtId="177" fontId="15" fillId="3" borderId="40" xfId="12" applyNumberFormat="1" applyFont="1" applyFill="1" applyBorder="1" applyAlignment="1">
      <alignment horizontal="center" vertical="center"/>
    </xf>
    <xf numFmtId="177" fontId="18" fillId="3" borderId="36" xfId="0" applyNumberFormat="1" applyFont="1" applyFill="1" applyBorder="1" applyAlignment="1">
      <alignment horizontal="center" vertical="center"/>
    </xf>
    <xf numFmtId="177" fontId="18" fillId="3" borderId="37" xfId="0" applyNumberFormat="1" applyFont="1" applyFill="1" applyBorder="1" applyAlignment="1">
      <alignment horizontal="center" vertical="center"/>
    </xf>
    <xf numFmtId="177" fontId="15" fillId="3" borderId="41" xfId="0" applyNumberFormat="1" applyFont="1" applyFill="1" applyBorder="1" applyAlignment="1">
      <alignment horizontal="center" vertical="center"/>
    </xf>
    <xf numFmtId="177" fontId="18" fillId="3" borderId="48" xfId="0" applyNumberFormat="1" applyFont="1" applyFill="1" applyBorder="1" applyAlignment="1">
      <alignment horizontal="center" vertical="center"/>
    </xf>
    <xf numFmtId="177" fontId="15" fillId="3" borderId="68" xfId="0" applyNumberFormat="1" applyFont="1" applyFill="1" applyBorder="1" applyAlignment="1">
      <alignment horizontal="center" vertical="center"/>
    </xf>
    <xf numFmtId="177" fontId="15" fillId="3" borderId="72" xfId="0" applyNumberFormat="1" applyFont="1" applyFill="1" applyBorder="1" applyAlignment="1">
      <alignment horizontal="center" vertical="center"/>
    </xf>
    <xf numFmtId="177" fontId="15" fillId="3" borderId="64" xfId="0" applyNumberFormat="1" applyFont="1" applyFill="1" applyBorder="1" applyAlignment="1">
      <alignment horizontal="center" vertical="center"/>
    </xf>
    <xf numFmtId="0" fontId="20" fillId="3" borderId="30" xfId="2" applyNumberFormat="1" applyFont="1" applyFill="1" applyBorder="1" applyAlignment="1">
      <alignment horizontal="center" vertical="center"/>
    </xf>
    <xf numFmtId="0" fontId="20" fillId="3" borderId="22" xfId="2" applyNumberFormat="1" applyFont="1" applyFill="1" applyBorder="1" applyAlignment="1">
      <alignment horizontal="center" vertical="center"/>
    </xf>
    <xf numFmtId="0" fontId="20" fillId="3" borderId="34" xfId="2" applyNumberFormat="1" applyFont="1" applyFill="1" applyBorder="1" applyAlignment="1">
      <alignment horizontal="center" vertical="center"/>
    </xf>
    <xf numFmtId="0" fontId="20" fillId="3" borderId="31" xfId="2" applyNumberFormat="1" applyFont="1" applyFill="1" applyBorder="1" applyAlignment="1">
      <alignment horizontal="center" vertical="center"/>
    </xf>
    <xf numFmtId="0" fontId="20" fillId="3" borderId="3" xfId="2" applyNumberFormat="1" applyFont="1" applyFill="1" applyBorder="1" applyAlignment="1">
      <alignment horizontal="center" vertical="center"/>
    </xf>
    <xf numFmtId="0" fontId="20" fillId="3" borderId="43" xfId="2" applyNumberFormat="1" applyFont="1" applyFill="1" applyBorder="1" applyAlignment="1">
      <alignment horizontal="center" vertical="center"/>
    </xf>
    <xf numFmtId="0" fontId="26" fillId="3" borderId="36" xfId="11" applyNumberFormat="1" applyFont="1" applyFill="1" applyBorder="1" applyAlignment="1">
      <alignment horizontal="center" vertical="center"/>
    </xf>
    <xf numFmtId="0" fontId="26" fillId="3" borderId="37" xfId="11" applyNumberFormat="1" applyFont="1" applyFill="1" applyBorder="1" applyAlignment="1">
      <alignment horizontal="center" vertical="center"/>
    </xf>
    <xf numFmtId="0" fontId="26" fillId="3" borderId="48" xfId="11" applyNumberFormat="1" applyFont="1" applyFill="1" applyBorder="1" applyAlignment="1">
      <alignment horizontal="center" vertical="center"/>
    </xf>
    <xf numFmtId="0" fontId="8" fillId="3" borderId="49" xfId="2" applyNumberFormat="1" applyFont="1" applyFill="1" applyBorder="1" applyAlignment="1">
      <alignment horizontal="center" vertical="center"/>
    </xf>
    <xf numFmtId="0" fontId="8" fillId="3" borderId="18" xfId="2" applyNumberFormat="1" applyFont="1" applyFill="1" applyBorder="1" applyAlignment="1">
      <alignment horizontal="center" vertical="center"/>
    </xf>
    <xf numFmtId="0" fontId="8" fillId="3" borderId="33" xfId="2" applyNumberFormat="1" applyFont="1" applyFill="1" applyBorder="1" applyAlignment="1">
      <alignment horizontal="center" vertical="center"/>
    </xf>
    <xf numFmtId="0" fontId="8" fillId="3" borderId="21" xfId="2" applyNumberFormat="1" applyFont="1" applyFill="1" applyBorder="1" applyAlignment="1">
      <alignment horizontal="center" vertical="center"/>
    </xf>
    <xf numFmtId="0" fontId="8" fillId="3" borderId="30" xfId="2" applyNumberFormat="1" applyFont="1" applyFill="1" applyBorder="1" applyAlignment="1">
      <alignment horizontal="center" vertical="center"/>
    </xf>
    <xf numFmtId="177" fontId="15" fillId="3" borderId="22" xfId="12" applyNumberFormat="1" applyFont="1" applyFill="1" applyBorder="1" applyAlignment="1">
      <alignment horizontal="center" vertical="center" wrapText="1"/>
    </xf>
    <xf numFmtId="177" fontId="15" fillId="3" borderId="46" xfId="12" applyNumberFormat="1" applyFont="1" applyFill="1" applyBorder="1" applyAlignment="1">
      <alignment horizontal="center" vertical="center"/>
    </xf>
    <xf numFmtId="0" fontId="15" fillId="0" borderId="23" xfId="11" applyFont="1" applyBorder="1" applyAlignment="1">
      <alignment horizontal="left" vertical="center"/>
    </xf>
    <xf numFmtId="0" fontId="15" fillId="0" borderId="29" xfId="11" applyFont="1" applyBorder="1" applyAlignment="1">
      <alignment horizontal="left" vertical="center"/>
    </xf>
    <xf numFmtId="0" fontId="9" fillId="0" borderId="0" xfId="3" applyNumberFormat="1" applyFont="1" applyFill="1" applyBorder="1" applyAlignment="1">
      <alignment horizontal="left" vertical="center"/>
    </xf>
    <xf numFmtId="0" fontId="20" fillId="0" borderId="23" xfId="11" applyFont="1" applyBorder="1" applyAlignment="1">
      <alignment horizontal="left" vertical="center"/>
    </xf>
    <xf numFmtId="0" fontId="20" fillId="0" borderId="29" xfId="11" applyFont="1" applyBorder="1" applyAlignment="1">
      <alignment horizontal="left" vertical="center"/>
    </xf>
    <xf numFmtId="41" fontId="11" fillId="0" borderId="0" xfId="1">
      <alignment vertical="center"/>
    </xf>
    <xf numFmtId="177" fontId="15" fillId="3" borderId="65" xfId="0" applyNumberFormat="1" applyFont="1" applyFill="1" applyBorder="1" applyAlignment="1">
      <alignment horizontal="center" vertical="center"/>
    </xf>
    <xf numFmtId="177" fontId="15" fillId="3" borderId="21" xfId="0" applyNumberFormat="1" applyFont="1" applyFill="1" applyBorder="1" applyAlignment="1">
      <alignment horizontal="center" vertical="center"/>
    </xf>
    <xf numFmtId="177" fontId="15" fillId="3" borderId="30" xfId="0" applyNumberFormat="1" applyFont="1" applyFill="1" applyBorder="1" applyAlignment="1">
      <alignment horizontal="center" vertical="center"/>
    </xf>
    <xf numFmtId="0" fontId="20" fillId="3" borderId="46" xfId="2" applyNumberFormat="1" applyFont="1" applyFill="1" applyBorder="1" applyAlignment="1">
      <alignment horizontal="center" vertical="center"/>
    </xf>
    <xf numFmtId="0" fontId="20" fillId="3" borderId="40" xfId="2" applyNumberFormat="1" applyFont="1" applyFill="1" applyBorder="1" applyAlignment="1">
      <alignment horizontal="center" vertical="center"/>
    </xf>
  </cellXfs>
  <cellStyles count="93">
    <cellStyle name="20% - 강조색1 2" xfId="33"/>
    <cellStyle name="20% - 강조색2 2" xfId="34"/>
    <cellStyle name="20% - 강조색3 2" xfId="35"/>
    <cellStyle name="20% - 강조색4 2" xfId="36"/>
    <cellStyle name="20% - 강조색5 2" xfId="37"/>
    <cellStyle name="20% - 강조색6 2" xfId="38"/>
    <cellStyle name="40% - 강조색1 2" xfId="39"/>
    <cellStyle name="40% - 강조색2 2" xfId="40"/>
    <cellStyle name="40% - 강조색3 2" xfId="41"/>
    <cellStyle name="40% - 강조색4 2" xfId="42"/>
    <cellStyle name="40% - 강조색5 2" xfId="43"/>
    <cellStyle name="40% - 강조색6 2" xfId="44"/>
    <cellStyle name="60% - 강조색1 2" xfId="45"/>
    <cellStyle name="60% - 강조색2 2" xfId="46"/>
    <cellStyle name="60% - 강조색3 2" xfId="47"/>
    <cellStyle name="60% - 강조색4 2" xfId="48"/>
    <cellStyle name="60% - 강조색5 2" xfId="49"/>
    <cellStyle name="60% - 강조색6 2" xfId="50"/>
    <cellStyle name="강조색1 2" xfId="51"/>
    <cellStyle name="강조색2 2" xfId="52"/>
    <cellStyle name="강조색3 2" xfId="53"/>
    <cellStyle name="강조색4 2" xfId="54"/>
    <cellStyle name="강조색5 2" xfId="55"/>
    <cellStyle name="강조색6 2" xfId="56"/>
    <cellStyle name="경고문 2" xfId="57"/>
    <cellStyle name="계산 2" xfId="58"/>
    <cellStyle name="나쁨 2" xfId="59"/>
    <cellStyle name="메모 2" xfId="60"/>
    <cellStyle name="백분율 2" xfId="8"/>
    <cellStyle name="백분율 2 2" xfId="25"/>
    <cellStyle name="백분율 3" xfId="15"/>
    <cellStyle name="보통 2" xfId="61"/>
    <cellStyle name="설명 텍스트 2" xfId="62"/>
    <cellStyle name="셀 확인 2" xfId="63"/>
    <cellStyle name="쉼표 [0]" xfId="1" builtinId="6"/>
    <cellStyle name="쉼표 [0] 10" xfId="92"/>
    <cellStyle name="쉼표 [0] 2" xfId="3"/>
    <cellStyle name="쉼표 [0] 2 2" xfId="12"/>
    <cellStyle name="쉼표 [0] 2 2 2" xfId="28"/>
    <cellStyle name="쉼표 [0] 2 2 3" xfId="82"/>
    <cellStyle name="쉼표 [0] 2 3" xfId="16"/>
    <cellStyle name="쉼표 [0] 2 3 2" xfId="65"/>
    <cellStyle name="쉼표 [0] 2 4" xfId="22"/>
    <cellStyle name="쉼표 [0] 2 5" xfId="81"/>
    <cellStyle name="쉼표 [0] 3" xfId="10"/>
    <cellStyle name="쉼표 [0] 3 2" xfId="30"/>
    <cellStyle name="쉼표 [0] 3 3" xfId="21"/>
    <cellStyle name="쉼표 [0] 3 4" xfId="83"/>
    <cellStyle name="쉼표 [0] 4" xfId="4"/>
    <cellStyle name="쉼표 [0] 4 2" xfId="24"/>
    <cellStyle name="쉼표 [0] 4 3" xfId="84"/>
    <cellStyle name="쉼표 [0] 5" xfId="14"/>
    <cellStyle name="쉼표 [0] 5 2" xfId="26"/>
    <cellStyle name="쉼표 [0] 5 3" xfId="85"/>
    <cellStyle name="쉼표 [0] 6" xfId="6"/>
    <cellStyle name="쉼표 [0] 6 2" xfId="27"/>
    <cellStyle name="쉼표 [0] 7" xfId="64"/>
    <cellStyle name="쉼표 [0] 8" xfId="20"/>
    <cellStyle name="쉼표 [0] 9" xfId="80"/>
    <cellStyle name="연결된 셀 2" xfId="66"/>
    <cellStyle name="요약 2" xfId="67"/>
    <cellStyle name="입력 2" xfId="68"/>
    <cellStyle name="제목 1 2" xfId="70"/>
    <cellStyle name="제목 2 2" xfId="71"/>
    <cellStyle name="제목 3 2" xfId="72"/>
    <cellStyle name="제목 4 2" xfId="73"/>
    <cellStyle name="제목 5" xfId="69"/>
    <cellStyle name="좋음 2" xfId="74"/>
    <cellStyle name="출력 2" xfId="75"/>
    <cellStyle name="표준" xfId="0" builtinId="0"/>
    <cellStyle name="표준 2" xfId="5"/>
    <cellStyle name="표준 2 2" xfId="2"/>
    <cellStyle name="표준 2 2 2" xfId="11"/>
    <cellStyle name="표준 2 3" xfId="29"/>
    <cellStyle name="표준 2 4" xfId="76"/>
    <cellStyle name="표준 2 5" xfId="19"/>
    <cellStyle name="표준 2 5 2" xfId="78"/>
    <cellStyle name="표준 2 5 2 2" xfId="79"/>
    <cellStyle name="표준 2 5 2 2 2" xfId="89"/>
    <cellStyle name="표준 2 5 2 2 2 2" xfId="90"/>
    <cellStyle name="표준 2 5 2 2 2 2 3" xfId="91"/>
    <cellStyle name="표준 2 5 3" xfId="77"/>
    <cellStyle name="표준 2 6" xfId="23"/>
    <cellStyle name="표준 3" xfId="7"/>
    <cellStyle name="표준 3 2" xfId="13"/>
    <cellStyle name="표준 3 2 2" xfId="18"/>
    <cellStyle name="표준 3 3" xfId="31"/>
    <cellStyle name="표준 4" xfId="9"/>
    <cellStyle name="표준 4 2" xfId="86"/>
    <cellStyle name="표준 5" xfId="17"/>
    <cellStyle name="표준 5 2" xfId="87"/>
    <cellStyle name="표준 6" xfId="32"/>
    <cellStyle name="표준 7" xfId="88"/>
  </cellStyles>
  <dxfs count="1848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colors>
    <mruColors>
      <color rgb="FFFF6699"/>
      <color rgb="FF0000FF"/>
      <color rgb="FFFF99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257734</xdr:colOff>
      <xdr:row>21</xdr:row>
      <xdr:rowOff>145678</xdr:rowOff>
    </xdr:from>
    <xdr:to>
      <xdr:col>3</xdr:col>
      <xdr:colOff>445933</xdr:colOff>
      <xdr:row>24</xdr:row>
      <xdr:rowOff>80923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1591234" y="5060578"/>
          <a:ext cx="854949" cy="60199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025&#45380;%20&#48376;&#50696;&#49328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40229)%202024&#45380;%202&#54924;%20&#52628;&#44221;(&#49464;&#4851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예산 총괄표"/>
      <sheetName val="지출예산 총괄표"/>
      <sheetName val="지출예산"/>
      <sheetName val="행정관리부"/>
      <sheetName val="기획홍보부"/>
      <sheetName val="수익사업부"/>
      <sheetName val="유치협력부"/>
      <sheetName val="운영부"/>
      <sheetName val="행사부"/>
      <sheetName val="시설조성부"/>
      <sheetName val="전시연출부"/>
      <sheetName val="예비비"/>
      <sheetName val="지출예산(위탁)"/>
      <sheetName val="기획본부(위탁)"/>
      <sheetName val="운영본부(위탁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성연출부"/>
      <sheetName val="홍보사업부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3:M25"/>
  <sheetViews>
    <sheetView tabSelected="1" zoomScale="85" zoomScaleNormal="85" workbookViewId="0">
      <selection activeCell="A15" sqref="A15:C15"/>
    </sheetView>
  </sheetViews>
  <sheetFormatPr defaultRowHeight="13.5"/>
  <cols>
    <col min="1" max="13" width="8.75" style="451" customWidth="1"/>
    <col min="14" max="16384" width="9" style="451"/>
  </cols>
  <sheetData>
    <row r="3" spans="1:13" ht="26.25">
      <c r="M3" s="452"/>
    </row>
    <row r="11" spans="1:13">
      <c r="K11" s="453"/>
      <c r="L11" s="454"/>
      <c r="M11" s="454"/>
    </row>
    <row r="13" spans="1:13" ht="35.25">
      <c r="A13" s="617" t="s">
        <v>747</v>
      </c>
      <c r="B13" s="617"/>
      <c r="C13" s="617"/>
      <c r="D13" s="617"/>
      <c r="E13" s="617"/>
      <c r="F13" s="617"/>
      <c r="G13" s="617"/>
      <c r="H13" s="617"/>
      <c r="I13" s="617"/>
      <c r="J13" s="617"/>
      <c r="K13" s="617"/>
      <c r="L13" s="617"/>
      <c r="M13" s="617"/>
    </row>
    <row r="15" spans="1:13" ht="14.25">
      <c r="A15" s="618"/>
      <c r="B15" s="618"/>
      <c r="C15" s="618"/>
    </row>
    <row r="16" spans="1:13" ht="25.5">
      <c r="C16" s="455"/>
      <c r="D16" s="456"/>
      <c r="E16" s="456"/>
      <c r="F16" s="456"/>
      <c r="G16" s="456"/>
      <c r="H16" s="456"/>
      <c r="I16" s="456"/>
      <c r="J16" s="456"/>
    </row>
    <row r="17" spans="1:13" ht="25.5">
      <c r="C17" s="455"/>
      <c r="D17" s="456"/>
      <c r="E17" s="456"/>
      <c r="F17" s="456"/>
      <c r="G17" s="456"/>
      <c r="H17" s="456"/>
      <c r="I17" s="456"/>
      <c r="J17" s="456"/>
    </row>
    <row r="18" spans="1:13" ht="25.5">
      <c r="C18" s="455"/>
      <c r="D18" s="456"/>
      <c r="E18" s="456"/>
      <c r="F18" s="456"/>
      <c r="G18" s="456"/>
      <c r="H18" s="456"/>
      <c r="I18" s="456"/>
      <c r="J18" s="456"/>
    </row>
    <row r="19" spans="1:13" ht="25.5">
      <c r="C19" s="455"/>
      <c r="D19" s="456"/>
      <c r="E19" s="456"/>
      <c r="F19" s="456"/>
      <c r="G19" s="456"/>
      <c r="H19" s="456"/>
      <c r="I19" s="456"/>
      <c r="J19" s="456"/>
    </row>
    <row r="20" spans="1:13" ht="21.75">
      <c r="A20" s="619"/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</row>
    <row r="21" spans="1:13" ht="25.5">
      <c r="C21" s="455"/>
      <c r="D21" s="456"/>
      <c r="E21" s="456"/>
      <c r="F21" s="456"/>
      <c r="G21" s="456"/>
      <c r="H21" s="456"/>
      <c r="I21" s="456"/>
      <c r="J21" s="456"/>
    </row>
    <row r="22" spans="1:13" ht="25.5" customHeight="1">
      <c r="C22" s="455"/>
      <c r="D22" s="620" t="s">
        <v>500</v>
      </c>
      <c r="E22" s="620"/>
      <c r="F22" s="620"/>
      <c r="G22" s="620"/>
      <c r="H22" s="620"/>
      <c r="I22" s="620"/>
      <c r="J22" s="620"/>
      <c r="K22" s="620"/>
    </row>
    <row r="23" spans="1:13" ht="13.5" customHeight="1">
      <c r="D23" s="620"/>
      <c r="E23" s="620"/>
      <c r="F23" s="620"/>
      <c r="G23" s="620"/>
      <c r="H23" s="620"/>
      <c r="I23" s="620"/>
      <c r="J23" s="620"/>
      <c r="K23" s="620"/>
    </row>
    <row r="24" spans="1:13" ht="13.5" customHeight="1">
      <c r="D24" s="620"/>
      <c r="E24" s="620"/>
      <c r="F24" s="620"/>
      <c r="G24" s="620"/>
      <c r="H24" s="620"/>
      <c r="I24" s="620"/>
      <c r="J24" s="620"/>
      <c r="K24" s="620"/>
    </row>
    <row r="25" spans="1:13">
      <c r="D25" s="620"/>
      <c r="E25" s="620"/>
      <c r="F25" s="620"/>
      <c r="G25" s="620"/>
      <c r="H25" s="620"/>
      <c r="I25" s="620"/>
      <c r="J25" s="620"/>
      <c r="K25" s="620"/>
    </row>
  </sheetData>
  <mergeCells count="4">
    <mergeCell ref="A13:M13"/>
    <mergeCell ref="A15:C15"/>
    <mergeCell ref="A20:M20"/>
    <mergeCell ref="D22:K25"/>
  </mergeCells>
  <phoneticPr fontId="1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FF"/>
    <pageSetUpPr fitToPage="1"/>
  </sheetPr>
  <dimension ref="A1:J33"/>
  <sheetViews>
    <sheetView zoomScale="85" zoomScaleNormal="85" workbookViewId="0"/>
  </sheetViews>
  <sheetFormatPr defaultRowHeight="16.5"/>
  <cols>
    <col min="1" max="4" width="4.625" customWidth="1"/>
    <col min="5" max="5" width="21" customWidth="1"/>
    <col min="6" max="7" width="14.375" customWidth="1"/>
    <col min="8" max="8" width="12.125" customWidth="1"/>
    <col min="10" max="10" width="10.875" bestFit="1" customWidth="1"/>
  </cols>
  <sheetData>
    <row r="1" spans="1:10" ht="18" customHeight="1">
      <c r="A1" s="27" t="s">
        <v>148</v>
      </c>
      <c r="B1" s="27"/>
      <c r="C1" s="28"/>
      <c r="D1" s="28"/>
      <c r="E1" s="28"/>
      <c r="F1" s="29"/>
      <c r="G1" s="29"/>
      <c r="H1" s="29"/>
    </row>
    <row r="2" spans="1:10" ht="17.25" thickBot="1">
      <c r="A2" s="30"/>
      <c r="B2" s="30"/>
      <c r="C2" s="30"/>
      <c r="D2" s="30"/>
      <c r="E2" s="30"/>
      <c r="F2" s="30"/>
      <c r="G2" s="30"/>
      <c r="H2" s="31" t="s">
        <v>149</v>
      </c>
    </row>
    <row r="3" spans="1:10" ht="18" customHeight="1">
      <c r="A3" s="621" t="s">
        <v>5</v>
      </c>
      <c r="B3" s="622"/>
      <c r="C3" s="622"/>
      <c r="D3" s="622"/>
      <c r="E3" s="622"/>
      <c r="F3" s="623" t="s">
        <v>660</v>
      </c>
      <c r="G3" s="623" t="s">
        <v>543</v>
      </c>
      <c r="H3" s="625" t="s">
        <v>150</v>
      </c>
    </row>
    <row r="4" spans="1:10" ht="18" thickBot="1">
      <c r="A4" s="85" t="s">
        <v>12</v>
      </c>
      <c r="B4" s="32" t="s">
        <v>151</v>
      </c>
      <c r="C4" s="32" t="s">
        <v>152</v>
      </c>
      <c r="D4" s="32" t="s">
        <v>153</v>
      </c>
      <c r="E4" s="32" t="s">
        <v>6</v>
      </c>
      <c r="F4" s="624"/>
      <c r="G4" s="624"/>
      <c r="H4" s="626"/>
      <c r="J4" s="247"/>
    </row>
    <row r="5" spans="1:10" ht="18" thickBot="1">
      <c r="A5" s="627" t="s">
        <v>154</v>
      </c>
      <c r="B5" s="628"/>
      <c r="C5" s="628"/>
      <c r="D5" s="628"/>
      <c r="E5" s="628"/>
      <c r="F5" s="161">
        <f>F6</f>
        <v>30150147</v>
      </c>
      <c r="G5" s="161">
        <v>24529000</v>
      </c>
      <c r="H5" s="162">
        <f>F5-G5</f>
        <v>5621147</v>
      </c>
      <c r="J5" s="247"/>
    </row>
    <row r="6" spans="1:10" ht="17.25">
      <c r="A6" s="248" t="s">
        <v>155</v>
      </c>
      <c r="B6" s="177"/>
      <c r="C6" s="177"/>
      <c r="D6" s="177"/>
      <c r="E6" s="177"/>
      <c r="F6" s="249">
        <f>SUM(F7,F26)</f>
        <v>30150147</v>
      </c>
      <c r="G6" s="249">
        <v>24529000</v>
      </c>
      <c r="H6" s="115">
        <f t="shared" ref="H6:H32" si="0">F6-G6</f>
        <v>5621147</v>
      </c>
      <c r="J6" s="250"/>
    </row>
    <row r="7" spans="1:10" ht="17.25">
      <c r="A7" s="241"/>
      <c r="B7" s="176" t="s">
        <v>156</v>
      </c>
      <c r="C7" s="177"/>
      <c r="D7" s="177"/>
      <c r="E7" s="177"/>
      <c r="F7" s="113">
        <f>SUM(F8,F23)</f>
        <v>24012100</v>
      </c>
      <c r="G7" s="113">
        <v>24529000</v>
      </c>
      <c r="H7" s="115">
        <f t="shared" si="0"/>
        <v>-516900</v>
      </c>
      <c r="J7" s="250"/>
    </row>
    <row r="8" spans="1:10" ht="18" customHeight="1">
      <c r="A8" s="251"/>
      <c r="B8" s="252"/>
      <c r="C8" s="176" t="s">
        <v>157</v>
      </c>
      <c r="D8" s="177"/>
      <c r="E8" s="177"/>
      <c r="F8" s="113">
        <f>SUM(F9,F11,F13,F15,F17,F19,F21)</f>
        <v>24012100</v>
      </c>
      <c r="G8" s="113">
        <v>24511000</v>
      </c>
      <c r="H8" s="115">
        <f t="shared" si="0"/>
        <v>-498900</v>
      </c>
      <c r="J8" s="250"/>
    </row>
    <row r="9" spans="1:10" ht="18" customHeight="1">
      <c r="A9" s="164"/>
      <c r="B9" s="166"/>
      <c r="C9" s="33"/>
      <c r="D9" s="33" t="s">
        <v>561</v>
      </c>
      <c r="E9" s="254"/>
      <c r="F9" s="111">
        <f>F10</f>
        <v>120000</v>
      </c>
      <c r="G9" s="111">
        <v>0</v>
      </c>
      <c r="H9" s="114">
        <f t="shared" ref="H9:H10" si="1">F9-G9</f>
        <v>120000</v>
      </c>
    </row>
    <row r="10" spans="1:10" ht="18" customHeight="1">
      <c r="A10" s="164"/>
      <c r="B10" s="166"/>
      <c r="C10" s="166"/>
      <c r="D10" s="255"/>
      <c r="E10" s="372" t="s">
        <v>562</v>
      </c>
      <c r="F10" s="373">
        <v>120000</v>
      </c>
      <c r="G10" s="16">
        <v>0</v>
      </c>
      <c r="H10" s="116">
        <f t="shared" si="1"/>
        <v>120000</v>
      </c>
    </row>
    <row r="11" spans="1:10" ht="18" customHeight="1">
      <c r="A11" s="164"/>
      <c r="B11" s="166"/>
      <c r="C11" s="333"/>
      <c r="D11" s="33" t="s">
        <v>158</v>
      </c>
      <c r="E11" s="254"/>
      <c r="F11" s="111">
        <f>F12</f>
        <v>14320000</v>
      </c>
      <c r="G11" s="111">
        <v>22550000</v>
      </c>
      <c r="H11" s="114">
        <f t="shared" si="0"/>
        <v>-8230000</v>
      </c>
    </row>
    <row r="12" spans="1:10" ht="18" customHeight="1">
      <c r="A12" s="164"/>
      <c r="B12" s="166"/>
      <c r="C12" s="166"/>
      <c r="D12" s="255"/>
      <c r="E12" s="372" t="s">
        <v>159</v>
      </c>
      <c r="F12" s="373">
        <f>1000000+3380000+600000+270000+5500000+1200000+300000+90000+390000+1200000+390000</f>
        <v>14320000</v>
      </c>
      <c r="G12" s="16">
        <v>22550000</v>
      </c>
      <c r="H12" s="116">
        <f t="shared" si="0"/>
        <v>-8230000</v>
      </c>
    </row>
    <row r="13" spans="1:10" ht="18" customHeight="1">
      <c r="A13" s="164"/>
      <c r="B13" s="166"/>
      <c r="C13" s="333"/>
      <c r="D13" s="33" t="s">
        <v>563</v>
      </c>
      <c r="E13" s="254"/>
      <c r="F13" s="111">
        <f>F14</f>
        <v>6600000</v>
      </c>
      <c r="G13" s="111">
        <v>0</v>
      </c>
      <c r="H13" s="114">
        <f t="shared" ref="H13:H14" si="2">F13-G13</f>
        <v>6600000</v>
      </c>
    </row>
    <row r="14" spans="1:10" ht="18" customHeight="1">
      <c r="A14" s="164"/>
      <c r="B14" s="166"/>
      <c r="C14" s="166"/>
      <c r="D14" s="255"/>
      <c r="E14" s="372" t="s">
        <v>564</v>
      </c>
      <c r="F14" s="373">
        <v>6600000</v>
      </c>
      <c r="G14" s="16">
        <v>0</v>
      </c>
      <c r="H14" s="116">
        <f t="shared" si="2"/>
        <v>6600000</v>
      </c>
    </row>
    <row r="15" spans="1:10" ht="18" customHeight="1">
      <c r="A15" s="164"/>
      <c r="B15" s="165"/>
      <c r="C15" s="333"/>
      <c r="D15" s="179" t="s">
        <v>465</v>
      </c>
      <c r="E15" s="181"/>
      <c r="F15" s="111">
        <f>F16</f>
        <v>689000</v>
      </c>
      <c r="G15" s="111">
        <v>0</v>
      </c>
      <c r="H15" s="114">
        <f t="shared" si="0"/>
        <v>689000</v>
      </c>
    </row>
    <row r="16" spans="1:10" ht="18" customHeight="1">
      <c r="A16" s="164"/>
      <c r="B16" s="166"/>
      <c r="C16" s="165"/>
      <c r="D16" s="257"/>
      <c r="E16" s="372" t="s">
        <v>160</v>
      </c>
      <c r="F16" s="373">
        <v>689000</v>
      </c>
      <c r="G16" s="16">
        <v>0</v>
      </c>
      <c r="H16" s="116">
        <f t="shared" si="0"/>
        <v>689000</v>
      </c>
      <c r="J16" s="353"/>
    </row>
    <row r="17" spans="1:8" ht="18" customHeight="1">
      <c r="A17" s="164"/>
      <c r="B17" s="165"/>
      <c r="C17" s="256"/>
      <c r="D17" s="179" t="s">
        <v>161</v>
      </c>
      <c r="E17" s="181"/>
      <c r="F17" s="111">
        <f>F18</f>
        <v>1245100</v>
      </c>
      <c r="G17" s="111">
        <v>1861000</v>
      </c>
      <c r="H17" s="114">
        <f t="shared" si="0"/>
        <v>-615900</v>
      </c>
    </row>
    <row r="18" spans="1:8" ht="18" customHeight="1">
      <c r="A18" s="164"/>
      <c r="B18" s="166"/>
      <c r="C18" s="165"/>
      <c r="D18" s="257"/>
      <c r="E18" s="372" t="s">
        <v>162</v>
      </c>
      <c r="F18" s="373">
        <v>1245100</v>
      </c>
      <c r="G18" s="16">
        <v>1861000</v>
      </c>
      <c r="H18" s="116">
        <f>F18-G18</f>
        <v>-615900</v>
      </c>
    </row>
    <row r="19" spans="1:8" ht="18" customHeight="1">
      <c r="A19" s="164"/>
      <c r="B19" s="165"/>
      <c r="C19" s="256"/>
      <c r="D19" s="179" t="s">
        <v>439</v>
      </c>
      <c r="E19" s="181"/>
      <c r="F19" s="111">
        <f>F20</f>
        <v>410000</v>
      </c>
      <c r="G19" s="111">
        <v>100000</v>
      </c>
      <c r="H19" s="114">
        <f>F19-G19</f>
        <v>310000</v>
      </c>
    </row>
    <row r="20" spans="1:8" ht="18" customHeight="1">
      <c r="A20" s="164"/>
      <c r="B20" s="166"/>
      <c r="C20" s="165"/>
      <c r="D20" s="257"/>
      <c r="E20" s="372" t="s">
        <v>440</v>
      </c>
      <c r="F20" s="373">
        <v>410000</v>
      </c>
      <c r="G20" s="16">
        <v>100000</v>
      </c>
      <c r="H20" s="116">
        <f t="shared" ref="H20" si="3">F20-G20</f>
        <v>310000</v>
      </c>
    </row>
    <row r="21" spans="1:8" ht="18" customHeight="1">
      <c r="A21" s="164"/>
      <c r="B21" s="165"/>
      <c r="C21" s="256"/>
      <c r="D21" s="179" t="s">
        <v>565</v>
      </c>
      <c r="E21" s="181"/>
      <c r="F21" s="111">
        <f>F22</f>
        <v>628000</v>
      </c>
      <c r="G21" s="111">
        <v>0</v>
      </c>
      <c r="H21" s="114">
        <f>F21-G21</f>
        <v>628000</v>
      </c>
    </row>
    <row r="22" spans="1:8" ht="18" customHeight="1">
      <c r="A22" s="164"/>
      <c r="B22" s="166"/>
      <c r="C22" s="165"/>
      <c r="D22" s="257"/>
      <c r="E22" s="372" t="s">
        <v>566</v>
      </c>
      <c r="F22" s="373">
        <v>628000</v>
      </c>
      <c r="G22" s="16">
        <v>0</v>
      </c>
      <c r="H22" s="116">
        <f t="shared" ref="H22" si="4">F22-G22</f>
        <v>628000</v>
      </c>
    </row>
    <row r="23" spans="1:8" ht="18" customHeight="1">
      <c r="A23" s="251"/>
      <c r="B23" s="258"/>
      <c r="C23" s="176" t="s">
        <v>163</v>
      </c>
      <c r="D23" s="177"/>
      <c r="E23" s="177"/>
      <c r="F23" s="113">
        <f>F24</f>
        <v>0</v>
      </c>
      <c r="G23" s="113">
        <v>18000</v>
      </c>
      <c r="H23" s="115">
        <f t="shared" si="0"/>
        <v>-18000</v>
      </c>
    </row>
    <row r="24" spans="1:8" ht="18" customHeight="1">
      <c r="A24" s="164"/>
      <c r="B24" s="166"/>
      <c r="C24" s="33"/>
      <c r="D24" s="33" t="s">
        <v>164</v>
      </c>
      <c r="E24" s="254"/>
      <c r="F24" s="111">
        <f>F25</f>
        <v>0</v>
      </c>
      <c r="G24" s="111">
        <v>18000</v>
      </c>
      <c r="H24" s="114">
        <f t="shared" si="0"/>
        <v>-18000</v>
      </c>
    </row>
    <row r="25" spans="1:8" ht="18" customHeight="1">
      <c r="A25" s="164"/>
      <c r="B25" s="166"/>
      <c r="C25" s="165"/>
      <c r="D25" s="255"/>
      <c r="E25" s="372" t="s">
        <v>165</v>
      </c>
      <c r="F25" s="373">
        <v>0</v>
      </c>
      <c r="G25" s="16">
        <v>18000</v>
      </c>
      <c r="H25" s="116">
        <f t="shared" si="0"/>
        <v>-18000</v>
      </c>
    </row>
    <row r="26" spans="1:8" ht="18" customHeight="1">
      <c r="A26" s="251"/>
      <c r="B26" s="176" t="s">
        <v>166</v>
      </c>
      <c r="C26" s="177"/>
      <c r="D26" s="259"/>
      <c r="E26" s="259"/>
      <c r="F26" s="113">
        <f>F27+F30</f>
        <v>6138047</v>
      </c>
      <c r="G26" s="113">
        <v>0</v>
      </c>
      <c r="H26" s="115">
        <f t="shared" si="0"/>
        <v>6138047</v>
      </c>
    </row>
    <row r="27" spans="1:8">
      <c r="A27" s="251"/>
      <c r="B27" s="252"/>
      <c r="C27" s="176" t="s">
        <v>167</v>
      </c>
      <c r="D27" s="177"/>
      <c r="E27" s="177"/>
      <c r="F27" s="113">
        <f>F28</f>
        <v>3233000</v>
      </c>
      <c r="G27" s="113">
        <v>0</v>
      </c>
      <c r="H27" s="115">
        <f t="shared" ref="H27:H29" si="5">F27-G27</f>
        <v>3233000</v>
      </c>
    </row>
    <row r="28" spans="1:8">
      <c r="A28" s="164"/>
      <c r="B28" s="166"/>
      <c r="C28" s="33"/>
      <c r="D28" s="33" t="s">
        <v>168</v>
      </c>
      <c r="E28" s="254"/>
      <c r="F28" s="111">
        <f>F29</f>
        <v>3233000</v>
      </c>
      <c r="G28" s="111">
        <v>0</v>
      </c>
      <c r="H28" s="114">
        <f t="shared" si="5"/>
        <v>3233000</v>
      </c>
    </row>
    <row r="29" spans="1:8">
      <c r="A29" s="164"/>
      <c r="B29" s="166"/>
      <c r="C29" s="348"/>
      <c r="D29" s="255"/>
      <c r="E29" s="372" t="s">
        <v>169</v>
      </c>
      <c r="F29" s="373">
        <v>3233000</v>
      </c>
      <c r="G29" s="330">
        <v>0</v>
      </c>
      <c r="H29" s="116">
        <f t="shared" si="5"/>
        <v>3233000</v>
      </c>
    </row>
    <row r="30" spans="1:8">
      <c r="A30" s="251"/>
      <c r="B30" s="258"/>
      <c r="C30" s="327" t="s">
        <v>476</v>
      </c>
      <c r="D30" s="259"/>
      <c r="E30" s="259"/>
      <c r="F30" s="249">
        <f>F31</f>
        <v>2905047</v>
      </c>
      <c r="G30" s="249">
        <v>0</v>
      </c>
      <c r="H30" s="329">
        <f t="shared" si="0"/>
        <v>2905047</v>
      </c>
    </row>
    <row r="31" spans="1:8">
      <c r="A31" s="164"/>
      <c r="B31" s="166"/>
      <c r="C31" s="33"/>
      <c r="D31" s="33" t="s">
        <v>477</v>
      </c>
      <c r="E31" s="254"/>
      <c r="F31" s="111">
        <f>F32+F33</f>
        <v>2905047</v>
      </c>
      <c r="G31" s="111">
        <v>0</v>
      </c>
      <c r="H31" s="114">
        <f t="shared" si="0"/>
        <v>2905047</v>
      </c>
    </row>
    <row r="32" spans="1:8">
      <c r="A32" s="164"/>
      <c r="B32" s="166"/>
      <c r="C32" s="165"/>
      <c r="D32" s="371"/>
      <c r="E32" s="372" t="s">
        <v>478</v>
      </c>
      <c r="F32" s="373">
        <v>2905047</v>
      </c>
      <c r="G32" s="330">
        <v>0</v>
      </c>
      <c r="H32" s="116">
        <f t="shared" si="0"/>
        <v>2905047</v>
      </c>
    </row>
    <row r="33" spans="1:8" ht="17.25" thickBot="1">
      <c r="A33" s="260"/>
      <c r="B33" s="261"/>
      <c r="C33" s="262"/>
      <c r="D33" s="370"/>
      <c r="E33" s="374" t="s">
        <v>479</v>
      </c>
      <c r="F33" s="375">
        <v>0</v>
      </c>
      <c r="G33" s="376">
        <v>0</v>
      </c>
      <c r="H33" s="377">
        <f>F33-G33</f>
        <v>0</v>
      </c>
    </row>
  </sheetData>
  <mergeCells count="5">
    <mergeCell ref="A3:E3"/>
    <mergeCell ref="F3:F4"/>
    <mergeCell ref="G3:G4"/>
    <mergeCell ref="H3:H4"/>
    <mergeCell ref="A5:E5"/>
  </mergeCells>
  <phoneticPr fontId="12" type="noConversion"/>
  <conditionalFormatting sqref="H3:H4">
    <cfRule type="containsText" dxfId="1847" priority="1" operator="containsText" text="허하나로">
      <formula>NOT(ISERROR(SEARCH("허하나로",F804)))</formula>
    </cfRule>
    <cfRule type="containsText" dxfId="1846" priority="2" operator="containsText" text="한별">
      <formula>NOT(ISERROR(SEARCH("한별",F804)))</formula>
    </cfRule>
    <cfRule type="containsText" dxfId="1845" priority="3" operator="containsText" text="정홍조">
      <formula>NOT(ISERROR(SEARCH("정홍조",F804)))</formula>
    </cfRule>
    <cfRule type="containsText" dxfId="1844" priority="4" operator="containsText" text="김지윤">
      <formula>NOT(ISERROR(SEARCH("김지윤",F804)))</formula>
    </cfRule>
    <cfRule type="containsText" dxfId="1843" priority="5" operator="containsText" text="전준영">
      <formula>NOT(ISERROR(SEARCH("전준영",F804)))</formula>
    </cfRule>
    <cfRule type="containsText" dxfId="1842" priority="6" operator="containsText" text="차재성">
      <formula>NOT(ISERROR(SEARCH("차재성",F804)))</formula>
    </cfRule>
  </conditionalFormatting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N30"/>
  <sheetViews>
    <sheetView zoomScale="85" zoomScaleNormal="85" workbookViewId="0">
      <selection activeCell="G18" sqref="G18"/>
    </sheetView>
  </sheetViews>
  <sheetFormatPr defaultRowHeight="16.5"/>
  <cols>
    <col min="1" max="1" width="5.625" style="175" customWidth="1"/>
    <col min="2" max="4" width="8" style="175" bestFit="1" customWidth="1"/>
    <col min="5" max="5" width="6.75" style="175" bestFit="1" customWidth="1"/>
    <col min="6" max="6" width="14.875" style="175" customWidth="1"/>
    <col min="7" max="8" width="14.375" style="175" customWidth="1"/>
    <col min="9" max="9" width="12.125" style="175" customWidth="1"/>
    <col min="12" max="12" width="10" bestFit="1" customWidth="1"/>
  </cols>
  <sheetData>
    <row r="1" spans="1:14" ht="18" customHeight="1">
      <c r="A1" s="27" t="s">
        <v>248</v>
      </c>
      <c r="B1" s="28"/>
      <c r="C1" s="28"/>
      <c r="D1" s="28"/>
      <c r="E1" s="28"/>
      <c r="F1" s="28"/>
      <c r="G1" s="29"/>
      <c r="H1" s="29"/>
      <c r="I1" s="29"/>
    </row>
    <row r="2" spans="1:14" ht="17.25" thickBot="1">
      <c r="A2" s="30"/>
      <c r="B2" s="30"/>
      <c r="C2" s="30"/>
      <c r="D2" s="30"/>
      <c r="E2" s="30"/>
      <c r="F2" s="30"/>
      <c r="G2" s="30"/>
      <c r="H2" s="30"/>
      <c r="I2" s="31" t="s">
        <v>149</v>
      </c>
    </row>
    <row r="3" spans="1:14" ht="18" customHeight="1">
      <c r="A3" s="621" t="s">
        <v>5</v>
      </c>
      <c r="B3" s="622"/>
      <c r="C3" s="622"/>
      <c r="D3" s="622"/>
      <c r="E3" s="622"/>
      <c r="F3" s="629"/>
      <c r="G3" s="623" t="s">
        <v>660</v>
      </c>
      <c r="H3" s="623" t="s">
        <v>543</v>
      </c>
      <c r="I3" s="625" t="s">
        <v>249</v>
      </c>
    </row>
    <row r="4" spans="1:14" ht="17.25" thickBot="1">
      <c r="A4" s="85" t="s">
        <v>250</v>
      </c>
      <c r="B4" s="32" t="s">
        <v>13</v>
      </c>
      <c r="C4" s="631"/>
      <c r="D4" s="632"/>
      <c r="E4" s="632"/>
      <c r="F4" s="633"/>
      <c r="G4" s="624"/>
      <c r="H4" s="624"/>
      <c r="I4" s="626"/>
      <c r="L4" s="324"/>
    </row>
    <row r="5" spans="1:14" ht="17.25" thickBot="1">
      <c r="A5" s="627" t="s">
        <v>251</v>
      </c>
      <c r="B5" s="628"/>
      <c r="C5" s="628"/>
      <c r="D5" s="628"/>
      <c r="E5" s="628"/>
      <c r="F5" s="630"/>
      <c r="G5" s="295">
        <f>G6+G23</f>
        <v>30150147</v>
      </c>
      <c r="H5" s="295">
        <v>24529000</v>
      </c>
      <c r="I5" s="162">
        <f>G5-H5</f>
        <v>5621147</v>
      </c>
      <c r="K5" s="253"/>
      <c r="L5" s="342"/>
    </row>
    <row r="6" spans="1:14" ht="18" customHeight="1">
      <c r="A6" s="296" t="s">
        <v>646</v>
      </c>
      <c r="B6" s="297"/>
      <c r="C6" s="298"/>
      <c r="D6" s="298"/>
      <c r="E6" s="298"/>
      <c r="F6" s="299"/>
      <c r="G6" s="300">
        <f>SUM(G7,G18)</f>
        <v>15830147</v>
      </c>
      <c r="H6" s="300">
        <v>1979000</v>
      </c>
      <c r="I6" s="301">
        <f>G6-H6</f>
        <v>13851147</v>
      </c>
      <c r="K6" s="253"/>
      <c r="L6" s="342"/>
      <c r="M6" s="324"/>
      <c r="N6" s="253"/>
    </row>
    <row r="7" spans="1:14" ht="18" customHeight="1">
      <c r="A7" s="302" t="s">
        <v>2</v>
      </c>
      <c r="B7" s="177"/>
      <c r="C7" s="177"/>
      <c r="D7" s="177"/>
      <c r="E7" s="177"/>
      <c r="F7" s="178"/>
      <c r="G7" s="113">
        <f>SUM(G8:G17)</f>
        <v>9597147</v>
      </c>
      <c r="H7" s="113">
        <v>1979000</v>
      </c>
      <c r="I7" s="115">
        <f t="shared" ref="I7:I22" si="0">G7-H7</f>
        <v>7618147</v>
      </c>
      <c r="K7" s="253"/>
      <c r="L7" s="342"/>
    </row>
    <row r="8" spans="1:14" ht="18" customHeight="1">
      <c r="A8" s="251"/>
      <c r="B8" s="176" t="s">
        <v>255</v>
      </c>
      <c r="C8" s="177"/>
      <c r="D8" s="177"/>
      <c r="E8" s="177"/>
      <c r="F8" s="178"/>
      <c r="G8" s="113">
        <f>행정관리부!H5</f>
        <v>974983</v>
      </c>
      <c r="H8" s="113">
        <v>927348</v>
      </c>
      <c r="I8" s="115">
        <f t="shared" si="0"/>
        <v>47635</v>
      </c>
      <c r="J8" s="253"/>
      <c r="K8" s="253"/>
      <c r="L8" s="342"/>
      <c r="M8" s="324"/>
    </row>
    <row r="9" spans="1:14" ht="18" customHeight="1">
      <c r="A9" s="251"/>
      <c r="B9" s="176" t="s">
        <v>256</v>
      </c>
      <c r="C9" s="177"/>
      <c r="D9" s="177"/>
      <c r="E9" s="177"/>
      <c r="F9" s="178"/>
      <c r="G9" s="113">
        <f>기획홍보부!H5</f>
        <v>170012</v>
      </c>
      <c r="H9" s="113">
        <v>151892</v>
      </c>
      <c r="I9" s="115">
        <f t="shared" si="0"/>
        <v>18120</v>
      </c>
      <c r="J9" s="253"/>
      <c r="K9" s="253"/>
      <c r="L9" s="342"/>
      <c r="M9" s="324"/>
    </row>
    <row r="10" spans="1:14" ht="18" customHeight="1">
      <c r="A10" s="164"/>
      <c r="B10" s="176" t="s">
        <v>257</v>
      </c>
      <c r="C10" s="177"/>
      <c r="D10" s="177"/>
      <c r="E10" s="177"/>
      <c r="F10" s="178"/>
      <c r="G10" s="113">
        <f>수익사업부!H5</f>
        <v>197636</v>
      </c>
      <c r="H10" s="113">
        <v>86166</v>
      </c>
      <c r="I10" s="115">
        <f t="shared" si="0"/>
        <v>111470</v>
      </c>
      <c r="K10" s="253"/>
      <c r="L10" s="342"/>
      <c r="M10" s="324"/>
    </row>
    <row r="11" spans="1:14" ht="18" customHeight="1">
      <c r="A11" s="164"/>
      <c r="B11" s="176" t="s">
        <v>258</v>
      </c>
      <c r="C11" s="177"/>
      <c r="D11" s="177"/>
      <c r="E11" s="177"/>
      <c r="F11" s="178"/>
      <c r="G11" s="113">
        <f>유치협력부!H5</f>
        <v>47440</v>
      </c>
      <c r="H11" s="113">
        <v>62518</v>
      </c>
      <c r="I11" s="115">
        <f t="shared" si="0"/>
        <v>-15078</v>
      </c>
      <c r="K11" s="253"/>
      <c r="L11" s="342"/>
      <c r="M11" s="324"/>
    </row>
    <row r="12" spans="1:14" ht="18" customHeight="1">
      <c r="A12" s="251"/>
      <c r="B12" s="176" t="s">
        <v>259</v>
      </c>
      <c r="C12" s="177"/>
      <c r="D12" s="177"/>
      <c r="E12" s="177"/>
      <c r="F12" s="178"/>
      <c r="G12" s="113">
        <f>운영부!H5</f>
        <v>3686944</v>
      </c>
      <c r="H12" s="113">
        <v>358632</v>
      </c>
      <c r="I12" s="115">
        <f t="shared" ref="I12:I15" si="1">G12-H12</f>
        <v>3328312</v>
      </c>
      <c r="K12" s="253"/>
      <c r="L12" s="342"/>
      <c r="M12" s="324"/>
    </row>
    <row r="13" spans="1:14" ht="18" customHeight="1">
      <c r="A13" s="251"/>
      <c r="B13" s="176" t="s">
        <v>260</v>
      </c>
      <c r="C13" s="177"/>
      <c r="D13" s="177"/>
      <c r="E13" s="177"/>
      <c r="F13" s="178"/>
      <c r="G13" s="113">
        <f>행사부!H5</f>
        <v>20648</v>
      </c>
      <c r="H13" s="113">
        <v>25268</v>
      </c>
      <c r="I13" s="115">
        <f t="shared" si="1"/>
        <v>-4620</v>
      </c>
      <c r="K13" s="253"/>
      <c r="L13" s="342"/>
    </row>
    <row r="14" spans="1:14" ht="18" customHeight="1">
      <c r="A14" s="164"/>
      <c r="B14" s="176" t="s">
        <v>261</v>
      </c>
      <c r="C14" s="177"/>
      <c r="D14" s="177"/>
      <c r="E14" s="177"/>
      <c r="F14" s="178"/>
      <c r="G14" s="113">
        <f>시설조성부!H5</f>
        <v>1765648</v>
      </c>
      <c r="H14" s="113">
        <v>25268</v>
      </c>
      <c r="I14" s="115">
        <f t="shared" si="1"/>
        <v>1740380</v>
      </c>
    </row>
    <row r="15" spans="1:14" ht="18" customHeight="1">
      <c r="A15" s="164"/>
      <c r="B15" s="176" t="s">
        <v>262</v>
      </c>
      <c r="C15" s="177"/>
      <c r="D15" s="177"/>
      <c r="E15" s="177"/>
      <c r="F15" s="178"/>
      <c r="G15" s="113">
        <f>전시연출부!H5</f>
        <v>2121344</v>
      </c>
      <c r="H15" s="113">
        <v>25268</v>
      </c>
      <c r="I15" s="115">
        <f t="shared" si="1"/>
        <v>2096076</v>
      </c>
    </row>
    <row r="16" spans="1:14" ht="18" customHeight="1">
      <c r="A16" s="164"/>
      <c r="B16" s="176" t="s">
        <v>510</v>
      </c>
      <c r="C16" s="177"/>
      <c r="D16" s="177"/>
      <c r="E16" s="177"/>
      <c r="F16" s="178"/>
      <c r="G16" s="113">
        <f>종합상황실!H5</f>
        <v>16292</v>
      </c>
      <c r="H16" s="113">
        <v>0</v>
      </c>
      <c r="I16" s="115">
        <f t="shared" ref="I16" si="2">G16-H16</f>
        <v>16292</v>
      </c>
    </row>
    <row r="17" spans="1:9" ht="18" customHeight="1">
      <c r="A17" s="303"/>
      <c r="B17" s="176" t="s">
        <v>3</v>
      </c>
      <c r="C17" s="177"/>
      <c r="D17" s="177"/>
      <c r="E17" s="177"/>
      <c r="F17" s="178"/>
      <c r="G17" s="113">
        <f>예비비!H5</f>
        <v>596200</v>
      </c>
      <c r="H17" s="113">
        <v>316640</v>
      </c>
      <c r="I17" s="115">
        <f t="shared" si="0"/>
        <v>279560</v>
      </c>
    </row>
    <row r="18" spans="1:9" s="304" customFormat="1" ht="18" customHeight="1">
      <c r="A18" s="302" t="s">
        <v>191</v>
      </c>
      <c r="B18" s="177"/>
      <c r="C18" s="177"/>
      <c r="D18" s="177"/>
      <c r="E18" s="177"/>
      <c r="F18" s="178"/>
      <c r="G18" s="113">
        <f>시설조성부!H31</f>
        <v>6233000</v>
      </c>
      <c r="H18" s="113">
        <v>0</v>
      </c>
      <c r="I18" s="115">
        <f t="shared" si="0"/>
        <v>6233000</v>
      </c>
    </row>
    <row r="19" spans="1:9" s="304" customFormat="1" ht="18" customHeight="1">
      <c r="A19" s="241"/>
      <c r="B19" s="449" t="s">
        <v>498</v>
      </c>
      <c r="C19" s="449"/>
      <c r="D19" s="449"/>
      <c r="E19" s="449"/>
      <c r="F19" s="177"/>
      <c r="G19" s="113">
        <f>시설조성부!H32</f>
        <v>3233000</v>
      </c>
      <c r="H19" s="113">
        <v>0</v>
      </c>
      <c r="I19" s="115">
        <f t="shared" si="0"/>
        <v>3233000</v>
      </c>
    </row>
    <row r="20" spans="1:9" s="304" customFormat="1" ht="18" customHeight="1">
      <c r="A20" s="251"/>
      <c r="B20" s="591" t="s">
        <v>628</v>
      </c>
      <c r="C20" s="449"/>
      <c r="D20" s="177"/>
      <c r="E20" s="177"/>
      <c r="F20" s="177"/>
      <c r="G20" s="113">
        <f>시설조성부!H39</f>
        <v>1000000</v>
      </c>
      <c r="H20" s="113">
        <v>0</v>
      </c>
      <c r="I20" s="115">
        <f t="shared" si="0"/>
        <v>1000000</v>
      </c>
    </row>
    <row r="21" spans="1:9" s="304" customFormat="1" ht="18" customHeight="1">
      <c r="A21" s="251"/>
      <c r="B21" s="176" t="s">
        <v>645</v>
      </c>
      <c r="C21" s="177"/>
      <c r="D21" s="259"/>
      <c r="E21" s="259"/>
      <c r="F21" s="259"/>
      <c r="G21" s="249">
        <f>시설조성부!H46</f>
        <v>2000000</v>
      </c>
      <c r="H21" s="249">
        <v>0</v>
      </c>
      <c r="I21" s="115">
        <f t="shared" si="0"/>
        <v>2000000</v>
      </c>
    </row>
    <row r="22" spans="1:9" ht="17.25" thickBot="1">
      <c r="A22" s="305"/>
      <c r="B22" s="450" t="s">
        <v>193</v>
      </c>
      <c r="C22" s="590"/>
      <c r="D22" s="450"/>
      <c r="E22" s="450"/>
      <c r="F22" s="450"/>
      <c r="G22" s="331">
        <f>예비비!H13</f>
        <v>0</v>
      </c>
      <c r="H22" s="331">
        <v>0</v>
      </c>
      <c r="I22" s="592">
        <f t="shared" si="0"/>
        <v>0</v>
      </c>
    </row>
    <row r="23" spans="1:9" ht="18" customHeight="1">
      <c r="A23" s="306" t="s">
        <v>306</v>
      </c>
      <c r="B23" s="307"/>
      <c r="C23" s="307"/>
      <c r="D23" s="307"/>
      <c r="E23" s="307"/>
      <c r="F23" s="307"/>
      <c r="G23" s="308">
        <f>G24+G28</f>
        <v>14320000</v>
      </c>
      <c r="H23" s="308">
        <v>22550000</v>
      </c>
      <c r="I23" s="309">
        <f t="shared" ref="I23:I25" si="3">G23-H23</f>
        <v>-8230000</v>
      </c>
    </row>
    <row r="24" spans="1:9" ht="18" customHeight="1">
      <c r="A24" s="310" t="s">
        <v>2</v>
      </c>
      <c r="B24" s="311"/>
      <c r="C24" s="311"/>
      <c r="D24" s="311"/>
      <c r="E24" s="311"/>
      <c r="F24" s="312"/>
      <c r="G24" s="308">
        <f>SUM(G25:G27)</f>
        <v>10750000</v>
      </c>
      <c r="H24" s="308">
        <v>5450000</v>
      </c>
      <c r="I24" s="309">
        <f t="shared" si="3"/>
        <v>5300000</v>
      </c>
    </row>
    <row r="25" spans="1:9">
      <c r="A25" s="241"/>
      <c r="B25" s="316" t="s">
        <v>408</v>
      </c>
      <c r="C25" s="311"/>
      <c r="D25" s="311"/>
      <c r="E25" s="311"/>
      <c r="F25" s="312"/>
      <c r="G25" s="317">
        <f>'기획본부(위탁)'!H6</f>
        <v>1000000</v>
      </c>
      <c r="H25" s="317">
        <v>2000000</v>
      </c>
      <c r="I25" s="318">
        <f t="shared" si="3"/>
        <v>-1000000</v>
      </c>
    </row>
    <row r="26" spans="1:9">
      <c r="A26" s="251"/>
      <c r="B26" s="316" t="s">
        <v>409</v>
      </c>
      <c r="C26" s="311"/>
      <c r="D26" s="311"/>
      <c r="E26" s="311"/>
      <c r="F26" s="312"/>
      <c r="G26" s="317">
        <f>'기획본부(위탁)'!H30</f>
        <v>4250000</v>
      </c>
      <c r="H26" s="317">
        <v>950000</v>
      </c>
      <c r="I26" s="318">
        <f t="shared" ref="I26:I30" si="4">G26-H26</f>
        <v>3300000</v>
      </c>
    </row>
    <row r="27" spans="1:9">
      <c r="A27" s="251"/>
      <c r="B27" s="316" t="s">
        <v>410</v>
      </c>
      <c r="C27" s="307"/>
      <c r="D27" s="307"/>
      <c r="E27" s="307"/>
      <c r="F27" s="323"/>
      <c r="G27" s="317">
        <f>'운영본부(위탁)'!H6</f>
        <v>5500000</v>
      </c>
      <c r="H27" s="308">
        <v>1000000</v>
      </c>
      <c r="I27" s="309">
        <f t="shared" si="4"/>
        <v>4500000</v>
      </c>
    </row>
    <row r="28" spans="1:9" ht="18" customHeight="1">
      <c r="A28" s="306" t="s">
        <v>277</v>
      </c>
      <c r="B28" s="307"/>
      <c r="C28" s="307"/>
      <c r="D28" s="307"/>
      <c r="E28" s="307"/>
      <c r="F28" s="323"/>
      <c r="G28" s="308">
        <f>SUM(G29:G30)</f>
        <v>3570000</v>
      </c>
      <c r="H28" s="308">
        <v>17100000</v>
      </c>
      <c r="I28" s="309">
        <f t="shared" si="4"/>
        <v>-13530000</v>
      </c>
    </row>
    <row r="29" spans="1:9" ht="18" customHeight="1">
      <c r="A29" s="241"/>
      <c r="B29" s="316" t="s">
        <v>411</v>
      </c>
      <c r="C29" s="343"/>
      <c r="D29" s="311"/>
      <c r="E29" s="311"/>
      <c r="F29" s="312"/>
      <c r="G29" s="317">
        <f>'운영본부(위탁)'!H14</f>
        <v>1980000</v>
      </c>
      <c r="H29" s="317">
        <v>10300000</v>
      </c>
      <c r="I29" s="309">
        <f t="shared" si="4"/>
        <v>-8320000</v>
      </c>
    </row>
    <row r="30" spans="1:9" ht="17.25" thickBot="1">
      <c r="A30" s="305"/>
      <c r="B30" s="344" t="s">
        <v>383</v>
      </c>
      <c r="C30" s="345"/>
      <c r="D30" s="313"/>
      <c r="E30" s="313"/>
      <c r="F30" s="314"/>
      <c r="G30" s="315">
        <f>'운영본부(위탁)'!H36</f>
        <v>1590000</v>
      </c>
      <c r="H30" s="315">
        <v>6800000</v>
      </c>
      <c r="I30" s="346">
        <f t="shared" si="4"/>
        <v>-5210000</v>
      </c>
    </row>
  </sheetData>
  <mergeCells count="6">
    <mergeCell ref="A3:F3"/>
    <mergeCell ref="G3:G4"/>
    <mergeCell ref="H3:H4"/>
    <mergeCell ref="I3:I4"/>
    <mergeCell ref="A5:F5"/>
    <mergeCell ref="C4:F4"/>
  </mergeCells>
  <phoneticPr fontId="12" type="noConversion"/>
  <pageMargins left="0.25" right="0.25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7"/>
    <pageSetUpPr fitToPage="1"/>
  </sheetPr>
  <dimension ref="A1:I229"/>
  <sheetViews>
    <sheetView zoomScaleNormal="100" workbookViewId="0">
      <pane xSplit="8" ySplit="5" topLeftCell="I99" activePane="bottomRight" state="frozen"/>
      <selection activeCell="M4" sqref="M4"/>
      <selection pane="topRight" activeCell="M4" sqref="M4"/>
      <selection pane="bottomLeft" activeCell="M4" sqref="M4"/>
      <selection pane="bottomRight" activeCell="G169" sqref="G169:G176"/>
    </sheetView>
  </sheetViews>
  <sheetFormatPr defaultRowHeight="16.5"/>
  <cols>
    <col min="1" max="5" width="3.875" style="175" customWidth="1"/>
    <col min="6" max="6" width="32.625" style="175" customWidth="1"/>
    <col min="7" max="7" width="14.625" style="175" customWidth="1"/>
    <col min="8" max="8" width="14.875" style="175" customWidth="1"/>
    <col min="9" max="9" width="14.625" style="175" customWidth="1"/>
  </cols>
  <sheetData>
    <row r="1" spans="1:9" ht="18" customHeight="1">
      <c r="A1" s="27" t="s">
        <v>145</v>
      </c>
      <c r="B1" s="28"/>
      <c r="C1" s="28"/>
      <c r="D1" s="28"/>
      <c r="E1" s="28"/>
      <c r="F1" s="28"/>
      <c r="G1" s="29"/>
      <c r="H1" s="29"/>
      <c r="I1" s="29"/>
    </row>
    <row r="2" spans="1:9" ht="18" customHeight="1" thickBot="1">
      <c r="A2" s="30"/>
      <c r="B2" s="30"/>
      <c r="C2" s="30"/>
      <c r="D2" s="30"/>
      <c r="E2" s="30"/>
      <c r="F2" s="30"/>
      <c r="G2" s="30"/>
      <c r="H2" s="30"/>
      <c r="I2" s="31" t="s">
        <v>147</v>
      </c>
    </row>
    <row r="3" spans="1:9" ht="18" customHeight="1">
      <c r="A3" s="621" t="s">
        <v>5</v>
      </c>
      <c r="B3" s="622"/>
      <c r="C3" s="622"/>
      <c r="D3" s="622"/>
      <c r="E3" s="622"/>
      <c r="F3" s="629"/>
      <c r="G3" s="623" t="s">
        <v>660</v>
      </c>
      <c r="H3" s="623" t="s">
        <v>543</v>
      </c>
      <c r="I3" s="625" t="s">
        <v>468</v>
      </c>
    </row>
    <row r="4" spans="1:9" ht="18" customHeight="1" thickBot="1">
      <c r="A4" s="85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624"/>
      <c r="H4" s="624"/>
      <c r="I4" s="626"/>
    </row>
    <row r="5" spans="1:9" ht="18" customHeight="1" thickBot="1">
      <c r="A5" s="627" t="s">
        <v>139</v>
      </c>
      <c r="B5" s="628"/>
      <c r="C5" s="628"/>
      <c r="D5" s="628"/>
      <c r="E5" s="628"/>
      <c r="F5" s="630"/>
      <c r="G5" s="161">
        <f>G6+G209</f>
        <v>15830147</v>
      </c>
      <c r="H5" s="162">
        <f>SUM(H6,H209)</f>
        <v>1979000</v>
      </c>
      <c r="I5" s="162">
        <f t="shared" ref="I5:I8" si="0">G5-H5</f>
        <v>13851147</v>
      </c>
    </row>
    <row r="6" spans="1:9" ht="18" customHeight="1">
      <c r="A6" s="163" t="s">
        <v>135</v>
      </c>
      <c r="B6" s="180"/>
      <c r="C6" s="180"/>
      <c r="D6" s="180"/>
      <c r="E6" s="180"/>
      <c r="F6" s="181"/>
      <c r="G6" s="110">
        <f>SUM(G7,G39,G77,G104,G123,G142,G154,G170,G192,G204)</f>
        <v>9597147</v>
      </c>
      <c r="H6" s="110">
        <v>1979000</v>
      </c>
      <c r="I6" s="114">
        <f t="shared" si="0"/>
        <v>7618147</v>
      </c>
    </row>
    <row r="7" spans="1:9" ht="18" customHeight="1">
      <c r="A7" s="241"/>
      <c r="B7" s="176" t="s">
        <v>291</v>
      </c>
      <c r="C7" s="177"/>
      <c r="D7" s="177"/>
      <c r="E7" s="177"/>
      <c r="F7" s="178"/>
      <c r="G7" s="113">
        <f>SUM(G8,G13)</f>
        <v>974983</v>
      </c>
      <c r="H7" s="113">
        <v>927348</v>
      </c>
      <c r="I7" s="115">
        <f t="shared" si="0"/>
        <v>47635</v>
      </c>
    </row>
    <row r="8" spans="1:9" ht="18" customHeight="1">
      <c r="A8" s="164"/>
      <c r="B8" s="165"/>
      <c r="C8" s="179" t="s">
        <v>335</v>
      </c>
      <c r="D8" s="180"/>
      <c r="E8" s="180"/>
      <c r="F8" s="181"/>
      <c r="G8" s="201">
        <f>SUM(,G9)</f>
        <v>26100</v>
      </c>
      <c r="H8" s="201">
        <v>80420</v>
      </c>
      <c r="I8" s="114">
        <f t="shared" si="0"/>
        <v>-54320</v>
      </c>
    </row>
    <row r="9" spans="1:9" ht="18" customHeight="1">
      <c r="A9" s="164"/>
      <c r="B9" s="166"/>
      <c r="C9" s="166"/>
      <c r="D9" s="179" t="s">
        <v>336</v>
      </c>
      <c r="E9" s="180"/>
      <c r="F9" s="181"/>
      <c r="G9" s="15">
        <f>G10</f>
        <v>26100</v>
      </c>
      <c r="H9" s="15">
        <v>47460</v>
      </c>
      <c r="I9" s="114">
        <f t="shared" ref="I9:I17" si="1">G9-H9</f>
        <v>-21360</v>
      </c>
    </row>
    <row r="10" spans="1:9" ht="18" customHeight="1">
      <c r="A10" s="164"/>
      <c r="B10" s="166"/>
      <c r="C10" s="165"/>
      <c r="D10" s="167"/>
      <c r="E10" s="179" t="s">
        <v>105</v>
      </c>
      <c r="F10" s="181"/>
      <c r="G10" s="15">
        <f>행정관리부!H10</f>
        <v>26100</v>
      </c>
      <c r="H10" s="15">
        <v>47460</v>
      </c>
      <c r="I10" s="114">
        <f t="shared" si="1"/>
        <v>-21360</v>
      </c>
    </row>
    <row r="11" spans="1:9" ht="18" customHeight="1">
      <c r="A11" s="86"/>
      <c r="B11" s="168"/>
      <c r="C11" s="169"/>
      <c r="D11" s="168"/>
      <c r="E11" s="171"/>
      <c r="F11" s="171" t="s">
        <v>106</v>
      </c>
      <c r="G11" s="14">
        <f>행정관리부!H11</f>
        <v>24900</v>
      </c>
      <c r="H11" s="14">
        <v>45060</v>
      </c>
      <c r="I11" s="116">
        <f t="shared" si="1"/>
        <v>-20160</v>
      </c>
    </row>
    <row r="12" spans="1:9" ht="18" customHeight="1">
      <c r="A12" s="86"/>
      <c r="B12" s="168"/>
      <c r="C12" s="169"/>
      <c r="D12" s="168"/>
      <c r="E12" s="172"/>
      <c r="F12" s="171" t="s">
        <v>109</v>
      </c>
      <c r="G12" s="14">
        <f>행정관리부!H19</f>
        <v>1200</v>
      </c>
      <c r="H12" s="14">
        <v>2400</v>
      </c>
      <c r="I12" s="116">
        <f t="shared" si="1"/>
        <v>-1200</v>
      </c>
    </row>
    <row r="13" spans="1:9" ht="18" customHeight="1">
      <c r="A13" s="164"/>
      <c r="B13" s="165"/>
      <c r="C13" s="179" t="s">
        <v>282</v>
      </c>
      <c r="D13" s="180"/>
      <c r="E13" s="180"/>
      <c r="F13" s="181"/>
      <c r="G13" s="15">
        <f>G14</f>
        <v>948883</v>
      </c>
      <c r="H13" s="15">
        <v>846928</v>
      </c>
      <c r="I13" s="114">
        <f t="shared" si="1"/>
        <v>101955</v>
      </c>
    </row>
    <row r="14" spans="1:9" ht="18" customHeight="1">
      <c r="A14" s="164"/>
      <c r="B14" s="166"/>
      <c r="C14" s="167"/>
      <c r="D14" s="179" t="s">
        <v>283</v>
      </c>
      <c r="E14" s="180"/>
      <c r="F14" s="181"/>
      <c r="G14" s="15">
        <f>SUM(G15,G19,G21,G25,G27,G29,G32,G34,G37)</f>
        <v>948883</v>
      </c>
      <c r="H14" s="15">
        <v>846928</v>
      </c>
      <c r="I14" s="114">
        <f t="shared" si="1"/>
        <v>101955</v>
      </c>
    </row>
    <row r="15" spans="1:9" ht="18" customHeight="1">
      <c r="A15" s="164"/>
      <c r="B15" s="166"/>
      <c r="C15" s="165"/>
      <c r="D15" s="167"/>
      <c r="E15" s="179" t="s">
        <v>111</v>
      </c>
      <c r="F15" s="181"/>
      <c r="G15" s="15">
        <f>행정관리부!H24</f>
        <v>651710</v>
      </c>
      <c r="H15" s="15">
        <v>609331</v>
      </c>
      <c r="I15" s="114">
        <f t="shared" si="1"/>
        <v>42379</v>
      </c>
    </row>
    <row r="16" spans="1:9" ht="18" customHeight="1">
      <c r="A16" s="86"/>
      <c r="B16" s="168"/>
      <c r="C16" s="169"/>
      <c r="D16" s="168"/>
      <c r="E16" s="171"/>
      <c r="F16" s="171" t="s">
        <v>112</v>
      </c>
      <c r="G16" s="14">
        <f>행정관리부!H25</f>
        <v>402600</v>
      </c>
      <c r="H16" s="14">
        <v>392400</v>
      </c>
      <c r="I16" s="116">
        <f t="shared" si="1"/>
        <v>10200</v>
      </c>
    </row>
    <row r="17" spans="1:9" ht="18" customHeight="1">
      <c r="A17" s="86"/>
      <c r="B17" s="168"/>
      <c r="C17" s="169"/>
      <c r="D17" s="168"/>
      <c r="E17" s="168"/>
      <c r="F17" s="171" t="s">
        <v>337</v>
      </c>
      <c r="G17" s="14">
        <f>행정관리부!H30</f>
        <v>219281</v>
      </c>
      <c r="H17" s="14">
        <v>186102</v>
      </c>
      <c r="I17" s="116">
        <f t="shared" si="1"/>
        <v>33179</v>
      </c>
    </row>
    <row r="18" spans="1:9" ht="18" customHeight="1">
      <c r="A18" s="86"/>
      <c r="B18" s="168"/>
      <c r="C18" s="169"/>
      <c r="D18" s="168"/>
      <c r="E18" s="172"/>
      <c r="F18" s="171" t="s">
        <v>338</v>
      </c>
      <c r="G18" s="14">
        <f>행정관리부!H36</f>
        <v>29829</v>
      </c>
      <c r="H18" s="14">
        <v>30829</v>
      </c>
      <c r="I18" s="116">
        <f t="shared" ref="I18:I20" si="2">G18-H18</f>
        <v>-1000</v>
      </c>
    </row>
    <row r="19" spans="1:9" ht="18" customHeight="1">
      <c r="A19" s="164"/>
      <c r="B19" s="166"/>
      <c r="C19" s="165"/>
      <c r="D19" s="166"/>
      <c r="E19" s="179" t="s">
        <v>339</v>
      </c>
      <c r="F19" s="181"/>
      <c r="G19" s="15">
        <f>행정관리부!H40</f>
        <v>52200</v>
      </c>
      <c r="H19" s="15">
        <v>10500</v>
      </c>
      <c r="I19" s="114">
        <f t="shared" si="2"/>
        <v>41700</v>
      </c>
    </row>
    <row r="20" spans="1:9" ht="18" customHeight="1">
      <c r="A20" s="86"/>
      <c r="B20" s="168"/>
      <c r="C20" s="169"/>
      <c r="D20" s="168"/>
      <c r="E20" s="171"/>
      <c r="F20" s="171" t="s">
        <v>340</v>
      </c>
      <c r="G20" s="14">
        <f>행정관리부!H41</f>
        <v>52200</v>
      </c>
      <c r="H20" s="14">
        <v>10500</v>
      </c>
      <c r="I20" s="116">
        <f t="shared" si="2"/>
        <v>41700</v>
      </c>
    </row>
    <row r="21" spans="1:9" ht="18" customHeight="1">
      <c r="A21" s="164"/>
      <c r="B21" s="166"/>
      <c r="C21" s="165"/>
      <c r="D21" s="166"/>
      <c r="E21" s="179" t="s">
        <v>113</v>
      </c>
      <c r="F21" s="181"/>
      <c r="G21" s="15">
        <f>행정관리부!H46</f>
        <v>137760</v>
      </c>
      <c r="H21" s="15">
        <v>115440</v>
      </c>
      <c r="I21" s="114">
        <f>G21-H21</f>
        <v>22320</v>
      </c>
    </row>
    <row r="22" spans="1:9" ht="18" customHeight="1">
      <c r="A22" s="86"/>
      <c r="B22" s="168"/>
      <c r="C22" s="169"/>
      <c r="D22" s="168"/>
      <c r="E22" s="171"/>
      <c r="F22" s="171" t="s">
        <v>114</v>
      </c>
      <c r="G22" s="14">
        <f>행정관리부!H47</f>
        <v>82220</v>
      </c>
      <c r="H22" s="14">
        <v>72560</v>
      </c>
      <c r="I22" s="116">
        <f>G22-H22</f>
        <v>9660</v>
      </c>
    </row>
    <row r="23" spans="1:9" ht="18" customHeight="1">
      <c r="A23" s="86"/>
      <c r="B23" s="168"/>
      <c r="C23" s="169"/>
      <c r="D23" s="168"/>
      <c r="E23" s="168"/>
      <c r="F23" s="171" t="s">
        <v>115</v>
      </c>
      <c r="G23" s="14">
        <f>행정관리부!H62</f>
        <v>35460</v>
      </c>
      <c r="H23" s="14">
        <v>21760</v>
      </c>
      <c r="I23" s="116">
        <f t="shared" ref="I23:I24" si="3">G23-H23</f>
        <v>13700</v>
      </c>
    </row>
    <row r="24" spans="1:9" ht="18" customHeight="1">
      <c r="A24" s="86"/>
      <c r="B24" s="168"/>
      <c r="C24" s="169"/>
      <c r="D24" s="168"/>
      <c r="E24" s="172"/>
      <c r="F24" s="171" t="s">
        <v>138</v>
      </c>
      <c r="G24" s="14">
        <f>행정관리부!H69</f>
        <v>20080</v>
      </c>
      <c r="H24" s="14">
        <v>21120</v>
      </c>
      <c r="I24" s="116">
        <f t="shared" si="3"/>
        <v>-1040</v>
      </c>
    </row>
    <row r="25" spans="1:9" ht="18" customHeight="1">
      <c r="A25" s="164"/>
      <c r="B25" s="166"/>
      <c r="C25" s="165"/>
      <c r="D25" s="166"/>
      <c r="E25" s="179" t="s">
        <v>116</v>
      </c>
      <c r="F25" s="181"/>
      <c r="G25" s="15">
        <f>행정관리부!H75</f>
        <v>11990</v>
      </c>
      <c r="H25" s="15">
        <v>18000</v>
      </c>
      <c r="I25" s="114">
        <f t="shared" ref="I25" si="4">G25-H25</f>
        <v>-6010</v>
      </c>
    </row>
    <row r="26" spans="1:9" ht="18" customHeight="1">
      <c r="A26" s="86"/>
      <c r="B26" s="168"/>
      <c r="C26" s="169"/>
      <c r="D26" s="168"/>
      <c r="E26" s="171"/>
      <c r="F26" s="171" t="s">
        <v>107</v>
      </c>
      <c r="G26" s="14">
        <f>행정관리부!H76</f>
        <v>11990</v>
      </c>
      <c r="H26" s="14">
        <v>18000</v>
      </c>
      <c r="I26" s="116">
        <f>G26-H26</f>
        <v>-6010</v>
      </c>
    </row>
    <row r="27" spans="1:9" ht="18" customHeight="1">
      <c r="A27" s="164"/>
      <c r="B27" s="166"/>
      <c r="C27" s="165"/>
      <c r="D27" s="166"/>
      <c r="E27" s="179" t="s">
        <v>118</v>
      </c>
      <c r="F27" s="181"/>
      <c r="G27" s="15">
        <f>행정관리부!H79</f>
        <v>36600</v>
      </c>
      <c r="H27" s="15">
        <v>38400</v>
      </c>
      <c r="I27" s="114">
        <f t="shared" ref="I27:I29" si="5">G27-H27</f>
        <v>-1800</v>
      </c>
    </row>
    <row r="28" spans="1:9" ht="18" customHeight="1">
      <c r="A28" s="86"/>
      <c r="B28" s="168"/>
      <c r="C28" s="169"/>
      <c r="D28" s="168"/>
      <c r="E28" s="170"/>
      <c r="F28" s="171" t="s">
        <v>119</v>
      </c>
      <c r="G28" s="14">
        <f>행정관리부!H80</f>
        <v>36600</v>
      </c>
      <c r="H28" s="14">
        <v>38400</v>
      </c>
      <c r="I28" s="116">
        <f t="shared" si="5"/>
        <v>-1800</v>
      </c>
    </row>
    <row r="29" spans="1:9" ht="18" customHeight="1">
      <c r="A29" s="164"/>
      <c r="B29" s="166"/>
      <c r="C29" s="165"/>
      <c r="D29" s="166"/>
      <c r="E29" s="179" t="s">
        <v>120</v>
      </c>
      <c r="F29" s="181"/>
      <c r="G29" s="15">
        <f>행정관리부!H87</f>
        <v>27120</v>
      </c>
      <c r="H29" s="15">
        <v>25920</v>
      </c>
      <c r="I29" s="114">
        <f t="shared" si="5"/>
        <v>1200</v>
      </c>
    </row>
    <row r="30" spans="1:9" ht="18" customHeight="1">
      <c r="A30" s="164"/>
      <c r="B30" s="166"/>
      <c r="C30" s="165"/>
      <c r="D30" s="166"/>
      <c r="E30" s="33"/>
      <c r="F30" s="171" t="s">
        <v>121</v>
      </c>
      <c r="G30" s="14">
        <f>행정관리부!H88</f>
        <v>20400</v>
      </c>
      <c r="H30" s="14">
        <v>19200</v>
      </c>
      <c r="I30" s="116">
        <f>G30-H30</f>
        <v>1200</v>
      </c>
    </row>
    <row r="31" spans="1:9" ht="18" customHeight="1">
      <c r="A31" s="86"/>
      <c r="B31" s="168"/>
      <c r="C31" s="169"/>
      <c r="D31" s="168"/>
      <c r="E31" s="172"/>
      <c r="F31" s="171" t="s">
        <v>140</v>
      </c>
      <c r="G31" s="14">
        <f>행정관리부!H91</f>
        <v>6720</v>
      </c>
      <c r="H31" s="14">
        <v>6720</v>
      </c>
      <c r="I31" s="116">
        <f>G31-H31</f>
        <v>0</v>
      </c>
    </row>
    <row r="32" spans="1:9" ht="18" customHeight="1">
      <c r="A32" s="164"/>
      <c r="B32" s="166"/>
      <c r="C32" s="165"/>
      <c r="D32" s="166"/>
      <c r="E32" s="179" t="s">
        <v>122</v>
      </c>
      <c r="F32" s="181"/>
      <c r="G32" s="15">
        <f>행정관리부!H93</f>
        <v>8000</v>
      </c>
      <c r="H32" s="15">
        <v>5000</v>
      </c>
      <c r="I32" s="114">
        <f t="shared" ref="I32" si="6">G32-H32</f>
        <v>3000</v>
      </c>
    </row>
    <row r="33" spans="1:9" ht="18" customHeight="1">
      <c r="A33" s="86"/>
      <c r="B33" s="168"/>
      <c r="C33" s="169"/>
      <c r="D33" s="168"/>
      <c r="E33" s="170"/>
      <c r="F33" s="171" t="s">
        <v>123</v>
      </c>
      <c r="G33" s="14">
        <f>행정관리부!H94</f>
        <v>8000</v>
      </c>
      <c r="H33" s="14">
        <v>5000</v>
      </c>
      <c r="I33" s="116">
        <f>G33-H33</f>
        <v>3000</v>
      </c>
    </row>
    <row r="34" spans="1:9" ht="18" customHeight="1">
      <c r="A34" s="164"/>
      <c r="B34" s="166"/>
      <c r="C34" s="165"/>
      <c r="D34" s="166"/>
      <c r="E34" s="179" t="s">
        <v>124</v>
      </c>
      <c r="F34" s="181"/>
      <c r="G34" s="15">
        <f>행정관리부!H96</f>
        <v>5140</v>
      </c>
      <c r="H34" s="15">
        <v>4740</v>
      </c>
      <c r="I34" s="114">
        <f t="shared" ref="I34" si="7">G34-H34</f>
        <v>400</v>
      </c>
    </row>
    <row r="35" spans="1:9" ht="18" customHeight="1">
      <c r="A35" s="86"/>
      <c r="B35" s="168"/>
      <c r="C35" s="169"/>
      <c r="D35" s="168"/>
      <c r="E35" s="171"/>
      <c r="F35" s="171" t="s">
        <v>125</v>
      </c>
      <c r="G35" s="14">
        <f>행정관리부!H97</f>
        <v>3040</v>
      </c>
      <c r="H35" s="14">
        <v>2640</v>
      </c>
      <c r="I35" s="117">
        <f>G35-H35</f>
        <v>400</v>
      </c>
    </row>
    <row r="36" spans="1:9" ht="18" customHeight="1">
      <c r="A36" s="86"/>
      <c r="B36" s="168"/>
      <c r="C36" s="169"/>
      <c r="D36" s="168"/>
      <c r="E36" s="172"/>
      <c r="F36" s="171" t="s">
        <v>126</v>
      </c>
      <c r="G36" s="14">
        <f>행정관리부!H99</f>
        <v>2100</v>
      </c>
      <c r="H36" s="14">
        <v>2100</v>
      </c>
      <c r="I36" s="117">
        <f>G36-H36</f>
        <v>0</v>
      </c>
    </row>
    <row r="37" spans="1:9" ht="18" customHeight="1">
      <c r="A37" s="164"/>
      <c r="B37" s="166"/>
      <c r="C37" s="165"/>
      <c r="D37" s="166"/>
      <c r="E37" s="179" t="s">
        <v>341</v>
      </c>
      <c r="F37" s="181"/>
      <c r="G37" s="15">
        <f>행정관리부!H102</f>
        <v>18363</v>
      </c>
      <c r="H37" s="15">
        <v>19597</v>
      </c>
      <c r="I37" s="114">
        <f t="shared" ref="I37" si="8">G37-H37</f>
        <v>-1234</v>
      </c>
    </row>
    <row r="38" spans="1:9" ht="18" customHeight="1">
      <c r="A38" s="86"/>
      <c r="B38" s="168"/>
      <c r="C38" s="169"/>
      <c r="D38" s="168"/>
      <c r="E38" s="171"/>
      <c r="F38" s="171" t="s">
        <v>342</v>
      </c>
      <c r="G38" s="14">
        <f>행정관리부!H103</f>
        <v>18363</v>
      </c>
      <c r="H38" s="14">
        <v>19597</v>
      </c>
      <c r="I38" s="117">
        <f>G38-H38</f>
        <v>-1234</v>
      </c>
    </row>
    <row r="39" spans="1:9" ht="18" customHeight="1">
      <c r="A39" s="251"/>
      <c r="B39" s="176" t="s">
        <v>264</v>
      </c>
      <c r="C39" s="177"/>
      <c r="D39" s="177"/>
      <c r="E39" s="177"/>
      <c r="F39" s="178"/>
      <c r="G39" s="113">
        <f>SUM(G40,G48,G55,G66)</f>
        <v>170012</v>
      </c>
      <c r="H39" s="113">
        <v>151892</v>
      </c>
      <c r="I39" s="115">
        <f t="shared" ref="I39:I48" si="9">G39-H39</f>
        <v>18120</v>
      </c>
    </row>
    <row r="40" spans="1:9" ht="18" customHeight="1">
      <c r="A40" s="164"/>
      <c r="B40" s="165"/>
      <c r="C40" s="179" t="s">
        <v>281</v>
      </c>
      <c r="D40" s="180"/>
      <c r="E40" s="180"/>
      <c r="F40" s="181"/>
      <c r="G40" s="15">
        <f>기획홍보부!H7</f>
        <v>20200</v>
      </c>
      <c r="H40" s="111">
        <v>28600</v>
      </c>
      <c r="I40" s="114">
        <f>G40-H40</f>
        <v>-8400</v>
      </c>
    </row>
    <row r="41" spans="1:9" ht="18" customHeight="1">
      <c r="A41" s="164"/>
      <c r="B41" s="166"/>
      <c r="C41" s="166"/>
      <c r="D41" s="179" t="s">
        <v>470</v>
      </c>
      <c r="E41" s="180"/>
      <c r="F41" s="181"/>
      <c r="G41" s="15">
        <f>기획홍보부!H8</f>
        <v>5000</v>
      </c>
      <c r="H41" s="112">
        <v>28600</v>
      </c>
      <c r="I41" s="114">
        <f t="shared" ref="I41:I43" si="10">G41-H41</f>
        <v>-23600</v>
      </c>
    </row>
    <row r="42" spans="1:9" ht="18" customHeight="1">
      <c r="A42" s="164"/>
      <c r="B42" s="166"/>
      <c r="C42" s="165"/>
      <c r="D42" s="167"/>
      <c r="E42" s="179" t="s">
        <v>547</v>
      </c>
      <c r="F42" s="181"/>
      <c r="G42" s="15">
        <f>기획홍보부!H10</f>
        <v>5000</v>
      </c>
      <c r="H42" s="112">
        <v>0</v>
      </c>
      <c r="I42" s="114">
        <f t="shared" si="10"/>
        <v>5000</v>
      </c>
    </row>
    <row r="43" spans="1:9" ht="18" customHeight="1">
      <c r="A43" s="86"/>
      <c r="B43" s="168"/>
      <c r="C43" s="169"/>
      <c r="D43" s="168"/>
      <c r="E43" s="171"/>
      <c r="F43" s="171" t="s">
        <v>548</v>
      </c>
      <c r="G43" s="14">
        <f>기획홍보부!H11</f>
        <v>5000</v>
      </c>
      <c r="H43" s="16">
        <v>0</v>
      </c>
      <c r="I43" s="116">
        <f t="shared" si="10"/>
        <v>5000</v>
      </c>
    </row>
    <row r="44" spans="1:9" ht="18" customHeight="1">
      <c r="A44" s="164"/>
      <c r="B44" s="166"/>
      <c r="C44" s="166"/>
      <c r="D44" s="179" t="s">
        <v>402</v>
      </c>
      <c r="E44" s="180"/>
      <c r="F44" s="181"/>
      <c r="G44" s="15">
        <f>기획홍보부!H13</f>
        <v>15200</v>
      </c>
      <c r="H44" s="112">
        <v>28600</v>
      </c>
      <c r="I44" s="114">
        <f t="shared" ref="I44:I46" si="11">G44-H44</f>
        <v>-13400</v>
      </c>
    </row>
    <row r="45" spans="1:9" ht="18" customHeight="1">
      <c r="A45" s="164"/>
      <c r="B45" s="166"/>
      <c r="C45" s="165"/>
      <c r="D45" s="167"/>
      <c r="E45" s="179" t="s">
        <v>105</v>
      </c>
      <c r="F45" s="181"/>
      <c r="G45" s="15">
        <f>기획홍보부!H15</f>
        <v>15200</v>
      </c>
      <c r="H45" s="112">
        <v>28600</v>
      </c>
      <c r="I45" s="114">
        <f t="shared" si="11"/>
        <v>-13400</v>
      </c>
    </row>
    <row r="46" spans="1:9" ht="18" customHeight="1">
      <c r="A46" s="86"/>
      <c r="B46" s="168"/>
      <c r="C46" s="169"/>
      <c r="D46" s="168"/>
      <c r="E46" s="171"/>
      <c r="F46" s="171" t="s">
        <v>106</v>
      </c>
      <c r="G46" s="14">
        <f>기획홍보부!H16</f>
        <v>15000</v>
      </c>
      <c r="H46" s="16">
        <v>28000</v>
      </c>
      <c r="I46" s="116">
        <f t="shared" si="11"/>
        <v>-13000</v>
      </c>
    </row>
    <row r="47" spans="1:9" ht="18" customHeight="1">
      <c r="A47" s="86"/>
      <c r="B47" s="168"/>
      <c r="C47" s="169"/>
      <c r="D47" s="168"/>
      <c r="E47" s="168"/>
      <c r="F47" s="171" t="s">
        <v>109</v>
      </c>
      <c r="G47" s="14">
        <f>기획홍보부!H20</f>
        <v>200</v>
      </c>
      <c r="H47" s="16">
        <v>300</v>
      </c>
      <c r="I47" s="116">
        <f>G47-H47</f>
        <v>-100</v>
      </c>
    </row>
    <row r="48" spans="1:9" ht="18" customHeight="1">
      <c r="A48" s="164"/>
      <c r="B48" s="165"/>
      <c r="C48" s="179" t="s">
        <v>286</v>
      </c>
      <c r="D48" s="180"/>
      <c r="E48" s="180"/>
      <c r="F48" s="181"/>
      <c r="G48" s="15">
        <f>기획홍보부!H22</f>
        <v>53300</v>
      </c>
      <c r="H48" s="111">
        <v>50000</v>
      </c>
      <c r="I48" s="114">
        <f t="shared" si="9"/>
        <v>3300</v>
      </c>
    </row>
    <row r="49" spans="1:9" ht="18" customHeight="1">
      <c r="A49" s="164"/>
      <c r="B49" s="166"/>
      <c r="C49" s="166"/>
      <c r="D49" s="179" t="s">
        <v>287</v>
      </c>
      <c r="E49" s="180"/>
      <c r="F49" s="181"/>
      <c r="G49" s="15">
        <f>기획홍보부!H23</f>
        <v>50000</v>
      </c>
      <c r="H49" s="112">
        <v>50000</v>
      </c>
      <c r="I49" s="114">
        <f t="shared" ref="I49:I57" si="12">G49-H49</f>
        <v>0</v>
      </c>
    </row>
    <row r="50" spans="1:9" ht="18" customHeight="1">
      <c r="A50" s="164"/>
      <c r="B50" s="166"/>
      <c r="C50" s="165"/>
      <c r="D50" s="167"/>
      <c r="E50" s="179" t="s">
        <v>131</v>
      </c>
      <c r="F50" s="181"/>
      <c r="G50" s="15">
        <f>기획홍보부!H25</f>
        <v>50000</v>
      </c>
      <c r="H50" s="112">
        <v>50000</v>
      </c>
      <c r="I50" s="114">
        <f t="shared" si="12"/>
        <v>0</v>
      </c>
    </row>
    <row r="51" spans="1:9" ht="18" customHeight="1">
      <c r="A51" s="86"/>
      <c r="B51" s="168"/>
      <c r="C51" s="169"/>
      <c r="D51" s="168"/>
      <c r="E51" s="170"/>
      <c r="F51" s="171" t="s">
        <v>123</v>
      </c>
      <c r="G51" s="14">
        <f>기획홍보부!H26</f>
        <v>50000</v>
      </c>
      <c r="H51" s="16">
        <v>50000</v>
      </c>
      <c r="I51" s="116">
        <f t="shared" si="12"/>
        <v>0</v>
      </c>
    </row>
    <row r="52" spans="1:9" ht="18" customHeight="1">
      <c r="A52" s="164"/>
      <c r="B52" s="166"/>
      <c r="C52" s="166"/>
      <c r="D52" s="179" t="s">
        <v>480</v>
      </c>
      <c r="E52" s="180"/>
      <c r="F52" s="181"/>
      <c r="G52" s="15">
        <f>기획홍보부!H28</f>
        <v>3300</v>
      </c>
      <c r="H52" s="112">
        <v>0</v>
      </c>
      <c r="I52" s="114">
        <f t="shared" ref="I52:I54" si="13">G52-H52</f>
        <v>3300</v>
      </c>
    </row>
    <row r="53" spans="1:9" ht="18" customHeight="1">
      <c r="A53" s="164"/>
      <c r="B53" s="166"/>
      <c r="C53" s="165"/>
      <c r="D53" s="167"/>
      <c r="E53" s="179" t="s">
        <v>116</v>
      </c>
      <c r="F53" s="181"/>
      <c r="G53" s="15">
        <f>기획홍보부!H30</f>
        <v>3300</v>
      </c>
      <c r="H53" s="112">
        <v>0</v>
      </c>
      <c r="I53" s="114">
        <f>G53-H53</f>
        <v>3300</v>
      </c>
    </row>
    <row r="54" spans="1:9" ht="18" customHeight="1">
      <c r="A54" s="86"/>
      <c r="B54" s="168"/>
      <c r="C54" s="169"/>
      <c r="D54" s="168"/>
      <c r="E54" s="170"/>
      <c r="F54" s="171" t="s">
        <v>107</v>
      </c>
      <c r="G54" s="14">
        <f>기획홍보부!H31</f>
        <v>3300</v>
      </c>
      <c r="H54" s="16">
        <v>0</v>
      </c>
      <c r="I54" s="116">
        <f t="shared" si="13"/>
        <v>3300</v>
      </c>
    </row>
    <row r="55" spans="1:9" ht="18" customHeight="1">
      <c r="A55" s="164"/>
      <c r="B55" s="165"/>
      <c r="C55" s="179" t="s">
        <v>297</v>
      </c>
      <c r="D55" s="180"/>
      <c r="E55" s="180"/>
      <c r="F55" s="181"/>
      <c r="G55" s="15">
        <f>기획홍보부!H33</f>
        <v>21512</v>
      </c>
      <c r="H55" s="111">
        <v>28292</v>
      </c>
      <c r="I55" s="114">
        <f t="shared" si="12"/>
        <v>-6780</v>
      </c>
    </row>
    <row r="56" spans="1:9" ht="18" customHeight="1">
      <c r="A56" s="164"/>
      <c r="B56" s="166"/>
      <c r="C56" s="167"/>
      <c r="D56" s="179" t="s">
        <v>110</v>
      </c>
      <c r="E56" s="180"/>
      <c r="F56" s="181"/>
      <c r="G56" s="15">
        <f>기획홍보부!H34</f>
        <v>21512</v>
      </c>
      <c r="H56" s="112">
        <v>28292</v>
      </c>
      <c r="I56" s="114">
        <f t="shared" si="12"/>
        <v>-6780</v>
      </c>
    </row>
    <row r="57" spans="1:9" ht="18" customHeight="1">
      <c r="A57" s="164"/>
      <c r="B57" s="166"/>
      <c r="C57" s="165"/>
      <c r="D57" s="167"/>
      <c r="E57" s="179" t="s">
        <v>113</v>
      </c>
      <c r="F57" s="181"/>
      <c r="G57" s="15">
        <f>기획홍보부!H36</f>
        <v>8912</v>
      </c>
      <c r="H57" s="112">
        <v>9792</v>
      </c>
      <c r="I57" s="114">
        <f t="shared" si="12"/>
        <v>-880</v>
      </c>
    </row>
    <row r="58" spans="1:9" ht="18" customHeight="1">
      <c r="A58" s="86"/>
      <c r="B58" s="168"/>
      <c r="C58" s="169"/>
      <c r="D58" s="168"/>
      <c r="E58" s="171"/>
      <c r="F58" s="171" t="s">
        <v>114</v>
      </c>
      <c r="G58" s="14">
        <f>기획홍보부!H37</f>
        <v>2000</v>
      </c>
      <c r="H58" s="16">
        <v>2880</v>
      </c>
      <c r="I58" s="116">
        <f>G58-H58</f>
        <v>-880</v>
      </c>
    </row>
    <row r="59" spans="1:9" ht="18" customHeight="1">
      <c r="A59" s="86"/>
      <c r="B59" s="168"/>
      <c r="C59" s="169"/>
      <c r="D59" s="168"/>
      <c r="E59" s="172"/>
      <c r="F59" s="171" t="s">
        <v>309</v>
      </c>
      <c r="G59" s="14">
        <f>기획홍보부!H39</f>
        <v>6912</v>
      </c>
      <c r="H59" s="16">
        <v>6912</v>
      </c>
      <c r="I59" s="116">
        <f>G59-H59</f>
        <v>0</v>
      </c>
    </row>
    <row r="60" spans="1:9" ht="18" customHeight="1">
      <c r="A60" s="164"/>
      <c r="B60" s="166"/>
      <c r="C60" s="165"/>
      <c r="D60" s="166"/>
      <c r="E60" s="179" t="s">
        <v>116</v>
      </c>
      <c r="F60" s="181"/>
      <c r="G60" s="15">
        <f>기획홍보부!H41</f>
        <v>9000</v>
      </c>
      <c r="H60" s="112">
        <v>14400</v>
      </c>
      <c r="I60" s="114">
        <f t="shared" ref="I60" si="14">G60-H60</f>
        <v>-5400</v>
      </c>
    </row>
    <row r="61" spans="1:9" ht="18" customHeight="1">
      <c r="A61" s="86"/>
      <c r="B61" s="168"/>
      <c r="C61" s="169"/>
      <c r="D61" s="168"/>
      <c r="E61" s="170"/>
      <c r="F61" s="171" t="s">
        <v>107</v>
      </c>
      <c r="G61" s="14">
        <f>기획홍보부!H42</f>
        <v>9000</v>
      </c>
      <c r="H61" s="16">
        <v>14400</v>
      </c>
      <c r="I61" s="116">
        <f>G61-H61</f>
        <v>-5400</v>
      </c>
    </row>
    <row r="62" spans="1:9" ht="18" customHeight="1">
      <c r="A62" s="164"/>
      <c r="B62" s="166"/>
      <c r="C62" s="165"/>
      <c r="D62" s="166"/>
      <c r="E62" s="179" t="s">
        <v>118</v>
      </c>
      <c r="F62" s="181"/>
      <c r="G62" s="15">
        <f>기획홍보부!H45</f>
        <v>1500</v>
      </c>
      <c r="H62" s="112">
        <v>2000</v>
      </c>
      <c r="I62" s="114">
        <f t="shared" ref="I62:I65" si="15">G62-H62</f>
        <v>-500</v>
      </c>
    </row>
    <row r="63" spans="1:9" ht="18" customHeight="1">
      <c r="A63" s="86"/>
      <c r="B63" s="168"/>
      <c r="C63" s="169"/>
      <c r="D63" s="168"/>
      <c r="E63" s="170"/>
      <c r="F63" s="171" t="s">
        <v>119</v>
      </c>
      <c r="G63" s="14">
        <f>기획홍보부!H46</f>
        <v>1500</v>
      </c>
      <c r="H63" s="16">
        <v>2000</v>
      </c>
      <c r="I63" s="116">
        <f t="shared" si="15"/>
        <v>-500</v>
      </c>
    </row>
    <row r="64" spans="1:9" ht="18" customHeight="1">
      <c r="A64" s="164"/>
      <c r="B64" s="166"/>
      <c r="C64" s="165"/>
      <c r="D64" s="166"/>
      <c r="E64" s="179" t="s">
        <v>418</v>
      </c>
      <c r="F64" s="181"/>
      <c r="G64" s="15">
        <f>기획홍보부!H48</f>
        <v>2100</v>
      </c>
      <c r="H64" s="112">
        <v>2100</v>
      </c>
      <c r="I64" s="114">
        <f t="shared" si="15"/>
        <v>0</v>
      </c>
    </row>
    <row r="65" spans="1:9" ht="18" customHeight="1">
      <c r="A65" s="86"/>
      <c r="B65" s="168"/>
      <c r="C65" s="169"/>
      <c r="D65" s="168"/>
      <c r="E65" s="170"/>
      <c r="F65" s="171" t="s">
        <v>419</v>
      </c>
      <c r="G65" s="14">
        <f>기획홍보부!H49</f>
        <v>2100</v>
      </c>
      <c r="H65" s="16">
        <v>2100</v>
      </c>
      <c r="I65" s="116">
        <f t="shared" si="15"/>
        <v>0</v>
      </c>
    </row>
    <row r="66" spans="1:9" ht="18" customHeight="1">
      <c r="A66" s="164"/>
      <c r="B66" s="165"/>
      <c r="C66" s="179" t="s">
        <v>284</v>
      </c>
      <c r="D66" s="180"/>
      <c r="E66" s="180"/>
      <c r="F66" s="181"/>
      <c r="G66" s="15">
        <f>기획홍보부!H51</f>
        <v>75000</v>
      </c>
      <c r="H66" s="111">
        <v>45000</v>
      </c>
      <c r="I66" s="114">
        <f t="shared" ref="I66:I71" si="16">G66-H66</f>
        <v>30000</v>
      </c>
    </row>
    <row r="67" spans="1:9" ht="18" customHeight="1">
      <c r="A67" s="164"/>
      <c r="B67" s="166"/>
      <c r="C67" s="167"/>
      <c r="D67" s="179" t="s">
        <v>285</v>
      </c>
      <c r="E67" s="180"/>
      <c r="F67" s="181"/>
      <c r="G67" s="15">
        <f>기획홍보부!H52</f>
        <v>75000</v>
      </c>
      <c r="H67" s="112">
        <v>45000</v>
      </c>
      <c r="I67" s="114">
        <f t="shared" si="16"/>
        <v>30000</v>
      </c>
    </row>
    <row r="68" spans="1:9" ht="18" customHeight="1">
      <c r="A68" s="164"/>
      <c r="B68" s="166"/>
      <c r="C68" s="165"/>
      <c r="D68" s="167"/>
      <c r="E68" s="179" t="s">
        <v>113</v>
      </c>
      <c r="F68" s="181"/>
      <c r="G68" s="15">
        <f>기획홍보부!H54</f>
        <v>15000</v>
      </c>
      <c r="H68" s="112">
        <v>15000</v>
      </c>
      <c r="I68" s="114">
        <f t="shared" si="16"/>
        <v>0</v>
      </c>
    </row>
    <row r="69" spans="1:9" ht="18" customHeight="1">
      <c r="A69" s="86"/>
      <c r="B69" s="168"/>
      <c r="C69" s="169"/>
      <c r="D69" s="168"/>
      <c r="E69" s="171"/>
      <c r="F69" s="171" t="s">
        <v>114</v>
      </c>
      <c r="G69" s="14">
        <f>기획홍보부!H55</f>
        <v>5000</v>
      </c>
      <c r="H69" s="16">
        <v>5000</v>
      </c>
      <c r="I69" s="116">
        <f t="shared" ref="I69:I70" si="17">G69-H69</f>
        <v>0</v>
      </c>
    </row>
    <row r="70" spans="1:9" ht="18" customHeight="1">
      <c r="A70" s="86"/>
      <c r="B70" s="168"/>
      <c r="C70" s="169"/>
      <c r="D70" s="168"/>
      <c r="E70" s="168"/>
      <c r="F70" s="171" t="s">
        <v>115</v>
      </c>
      <c r="G70" s="14">
        <f>기획홍보부!H57</f>
        <v>5000</v>
      </c>
      <c r="H70" s="16">
        <v>5000</v>
      </c>
      <c r="I70" s="116">
        <f t="shared" si="17"/>
        <v>0</v>
      </c>
    </row>
    <row r="71" spans="1:9" ht="18" customHeight="1">
      <c r="A71" s="86"/>
      <c r="B71" s="168"/>
      <c r="C71" s="169"/>
      <c r="D71" s="168"/>
      <c r="E71" s="172"/>
      <c r="F71" s="170" t="s">
        <v>141</v>
      </c>
      <c r="G71" s="378">
        <f>기획홍보부!H59</f>
        <v>5000</v>
      </c>
      <c r="H71" s="330">
        <v>5000</v>
      </c>
      <c r="I71" s="116">
        <f t="shared" si="16"/>
        <v>0</v>
      </c>
    </row>
    <row r="72" spans="1:9" ht="18" customHeight="1">
      <c r="A72" s="164"/>
      <c r="B72" s="166"/>
      <c r="C72" s="165"/>
      <c r="D72" s="166"/>
      <c r="E72" s="179" t="s">
        <v>116</v>
      </c>
      <c r="F72" s="181"/>
      <c r="G72" s="15">
        <f>기획홍보부!H61</f>
        <v>55000</v>
      </c>
      <c r="H72" s="112">
        <v>25000</v>
      </c>
      <c r="I72" s="114">
        <f t="shared" ref="I72" si="18">G72-H72</f>
        <v>30000</v>
      </c>
    </row>
    <row r="73" spans="1:9" ht="18" customHeight="1">
      <c r="A73" s="86"/>
      <c r="B73" s="168"/>
      <c r="C73" s="169"/>
      <c r="D73" s="168"/>
      <c r="E73" s="171"/>
      <c r="F73" s="171" t="s">
        <v>107</v>
      </c>
      <c r="G73" s="14">
        <f>기획홍보부!H62</f>
        <v>5000</v>
      </c>
      <c r="H73" s="16">
        <v>5000</v>
      </c>
      <c r="I73" s="116">
        <f>G73-H73</f>
        <v>0</v>
      </c>
    </row>
    <row r="74" spans="1:9" ht="18" customHeight="1">
      <c r="A74" s="86"/>
      <c r="B74" s="168"/>
      <c r="C74" s="169"/>
      <c r="D74" s="168"/>
      <c r="E74" s="172"/>
      <c r="F74" s="171" t="s">
        <v>117</v>
      </c>
      <c r="G74" s="14">
        <f>기획홍보부!H64</f>
        <v>50000</v>
      </c>
      <c r="H74" s="16">
        <v>20000</v>
      </c>
      <c r="I74" s="116">
        <f>G74-H74</f>
        <v>30000</v>
      </c>
    </row>
    <row r="75" spans="1:9" ht="18" customHeight="1">
      <c r="A75" s="164"/>
      <c r="B75" s="166"/>
      <c r="C75" s="165"/>
      <c r="D75" s="166"/>
      <c r="E75" s="179" t="s">
        <v>118</v>
      </c>
      <c r="F75" s="181"/>
      <c r="G75" s="15">
        <f>기획홍보부!H66</f>
        <v>5000</v>
      </c>
      <c r="H75" s="112">
        <v>5000</v>
      </c>
      <c r="I75" s="114">
        <f t="shared" ref="I75:I76" si="19">G75-H75</f>
        <v>0</v>
      </c>
    </row>
    <row r="76" spans="1:9" ht="18" customHeight="1">
      <c r="A76" s="86"/>
      <c r="B76" s="168"/>
      <c r="C76" s="169"/>
      <c r="D76" s="168"/>
      <c r="E76" s="170"/>
      <c r="F76" s="171" t="s">
        <v>119</v>
      </c>
      <c r="G76" s="14">
        <f>기획홍보부!H67</f>
        <v>5000</v>
      </c>
      <c r="H76" s="16">
        <v>5000</v>
      </c>
      <c r="I76" s="116">
        <f t="shared" si="19"/>
        <v>0</v>
      </c>
    </row>
    <row r="77" spans="1:9" ht="18" customHeight="1">
      <c r="A77" s="164"/>
      <c r="B77" s="176" t="s">
        <v>292</v>
      </c>
      <c r="C77" s="177"/>
      <c r="D77" s="177"/>
      <c r="E77" s="177"/>
      <c r="F77" s="178"/>
      <c r="G77" s="113">
        <f>수익사업부!H6</f>
        <v>197636</v>
      </c>
      <c r="H77" s="113">
        <v>86166</v>
      </c>
      <c r="I77" s="115">
        <f>G77-H77</f>
        <v>111470</v>
      </c>
    </row>
    <row r="78" spans="1:9" ht="18" customHeight="1">
      <c r="A78" s="164"/>
      <c r="B78" s="165"/>
      <c r="C78" s="179" t="s">
        <v>293</v>
      </c>
      <c r="D78" s="180"/>
      <c r="E78" s="180"/>
      <c r="F78" s="181"/>
      <c r="G78" s="15">
        <f>수익사업부!H7</f>
        <v>174760</v>
      </c>
      <c r="H78" s="15">
        <v>53850</v>
      </c>
      <c r="I78" s="114">
        <f t="shared" ref="I78:I80" si="20">G78-H78</f>
        <v>120910</v>
      </c>
    </row>
    <row r="79" spans="1:9" ht="18" customHeight="1">
      <c r="A79" s="164"/>
      <c r="B79" s="166"/>
      <c r="C79" s="167"/>
      <c r="D79" s="179" t="s">
        <v>447</v>
      </c>
      <c r="E79" s="180"/>
      <c r="F79" s="181"/>
      <c r="G79" s="15">
        <f>수익사업부!H8</f>
        <v>11300</v>
      </c>
      <c r="H79" s="15">
        <v>14450</v>
      </c>
      <c r="I79" s="114">
        <f t="shared" si="20"/>
        <v>-3150</v>
      </c>
    </row>
    <row r="80" spans="1:9" ht="18" customHeight="1">
      <c r="A80" s="164"/>
      <c r="B80" s="166"/>
      <c r="C80" s="165"/>
      <c r="D80" s="167"/>
      <c r="E80" s="179" t="s">
        <v>448</v>
      </c>
      <c r="F80" s="181"/>
      <c r="G80" s="15">
        <f>수익사업부!H10</f>
        <v>11300</v>
      </c>
      <c r="H80" s="15">
        <v>14450</v>
      </c>
      <c r="I80" s="114">
        <f t="shared" si="20"/>
        <v>-3150</v>
      </c>
    </row>
    <row r="81" spans="1:9" ht="18" customHeight="1">
      <c r="A81" s="164"/>
      <c r="B81" s="166"/>
      <c r="C81" s="165"/>
      <c r="D81" s="166"/>
      <c r="E81" s="179"/>
      <c r="F81" s="171" t="s">
        <v>449</v>
      </c>
      <c r="G81" s="14">
        <f>수익사업부!H11</f>
        <v>11300</v>
      </c>
      <c r="H81" s="14">
        <v>10450</v>
      </c>
      <c r="I81" s="116">
        <f>G81-H81</f>
        <v>850</v>
      </c>
    </row>
    <row r="82" spans="1:9" ht="18" customHeight="1">
      <c r="A82" s="164"/>
      <c r="B82" s="166"/>
      <c r="C82" s="166"/>
      <c r="D82" s="179" t="s">
        <v>451</v>
      </c>
      <c r="E82" s="180"/>
      <c r="F82" s="181"/>
      <c r="G82" s="15">
        <f>수익사업부!H18</f>
        <v>63460</v>
      </c>
      <c r="H82" s="15">
        <v>32400</v>
      </c>
      <c r="I82" s="114">
        <f t="shared" ref="I82:I98" si="21">G82-H82</f>
        <v>31060</v>
      </c>
    </row>
    <row r="83" spans="1:9" ht="18" customHeight="1">
      <c r="A83" s="164"/>
      <c r="B83" s="166"/>
      <c r="C83" s="165"/>
      <c r="D83" s="167"/>
      <c r="E83" s="179" t="s">
        <v>448</v>
      </c>
      <c r="F83" s="181"/>
      <c r="G83" s="15">
        <f>수익사업부!H20</f>
        <v>20160</v>
      </c>
      <c r="H83" s="15">
        <v>22400</v>
      </c>
      <c r="I83" s="114">
        <f t="shared" si="21"/>
        <v>-2240</v>
      </c>
    </row>
    <row r="84" spans="1:9" ht="18" customHeight="1">
      <c r="A84" s="164"/>
      <c r="B84" s="166"/>
      <c r="C84" s="165"/>
      <c r="D84" s="166"/>
      <c r="E84" s="179"/>
      <c r="F84" s="171" t="s">
        <v>450</v>
      </c>
      <c r="G84" s="14">
        <f>수익사업부!H21</f>
        <v>20160</v>
      </c>
      <c r="H84" s="14">
        <v>22400</v>
      </c>
      <c r="I84" s="116">
        <f>G84-H84</f>
        <v>-2240</v>
      </c>
    </row>
    <row r="85" spans="1:9" ht="18" customHeight="1">
      <c r="A85" s="164"/>
      <c r="B85" s="166"/>
      <c r="C85" s="165"/>
      <c r="D85" s="166"/>
      <c r="E85" s="179" t="s">
        <v>581</v>
      </c>
      <c r="F85" s="181"/>
      <c r="G85" s="15">
        <f>수익사업부!H25</f>
        <v>3300</v>
      </c>
      <c r="H85" s="15">
        <v>0</v>
      </c>
      <c r="I85" s="114">
        <f>G85-H85</f>
        <v>3300</v>
      </c>
    </row>
    <row r="86" spans="1:9" ht="18" customHeight="1">
      <c r="A86" s="164"/>
      <c r="B86" s="166"/>
      <c r="C86" s="165"/>
      <c r="D86" s="166"/>
      <c r="E86" s="179"/>
      <c r="F86" s="171" t="s">
        <v>580</v>
      </c>
      <c r="G86" s="14">
        <f>수익사업부!H26</f>
        <v>3300</v>
      </c>
      <c r="H86" s="14">
        <v>0</v>
      </c>
      <c r="I86" s="116">
        <f>G86-H86</f>
        <v>3300</v>
      </c>
    </row>
    <row r="87" spans="1:9" ht="18" customHeight="1">
      <c r="A87" s="86"/>
      <c r="B87" s="168"/>
      <c r="C87" s="169"/>
      <c r="D87" s="168"/>
      <c r="E87" s="179" t="s">
        <v>452</v>
      </c>
      <c r="F87" s="171"/>
      <c r="G87" s="15">
        <f>수익사업부!H29</f>
        <v>40000</v>
      </c>
      <c r="H87" s="15">
        <v>10000</v>
      </c>
      <c r="I87" s="114">
        <f t="shared" ref="I87:I88" si="22">G87-H87</f>
        <v>30000</v>
      </c>
    </row>
    <row r="88" spans="1:9" ht="18" customHeight="1">
      <c r="A88" s="86"/>
      <c r="B88" s="168"/>
      <c r="C88" s="168"/>
      <c r="D88" s="168"/>
      <c r="E88" s="170"/>
      <c r="F88" s="171" t="s">
        <v>453</v>
      </c>
      <c r="G88" s="14">
        <f>수익사업부!H30</f>
        <v>40000</v>
      </c>
      <c r="H88" s="14">
        <v>10000</v>
      </c>
      <c r="I88" s="116">
        <f t="shared" si="22"/>
        <v>30000</v>
      </c>
    </row>
    <row r="89" spans="1:9" ht="18" customHeight="1">
      <c r="A89" s="164"/>
      <c r="B89" s="166"/>
      <c r="C89" s="166"/>
      <c r="D89" s="179" t="s">
        <v>503</v>
      </c>
      <c r="E89" s="180"/>
      <c r="F89" s="181"/>
      <c r="G89" s="15">
        <f>수익사업부!H32</f>
        <v>100000</v>
      </c>
      <c r="H89" s="15">
        <v>0</v>
      </c>
      <c r="I89" s="114">
        <f t="shared" ref="I89:I90" si="23">G89-H89</f>
        <v>100000</v>
      </c>
    </row>
    <row r="90" spans="1:9" ht="18" customHeight="1">
      <c r="A90" s="164"/>
      <c r="B90" s="166"/>
      <c r="C90" s="165"/>
      <c r="D90" s="167"/>
      <c r="E90" s="179" t="s">
        <v>105</v>
      </c>
      <c r="F90" s="181"/>
      <c r="G90" s="15">
        <f>수익사업부!H34</f>
        <v>100000</v>
      </c>
      <c r="H90" s="15">
        <v>0</v>
      </c>
      <c r="I90" s="114">
        <f t="shared" si="23"/>
        <v>100000</v>
      </c>
    </row>
    <row r="91" spans="1:9" ht="18" customHeight="1">
      <c r="A91" s="164"/>
      <c r="B91" s="166"/>
      <c r="C91" s="165"/>
      <c r="D91" s="166"/>
      <c r="E91" s="179"/>
      <c r="F91" s="171" t="s">
        <v>106</v>
      </c>
      <c r="G91" s="14">
        <f>수익사업부!H35</f>
        <v>100000</v>
      </c>
      <c r="H91" s="14">
        <v>0</v>
      </c>
      <c r="I91" s="116">
        <f>G91-H91</f>
        <v>100000</v>
      </c>
    </row>
    <row r="92" spans="1:9" ht="18" customHeight="1">
      <c r="A92" s="164"/>
      <c r="B92" s="165"/>
      <c r="C92" s="179" t="s">
        <v>298</v>
      </c>
      <c r="D92" s="180"/>
      <c r="E92" s="180"/>
      <c r="F92" s="181"/>
      <c r="G92" s="15">
        <f>SUM(G93)</f>
        <v>22876</v>
      </c>
      <c r="H92" s="15">
        <v>32316</v>
      </c>
      <c r="I92" s="114">
        <f t="shared" si="21"/>
        <v>-9440</v>
      </c>
    </row>
    <row r="93" spans="1:9" ht="18" customHeight="1">
      <c r="A93" s="164"/>
      <c r="B93" s="166"/>
      <c r="C93" s="167"/>
      <c r="D93" s="179" t="s">
        <v>132</v>
      </c>
      <c r="E93" s="180"/>
      <c r="F93" s="181"/>
      <c r="G93" s="15">
        <f>SUM(G94,G98,G100,G102)</f>
        <v>22876</v>
      </c>
      <c r="H93" s="15">
        <v>32316</v>
      </c>
      <c r="I93" s="114">
        <f t="shared" si="21"/>
        <v>-9440</v>
      </c>
    </row>
    <row r="94" spans="1:9" ht="18" customHeight="1">
      <c r="A94" s="164"/>
      <c r="B94" s="166"/>
      <c r="C94" s="165"/>
      <c r="D94" s="167"/>
      <c r="E94" s="179" t="s">
        <v>133</v>
      </c>
      <c r="F94" s="181"/>
      <c r="G94" s="15">
        <f>수익사업부!H40</f>
        <v>10276</v>
      </c>
      <c r="H94" s="15">
        <v>12016</v>
      </c>
      <c r="I94" s="114">
        <f t="shared" si="21"/>
        <v>-1740</v>
      </c>
    </row>
    <row r="95" spans="1:9" ht="18" customHeight="1">
      <c r="A95" s="86"/>
      <c r="B95" s="168"/>
      <c r="C95" s="169"/>
      <c r="D95" s="168"/>
      <c r="E95" s="171"/>
      <c r="F95" s="171" t="s">
        <v>114</v>
      </c>
      <c r="G95" s="14">
        <f>수익사업부!H41</f>
        <v>2000</v>
      </c>
      <c r="H95" s="14">
        <v>3240</v>
      </c>
      <c r="I95" s="116">
        <f t="shared" ref="I95" si="24">G95-H95</f>
        <v>-1240</v>
      </c>
    </row>
    <row r="96" spans="1:9" ht="18" customHeight="1">
      <c r="A96" s="86"/>
      <c r="B96" s="168"/>
      <c r="C96" s="169"/>
      <c r="D96" s="168"/>
      <c r="E96" s="168"/>
      <c r="F96" s="171" t="s">
        <v>134</v>
      </c>
      <c r="G96" s="14">
        <f>수익사업부!H43</f>
        <v>500</v>
      </c>
      <c r="H96" s="14">
        <v>1000</v>
      </c>
      <c r="I96" s="116">
        <f t="shared" si="21"/>
        <v>-500</v>
      </c>
    </row>
    <row r="97" spans="1:9" ht="18" customHeight="1">
      <c r="A97" s="86"/>
      <c r="B97" s="168"/>
      <c r="C97" s="169"/>
      <c r="D97" s="168"/>
      <c r="E97" s="172"/>
      <c r="F97" s="171" t="s">
        <v>309</v>
      </c>
      <c r="G97" s="14">
        <f>수익사업부!H45</f>
        <v>7776</v>
      </c>
      <c r="H97" s="14">
        <v>7776</v>
      </c>
      <c r="I97" s="116">
        <f>G97-H97</f>
        <v>0</v>
      </c>
    </row>
    <row r="98" spans="1:9" ht="18" customHeight="1">
      <c r="A98" s="164"/>
      <c r="B98" s="166"/>
      <c r="C98" s="165"/>
      <c r="D98" s="166"/>
      <c r="E98" s="179" t="s">
        <v>116</v>
      </c>
      <c r="F98" s="181"/>
      <c r="G98" s="15">
        <f>수익사업부!H47</f>
        <v>9000</v>
      </c>
      <c r="H98" s="15">
        <v>16200</v>
      </c>
      <c r="I98" s="114">
        <f t="shared" si="21"/>
        <v>-7200</v>
      </c>
    </row>
    <row r="99" spans="1:9" ht="18" customHeight="1">
      <c r="A99" s="86"/>
      <c r="B99" s="168"/>
      <c r="C99" s="169"/>
      <c r="D99" s="168"/>
      <c r="E99" s="171"/>
      <c r="F99" s="171" t="s">
        <v>107</v>
      </c>
      <c r="G99" s="14">
        <f>수익사업부!H48</f>
        <v>9000</v>
      </c>
      <c r="H99" s="14">
        <v>16200</v>
      </c>
      <c r="I99" s="116">
        <f>G99-H99</f>
        <v>-7200</v>
      </c>
    </row>
    <row r="100" spans="1:9" ht="18" customHeight="1">
      <c r="A100" s="164"/>
      <c r="B100" s="166"/>
      <c r="C100" s="165"/>
      <c r="D100" s="166"/>
      <c r="E100" s="179" t="s">
        <v>118</v>
      </c>
      <c r="F100" s="181"/>
      <c r="G100" s="15">
        <f>수익사업부!H51</f>
        <v>1500</v>
      </c>
      <c r="H100" s="15">
        <v>2000</v>
      </c>
      <c r="I100" s="114">
        <f t="shared" ref="I100:I103" si="25">G100-H100</f>
        <v>-500</v>
      </c>
    </row>
    <row r="101" spans="1:9" ht="18" customHeight="1">
      <c r="A101" s="86"/>
      <c r="B101" s="168"/>
      <c r="C101" s="169"/>
      <c r="D101" s="168"/>
      <c r="E101" s="170"/>
      <c r="F101" s="171" t="s">
        <v>119</v>
      </c>
      <c r="G101" s="14">
        <f>수익사업부!H52</f>
        <v>1500</v>
      </c>
      <c r="H101" s="14">
        <v>2000</v>
      </c>
      <c r="I101" s="116">
        <f t="shared" si="25"/>
        <v>-500</v>
      </c>
    </row>
    <row r="102" spans="1:9" ht="18" customHeight="1">
      <c r="A102" s="164"/>
      <c r="B102" s="166"/>
      <c r="C102" s="165"/>
      <c r="D102" s="166"/>
      <c r="E102" s="179" t="s">
        <v>418</v>
      </c>
      <c r="F102" s="181"/>
      <c r="G102" s="15">
        <f>수익사업부!H54</f>
        <v>2100</v>
      </c>
      <c r="H102" s="15">
        <v>2100</v>
      </c>
      <c r="I102" s="114">
        <f t="shared" si="25"/>
        <v>0</v>
      </c>
    </row>
    <row r="103" spans="1:9" ht="18" customHeight="1">
      <c r="A103" s="86"/>
      <c r="B103" s="168"/>
      <c r="C103" s="169"/>
      <c r="D103" s="168"/>
      <c r="E103" s="170"/>
      <c r="F103" s="171" t="s">
        <v>419</v>
      </c>
      <c r="G103" s="14">
        <f>수익사업부!H55</f>
        <v>2100</v>
      </c>
      <c r="H103" s="14">
        <v>2100</v>
      </c>
      <c r="I103" s="116">
        <f t="shared" si="25"/>
        <v>0</v>
      </c>
    </row>
    <row r="104" spans="1:9" ht="18" customHeight="1">
      <c r="A104" s="164"/>
      <c r="B104" s="176" t="s">
        <v>252</v>
      </c>
      <c r="C104" s="177"/>
      <c r="D104" s="177"/>
      <c r="E104" s="177"/>
      <c r="F104" s="178"/>
      <c r="G104" s="113">
        <f>SUM(G105,G112)</f>
        <v>47440</v>
      </c>
      <c r="H104" s="113">
        <v>62518</v>
      </c>
      <c r="I104" s="115">
        <f t="shared" ref="I104:I108" si="26">G104-H104</f>
        <v>-15078</v>
      </c>
    </row>
    <row r="105" spans="1:9" ht="18" customHeight="1">
      <c r="A105" s="164"/>
      <c r="B105" s="165"/>
      <c r="C105" s="179" t="s">
        <v>557</v>
      </c>
      <c r="D105" s="180"/>
      <c r="E105" s="180"/>
      <c r="F105" s="181"/>
      <c r="G105" s="15">
        <f>유치협력부!H7</f>
        <v>26300</v>
      </c>
      <c r="H105" s="111">
        <v>0</v>
      </c>
      <c r="I105" s="114">
        <f t="shared" si="26"/>
        <v>26300</v>
      </c>
    </row>
    <row r="106" spans="1:9" ht="18" customHeight="1">
      <c r="A106" s="164"/>
      <c r="B106" s="166"/>
      <c r="C106" s="167"/>
      <c r="D106" s="179" t="s">
        <v>589</v>
      </c>
      <c r="E106" s="180"/>
      <c r="F106" s="181"/>
      <c r="G106" s="15">
        <f>유치협력부!H8</f>
        <v>26300</v>
      </c>
      <c r="H106" s="112">
        <v>0</v>
      </c>
      <c r="I106" s="114">
        <f t="shared" si="26"/>
        <v>26300</v>
      </c>
    </row>
    <row r="107" spans="1:9" ht="18" customHeight="1">
      <c r="A107" s="164"/>
      <c r="B107" s="166"/>
      <c r="C107" s="165"/>
      <c r="D107" s="167"/>
      <c r="E107" s="179" t="s">
        <v>133</v>
      </c>
      <c r="F107" s="181"/>
      <c r="G107" s="15">
        <f>유치협력부!H10</f>
        <v>5000</v>
      </c>
      <c r="H107" s="112">
        <v>0</v>
      </c>
      <c r="I107" s="114">
        <f t="shared" si="26"/>
        <v>5000</v>
      </c>
    </row>
    <row r="108" spans="1:9" ht="18" customHeight="1">
      <c r="A108" s="86"/>
      <c r="B108" s="168"/>
      <c r="C108" s="169"/>
      <c r="D108" s="168"/>
      <c r="E108" s="171"/>
      <c r="F108" s="171" t="s">
        <v>590</v>
      </c>
      <c r="G108" s="14">
        <f>유치협력부!H11</f>
        <v>5000</v>
      </c>
      <c r="H108" s="16">
        <v>0</v>
      </c>
      <c r="I108" s="116">
        <f t="shared" si="26"/>
        <v>5000</v>
      </c>
    </row>
    <row r="109" spans="1:9" ht="18" customHeight="1">
      <c r="A109" s="164"/>
      <c r="B109" s="166"/>
      <c r="C109" s="165"/>
      <c r="D109" s="166"/>
      <c r="E109" s="179" t="s">
        <v>116</v>
      </c>
      <c r="F109" s="181"/>
      <c r="G109" s="15">
        <f>유치협력부!H13</f>
        <v>21300</v>
      </c>
      <c r="H109" s="112">
        <v>0</v>
      </c>
      <c r="I109" s="114">
        <f t="shared" ref="I109" si="27">G109-H109</f>
        <v>21300</v>
      </c>
    </row>
    <row r="110" spans="1:9" ht="18" customHeight="1">
      <c r="A110" s="86"/>
      <c r="B110" s="168"/>
      <c r="C110" s="169"/>
      <c r="D110" s="168"/>
      <c r="E110" s="171"/>
      <c r="F110" s="171" t="s">
        <v>107</v>
      </c>
      <c r="G110" s="14">
        <f>유치협력부!H14</f>
        <v>3300</v>
      </c>
      <c r="H110" s="16">
        <v>0</v>
      </c>
      <c r="I110" s="116">
        <f>G110-H110</f>
        <v>3300</v>
      </c>
    </row>
    <row r="111" spans="1:9" ht="18" customHeight="1">
      <c r="A111" s="86"/>
      <c r="B111" s="168"/>
      <c r="C111" s="169"/>
      <c r="D111" s="168"/>
      <c r="E111" s="172"/>
      <c r="F111" s="171" t="s">
        <v>591</v>
      </c>
      <c r="G111" s="14">
        <f>유치협력부!H16</f>
        <v>18000</v>
      </c>
      <c r="H111" s="16">
        <v>0</v>
      </c>
      <c r="I111" s="116">
        <f>G111-H111</f>
        <v>18000</v>
      </c>
    </row>
    <row r="112" spans="1:9" ht="18" customHeight="1">
      <c r="A112" s="164"/>
      <c r="B112" s="165"/>
      <c r="C112" s="179" t="s">
        <v>299</v>
      </c>
      <c r="D112" s="180"/>
      <c r="E112" s="180"/>
      <c r="F112" s="181"/>
      <c r="G112" s="15">
        <f>유치협력부!H18</f>
        <v>21140</v>
      </c>
      <c r="H112" s="111">
        <v>62518</v>
      </c>
      <c r="I112" s="114">
        <f t="shared" ref="I112:I115" si="28">G112-H112</f>
        <v>-41378</v>
      </c>
    </row>
    <row r="113" spans="1:9" ht="18" customHeight="1">
      <c r="A113" s="164"/>
      <c r="B113" s="166"/>
      <c r="C113" s="167"/>
      <c r="D113" s="179" t="s">
        <v>132</v>
      </c>
      <c r="E113" s="180"/>
      <c r="F113" s="181"/>
      <c r="G113" s="15">
        <f>유치협력부!H19</f>
        <v>21140</v>
      </c>
      <c r="H113" s="112">
        <v>62518</v>
      </c>
      <c r="I113" s="114">
        <f t="shared" si="28"/>
        <v>-41378</v>
      </c>
    </row>
    <row r="114" spans="1:9" ht="18" customHeight="1">
      <c r="A114" s="164"/>
      <c r="B114" s="166"/>
      <c r="C114" s="165"/>
      <c r="D114" s="167"/>
      <c r="E114" s="179" t="s">
        <v>133</v>
      </c>
      <c r="F114" s="181"/>
      <c r="G114" s="15">
        <f>유치협력부!H21</f>
        <v>7040</v>
      </c>
      <c r="H114" s="112">
        <v>19818</v>
      </c>
      <c r="I114" s="114">
        <f t="shared" si="28"/>
        <v>-12778</v>
      </c>
    </row>
    <row r="115" spans="1:9" ht="18" customHeight="1">
      <c r="A115" s="86"/>
      <c r="B115" s="168"/>
      <c r="C115" s="169"/>
      <c r="D115" s="168"/>
      <c r="E115" s="171"/>
      <c r="F115" s="171" t="s">
        <v>114</v>
      </c>
      <c r="G115" s="14">
        <f>유치협력부!H22</f>
        <v>2000</v>
      </c>
      <c r="H115" s="16">
        <v>5770</v>
      </c>
      <c r="I115" s="116">
        <f t="shared" si="28"/>
        <v>-3770</v>
      </c>
    </row>
    <row r="116" spans="1:9" ht="18" customHeight="1">
      <c r="A116" s="86"/>
      <c r="B116" s="168"/>
      <c r="C116" s="169"/>
      <c r="D116" s="168"/>
      <c r="E116" s="172"/>
      <c r="F116" s="171" t="s">
        <v>309</v>
      </c>
      <c r="G116" s="14">
        <f>유치협력부!H24</f>
        <v>5040</v>
      </c>
      <c r="H116" s="16">
        <v>6048</v>
      </c>
      <c r="I116" s="116">
        <f>G116-H116</f>
        <v>-1008</v>
      </c>
    </row>
    <row r="117" spans="1:9" ht="18" customHeight="1">
      <c r="A117" s="164"/>
      <c r="B117" s="166"/>
      <c r="C117" s="165"/>
      <c r="D117" s="166"/>
      <c r="E117" s="179" t="s">
        <v>116</v>
      </c>
      <c r="F117" s="181"/>
      <c r="G117" s="15">
        <f>유치협력부!H26</f>
        <v>9000</v>
      </c>
      <c r="H117" s="112">
        <v>36600</v>
      </c>
      <c r="I117" s="114">
        <f t="shared" ref="I117" si="29">G117-H117</f>
        <v>-27600</v>
      </c>
    </row>
    <row r="118" spans="1:9" ht="18" customHeight="1">
      <c r="A118" s="86"/>
      <c r="B118" s="168"/>
      <c r="C118" s="169"/>
      <c r="D118" s="168"/>
      <c r="E118" s="171"/>
      <c r="F118" s="171" t="s">
        <v>107</v>
      </c>
      <c r="G118" s="14">
        <f>유치협력부!H27</f>
        <v>9000</v>
      </c>
      <c r="H118" s="16">
        <v>12600</v>
      </c>
      <c r="I118" s="116">
        <f>G118-H118</f>
        <v>-3600</v>
      </c>
    </row>
    <row r="119" spans="1:9" ht="18" customHeight="1">
      <c r="A119" s="164"/>
      <c r="B119" s="166"/>
      <c r="C119" s="165"/>
      <c r="D119" s="166"/>
      <c r="E119" s="179" t="s">
        <v>118</v>
      </c>
      <c r="F119" s="181"/>
      <c r="G119" s="15">
        <f>유치협력부!H30</f>
        <v>3000</v>
      </c>
      <c r="H119" s="112">
        <v>4000</v>
      </c>
      <c r="I119" s="114">
        <f>G119-H119</f>
        <v>-1000</v>
      </c>
    </row>
    <row r="120" spans="1:9" ht="18" customHeight="1">
      <c r="A120" s="86"/>
      <c r="B120" s="168"/>
      <c r="C120" s="169"/>
      <c r="D120" s="168"/>
      <c r="E120" s="170"/>
      <c r="F120" s="171" t="s">
        <v>119</v>
      </c>
      <c r="G120" s="14">
        <f>유치협력부!H31</f>
        <v>3000</v>
      </c>
      <c r="H120" s="16">
        <v>4000</v>
      </c>
      <c r="I120" s="116">
        <f>G120-H120</f>
        <v>-1000</v>
      </c>
    </row>
    <row r="121" spans="1:9" ht="18" customHeight="1">
      <c r="A121" s="164"/>
      <c r="B121" s="166"/>
      <c r="C121" s="165"/>
      <c r="D121" s="166"/>
      <c r="E121" s="179" t="s">
        <v>418</v>
      </c>
      <c r="F121" s="181"/>
      <c r="G121" s="15">
        <f>유치협력부!H34</f>
        <v>2100</v>
      </c>
      <c r="H121" s="112">
        <v>2100</v>
      </c>
      <c r="I121" s="114">
        <f t="shared" ref="I121:I122" si="30">G121-H121</f>
        <v>0</v>
      </c>
    </row>
    <row r="122" spans="1:9" ht="18" customHeight="1">
      <c r="A122" s="86"/>
      <c r="B122" s="168"/>
      <c r="C122" s="169"/>
      <c r="D122" s="168"/>
      <c r="E122" s="170"/>
      <c r="F122" s="171" t="s">
        <v>419</v>
      </c>
      <c r="G122" s="14">
        <f>유치협력부!H35</f>
        <v>2100</v>
      </c>
      <c r="H122" s="14">
        <v>2100</v>
      </c>
      <c r="I122" s="116">
        <f t="shared" si="30"/>
        <v>0</v>
      </c>
    </row>
    <row r="123" spans="1:9" ht="18" customHeight="1">
      <c r="A123" s="164"/>
      <c r="B123" s="176" t="s">
        <v>294</v>
      </c>
      <c r="C123" s="177"/>
      <c r="D123" s="177"/>
      <c r="E123" s="177"/>
      <c r="F123" s="178"/>
      <c r="G123" s="113">
        <f>SUM(G124,G130)</f>
        <v>3686944</v>
      </c>
      <c r="H123" s="113">
        <v>358632</v>
      </c>
      <c r="I123" s="115">
        <f t="shared" ref="I123:I126" si="31">G123-H123</f>
        <v>3328312</v>
      </c>
    </row>
    <row r="124" spans="1:9" ht="18" customHeight="1">
      <c r="A124" s="164"/>
      <c r="B124" s="165"/>
      <c r="C124" s="179" t="s">
        <v>343</v>
      </c>
      <c r="D124" s="180"/>
      <c r="E124" s="180"/>
      <c r="F124" s="181"/>
      <c r="G124" s="201">
        <f>SUM(G125)</f>
        <v>3635156</v>
      </c>
      <c r="H124" s="201">
        <v>306500</v>
      </c>
      <c r="I124" s="114">
        <f t="shared" si="31"/>
        <v>3328656</v>
      </c>
    </row>
    <row r="125" spans="1:9" ht="18" customHeight="1">
      <c r="A125" s="164"/>
      <c r="B125" s="166"/>
      <c r="C125" s="167"/>
      <c r="D125" s="179" t="s">
        <v>344</v>
      </c>
      <c r="E125" s="180"/>
      <c r="F125" s="181"/>
      <c r="G125" s="15">
        <f>운영부!H8</f>
        <v>3635156</v>
      </c>
      <c r="H125" s="15">
        <v>306500</v>
      </c>
      <c r="I125" s="114">
        <f t="shared" si="31"/>
        <v>3328656</v>
      </c>
    </row>
    <row r="126" spans="1:9" ht="18" customHeight="1">
      <c r="A126" s="164"/>
      <c r="B126" s="166"/>
      <c r="C126" s="165"/>
      <c r="D126" s="167"/>
      <c r="E126" s="179" t="s">
        <v>345</v>
      </c>
      <c r="F126" s="181"/>
      <c r="G126" s="15">
        <f>운영부!H10</f>
        <v>3635156</v>
      </c>
      <c r="H126" s="15">
        <v>306500</v>
      </c>
      <c r="I126" s="114">
        <f t="shared" si="31"/>
        <v>3328656</v>
      </c>
    </row>
    <row r="127" spans="1:9" ht="18" customHeight="1">
      <c r="A127" s="164"/>
      <c r="B127" s="166"/>
      <c r="C127" s="165"/>
      <c r="D127" s="166"/>
      <c r="E127" s="33"/>
      <c r="F127" s="171" t="s">
        <v>106</v>
      </c>
      <c r="G127" s="14">
        <f>운영부!H11</f>
        <v>5000</v>
      </c>
      <c r="H127" s="14">
        <v>6000</v>
      </c>
      <c r="I127" s="116">
        <f>G127-H127</f>
        <v>-1000</v>
      </c>
    </row>
    <row r="128" spans="1:9" ht="18" customHeight="1">
      <c r="A128" s="164"/>
      <c r="B128" s="166"/>
      <c r="C128" s="165"/>
      <c r="D128" s="166"/>
      <c r="E128" s="333"/>
      <c r="F128" s="171" t="s">
        <v>346</v>
      </c>
      <c r="G128" s="14">
        <f>운영부!H15</f>
        <v>3628156</v>
      </c>
      <c r="H128" s="14">
        <v>300000</v>
      </c>
      <c r="I128" s="116">
        <f>G128-H128</f>
        <v>3328156</v>
      </c>
    </row>
    <row r="129" spans="1:9" ht="18" customHeight="1">
      <c r="A129" s="164"/>
      <c r="B129" s="166"/>
      <c r="C129" s="165"/>
      <c r="D129" s="166"/>
      <c r="E129" s="332"/>
      <c r="F129" s="171" t="s">
        <v>109</v>
      </c>
      <c r="G129" s="14">
        <f>운영부!H17</f>
        <v>2000</v>
      </c>
      <c r="H129" s="14">
        <v>500</v>
      </c>
      <c r="I129" s="116">
        <f>G129-H129</f>
        <v>1500</v>
      </c>
    </row>
    <row r="130" spans="1:9" ht="18" customHeight="1">
      <c r="A130" s="164"/>
      <c r="B130" s="165"/>
      <c r="C130" s="179" t="s">
        <v>380</v>
      </c>
      <c r="D130" s="180"/>
      <c r="E130" s="180"/>
      <c r="F130" s="181"/>
      <c r="G130" s="15">
        <f>운영부!H19</f>
        <v>51788</v>
      </c>
      <c r="H130" s="15">
        <v>52132</v>
      </c>
      <c r="I130" s="114">
        <f t="shared" ref="I130:I135" si="32">G130-H130</f>
        <v>-344</v>
      </c>
    </row>
    <row r="131" spans="1:9" ht="18" customHeight="1">
      <c r="A131" s="164"/>
      <c r="B131" s="166"/>
      <c r="C131" s="167"/>
      <c r="D131" s="179" t="s">
        <v>132</v>
      </c>
      <c r="E131" s="180"/>
      <c r="F131" s="181"/>
      <c r="G131" s="15">
        <f>운영부!H20</f>
        <v>51788</v>
      </c>
      <c r="H131" s="15">
        <v>52132</v>
      </c>
      <c r="I131" s="114">
        <f t="shared" si="32"/>
        <v>-344</v>
      </c>
    </row>
    <row r="132" spans="1:9" ht="18" customHeight="1">
      <c r="A132" s="164"/>
      <c r="B132" s="166"/>
      <c r="C132" s="165"/>
      <c r="D132" s="167"/>
      <c r="E132" s="179" t="s">
        <v>133</v>
      </c>
      <c r="F132" s="181"/>
      <c r="G132" s="15">
        <f>운영부!H22</f>
        <v>25128</v>
      </c>
      <c r="H132" s="15">
        <v>19912</v>
      </c>
      <c r="I132" s="114">
        <f t="shared" si="32"/>
        <v>5216</v>
      </c>
    </row>
    <row r="133" spans="1:9" ht="18" customHeight="1">
      <c r="A133" s="86"/>
      <c r="B133" s="168"/>
      <c r="C133" s="169"/>
      <c r="D133" s="168"/>
      <c r="E133" s="171"/>
      <c r="F133" s="171" t="s">
        <v>114</v>
      </c>
      <c r="G133" s="14">
        <f>운영부!H23</f>
        <v>18000</v>
      </c>
      <c r="H133" s="14">
        <v>13000</v>
      </c>
      <c r="I133" s="116">
        <f t="shared" si="32"/>
        <v>5000</v>
      </c>
    </row>
    <row r="134" spans="1:9" ht="18" customHeight="1">
      <c r="A134" s="86"/>
      <c r="B134" s="168"/>
      <c r="C134" s="169"/>
      <c r="D134" s="168"/>
      <c r="E134" s="172"/>
      <c r="F134" s="171" t="s">
        <v>309</v>
      </c>
      <c r="G134" s="14">
        <f>운영부!H27</f>
        <v>7128</v>
      </c>
      <c r="H134" s="14">
        <v>6912</v>
      </c>
      <c r="I134" s="116">
        <f>G134-H134</f>
        <v>216</v>
      </c>
    </row>
    <row r="135" spans="1:9" ht="18" customHeight="1">
      <c r="A135" s="164"/>
      <c r="B135" s="166"/>
      <c r="C135" s="165"/>
      <c r="D135" s="166"/>
      <c r="E135" s="179" t="s">
        <v>116</v>
      </c>
      <c r="F135" s="181"/>
      <c r="G135" s="15">
        <f>운영부!H29</f>
        <v>10060</v>
      </c>
      <c r="H135" s="15">
        <v>14400</v>
      </c>
      <c r="I135" s="114">
        <f t="shared" si="32"/>
        <v>-4340</v>
      </c>
    </row>
    <row r="136" spans="1:9" ht="18" customHeight="1">
      <c r="A136" s="86"/>
      <c r="B136" s="168"/>
      <c r="C136" s="169"/>
      <c r="D136" s="168"/>
      <c r="E136" s="171"/>
      <c r="F136" s="171" t="s">
        <v>107</v>
      </c>
      <c r="G136" s="14">
        <f>운영부!H30</f>
        <v>10060</v>
      </c>
      <c r="H136" s="14">
        <v>14400</v>
      </c>
      <c r="I136" s="116">
        <f>G136-H136</f>
        <v>-4340</v>
      </c>
    </row>
    <row r="137" spans="1:9" ht="18" customHeight="1">
      <c r="A137" s="164"/>
      <c r="B137" s="166"/>
      <c r="C137" s="165"/>
      <c r="D137" s="166"/>
      <c r="E137" s="179" t="s">
        <v>118</v>
      </c>
      <c r="F137" s="181"/>
      <c r="G137" s="15">
        <f>운영부!H33</f>
        <v>12100</v>
      </c>
      <c r="H137" s="15">
        <v>13400</v>
      </c>
      <c r="I137" s="114">
        <f t="shared" ref="I137:I138" si="33">G137-H137</f>
        <v>-1300</v>
      </c>
    </row>
    <row r="138" spans="1:9" ht="18" customHeight="1">
      <c r="A138" s="86"/>
      <c r="B138" s="168"/>
      <c r="C138" s="169"/>
      <c r="D138" s="168"/>
      <c r="E138" s="170"/>
      <c r="F138" s="171" t="s">
        <v>119</v>
      </c>
      <c r="G138" s="14">
        <f>운영부!H34</f>
        <v>12100</v>
      </c>
      <c r="H138" s="14">
        <v>13400</v>
      </c>
      <c r="I138" s="116">
        <f t="shared" si="33"/>
        <v>-1300</v>
      </c>
    </row>
    <row r="139" spans="1:9" ht="18" customHeight="1">
      <c r="A139" s="164"/>
      <c r="B139" s="166"/>
      <c r="C139" s="165"/>
      <c r="D139" s="166"/>
      <c r="E139" s="179" t="s">
        <v>124</v>
      </c>
      <c r="F139" s="181"/>
      <c r="G139" s="15">
        <f>운영부!H39</f>
        <v>4500</v>
      </c>
      <c r="H139" s="15">
        <v>4420</v>
      </c>
      <c r="I139" s="114">
        <f t="shared" ref="I139:I141" si="34">G139-H139</f>
        <v>80</v>
      </c>
    </row>
    <row r="140" spans="1:9" ht="18" customHeight="1">
      <c r="A140" s="164"/>
      <c r="B140" s="166"/>
      <c r="C140" s="165"/>
      <c r="D140" s="166"/>
      <c r="E140" s="33"/>
      <c r="F140" s="282" t="s">
        <v>381</v>
      </c>
      <c r="G140" s="14">
        <f>운영부!H40</f>
        <v>2400</v>
      </c>
      <c r="H140" s="14">
        <v>2320</v>
      </c>
      <c r="I140" s="116">
        <f t="shared" si="34"/>
        <v>80</v>
      </c>
    </row>
    <row r="141" spans="1:9" ht="18" customHeight="1">
      <c r="A141" s="86"/>
      <c r="B141" s="168"/>
      <c r="C141" s="169"/>
      <c r="D141" s="168"/>
      <c r="E141" s="172"/>
      <c r="F141" s="171" t="s">
        <v>382</v>
      </c>
      <c r="G141" s="14">
        <f>운영부!H42</f>
        <v>2100</v>
      </c>
      <c r="H141" s="14">
        <v>2100</v>
      </c>
      <c r="I141" s="116">
        <f t="shared" si="34"/>
        <v>0</v>
      </c>
    </row>
    <row r="142" spans="1:9" ht="18" customHeight="1">
      <c r="A142" s="164"/>
      <c r="B142" s="176" t="s">
        <v>300</v>
      </c>
      <c r="C142" s="177"/>
      <c r="D142" s="177"/>
      <c r="E142" s="177"/>
      <c r="F142" s="178"/>
      <c r="G142" s="113">
        <f>G143</f>
        <v>20648</v>
      </c>
      <c r="H142" s="113">
        <v>25268</v>
      </c>
      <c r="I142" s="115">
        <f t="shared" ref="I142" si="35">G142-H142</f>
        <v>-4620</v>
      </c>
    </row>
    <row r="143" spans="1:9" ht="18" customHeight="1">
      <c r="A143" s="164"/>
      <c r="B143" s="165"/>
      <c r="C143" s="179" t="s">
        <v>301</v>
      </c>
      <c r="D143" s="180"/>
      <c r="E143" s="180"/>
      <c r="F143" s="181"/>
      <c r="G143" s="15">
        <f>행사부!H7</f>
        <v>20648</v>
      </c>
      <c r="H143" s="111">
        <v>25268</v>
      </c>
      <c r="I143" s="114">
        <f t="shared" ref="I143:I148" si="36">G143-H143</f>
        <v>-4620</v>
      </c>
    </row>
    <row r="144" spans="1:9" ht="18" customHeight="1">
      <c r="A144" s="164"/>
      <c r="B144" s="166"/>
      <c r="C144" s="167"/>
      <c r="D144" s="179" t="s">
        <v>132</v>
      </c>
      <c r="E144" s="180"/>
      <c r="F144" s="181"/>
      <c r="G144" s="15">
        <f>행사부!H8</f>
        <v>20648</v>
      </c>
      <c r="H144" s="112">
        <v>25268</v>
      </c>
      <c r="I144" s="114">
        <f t="shared" si="36"/>
        <v>-4620</v>
      </c>
    </row>
    <row r="145" spans="1:9" ht="18" customHeight="1">
      <c r="A145" s="164"/>
      <c r="B145" s="166"/>
      <c r="C145" s="165"/>
      <c r="D145" s="167"/>
      <c r="E145" s="179" t="s">
        <v>133</v>
      </c>
      <c r="F145" s="181"/>
      <c r="G145" s="15">
        <f>행사부!H10</f>
        <v>8048</v>
      </c>
      <c r="H145" s="112">
        <v>8568</v>
      </c>
      <c r="I145" s="114">
        <f t="shared" si="36"/>
        <v>-520</v>
      </c>
    </row>
    <row r="146" spans="1:9" ht="18" customHeight="1">
      <c r="A146" s="86"/>
      <c r="B146" s="168"/>
      <c r="C146" s="169"/>
      <c r="D146" s="168"/>
      <c r="E146" s="171"/>
      <c r="F146" s="171" t="s">
        <v>114</v>
      </c>
      <c r="G146" s="14">
        <f>행사부!H11</f>
        <v>2000</v>
      </c>
      <c r="H146" s="16">
        <v>2520</v>
      </c>
      <c r="I146" s="116">
        <f t="shared" si="36"/>
        <v>-520</v>
      </c>
    </row>
    <row r="147" spans="1:9" ht="18" customHeight="1">
      <c r="A147" s="86"/>
      <c r="B147" s="168"/>
      <c r="C147" s="169"/>
      <c r="D147" s="168"/>
      <c r="E147" s="172"/>
      <c r="F147" s="171" t="s">
        <v>312</v>
      </c>
      <c r="G147" s="14">
        <f>행사부!H13</f>
        <v>6048</v>
      </c>
      <c r="H147" s="16">
        <v>6048</v>
      </c>
      <c r="I147" s="116">
        <f t="shared" ref="I147" si="37">G147-H147</f>
        <v>0</v>
      </c>
    </row>
    <row r="148" spans="1:9" ht="18" customHeight="1">
      <c r="A148" s="164"/>
      <c r="B148" s="166"/>
      <c r="C148" s="165"/>
      <c r="D148" s="166"/>
      <c r="E148" s="179" t="s">
        <v>116</v>
      </c>
      <c r="F148" s="181"/>
      <c r="G148" s="15">
        <f>행사부!H15</f>
        <v>9000</v>
      </c>
      <c r="H148" s="112">
        <v>12600</v>
      </c>
      <c r="I148" s="114">
        <f t="shared" si="36"/>
        <v>-3600</v>
      </c>
    </row>
    <row r="149" spans="1:9" ht="18" customHeight="1">
      <c r="A149" s="86"/>
      <c r="B149" s="168"/>
      <c r="C149" s="169"/>
      <c r="D149" s="168"/>
      <c r="E149" s="171"/>
      <c r="F149" s="171" t="s">
        <v>107</v>
      </c>
      <c r="G149" s="14">
        <f>행사부!H16</f>
        <v>9000</v>
      </c>
      <c r="H149" s="16">
        <v>12600</v>
      </c>
      <c r="I149" s="116">
        <f>G149-H149</f>
        <v>-3600</v>
      </c>
    </row>
    <row r="150" spans="1:9" ht="18" customHeight="1">
      <c r="A150" s="164"/>
      <c r="B150" s="166"/>
      <c r="C150" s="165"/>
      <c r="D150" s="166"/>
      <c r="E150" s="179" t="s">
        <v>118</v>
      </c>
      <c r="F150" s="181"/>
      <c r="G150" s="15">
        <f>행사부!H19</f>
        <v>1500</v>
      </c>
      <c r="H150" s="112">
        <v>2000</v>
      </c>
      <c r="I150" s="114">
        <f t="shared" ref="I150:I154" si="38">G150-H150</f>
        <v>-500</v>
      </c>
    </row>
    <row r="151" spans="1:9" ht="18" customHeight="1">
      <c r="A151" s="86"/>
      <c r="B151" s="168"/>
      <c r="C151" s="169"/>
      <c r="D151" s="168"/>
      <c r="E151" s="170"/>
      <c r="F151" s="171" t="s">
        <v>119</v>
      </c>
      <c r="G151" s="14">
        <f>행사부!H20</f>
        <v>1500</v>
      </c>
      <c r="H151" s="16">
        <v>2000</v>
      </c>
      <c r="I151" s="116">
        <f t="shared" si="38"/>
        <v>-500</v>
      </c>
    </row>
    <row r="152" spans="1:9" ht="18" customHeight="1">
      <c r="A152" s="164"/>
      <c r="B152" s="166"/>
      <c r="C152" s="165"/>
      <c r="D152" s="166"/>
      <c r="E152" s="179" t="s">
        <v>418</v>
      </c>
      <c r="F152" s="181"/>
      <c r="G152" s="15">
        <f>행사부!H22</f>
        <v>2100</v>
      </c>
      <c r="H152" s="112">
        <v>2100</v>
      </c>
      <c r="I152" s="114">
        <f t="shared" ref="I152:I153" si="39">G152-H152</f>
        <v>0</v>
      </c>
    </row>
    <row r="153" spans="1:9" ht="18" customHeight="1">
      <c r="A153" s="86"/>
      <c r="B153" s="168"/>
      <c r="C153" s="169"/>
      <c r="D153" s="168"/>
      <c r="E153" s="170"/>
      <c r="F153" s="171" t="s">
        <v>419</v>
      </c>
      <c r="G153" s="14">
        <f>행사부!H23</f>
        <v>2100</v>
      </c>
      <c r="H153" s="16">
        <v>2100</v>
      </c>
      <c r="I153" s="116">
        <f t="shared" si="39"/>
        <v>0</v>
      </c>
    </row>
    <row r="154" spans="1:9" ht="18" customHeight="1">
      <c r="A154" s="164"/>
      <c r="B154" s="176" t="s">
        <v>273</v>
      </c>
      <c r="C154" s="177"/>
      <c r="D154" s="177"/>
      <c r="E154" s="177"/>
      <c r="F154" s="178"/>
      <c r="G154" s="113">
        <f>SUM(G155,G166)</f>
        <v>1765648</v>
      </c>
      <c r="H154" s="113">
        <v>25268</v>
      </c>
      <c r="I154" s="115">
        <f t="shared" si="38"/>
        <v>1740380</v>
      </c>
    </row>
    <row r="155" spans="1:9" ht="18" customHeight="1">
      <c r="A155" s="164"/>
      <c r="B155" s="165"/>
      <c r="C155" s="179" t="s">
        <v>302</v>
      </c>
      <c r="D155" s="180"/>
      <c r="E155" s="180"/>
      <c r="F155" s="181"/>
      <c r="G155" s="15">
        <f>시설조성부!H7</f>
        <v>20648</v>
      </c>
      <c r="H155" s="15">
        <v>25268</v>
      </c>
      <c r="I155" s="114">
        <f t="shared" ref="I155:I160" si="40">G155-H155</f>
        <v>-4620</v>
      </c>
    </row>
    <row r="156" spans="1:9" ht="18" customHeight="1">
      <c r="A156" s="164"/>
      <c r="B156" s="166"/>
      <c r="C156" s="167"/>
      <c r="D156" s="179" t="s">
        <v>132</v>
      </c>
      <c r="E156" s="180"/>
      <c r="F156" s="181"/>
      <c r="G156" s="15">
        <f>시설조성부!H8</f>
        <v>20648</v>
      </c>
      <c r="H156" s="15">
        <v>25268</v>
      </c>
      <c r="I156" s="114">
        <f t="shared" si="40"/>
        <v>-4620</v>
      </c>
    </row>
    <row r="157" spans="1:9" ht="18" customHeight="1">
      <c r="A157" s="164"/>
      <c r="B157" s="166"/>
      <c r="C157" s="165"/>
      <c r="D157" s="167"/>
      <c r="E157" s="179" t="s">
        <v>133</v>
      </c>
      <c r="F157" s="181"/>
      <c r="G157" s="15">
        <f>시설조성부!H10</f>
        <v>8048</v>
      </c>
      <c r="H157" s="15">
        <v>8568</v>
      </c>
      <c r="I157" s="114">
        <f t="shared" si="40"/>
        <v>-520</v>
      </c>
    </row>
    <row r="158" spans="1:9" ht="18" customHeight="1">
      <c r="A158" s="86"/>
      <c r="B158" s="168"/>
      <c r="C158" s="169"/>
      <c r="D158" s="168"/>
      <c r="E158" s="171"/>
      <c r="F158" s="171" t="s">
        <v>114</v>
      </c>
      <c r="G158" s="14">
        <f>시설조성부!H11</f>
        <v>2000</v>
      </c>
      <c r="H158" s="14">
        <v>2520</v>
      </c>
      <c r="I158" s="116">
        <f t="shared" si="40"/>
        <v>-520</v>
      </c>
    </row>
    <row r="159" spans="1:9" ht="18" customHeight="1">
      <c r="A159" s="86"/>
      <c r="B159" s="168"/>
      <c r="C159" s="169"/>
      <c r="D159" s="168"/>
      <c r="E159" s="172"/>
      <c r="F159" s="171" t="s">
        <v>309</v>
      </c>
      <c r="G159" s="14">
        <f>시설조성부!H13</f>
        <v>6048</v>
      </c>
      <c r="H159" s="14">
        <v>6048</v>
      </c>
      <c r="I159" s="116">
        <f>G159-H159</f>
        <v>0</v>
      </c>
    </row>
    <row r="160" spans="1:9" ht="18" customHeight="1">
      <c r="A160" s="164"/>
      <c r="B160" s="166"/>
      <c r="C160" s="165"/>
      <c r="D160" s="166"/>
      <c r="E160" s="179" t="s">
        <v>116</v>
      </c>
      <c r="F160" s="181"/>
      <c r="G160" s="15">
        <f>시설조성부!H15</f>
        <v>9000</v>
      </c>
      <c r="H160" s="15">
        <v>12600</v>
      </c>
      <c r="I160" s="114">
        <f t="shared" si="40"/>
        <v>-3600</v>
      </c>
    </row>
    <row r="161" spans="1:9" ht="18" customHeight="1">
      <c r="A161" s="86"/>
      <c r="B161" s="168"/>
      <c r="C161" s="169"/>
      <c r="D161" s="168"/>
      <c r="E161" s="171"/>
      <c r="F161" s="171" t="s">
        <v>107</v>
      </c>
      <c r="G161" s="14">
        <f>시설조성부!H16</f>
        <v>9000</v>
      </c>
      <c r="H161" s="14">
        <v>12600</v>
      </c>
      <c r="I161" s="116">
        <f>G161-H161</f>
        <v>-3600</v>
      </c>
    </row>
    <row r="162" spans="1:9" ht="18" customHeight="1">
      <c r="A162" s="164"/>
      <c r="B162" s="166"/>
      <c r="C162" s="165"/>
      <c r="D162" s="166"/>
      <c r="E162" s="558" t="s">
        <v>118</v>
      </c>
      <c r="F162" s="181" t="s">
        <v>481</v>
      </c>
      <c r="G162" s="15">
        <f>시설조성부!H19</f>
        <v>1500</v>
      </c>
      <c r="H162" s="15">
        <v>2000</v>
      </c>
      <c r="I162" s="114">
        <f t="shared" ref="I162:I170" si="41">G162-H162</f>
        <v>-500</v>
      </c>
    </row>
    <row r="163" spans="1:9" ht="18" customHeight="1">
      <c r="A163" s="86"/>
      <c r="B163" s="168"/>
      <c r="C163" s="169"/>
      <c r="D163" s="168"/>
      <c r="E163" s="170"/>
      <c r="F163" s="171" t="s">
        <v>119</v>
      </c>
      <c r="G163" s="14">
        <f>시설조성부!H20</f>
        <v>1500</v>
      </c>
      <c r="H163" s="14">
        <v>2000</v>
      </c>
      <c r="I163" s="116">
        <f t="shared" si="41"/>
        <v>-500</v>
      </c>
    </row>
    <row r="164" spans="1:9" ht="18" customHeight="1">
      <c r="A164" s="164"/>
      <c r="B164" s="166"/>
      <c r="C164" s="165"/>
      <c r="D164" s="166"/>
      <c r="E164" s="179" t="s">
        <v>418</v>
      </c>
      <c r="F164" s="181"/>
      <c r="G164" s="15">
        <f>시설조성부!H22</f>
        <v>2100</v>
      </c>
      <c r="H164" s="15">
        <v>2100</v>
      </c>
      <c r="I164" s="114">
        <f t="shared" si="41"/>
        <v>0</v>
      </c>
    </row>
    <row r="165" spans="1:9" ht="18" customHeight="1">
      <c r="A165" s="86"/>
      <c r="B165" s="168"/>
      <c r="C165" s="169"/>
      <c r="D165" s="168"/>
      <c r="E165" s="170"/>
      <c r="F165" s="171" t="s">
        <v>419</v>
      </c>
      <c r="G165" s="14">
        <f>시설조성부!H23</f>
        <v>2100</v>
      </c>
      <c r="H165" s="14">
        <v>2100</v>
      </c>
      <c r="I165" s="116">
        <f t="shared" si="41"/>
        <v>0</v>
      </c>
    </row>
    <row r="166" spans="1:9" ht="18" customHeight="1">
      <c r="A166" s="164"/>
      <c r="B166" s="165"/>
      <c r="C166" s="179" t="s">
        <v>647</v>
      </c>
      <c r="D166" s="180"/>
      <c r="E166" s="180"/>
      <c r="F166" s="181"/>
      <c r="G166" s="15">
        <f>시설조성부!H25</f>
        <v>1745000</v>
      </c>
      <c r="H166" s="15">
        <v>0</v>
      </c>
      <c r="I166" s="114">
        <f t="shared" si="41"/>
        <v>1745000</v>
      </c>
    </row>
    <row r="167" spans="1:9" ht="18" customHeight="1">
      <c r="A167" s="164"/>
      <c r="B167" s="166"/>
      <c r="C167" s="167"/>
      <c r="D167" s="179" t="s">
        <v>648</v>
      </c>
      <c r="E167" s="180"/>
      <c r="F167" s="181"/>
      <c r="G167" s="15">
        <f>시설조성부!H26</f>
        <v>1745000</v>
      </c>
      <c r="H167" s="15">
        <v>0</v>
      </c>
      <c r="I167" s="114">
        <f t="shared" si="41"/>
        <v>1745000</v>
      </c>
    </row>
    <row r="168" spans="1:9" ht="18" customHeight="1">
      <c r="A168" s="164"/>
      <c r="B168" s="166"/>
      <c r="C168" s="165"/>
      <c r="D168" s="167"/>
      <c r="E168" s="179" t="s">
        <v>105</v>
      </c>
      <c r="F168" s="181"/>
      <c r="G168" s="15">
        <f>시설조성부!H28</f>
        <v>1745000</v>
      </c>
      <c r="H168" s="15">
        <v>0</v>
      </c>
      <c r="I168" s="114">
        <f t="shared" si="41"/>
        <v>1745000</v>
      </c>
    </row>
    <row r="169" spans="1:9" ht="18" customHeight="1">
      <c r="A169" s="86"/>
      <c r="B169" s="168"/>
      <c r="C169" s="169"/>
      <c r="D169" s="168"/>
      <c r="E169" s="171"/>
      <c r="F169" s="171" t="s">
        <v>649</v>
      </c>
      <c r="G169" s="14">
        <f>시설조성부!H29</f>
        <v>1745000</v>
      </c>
      <c r="H169" s="14">
        <v>0</v>
      </c>
      <c r="I169" s="116">
        <f t="shared" si="41"/>
        <v>1745000</v>
      </c>
    </row>
    <row r="170" spans="1:9" ht="18" customHeight="1">
      <c r="A170" s="164"/>
      <c r="B170" s="176" t="s">
        <v>303</v>
      </c>
      <c r="C170" s="177"/>
      <c r="D170" s="177"/>
      <c r="E170" s="177"/>
      <c r="F170" s="178"/>
      <c r="G170" s="113">
        <f>전시연출부!H5</f>
        <v>2121344</v>
      </c>
      <c r="H170" s="113">
        <v>25268</v>
      </c>
      <c r="I170" s="115">
        <f t="shared" si="41"/>
        <v>2096076</v>
      </c>
    </row>
    <row r="171" spans="1:9" ht="18" customHeight="1">
      <c r="A171" s="164"/>
      <c r="B171" s="165"/>
      <c r="C171" s="179" t="s">
        <v>475</v>
      </c>
      <c r="D171" s="180"/>
      <c r="E171" s="180"/>
      <c r="F171" s="181"/>
      <c r="G171" s="15">
        <f>전시연출부!H7</f>
        <v>2101200</v>
      </c>
      <c r="H171" s="15">
        <v>0</v>
      </c>
      <c r="I171" s="114">
        <f>G171-H171</f>
        <v>2101200</v>
      </c>
    </row>
    <row r="172" spans="1:9" ht="18" customHeight="1">
      <c r="A172" s="164"/>
      <c r="B172" s="166"/>
      <c r="C172" s="167"/>
      <c r="D172" s="354" t="s">
        <v>634</v>
      </c>
      <c r="E172" s="180"/>
      <c r="F172" s="181"/>
      <c r="G172" s="15">
        <f>전시연출부!H8</f>
        <v>2098000</v>
      </c>
      <c r="H172" s="15">
        <v>0</v>
      </c>
      <c r="I172" s="114">
        <f t="shared" ref="I172:I174" si="42">G172-H172</f>
        <v>2098000</v>
      </c>
    </row>
    <row r="173" spans="1:9" ht="18" customHeight="1">
      <c r="A173" s="164"/>
      <c r="B173" s="166"/>
      <c r="C173" s="165"/>
      <c r="D173" s="167"/>
      <c r="E173" s="179" t="s">
        <v>105</v>
      </c>
      <c r="F173" s="181"/>
      <c r="G173" s="15">
        <f>전시연출부!H10</f>
        <v>2098000</v>
      </c>
      <c r="H173" s="15">
        <v>0</v>
      </c>
      <c r="I173" s="114">
        <f t="shared" si="42"/>
        <v>2098000</v>
      </c>
    </row>
    <row r="174" spans="1:9" ht="18" customHeight="1">
      <c r="A174" s="86"/>
      <c r="B174" s="168"/>
      <c r="C174" s="168"/>
      <c r="D174" s="168"/>
      <c r="E174" s="171"/>
      <c r="F174" s="171" t="s">
        <v>106</v>
      </c>
      <c r="G174" s="14">
        <f>전시연출부!H11</f>
        <v>2098000</v>
      </c>
      <c r="H174" s="14">
        <v>0</v>
      </c>
      <c r="I174" s="116">
        <f t="shared" si="42"/>
        <v>2098000</v>
      </c>
    </row>
    <row r="175" spans="1:9" ht="18" customHeight="1">
      <c r="A175" s="164"/>
      <c r="B175" s="166"/>
      <c r="C175" s="166"/>
      <c r="D175" s="354" t="s">
        <v>472</v>
      </c>
      <c r="E175" s="180"/>
      <c r="F175" s="181"/>
      <c r="G175" s="15">
        <f>전시연출부!H13</f>
        <v>1600</v>
      </c>
      <c r="H175" s="15">
        <v>0</v>
      </c>
      <c r="I175" s="114">
        <f t="shared" ref="I175:I180" si="43">G175-H175</f>
        <v>1600</v>
      </c>
    </row>
    <row r="176" spans="1:9" ht="18" customHeight="1">
      <c r="A176" s="164"/>
      <c r="B176" s="166"/>
      <c r="C176" s="165"/>
      <c r="D176" s="167"/>
      <c r="E176" s="179" t="s">
        <v>105</v>
      </c>
      <c r="F176" s="181"/>
      <c r="G176" s="15">
        <f>전시연출부!H15</f>
        <v>1600</v>
      </c>
      <c r="H176" s="15">
        <v>0</v>
      </c>
      <c r="I176" s="114">
        <f t="shared" si="43"/>
        <v>1600</v>
      </c>
    </row>
    <row r="177" spans="1:9" ht="18" customHeight="1">
      <c r="A177" s="86"/>
      <c r="B177" s="168"/>
      <c r="C177" s="168"/>
      <c r="D177" s="168"/>
      <c r="E177" s="171"/>
      <c r="F177" s="171" t="s">
        <v>106</v>
      </c>
      <c r="G177" s="14">
        <f>전시연출부!H16</f>
        <v>1600</v>
      </c>
      <c r="H177" s="14">
        <v>0</v>
      </c>
      <c r="I177" s="116">
        <f t="shared" si="43"/>
        <v>1600</v>
      </c>
    </row>
    <row r="178" spans="1:9" ht="18" customHeight="1">
      <c r="A178" s="164"/>
      <c r="B178" s="166"/>
      <c r="C178" s="166"/>
      <c r="D178" s="354" t="s">
        <v>474</v>
      </c>
      <c r="E178" s="180"/>
      <c r="F178" s="181"/>
      <c r="G178" s="15">
        <f>전시연출부!H18</f>
        <v>1600</v>
      </c>
      <c r="H178" s="15">
        <v>0</v>
      </c>
      <c r="I178" s="114">
        <f t="shared" si="43"/>
        <v>1600</v>
      </c>
    </row>
    <row r="179" spans="1:9" ht="18" customHeight="1">
      <c r="A179" s="164"/>
      <c r="B179" s="166"/>
      <c r="C179" s="165"/>
      <c r="D179" s="167"/>
      <c r="E179" s="179" t="s">
        <v>105</v>
      </c>
      <c r="F179" s="181"/>
      <c r="G179" s="15">
        <f>전시연출부!H20</f>
        <v>1600</v>
      </c>
      <c r="H179" s="15">
        <v>0</v>
      </c>
      <c r="I179" s="114">
        <f t="shared" si="43"/>
        <v>1600</v>
      </c>
    </row>
    <row r="180" spans="1:9" ht="18" customHeight="1">
      <c r="A180" s="86"/>
      <c r="B180" s="168"/>
      <c r="C180" s="169"/>
      <c r="D180" s="168"/>
      <c r="E180" s="171"/>
      <c r="F180" s="171" t="s">
        <v>106</v>
      </c>
      <c r="G180" s="14">
        <f>전시연출부!H21</f>
        <v>1600</v>
      </c>
      <c r="H180" s="14">
        <v>0</v>
      </c>
      <c r="I180" s="116">
        <f t="shared" si="43"/>
        <v>1600</v>
      </c>
    </row>
    <row r="181" spans="1:9" ht="18" customHeight="1">
      <c r="A181" s="164"/>
      <c r="B181" s="165"/>
      <c r="C181" s="179" t="s">
        <v>244</v>
      </c>
      <c r="D181" s="180"/>
      <c r="E181" s="180"/>
      <c r="F181" s="181"/>
      <c r="G181" s="15">
        <f>전시연출부!H23</f>
        <v>20144</v>
      </c>
      <c r="H181" s="15">
        <v>25268</v>
      </c>
      <c r="I181" s="114">
        <f t="shared" ref="I181:I186" si="44">G181-H181</f>
        <v>-5124</v>
      </c>
    </row>
    <row r="182" spans="1:9" ht="18" customHeight="1">
      <c r="A182" s="164"/>
      <c r="B182" s="166"/>
      <c r="C182" s="167"/>
      <c r="D182" s="179" t="s">
        <v>132</v>
      </c>
      <c r="E182" s="180"/>
      <c r="F182" s="181"/>
      <c r="G182" s="15">
        <f>전시연출부!H24</f>
        <v>20144</v>
      </c>
      <c r="H182" s="15">
        <v>25268</v>
      </c>
      <c r="I182" s="114">
        <f t="shared" si="44"/>
        <v>-5124</v>
      </c>
    </row>
    <row r="183" spans="1:9" ht="18" customHeight="1">
      <c r="A183" s="164"/>
      <c r="B183" s="166"/>
      <c r="C183" s="165"/>
      <c r="D183" s="167"/>
      <c r="E183" s="179" t="s">
        <v>133</v>
      </c>
      <c r="F183" s="181"/>
      <c r="G183" s="15">
        <f>전시연출부!H26</f>
        <v>7544</v>
      </c>
      <c r="H183" s="15">
        <v>8568</v>
      </c>
      <c r="I183" s="114">
        <f t="shared" si="44"/>
        <v>-1024</v>
      </c>
    </row>
    <row r="184" spans="1:9" ht="18" customHeight="1">
      <c r="A184" s="86"/>
      <c r="B184" s="168"/>
      <c r="C184" s="169"/>
      <c r="D184" s="168"/>
      <c r="E184" s="171"/>
      <c r="F184" s="171" t="s">
        <v>114</v>
      </c>
      <c r="G184" s="14">
        <f>전시연출부!H27</f>
        <v>2000</v>
      </c>
      <c r="H184" s="14">
        <v>2520</v>
      </c>
      <c r="I184" s="116">
        <f t="shared" si="44"/>
        <v>-520</v>
      </c>
    </row>
    <row r="185" spans="1:9" ht="18" customHeight="1">
      <c r="A185" s="86"/>
      <c r="B185" s="168"/>
      <c r="C185" s="169"/>
      <c r="D185" s="168"/>
      <c r="E185" s="172"/>
      <c r="F185" s="171" t="s">
        <v>309</v>
      </c>
      <c r="G185" s="14">
        <f>전시연출부!H29</f>
        <v>5544</v>
      </c>
      <c r="H185" s="14">
        <v>6048</v>
      </c>
      <c r="I185" s="116">
        <f>G185-H185</f>
        <v>-504</v>
      </c>
    </row>
    <row r="186" spans="1:9" ht="18" customHeight="1">
      <c r="A186" s="164"/>
      <c r="B186" s="166"/>
      <c r="C186" s="165"/>
      <c r="D186" s="166"/>
      <c r="E186" s="179" t="s">
        <v>116</v>
      </c>
      <c r="F186" s="181"/>
      <c r="G186" s="15">
        <f>전시연출부!H31</f>
        <v>9000</v>
      </c>
      <c r="H186" s="15">
        <v>12600</v>
      </c>
      <c r="I186" s="114">
        <f t="shared" si="44"/>
        <v>-3600</v>
      </c>
    </row>
    <row r="187" spans="1:9" ht="18" customHeight="1">
      <c r="A187" s="86"/>
      <c r="B187" s="168"/>
      <c r="C187" s="169"/>
      <c r="D187" s="168"/>
      <c r="E187" s="171"/>
      <c r="F187" s="171" t="s">
        <v>107</v>
      </c>
      <c r="G187" s="14">
        <f>전시연출부!H32</f>
        <v>9000</v>
      </c>
      <c r="H187" s="14">
        <v>12600</v>
      </c>
      <c r="I187" s="116">
        <f>G187-H187</f>
        <v>-3600</v>
      </c>
    </row>
    <row r="188" spans="1:9" ht="18" customHeight="1">
      <c r="A188" s="164"/>
      <c r="B188" s="166"/>
      <c r="C188" s="165"/>
      <c r="D188" s="166"/>
      <c r="E188" s="179" t="s">
        <v>118</v>
      </c>
      <c r="F188" s="181"/>
      <c r="G188" s="15">
        <f>전시연출부!H35</f>
        <v>1500</v>
      </c>
      <c r="H188" s="15">
        <v>2000</v>
      </c>
      <c r="I188" s="114">
        <f t="shared" ref="I188:I196" si="45">G188-H188</f>
        <v>-500</v>
      </c>
    </row>
    <row r="189" spans="1:9" ht="18" customHeight="1">
      <c r="A189" s="86"/>
      <c r="B189" s="168"/>
      <c r="C189" s="169"/>
      <c r="D189" s="168"/>
      <c r="E189" s="170"/>
      <c r="F189" s="171" t="s">
        <v>119</v>
      </c>
      <c r="G189" s="14">
        <f>전시연출부!H36</f>
        <v>1500</v>
      </c>
      <c r="H189" s="14">
        <v>2000</v>
      </c>
      <c r="I189" s="116">
        <f t="shared" si="45"/>
        <v>-500</v>
      </c>
    </row>
    <row r="190" spans="1:9" ht="18" customHeight="1">
      <c r="A190" s="164"/>
      <c r="B190" s="166"/>
      <c r="C190" s="165"/>
      <c r="D190" s="166"/>
      <c r="E190" s="179" t="s">
        <v>418</v>
      </c>
      <c r="F190" s="181"/>
      <c r="G190" s="15">
        <f>전시연출부!H38</f>
        <v>2100</v>
      </c>
      <c r="H190" s="15">
        <v>2100</v>
      </c>
      <c r="I190" s="114">
        <f t="shared" si="45"/>
        <v>0</v>
      </c>
    </row>
    <row r="191" spans="1:9" ht="18" customHeight="1">
      <c r="A191" s="86"/>
      <c r="B191" s="168"/>
      <c r="C191" s="169"/>
      <c r="D191" s="168"/>
      <c r="E191" s="170"/>
      <c r="F191" s="171" t="s">
        <v>419</v>
      </c>
      <c r="G191" s="14">
        <f>전시연출부!H39</f>
        <v>2100</v>
      </c>
      <c r="H191" s="14">
        <v>2100</v>
      </c>
      <c r="I191" s="116">
        <f t="shared" si="45"/>
        <v>0</v>
      </c>
    </row>
    <row r="192" spans="1:9" ht="18" customHeight="1">
      <c r="A192" s="164"/>
      <c r="B192" s="176" t="s">
        <v>504</v>
      </c>
      <c r="C192" s="177"/>
      <c r="D192" s="177"/>
      <c r="E192" s="177"/>
      <c r="F192" s="178"/>
      <c r="G192" s="113">
        <f>종합상황실!H6</f>
        <v>16292</v>
      </c>
      <c r="H192" s="113"/>
      <c r="I192" s="115">
        <f t="shared" si="45"/>
        <v>16292</v>
      </c>
    </row>
    <row r="193" spans="1:9" ht="18" customHeight="1">
      <c r="A193" s="164"/>
      <c r="B193" s="165"/>
      <c r="C193" s="179" t="s">
        <v>505</v>
      </c>
      <c r="D193" s="180"/>
      <c r="E193" s="180"/>
      <c r="F193" s="181"/>
      <c r="G193" s="15">
        <f>종합상황실!H7</f>
        <v>16292</v>
      </c>
      <c r="H193" s="15"/>
      <c r="I193" s="114">
        <f t="shared" si="45"/>
        <v>16292</v>
      </c>
    </row>
    <row r="194" spans="1:9" ht="18" customHeight="1">
      <c r="A194" s="164"/>
      <c r="B194" s="166"/>
      <c r="C194" s="167"/>
      <c r="D194" s="179" t="s">
        <v>110</v>
      </c>
      <c r="E194" s="180"/>
      <c r="F194" s="181"/>
      <c r="G194" s="15">
        <f>종합상황실!H8</f>
        <v>16292</v>
      </c>
      <c r="H194" s="15"/>
      <c r="I194" s="114">
        <f t="shared" si="45"/>
        <v>16292</v>
      </c>
    </row>
    <row r="195" spans="1:9" ht="18" customHeight="1">
      <c r="A195" s="164"/>
      <c r="B195" s="166"/>
      <c r="C195" s="165"/>
      <c r="D195" s="167"/>
      <c r="E195" s="179" t="s">
        <v>105</v>
      </c>
      <c r="F195" s="181"/>
      <c r="G195" s="15">
        <f>종합상황실!H10</f>
        <v>4592</v>
      </c>
      <c r="H195" s="15"/>
      <c r="I195" s="114">
        <f t="shared" si="45"/>
        <v>4592</v>
      </c>
    </row>
    <row r="196" spans="1:9" ht="18" customHeight="1">
      <c r="A196" s="86"/>
      <c r="B196" s="168"/>
      <c r="C196" s="169"/>
      <c r="D196" s="168"/>
      <c r="E196" s="171"/>
      <c r="F196" s="171" t="s">
        <v>106</v>
      </c>
      <c r="G196" s="14">
        <f>종합상황실!H11</f>
        <v>2000</v>
      </c>
      <c r="H196" s="14"/>
      <c r="I196" s="116">
        <f t="shared" si="45"/>
        <v>2000</v>
      </c>
    </row>
    <row r="197" spans="1:9" ht="18" customHeight="1">
      <c r="A197" s="86"/>
      <c r="B197" s="168"/>
      <c r="C197" s="169"/>
      <c r="D197" s="168"/>
      <c r="E197" s="172"/>
      <c r="F197" s="171" t="s">
        <v>309</v>
      </c>
      <c r="G197" s="14">
        <f>종합상황실!H13</f>
        <v>2592</v>
      </c>
      <c r="H197" s="14"/>
      <c r="I197" s="116">
        <f>G197-H197</f>
        <v>2592</v>
      </c>
    </row>
    <row r="198" spans="1:9" ht="18" customHeight="1">
      <c r="A198" s="164"/>
      <c r="B198" s="166"/>
      <c r="C198" s="165"/>
      <c r="D198" s="166"/>
      <c r="E198" s="179" t="s">
        <v>116</v>
      </c>
      <c r="F198" s="181"/>
      <c r="G198" s="15">
        <f>종합상황실!H15</f>
        <v>9000</v>
      </c>
      <c r="H198" s="15"/>
      <c r="I198" s="114">
        <f t="shared" ref="I198" si="46">G198-H198</f>
        <v>9000</v>
      </c>
    </row>
    <row r="199" spans="1:9" ht="18" customHeight="1">
      <c r="A199" s="86"/>
      <c r="B199" s="168"/>
      <c r="C199" s="169"/>
      <c r="D199" s="168"/>
      <c r="E199" s="171"/>
      <c r="F199" s="171" t="s">
        <v>107</v>
      </c>
      <c r="G199" s="14">
        <f>종합상황실!H16</f>
        <v>9000</v>
      </c>
      <c r="H199" s="14"/>
      <c r="I199" s="116">
        <f>G199-H199</f>
        <v>9000</v>
      </c>
    </row>
    <row r="200" spans="1:9" ht="18" customHeight="1">
      <c r="A200" s="164"/>
      <c r="B200" s="166"/>
      <c r="C200" s="165"/>
      <c r="D200" s="166"/>
      <c r="E200" s="179" t="s">
        <v>511</v>
      </c>
      <c r="F200" s="181" t="s">
        <v>481</v>
      </c>
      <c r="G200" s="15">
        <f>종합상황실!H19</f>
        <v>1500</v>
      </c>
      <c r="H200" s="15"/>
      <c r="I200" s="114">
        <f t="shared" ref="I200:I203" si="47">G200-H200</f>
        <v>1500</v>
      </c>
    </row>
    <row r="201" spans="1:9" ht="18" customHeight="1">
      <c r="A201" s="86"/>
      <c r="B201" s="168"/>
      <c r="C201" s="169"/>
      <c r="D201" s="168"/>
      <c r="E201" s="170"/>
      <c r="F201" s="171" t="s">
        <v>119</v>
      </c>
      <c r="G201" s="14">
        <f>종합상황실!H20</f>
        <v>1500</v>
      </c>
      <c r="H201" s="14"/>
      <c r="I201" s="116">
        <f t="shared" si="47"/>
        <v>1500</v>
      </c>
    </row>
    <row r="202" spans="1:9" ht="18" customHeight="1">
      <c r="A202" s="164"/>
      <c r="B202" s="166"/>
      <c r="C202" s="165"/>
      <c r="D202" s="166"/>
      <c r="E202" s="179" t="s">
        <v>418</v>
      </c>
      <c r="F202" s="181"/>
      <c r="G202" s="15">
        <f>종합상황실!H22</f>
        <v>1200</v>
      </c>
      <c r="H202" s="15"/>
      <c r="I202" s="114">
        <f t="shared" si="47"/>
        <v>1200</v>
      </c>
    </row>
    <row r="203" spans="1:9" ht="18" customHeight="1">
      <c r="A203" s="86"/>
      <c r="B203" s="172"/>
      <c r="C203" s="244"/>
      <c r="D203" s="172"/>
      <c r="E203" s="170"/>
      <c r="F203" s="170" t="s">
        <v>419</v>
      </c>
      <c r="G203" s="378">
        <f>종합상황실!H23</f>
        <v>1200</v>
      </c>
      <c r="H203" s="378"/>
      <c r="I203" s="116">
        <f t="shared" si="47"/>
        <v>1200</v>
      </c>
    </row>
    <row r="204" spans="1:9" ht="18" customHeight="1">
      <c r="A204" s="164"/>
      <c r="B204" s="176" t="s">
        <v>3</v>
      </c>
      <c r="C204" s="177"/>
      <c r="D204" s="177"/>
      <c r="E204" s="177"/>
      <c r="F204" s="178"/>
      <c r="G204" s="113">
        <f>G205</f>
        <v>596200</v>
      </c>
      <c r="H204" s="113"/>
      <c r="I204" s="115">
        <f t="shared" ref="I204:I214" si="48">G204-H204</f>
        <v>596200</v>
      </c>
    </row>
    <row r="205" spans="1:9" ht="18" customHeight="1">
      <c r="A205" s="164"/>
      <c r="B205" s="165"/>
      <c r="C205" s="179" t="s">
        <v>127</v>
      </c>
      <c r="D205" s="180"/>
      <c r="E205" s="180"/>
      <c r="F205" s="181"/>
      <c r="G205" s="15">
        <f>예비비!H7</f>
        <v>596200</v>
      </c>
      <c r="H205" s="111"/>
      <c r="I205" s="114">
        <f t="shared" si="48"/>
        <v>596200</v>
      </c>
    </row>
    <row r="206" spans="1:9" ht="18" customHeight="1">
      <c r="A206" s="164"/>
      <c r="B206" s="166"/>
      <c r="C206" s="167"/>
      <c r="D206" s="179" t="s">
        <v>97</v>
      </c>
      <c r="E206" s="180"/>
      <c r="F206" s="181"/>
      <c r="G206" s="15">
        <f>예비비!H8</f>
        <v>596200</v>
      </c>
      <c r="H206" s="112"/>
      <c r="I206" s="114">
        <f t="shared" si="48"/>
        <v>596200</v>
      </c>
    </row>
    <row r="207" spans="1:9" ht="18" customHeight="1">
      <c r="A207" s="164"/>
      <c r="B207" s="166"/>
      <c r="C207" s="165"/>
      <c r="D207" s="167"/>
      <c r="E207" s="179" t="s">
        <v>3</v>
      </c>
      <c r="F207" s="181"/>
      <c r="G207" s="15">
        <f>예비비!H9</f>
        <v>596200</v>
      </c>
      <c r="H207" s="112"/>
      <c r="I207" s="114">
        <f t="shared" si="48"/>
        <v>596200</v>
      </c>
    </row>
    <row r="208" spans="1:9" ht="18" customHeight="1" thickBot="1">
      <c r="A208" s="239"/>
      <c r="B208" s="173"/>
      <c r="C208" s="240"/>
      <c r="D208" s="173"/>
      <c r="E208" s="174"/>
      <c r="F208" s="174" t="s">
        <v>128</v>
      </c>
      <c r="G208" s="242">
        <f>예비비!H11</f>
        <v>596200</v>
      </c>
      <c r="H208" s="87"/>
      <c r="I208" s="118">
        <f t="shared" si="48"/>
        <v>596200</v>
      </c>
    </row>
    <row r="209" spans="1:9" ht="18" customHeight="1">
      <c r="A209" s="163" t="s">
        <v>265</v>
      </c>
      <c r="B209" s="180"/>
      <c r="C209" s="180"/>
      <c r="D209" s="180"/>
      <c r="E209" s="180"/>
      <c r="F209" s="181"/>
      <c r="G209" s="110">
        <f>SUM(G210,G215,G220,G225)</f>
        <v>6233000</v>
      </c>
      <c r="H209" s="110">
        <v>0</v>
      </c>
      <c r="I209" s="114">
        <f t="shared" si="48"/>
        <v>6233000</v>
      </c>
    </row>
    <row r="210" spans="1:9" ht="18" customHeight="1">
      <c r="A210" s="251"/>
      <c r="B210" s="176" t="s">
        <v>482</v>
      </c>
      <c r="C210" s="177"/>
      <c r="D210" s="177"/>
      <c r="E210" s="177"/>
      <c r="F210" s="178"/>
      <c r="G210" s="113">
        <f>시설조성부!H32</f>
        <v>3233000</v>
      </c>
      <c r="H210" s="113">
        <v>0</v>
      </c>
      <c r="I210" s="115">
        <f t="shared" si="48"/>
        <v>3233000</v>
      </c>
    </row>
    <row r="211" spans="1:9" ht="18" customHeight="1">
      <c r="A211" s="251"/>
      <c r="B211" s="165"/>
      <c r="C211" s="179" t="s">
        <v>483</v>
      </c>
      <c r="D211" s="180"/>
      <c r="E211" s="180"/>
      <c r="F211" s="181"/>
      <c r="G211" s="15">
        <f>시설조성부!H33</f>
        <v>3233000</v>
      </c>
      <c r="H211" s="111">
        <v>0</v>
      </c>
      <c r="I211" s="114">
        <f t="shared" si="48"/>
        <v>3233000</v>
      </c>
    </row>
    <row r="212" spans="1:9">
      <c r="A212" s="251"/>
      <c r="B212" s="166"/>
      <c r="C212" s="167"/>
      <c r="D212" s="179" t="s">
        <v>484</v>
      </c>
      <c r="E212" s="180"/>
      <c r="F212" s="181"/>
      <c r="G212" s="15">
        <f>시설조성부!H34</f>
        <v>3233000</v>
      </c>
      <c r="H212" s="112">
        <v>0</v>
      </c>
      <c r="I212" s="114">
        <f t="shared" si="48"/>
        <v>3233000</v>
      </c>
    </row>
    <row r="213" spans="1:9">
      <c r="A213" s="251"/>
      <c r="B213" s="166"/>
      <c r="C213" s="165"/>
      <c r="D213" s="167"/>
      <c r="E213" s="179" t="s">
        <v>485</v>
      </c>
      <c r="F213" s="181"/>
      <c r="G213" s="15">
        <f>시설조성부!H36</f>
        <v>3233000</v>
      </c>
      <c r="H213" s="112">
        <v>0</v>
      </c>
      <c r="I213" s="114">
        <f t="shared" si="48"/>
        <v>3233000</v>
      </c>
    </row>
    <row r="214" spans="1:9">
      <c r="A214" s="326"/>
      <c r="B214" s="172"/>
      <c r="C214" s="244"/>
      <c r="D214" s="172"/>
      <c r="E214" s="170"/>
      <c r="F214" s="170" t="s">
        <v>486</v>
      </c>
      <c r="G214" s="378">
        <f>시설조성부!H37</f>
        <v>3233000</v>
      </c>
      <c r="H214" s="330">
        <v>0</v>
      </c>
      <c r="I214" s="116">
        <f t="shared" si="48"/>
        <v>3233000</v>
      </c>
    </row>
    <row r="215" spans="1:9" ht="18" customHeight="1">
      <c r="A215" s="251"/>
      <c r="B215" s="176" t="s">
        <v>628</v>
      </c>
      <c r="C215" s="177"/>
      <c r="D215" s="177"/>
      <c r="E215" s="177"/>
      <c r="F215" s="178"/>
      <c r="G215" s="113">
        <f>시설조성부!H39</f>
        <v>1000000</v>
      </c>
      <c r="H215" s="113">
        <v>0</v>
      </c>
      <c r="I215" s="115">
        <f t="shared" ref="I215:I219" si="49">G215-H215</f>
        <v>1000000</v>
      </c>
    </row>
    <row r="216" spans="1:9" ht="18" customHeight="1">
      <c r="A216" s="251"/>
      <c r="B216" s="165"/>
      <c r="C216" s="179" t="s">
        <v>629</v>
      </c>
      <c r="D216" s="180"/>
      <c r="E216" s="180"/>
      <c r="F216" s="181"/>
      <c r="G216" s="15">
        <f>시설조성부!H40</f>
        <v>1000000</v>
      </c>
      <c r="H216" s="111">
        <v>0</v>
      </c>
      <c r="I216" s="114">
        <f t="shared" si="49"/>
        <v>1000000</v>
      </c>
    </row>
    <row r="217" spans="1:9">
      <c r="A217" s="251"/>
      <c r="B217" s="166"/>
      <c r="C217" s="167"/>
      <c r="D217" s="179" t="s">
        <v>629</v>
      </c>
      <c r="E217" s="180"/>
      <c r="F217" s="181"/>
      <c r="G217" s="15">
        <f>시설조성부!H41</f>
        <v>1000000</v>
      </c>
      <c r="H217" s="112">
        <v>0</v>
      </c>
      <c r="I217" s="114">
        <f t="shared" si="49"/>
        <v>1000000</v>
      </c>
    </row>
    <row r="218" spans="1:9">
      <c r="A218" s="251"/>
      <c r="B218" s="166"/>
      <c r="C218" s="165"/>
      <c r="D218" s="167"/>
      <c r="E218" s="179" t="s">
        <v>485</v>
      </c>
      <c r="F218" s="181"/>
      <c r="G218" s="15">
        <f>시설조성부!H43</f>
        <v>1000000</v>
      </c>
      <c r="H218" s="112">
        <v>0</v>
      </c>
      <c r="I218" s="114">
        <f t="shared" si="49"/>
        <v>1000000</v>
      </c>
    </row>
    <row r="219" spans="1:9">
      <c r="A219" s="326"/>
      <c r="B219" s="172"/>
      <c r="C219" s="244"/>
      <c r="D219" s="172"/>
      <c r="E219" s="170"/>
      <c r="F219" s="170" t="s">
        <v>486</v>
      </c>
      <c r="G219" s="378">
        <f>시설조성부!H44</f>
        <v>1000000</v>
      </c>
      <c r="H219" s="330">
        <v>0</v>
      </c>
      <c r="I219" s="116">
        <f t="shared" si="49"/>
        <v>1000000</v>
      </c>
    </row>
    <row r="220" spans="1:9" ht="18" customHeight="1">
      <c r="A220" s="251"/>
      <c r="B220" s="176" t="s">
        <v>631</v>
      </c>
      <c r="C220" s="177"/>
      <c r="D220" s="177"/>
      <c r="E220" s="177"/>
      <c r="F220" s="178"/>
      <c r="G220" s="113">
        <f>시설조성부!H46</f>
        <v>2000000</v>
      </c>
      <c r="H220" s="113">
        <v>0</v>
      </c>
      <c r="I220" s="115">
        <f t="shared" ref="I220:I224" si="50">G220-H220</f>
        <v>2000000</v>
      </c>
    </row>
    <row r="221" spans="1:9" ht="18" customHeight="1">
      <c r="A221" s="251"/>
      <c r="B221" s="165"/>
      <c r="C221" s="179" t="s">
        <v>632</v>
      </c>
      <c r="D221" s="180"/>
      <c r="E221" s="180"/>
      <c r="F221" s="181"/>
      <c r="G221" s="15">
        <f>시설조성부!H47</f>
        <v>2000000</v>
      </c>
      <c r="H221" s="111">
        <v>0</v>
      </c>
      <c r="I221" s="114">
        <f t="shared" si="50"/>
        <v>2000000</v>
      </c>
    </row>
    <row r="222" spans="1:9">
      <c r="A222" s="251"/>
      <c r="B222" s="166"/>
      <c r="C222" s="167"/>
      <c r="D222" s="179" t="s">
        <v>632</v>
      </c>
      <c r="E222" s="180"/>
      <c r="F222" s="181"/>
      <c r="G222" s="15">
        <f>시설조성부!H48</f>
        <v>2000000</v>
      </c>
      <c r="H222" s="112">
        <v>0</v>
      </c>
      <c r="I222" s="114">
        <f t="shared" si="50"/>
        <v>2000000</v>
      </c>
    </row>
    <row r="223" spans="1:9">
      <c r="A223" s="251"/>
      <c r="B223" s="166"/>
      <c r="C223" s="165"/>
      <c r="D223" s="167"/>
      <c r="E223" s="179" t="s">
        <v>485</v>
      </c>
      <c r="F223" s="181"/>
      <c r="G223" s="15">
        <f>시설조성부!H50</f>
        <v>2000000</v>
      </c>
      <c r="H223" s="112">
        <v>0</v>
      </c>
      <c r="I223" s="114">
        <f t="shared" si="50"/>
        <v>2000000</v>
      </c>
    </row>
    <row r="224" spans="1:9">
      <c r="A224" s="326"/>
      <c r="B224" s="172"/>
      <c r="C224" s="244"/>
      <c r="D224" s="172"/>
      <c r="E224" s="170"/>
      <c r="F224" s="170" t="s">
        <v>486</v>
      </c>
      <c r="G224" s="378">
        <f>시설조성부!H51</f>
        <v>2000000</v>
      </c>
      <c r="H224" s="330">
        <v>0</v>
      </c>
      <c r="I224" s="116">
        <f t="shared" si="50"/>
        <v>2000000</v>
      </c>
    </row>
    <row r="225" spans="1:9" ht="18" customHeight="1">
      <c r="A225" s="251"/>
      <c r="B225" s="327" t="s">
        <v>304</v>
      </c>
      <c r="C225" s="259"/>
      <c r="D225" s="259"/>
      <c r="E225" s="259"/>
      <c r="F225" s="328"/>
      <c r="G225" s="249">
        <f>G226</f>
        <v>0</v>
      </c>
      <c r="H225" s="249"/>
      <c r="I225" s="329">
        <f t="shared" ref="I225:I229" si="51">G225-H225</f>
        <v>0</v>
      </c>
    </row>
    <row r="226" spans="1:9" ht="18" customHeight="1">
      <c r="A226" s="251"/>
      <c r="B226" s="165"/>
      <c r="C226" s="179" t="s">
        <v>127</v>
      </c>
      <c r="D226" s="180"/>
      <c r="E226" s="180"/>
      <c r="F226" s="181"/>
      <c r="G226" s="15">
        <f>예비비!H15</f>
        <v>0</v>
      </c>
      <c r="H226" s="111"/>
      <c r="I226" s="114">
        <f t="shared" si="51"/>
        <v>0</v>
      </c>
    </row>
    <row r="227" spans="1:9">
      <c r="A227" s="164"/>
      <c r="B227" s="166"/>
      <c r="C227" s="167"/>
      <c r="D227" s="179" t="s">
        <v>97</v>
      </c>
      <c r="E227" s="180"/>
      <c r="F227" s="181"/>
      <c r="G227" s="15">
        <f>예비비!H16</f>
        <v>0</v>
      </c>
      <c r="H227" s="112"/>
      <c r="I227" s="114">
        <f t="shared" si="51"/>
        <v>0</v>
      </c>
    </row>
    <row r="228" spans="1:9">
      <c r="A228" s="164"/>
      <c r="B228" s="166"/>
      <c r="C228" s="165"/>
      <c r="D228" s="167"/>
      <c r="E228" s="179" t="s">
        <v>3</v>
      </c>
      <c r="F228" s="181"/>
      <c r="G228" s="15">
        <f>예비비!H17</f>
        <v>0</v>
      </c>
      <c r="H228" s="112"/>
      <c r="I228" s="114">
        <f t="shared" si="51"/>
        <v>0</v>
      </c>
    </row>
    <row r="229" spans="1:9" ht="17.25" thickBot="1">
      <c r="A229" s="239"/>
      <c r="B229" s="173"/>
      <c r="C229" s="240"/>
      <c r="D229" s="173"/>
      <c r="E229" s="174"/>
      <c r="F229" s="174" t="s">
        <v>305</v>
      </c>
      <c r="G229" s="242">
        <f>예비비!H19</f>
        <v>0</v>
      </c>
      <c r="H229" s="87"/>
      <c r="I229" s="118">
        <f t="shared" si="51"/>
        <v>0</v>
      </c>
    </row>
  </sheetData>
  <autoFilter ref="A4:I229"/>
  <mergeCells count="5">
    <mergeCell ref="G3:G4"/>
    <mergeCell ref="H3:H4"/>
    <mergeCell ref="I3:I4"/>
    <mergeCell ref="A3:F3"/>
    <mergeCell ref="A5:F5"/>
  </mergeCells>
  <phoneticPr fontId="12" type="noConversion"/>
  <pageMargins left="0.23622047244094491" right="0.23622047244094491" top="0.74803149606299213" bottom="0.74803149606299213" header="0.31496062992125984" footer="0.31496062992125984"/>
  <pageSetup paperSize="9" scale="95" fitToHeight="0" orientation="portrait" useFirstPageNumber="1" r:id="rId1"/>
  <headerFooter alignWithMargins="0">
    <oddHeader xml:space="preserve">&amp;L&amp;"돋움,굵게"
</oddHeader>
  </headerFooter>
  <rowBreaks count="6" manualBreakCount="6">
    <brk id="38" max="8" man="1"/>
    <brk id="74" max="8" man="1"/>
    <brk id="103" max="8" man="1"/>
    <brk id="138" max="8" man="1"/>
    <brk id="169" max="8" man="1"/>
    <brk id="203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O138"/>
  <sheetViews>
    <sheetView topLeftCell="A88" zoomScale="85" zoomScaleNormal="85" workbookViewId="0">
      <selection activeCell="K26" sqref="K26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25" customWidth="1"/>
    <col min="10" max="10" width="14.625" customWidth="1"/>
    <col min="11" max="11" width="63.125" customWidth="1"/>
    <col min="12" max="12" width="3.875" customWidth="1"/>
    <col min="13" max="13" width="11.625" style="238" customWidth="1"/>
    <col min="14" max="14" width="9.875" style="595" bestFit="1" customWidth="1"/>
    <col min="15" max="15" width="12" bestFit="1" customWidth="1"/>
  </cols>
  <sheetData>
    <row r="1" spans="1:13" ht="17.25" thickBot="1">
      <c r="A1" s="88" t="s">
        <v>172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3">
      <c r="A2" s="643" t="s">
        <v>21</v>
      </c>
      <c r="B2" s="645" t="s">
        <v>22</v>
      </c>
      <c r="C2" s="646"/>
      <c r="D2" s="647"/>
      <c r="E2" s="645" t="s">
        <v>23</v>
      </c>
      <c r="F2" s="646"/>
      <c r="G2" s="647"/>
      <c r="H2" s="623" t="s">
        <v>542</v>
      </c>
      <c r="I2" s="623" t="s">
        <v>543</v>
      </c>
      <c r="J2" s="648" t="s">
        <v>468</v>
      </c>
      <c r="K2" s="634" t="s">
        <v>1</v>
      </c>
      <c r="L2" s="635"/>
      <c r="M2" s="636"/>
    </row>
    <row r="3" spans="1:13" ht="17.25" thickBot="1">
      <c r="A3" s="644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24"/>
      <c r="I3" s="624"/>
      <c r="J3" s="649"/>
      <c r="K3" s="637"/>
      <c r="L3" s="638"/>
      <c r="M3" s="639"/>
    </row>
    <row r="4" spans="1:13" ht="17.25" thickBot="1">
      <c r="A4" s="640" t="s">
        <v>30</v>
      </c>
      <c r="B4" s="641"/>
      <c r="C4" s="641"/>
      <c r="D4" s="641"/>
      <c r="E4" s="641"/>
      <c r="F4" s="641"/>
      <c r="G4" s="642"/>
      <c r="H4" s="185">
        <f>H5</f>
        <v>974983</v>
      </c>
      <c r="I4" s="185">
        <v>927348</v>
      </c>
      <c r="J4" s="120">
        <f>H4-I4</f>
        <v>47635</v>
      </c>
      <c r="K4" s="89"/>
      <c r="L4" s="90"/>
      <c r="M4" s="235"/>
    </row>
    <row r="5" spans="1:13">
      <c r="A5" s="457" t="s">
        <v>2</v>
      </c>
      <c r="B5" s="458"/>
      <c r="C5" s="459"/>
      <c r="D5" s="459"/>
      <c r="E5" s="459"/>
      <c r="F5" s="459"/>
      <c r="G5" s="460"/>
      <c r="H5" s="95">
        <f>H6</f>
        <v>974983</v>
      </c>
      <c r="I5" s="95">
        <v>927348</v>
      </c>
      <c r="J5" s="95">
        <f>H5-I5</f>
        <v>47635</v>
      </c>
      <c r="K5" s="409"/>
      <c r="L5" s="410"/>
      <c r="M5" s="428"/>
    </row>
    <row r="6" spans="1:13">
      <c r="A6" s="461"/>
      <c r="B6" s="354" t="s">
        <v>263</v>
      </c>
      <c r="C6" s="354"/>
      <c r="D6" s="462"/>
      <c r="E6" s="462"/>
      <c r="F6" s="462"/>
      <c r="G6" s="463"/>
      <c r="H6" s="95">
        <f>SUM(H7,H21)</f>
        <v>974983</v>
      </c>
      <c r="I6" s="95">
        <v>927348</v>
      </c>
      <c r="J6" s="95">
        <f>H6-I6</f>
        <v>47635</v>
      </c>
      <c r="K6" s="409"/>
      <c r="L6" s="410"/>
      <c r="M6" s="428"/>
    </row>
    <row r="7" spans="1:13">
      <c r="A7" s="461"/>
      <c r="B7" s="464"/>
      <c r="C7" s="354" t="s">
        <v>333</v>
      </c>
      <c r="D7" s="462"/>
      <c r="E7" s="462"/>
      <c r="F7" s="462"/>
      <c r="G7" s="463"/>
      <c r="H7" s="95">
        <f>H8</f>
        <v>26100</v>
      </c>
      <c r="I7" s="95">
        <v>80420</v>
      </c>
      <c r="J7" s="95">
        <f t="shared" ref="J7" si="0">H7-I7</f>
        <v>-54320</v>
      </c>
      <c r="K7" s="409"/>
      <c r="L7" s="410"/>
      <c r="M7" s="428"/>
    </row>
    <row r="8" spans="1:13">
      <c r="A8" s="461"/>
      <c r="B8" s="464"/>
      <c r="C8" s="464"/>
      <c r="D8" s="354" t="s">
        <v>334</v>
      </c>
      <c r="E8" s="462"/>
      <c r="F8" s="462"/>
      <c r="G8" s="463"/>
      <c r="H8" s="465">
        <f>H9</f>
        <v>26100</v>
      </c>
      <c r="I8" s="465">
        <v>47460</v>
      </c>
      <c r="J8" s="92">
        <f>H8-I8</f>
        <v>-21360</v>
      </c>
      <c r="K8" s="355"/>
      <c r="L8" s="412"/>
      <c r="M8" s="428"/>
    </row>
    <row r="9" spans="1:13">
      <c r="A9" s="461"/>
      <c r="B9" s="464"/>
      <c r="C9" s="466"/>
      <c r="D9" s="467"/>
      <c r="E9" s="354" t="s">
        <v>31</v>
      </c>
      <c r="F9" s="462"/>
      <c r="G9" s="463"/>
      <c r="H9" s="92">
        <f>H10</f>
        <v>26100</v>
      </c>
      <c r="I9" s="92">
        <v>47460</v>
      </c>
      <c r="J9" s="92">
        <f>H9-I9</f>
        <v>-21360</v>
      </c>
      <c r="K9" s="356"/>
      <c r="L9" s="398"/>
      <c r="M9" s="468"/>
    </row>
    <row r="10" spans="1:13">
      <c r="A10" s="363"/>
      <c r="B10" s="364"/>
      <c r="C10" s="364"/>
      <c r="D10" s="364"/>
      <c r="E10" s="364"/>
      <c r="F10" s="472" t="s">
        <v>61</v>
      </c>
      <c r="G10" s="475"/>
      <c r="H10" s="98">
        <f>SUM(H11,H19)</f>
        <v>26100</v>
      </c>
      <c r="I10" s="98">
        <v>47460</v>
      </c>
      <c r="J10" s="98">
        <f>H10-I10</f>
        <v>-21360</v>
      </c>
      <c r="K10" s="390"/>
      <c r="L10" s="391"/>
      <c r="M10" s="392"/>
    </row>
    <row r="11" spans="1:13">
      <c r="A11" s="363"/>
      <c r="B11" s="364"/>
      <c r="C11" s="364"/>
      <c r="D11" s="364"/>
      <c r="E11" s="364"/>
      <c r="F11" s="476"/>
      <c r="G11" s="364" t="s">
        <v>36</v>
      </c>
      <c r="H11" s="477">
        <f>SUM(M11,M13,M17)</f>
        <v>24900</v>
      </c>
      <c r="I11" s="477">
        <v>45060</v>
      </c>
      <c r="J11" s="50">
        <f>H11-I11</f>
        <v>-20160</v>
      </c>
      <c r="K11" s="393" t="s">
        <v>47</v>
      </c>
      <c r="L11" s="419"/>
      <c r="M11" s="395">
        <f>SUM(M12:M12)</f>
        <v>800</v>
      </c>
    </row>
    <row r="12" spans="1:13">
      <c r="A12" s="363"/>
      <c r="B12" s="364"/>
      <c r="C12" s="364"/>
      <c r="D12" s="364"/>
      <c r="E12" s="364"/>
      <c r="F12" s="476"/>
      <c r="G12" s="364"/>
      <c r="H12" s="477"/>
      <c r="I12" s="477"/>
      <c r="J12" s="50"/>
      <c r="K12" s="389" t="s">
        <v>512</v>
      </c>
      <c r="L12" s="385" t="s">
        <v>0</v>
      </c>
      <c r="M12" s="381">
        <v>800</v>
      </c>
    </row>
    <row r="13" spans="1:13">
      <c r="A13" s="363"/>
      <c r="B13" s="364"/>
      <c r="C13" s="364"/>
      <c r="D13" s="364"/>
      <c r="E13" s="364"/>
      <c r="F13" s="476"/>
      <c r="G13" s="364"/>
      <c r="H13" s="477"/>
      <c r="I13" s="477"/>
      <c r="J13" s="50"/>
      <c r="K13" s="362" t="s">
        <v>62</v>
      </c>
      <c r="L13" s="385"/>
      <c r="M13" s="386">
        <f>SUM(M14:M16)</f>
        <v>21300</v>
      </c>
    </row>
    <row r="14" spans="1:13">
      <c r="A14" s="363"/>
      <c r="B14" s="364"/>
      <c r="C14" s="364"/>
      <c r="D14" s="364"/>
      <c r="E14" s="364"/>
      <c r="F14" s="476"/>
      <c r="G14" s="364"/>
      <c r="H14" s="477"/>
      <c r="I14" s="477"/>
      <c r="J14" s="50"/>
      <c r="K14" s="389" t="s">
        <v>513</v>
      </c>
      <c r="L14" s="385" t="s">
        <v>0</v>
      </c>
      <c r="M14" s="381">
        <v>12600</v>
      </c>
    </row>
    <row r="15" spans="1:13">
      <c r="A15" s="363"/>
      <c r="B15" s="364"/>
      <c r="C15" s="364"/>
      <c r="D15" s="364"/>
      <c r="E15" s="364"/>
      <c r="F15" s="476"/>
      <c r="G15" s="364"/>
      <c r="H15" s="477"/>
      <c r="I15" s="477"/>
      <c r="J15" s="50"/>
      <c r="K15" s="389" t="s">
        <v>514</v>
      </c>
      <c r="L15" s="385" t="s">
        <v>0</v>
      </c>
      <c r="M15" s="381">
        <v>8400</v>
      </c>
    </row>
    <row r="16" spans="1:13">
      <c r="A16" s="363"/>
      <c r="B16" s="364"/>
      <c r="C16" s="364"/>
      <c r="D16" s="364"/>
      <c r="E16" s="364"/>
      <c r="F16" s="476"/>
      <c r="G16" s="364"/>
      <c r="H16" s="477"/>
      <c r="I16" s="477"/>
      <c r="J16" s="50"/>
      <c r="K16" s="389" t="s">
        <v>748</v>
      </c>
      <c r="L16" s="385" t="s">
        <v>0</v>
      </c>
      <c r="M16" s="381">
        <v>300</v>
      </c>
    </row>
    <row r="17" spans="1:15">
      <c r="A17" s="363"/>
      <c r="B17" s="364"/>
      <c r="C17" s="364"/>
      <c r="D17" s="364"/>
      <c r="E17" s="364"/>
      <c r="F17" s="476"/>
      <c r="G17" s="364"/>
      <c r="H17" s="50"/>
      <c r="I17" s="50"/>
      <c r="J17" s="50"/>
      <c r="K17" s="362" t="s">
        <v>437</v>
      </c>
      <c r="L17" s="385"/>
      <c r="M17" s="386">
        <f>M18</f>
        <v>2800</v>
      </c>
    </row>
    <row r="18" spans="1:15">
      <c r="A18" s="363"/>
      <c r="B18" s="364"/>
      <c r="C18" s="364"/>
      <c r="D18" s="364"/>
      <c r="E18" s="364"/>
      <c r="F18" s="476"/>
      <c r="G18" s="478"/>
      <c r="H18" s="479"/>
      <c r="I18" s="479"/>
      <c r="J18" s="146"/>
      <c r="K18" s="387" t="s">
        <v>743</v>
      </c>
      <c r="L18" s="380" t="s">
        <v>0</v>
      </c>
      <c r="M18" s="381">
        <v>2800</v>
      </c>
    </row>
    <row r="19" spans="1:15">
      <c r="A19" s="363"/>
      <c r="B19" s="364"/>
      <c r="C19" s="364"/>
      <c r="D19" s="364"/>
      <c r="E19" s="364"/>
      <c r="F19" s="476"/>
      <c r="G19" s="364" t="s">
        <v>65</v>
      </c>
      <c r="H19" s="477">
        <f>M19</f>
        <v>1200</v>
      </c>
      <c r="I19" s="477">
        <v>2400</v>
      </c>
      <c r="J19" s="50">
        <f>H19-I19</f>
        <v>-1200</v>
      </c>
      <c r="K19" s="393" t="s">
        <v>64</v>
      </c>
      <c r="L19" s="418"/>
      <c r="M19" s="395">
        <f>M20</f>
        <v>1200</v>
      </c>
    </row>
    <row r="20" spans="1:15">
      <c r="A20" s="363"/>
      <c r="B20" s="364"/>
      <c r="C20" s="364"/>
      <c r="D20" s="364"/>
      <c r="E20" s="364"/>
      <c r="F20" s="476"/>
      <c r="G20" s="478"/>
      <c r="H20" s="479"/>
      <c r="I20" s="479"/>
      <c r="J20" s="146"/>
      <c r="K20" s="387" t="s">
        <v>515</v>
      </c>
      <c r="L20" s="380" t="s">
        <v>0</v>
      </c>
      <c r="M20" s="381">
        <v>1200</v>
      </c>
    </row>
    <row r="21" spans="1:15">
      <c r="A21" s="461"/>
      <c r="B21" s="464"/>
      <c r="C21" s="179" t="s">
        <v>66</v>
      </c>
      <c r="D21" s="462"/>
      <c r="E21" s="462"/>
      <c r="F21" s="462"/>
      <c r="G21" s="463"/>
      <c r="H21" s="92">
        <f>H22</f>
        <v>948883</v>
      </c>
      <c r="I21" s="92">
        <v>846928</v>
      </c>
      <c r="J21" s="92">
        <f>H21-I21</f>
        <v>101955</v>
      </c>
      <c r="K21" s="403"/>
      <c r="L21" s="397"/>
      <c r="M21" s="404"/>
    </row>
    <row r="22" spans="1:15">
      <c r="A22" s="461"/>
      <c r="B22" s="464"/>
      <c r="C22" s="482"/>
      <c r="D22" s="354" t="s">
        <v>34</v>
      </c>
      <c r="E22" s="462"/>
      <c r="F22" s="462"/>
      <c r="G22" s="463"/>
      <c r="H22" s="465">
        <f>SUM(H23,H45,H101)</f>
        <v>948883</v>
      </c>
      <c r="I22" s="465">
        <v>846928</v>
      </c>
      <c r="J22" s="92">
        <f>H22-I22</f>
        <v>101955</v>
      </c>
      <c r="K22" s="396"/>
      <c r="L22" s="397"/>
      <c r="M22" s="404"/>
    </row>
    <row r="23" spans="1:15">
      <c r="A23" s="461"/>
      <c r="B23" s="464"/>
      <c r="C23" s="466"/>
      <c r="D23" s="467"/>
      <c r="E23" s="354" t="s">
        <v>67</v>
      </c>
      <c r="F23" s="462"/>
      <c r="G23" s="463"/>
      <c r="H23" s="92">
        <f>SUM(H24,H40)</f>
        <v>703910</v>
      </c>
      <c r="I23" s="92">
        <v>619831</v>
      </c>
      <c r="J23" s="92">
        <f>H23-I23</f>
        <v>84079</v>
      </c>
      <c r="K23" s="356"/>
      <c r="L23" s="398"/>
      <c r="M23" s="468"/>
    </row>
    <row r="24" spans="1:15">
      <c r="A24" s="363"/>
      <c r="B24" s="364"/>
      <c r="C24" s="364"/>
      <c r="D24" s="364"/>
      <c r="E24" s="364"/>
      <c r="F24" s="472" t="s">
        <v>68</v>
      </c>
      <c r="G24" s="475"/>
      <c r="H24" s="98">
        <f>SUM(H25,H30,H36)</f>
        <v>651710</v>
      </c>
      <c r="I24" s="98">
        <v>609331</v>
      </c>
      <c r="J24" s="98">
        <f>H24-I24</f>
        <v>42379</v>
      </c>
      <c r="K24" s="390"/>
      <c r="L24" s="391"/>
      <c r="M24" s="392"/>
    </row>
    <row r="25" spans="1:15">
      <c r="A25" s="483"/>
      <c r="B25" s="484"/>
      <c r="C25" s="364"/>
      <c r="D25" s="364"/>
      <c r="E25" s="364"/>
      <c r="F25" s="485"/>
      <c r="G25" s="486" t="s">
        <v>69</v>
      </c>
      <c r="H25" s="487">
        <f>SUM(M25,M28)</f>
        <v>402600</v>
      </c>
      <c r="I25" s="487">
        <v>392400</v>
      </c>
      <c r="J25" s="41">
        <f>H25-I25</f>
        <v>10200</v>
      </c>
      <c r="K25" s="393" t="s">
        <v>70</v>
      </c>
      <c r="L25" s="420"/>
      <c r="M25" s="395">
        <f>SUM(M26:M27)</f>
        <v>303600</v>
      </c>
    </row>
    <row r="26" spans="1:15">
      <c r="A26" s="483"/>
      <c r="B26" s="484"/>
      <c r="C26" s="364"/>
      <c r="D26" s="364"/>
      <c r="E26" s="364"/>
      <c r="F26" s="488"/>
      <c r="G26" s="489"/>
      <c r="H26" s="490"/>
      <c r="I26" s="490"/>
      <c r="J26" s="50"/>
      <c r="K26" s="389" t="s">
        <v>703</v>
      </c>
      <c r="L26" s="385" t="s">
        <v>0</v>
      </c>
      <c r="M26" s="381">
        <v>13200</v>
      </c>
      <c r="O26" s="594"/>
    </row>
    <row r="27" spans="1:15">
      <c r="A27" s="483"/>
      <c r="B27" s="484"/>
      <c r="C27" s="364"/>
      <c r="D27" s="364"/>
      <c r="E27" s="364"/>
      <c r="F27" s="488"/>
      <c r="G27" s="489"/>
      <c r="H27" s="490"/>
      <c r="I27" s="490"/>
      <c r="J27" s="50"/>
      <c r="K27" s="389" t="s">
        <v>704</v>
      </c>
      <c r="L27" s="385" t="s">
        <v>0</v>
      </c>
      <c r="M27" s="381">
        <v>290400</v>
      </c>
      <c r="O27" s="594"/>
    </row>
    <row r="28" spans="1:15">
      <c r="A28" s="483"/>
      <c r="B28" s="484"/>
      <c r="C28" s="364"/>
      <c r="D28" s="364"/>
      <c r="E28" s="364"/>
      <c r="F28" s="488"/>
      <c r="G28" s="489"/>
      <c r="H28" s="490"/>
      <c r="I28" s="490"/>
      <c r="J28" s="50"/>
      <c r="K28" s="362" t="s">
        <v>71</v>
      </c>
      <c r="L28" s="385"/>
      <c r="M28" s="386">
        <f>M29</f>
        <v>99000</v>
      </c>
    </row>
    <row r="29" spans="1:15">
      <c r="A29" s="483"/>
      <c r="B29" s="484"/>
      <c r="C29" s="364"/>
      <c r="D29" s="364"/>
      <c r="E29" s="364"/>
      <c r="F29" s="488"/>
      <c r="G29" s="489"/>
      <c r="H29" s="490"/>
      <c r="I29" s="490"/>
      <c r="J29" s="50"/>
      <c r="K29" s="389" t="s">
        <v>705</v>
      </c>
      <c r="L29" s="385" t="s">
        <v>0</v>
      </c>
      <c r="M29" s="381">
        <v>99000</v>
      </c>
      <c r="O29" s="594"/>
    </row>
    <row r="30" spans="1:15">
      <c r="A30" s="483"/>
      <c r="B30" s="484"/>
      <c r="C30" s="364"/>
      <c r="D30" s="364"/>
      <c r="E30" s="364"/>
      <c r="F30" s="488"/>
      <c r="G30" s="486" t="s">
        <v>314</v>
      </c>
      <c r="H30" s="487">
        <f>SUM(M30,M33)</f>
        <v>219281</v>
      </c>
      <c r="I30" s="487">
        <v>186102</v>
      </c>
      <c r="J30" s="41">
        <f>H30-I30</f>
        <v>33179</v>
      </c>
      <c r="K30" s="393" t="s">
        <v>457</v>
      </c>
      <c r="L30" s="420"/>
      <c r="M30" s="395">
        <f>SUM(M31:M32)</f>
        <v>97281</v>
      </c>
    </row>
    <row r="31" spans="1:15">
      <c r="A31" s="483"/>
      <c r="B31" s="484"/>
      <c r="C31" s="364"/>
      <c r="D31" s="364"/>
      <c r="E31" s="364"/>
      <c r="F31" s="488"/>
      <c r="G31" s="489"/>
      <c r="H31" s="490"/>
      <c r="I31" s="490"/>
      <c r="J31" s="50"/>
      <c r="K31" s="389" t="s">
        <v>516</v>
      </c>
      <c r="L31" s="385" t="s">
        <v>0</v>
      </c>
      <c r="M31" s="381">
        <v>93154</v>
      </c>
      <c r="O31" s="324"/>
    </row>
    <row r="32" spans="1:15">
      <c r="A32" s="483"/>
      <c r="B32" s="484"/>
      <c r="C32" s="364"/>
      <c r="D32" s="364"/>
      <c r="E32" s="364"/>
      <c r="F32" s="488"/>
      <c r="G32" s="489"/>
      <c r="H32" s="490"/>
      <c r="I32" s="490"/>
      <c r="J32" s="50"/>
      <c r="K32" s="389" t="s">
        <v>517</v>
      </c>
      <c r="L32" s="385" t="s">
        <v>456</v>
      </c>
      <c r="M32" s="381">
        <v>4127</v>
      </c>
      <c r="O32" s="324"/>
    </row>
    <row r="33" spans="1:14">
      <c r="A33" s="483"/>
      <c r="B33" s="484"/>
      <c r="C33" s="364"/>
      <c r="D33" s="364"/>
      <c r="E33" s="364"/>
      <c r="F33" s="488"/>
      <c r="G33" s="489"/>
      <c r="H33" s="490"/>
      <c r="I33" s="490"/>
      <c r="J33" s="50"/>
      <c r="K33" s="362" t="s">
        <v>315</v>
      </c>
      <c r="L33" s="385"/>
      <c r="M33" s="386">
        <f>SUM(M34:M35)</f>
        <v>122000</v>
      </c>
    </row>
    <row r="34" spans="1:14">
      <c r="A34" s="483"/>
      <c r="B34" s="484"/>
      <c r="C34" s="364"/>
      <c r="D34" s="364"/>
      <c r="E34" s="364"/>
      <c r="F34" s="488"/>
      <c r="G34" s="489"/>
      <c r="H34" s="490"/>
      <c r="I34" s="490"/>
      <c r="J34" s="50"/>
      <c r="K34" s="389" t="s">
        <v>692</v>
      </c>
      <c r="L34" s="385" t="s">
        <v>39</v>
      </c>
      <c r="M34" s="381">
        <v>14000</v>
      </c>
      <c r="N34" s="602"/>
    </row>
    <row r="35" spans="1:14">
      <c r="A35" s="483"/>
      <c r="B35" s="484"/>
      <c r="C35" s="364"/>
      <c r="D35" s="364"/>
      <c r="E35" s="364"/>
      <c r="F35" s="488"/>
      <c r="G35" s="489"/>
      <c r="H35" s="490"/>
      <c r="I35" s="490"/>
      <c r="J35" s="50"/>
      <c r="K35" s="389" t="s">
        <v>693</v>
      </c>
      <c r="L35" s="385" t="s">
        <v>0</v>
      </c>
      <c r="M35" s="381">
        <v>108000</v>
      </c>
    </row>
    <row r="36" spans="1:14">
      <c r="A36" s="483"/>
      <c r="B36" s="484"/>
      <c r="C36" s="364"/>
      <c r="D36" s="364"/>
      <c r="E36" s="364"/>
      <c r="F36" s="488"/>
      <c r="G36" s="486" t="s">
        <v>316</v>
      </c>
      <c r="H36" s="487">
        <f>M36</f>
        <v>29829</v>
      </c>
      <c r="I36" s="487">
        <v>30829</v>
      </c>
      <c r="J36" s="41">
        <f>H36-I36</f>
        <v>-1000</v>
      </c>
      <c r="K36" s="393" t="s">
        <v>317</v>
      </c>
      <c r="L36" s="420"/>
      <c r="M36" s="395">
        <f>SUM(M37:M39)</f>
        <v>29829</v>
      </c>
    </row>
    <row r="37" spans="1:14">
      <c r="A37" s="483"/>
      <c r="B37" s="484"/>
      <c r="C37" s="364"/>
      <c r="D37" s="364"/>
      <c r="E37" s="364"/>
      <c r="F37" s="488"/>
      <c r="G37" s="489"/>
      <c r="H37" s="490"/>
      <c r="I37" s="490"/>
      <c r="J37" s="50"/>
      <c r="K37" s="389" t="s">
        <v>518</v>
      </c>
      <c r="L37" s="426" t="s">
        <v>318</v>
      </c>
      <c r="M37" s="381">
        <v>23823</v>
      </c>
    </row>
    <row r="38" spans="1:14">
      <c r="A38" s="483"/>
      <c r="B38" s="484"/>
      <c r="C38" s="364"/>
      <c r="D38" s="364"/>
      <c r="E38" s="364"/>
      <c r="F38" s="488"/>
      <c r="G38" s="489"/>
      <c r="H38" s="490"/>
      <c r="I38" s="490"/>
      <c r="J38" s="50"/>
      <c r="K38" s="389" t="s">
        <v>519</v>
      </c>
      <c r="L38" s="385" t="s">
        <v>0</v>
      </c>
      <c r="M38" s="381">
        <v>4332</v>
      </c>
    </row>
    <row r="39" spans="1:14">
      <c r="A39" s="483"/>
      <c r="B39" s="484"/>
      <c r="C39" s="364"/>
      <c r="D39" s="364"/>
      <c r="E39" s="364"/>
      <c r="F39" s="488"/>
      <c r="G39" s="489"/>
      <c r="H39" s="490"/>
      <c r="I39" s="490"/>
      <c r="J39" s="50"/>
      <c r="K39" s="389" t="s">
        <v>520</v>
      </c>
      <c r="L39" s="385" t="s">
        <v>0</v>
      </c>
      <c r="M39" s="381">
        <v>1674</v>
      </c>
    </row>
    <row r="40" spans="1:14">
      <c r="A40" s="363"/>
      <c r="B40" s="364"/>
      <c r="C40" s="364"/>
      <c r="D40" s="364"/>
      <c r="E40" s="364"/>
      <c r="F40" s="472" t="s">
        <v>319</v>
      </c>
      <c r="G40" s="475"/>
      <c r="H40" s="98">
        <f>SUM(H41,H48)</f>
        <v>52200</v>
      </c>
      <c r="I40" s="98">
        <v>10500</v>
      </c>
      <c r="J40" s="98">
        <f>H40-I40</f>
        <v>41700</v>
      </c>
      <c r="K40" s="390"/>
      <c r="L40" s="391"/>
      <c r="M40" s="392"/>
    </row>
    <row r="41" spans="1:14">
      <c r="A41" s="483"/>
      <c r="B41" s="484"/>
      <c r="C41" s="364"/>
      <c r="D41" s="364"/>
      <c r="E41" s="364"/>
      <c r="F41" s="485"/>
      <c r="G41" s="486" t="s">
        <v>320</v>
      </c>
      <c r="H41" s="487">
        <f>M41</f>
        <v>52200</v>
      </c>
      <c r="I41" s="487">
        <v>10500</v>
      </c>
      <c r="J41" s="41">
        <f>H41-I41</f>
        <v>41700</v>
      </c>
      <c r="K41" s="393" t="s">
        <v>321</v>
      </c>
      <c r="L41" s="420"/>
      <c r="M41" s="395">
        <f>SUM(M42:M44)</f>
        <v>52200</v>
      </c>
    </row>
    <row r="42" spans="1:14">
      <c r="A42" s="483"/>
      <c r="B42" s="484"/>
      <c r="C42" s="364"/>
      <c r="D42" s="364"/>
      <c r="E42" s="364"/>
      <c r="F42" s="488"/>
      <c r="G42" s="489"/>
      <c r="H42" s="490"/>
      <c r="I42" s="490"/>
      <c r="J42" s="50"/>
      <c r="K42" s="389" t="s">
        <v>521</v>
      </c>
      <c r="L42" s="426" t="s">
        <v>522</v>
      </c>
      <c r="M42" s="381">
        <v>17000</v>
      </c>
    </row>
    <row r="43" spans="1:14">
      <c r="A43" s="483"/>
      <c r="B43" s="484"/>
      <c r="C43" s="364"/>
      <c r="D43" s="364"/>
      <c r="E43" s="364"/>
      <c r="F43" s="488"/>
      <c r="G43" s="489"/>
      <c r="H43" s="490"/>
      <c r="I43" s="490"/>
      <c r="J43" s="50"/>
      <c r="K43" s="389" t="s">
        <v>525</v>
      </c>
      <c r="L43" s="426" t="s">
        <v>523</v>
      </c>
      <c r="M43" s="381">
        <v>30000</v>
      </c>
    </row>
    <row r="44" spans="1:14">
      <c r="A44" s="483"/>
      <c r="B44" s="484"/>
      <c r="C44" s="364"/>
      <c r="D44" s="364"/>
      <c r="E44" s="364"/>
      <c r="F44" s="488"/>
      <c r="G44" s="489"/>
      <c r="H44" s="490"/>
      <c r="I44" s="490"/>
      <c r="J44" s="50"/>
      <c r="K44" s="389" t="s">
        <v>524</v>
      </c>
      <c r="L44" s="385" t="s">
        <v>0</v>
      </c>
      <c r="M44" s="381">
        <v>5200</v>
      </c>
    </row>
    <row r="45" spans="1:14">
      <c r="A45" s="461"/>
      <c r="B45" s="464"/>
      <c r="C45" s="466"/>
      <c r="D45" s="491"/>
      <c r="E45" s="354" t="s">
        <v>72</v>
      </c>
      <c r="F45" s="462"/>
      <c r="G45" s="463"/>
      <c r="H45" s="92">
        <f>SUM(H46,H75,H79,H87,H93,H96)</f>
        <v>226610</v>
      </c>
      <c r="I45" s="92">
        <v>207500</v>
      </c>
      <c r="J45" s="92">
        <f>H45-I45</f>
        <v>19110</v>
      </c>
      <c r="K45" s="356"/>
      <c r="L45" s="398"/>
      <c r="M45" s="468"/>
    </row>
    <row r="46" spans="1:14">
      <c r="A46" s="363"/>
      <c r="B46" s="364"/>
      <c r="C46" s="364"/>
      <c r="D46" s="364"/>
      <c r="E46" s="364"/>
      <c r="F46" s="472" t="s">
        <v>61</v>
      </c>
      <c r="G46" s="475"/>
      <c r="H46" s="98">
        <f>SUM(H47,H62,H69)</f>
        <v>137760</v>
      </c>
      <c r="I46" s="98">
        <v>115440</v>
      </c>
      <c r="J46" s="98">
        <f>H46-I46</f>
        <v>22320</v>
      </c>
      <c r="K46" s="390"/>
      <c r="L46" s="391"/>
      <c r="M46" s="392"/>
    </row>
    <row r="47" spans="1:14">
      <c r="A47" s="363"/>
      <c r="B47" s="364"/>
      <c r="C47" s="364"/>
      <c r="D47" s="364"/>
      <c r="E47" s="364"/>
      <c r="F47" s="476"/>
      <c r="G47" s="364" t="s">
        <v>36</v>
      </c>
      <c r="H47" s="477">
        <f>SUM(M47,M60)</f>
        <v>82220</v>
      </c>
      <c r="I47" s="477">
        <v>72560</v>
      </c>
      <c r="J47" s="50">
        <f>H47-I47</f>
        <v>9660</v>
      </c>
      <c r="K47" s="393" t="s">
        <v>73</v>
      </c>
      <c r="L47" s="419"/>
      <c r="M47" s="395">
        <f>SUM(M48:M59)</f>
        <v>59420</v>
      </c>
    </row>
    <row r="48" spans="1:14">
      <c r="A48" s="483"/>
      <c r="B48" s="484"/>
      <c r="C48" s="364"/>
      <c r="D48" s="364"/>
      <c r="E48" s="364"/>
      <c r="F48" s="488"/>
      <c r="G48" s="489"/>
      <c r="H48" s="490"/>
      <c r="I48" s="490"/>
      <c r="J48" s="50"/>
      <c r="K48" s="389" t="s">
        <v>744</v>
      </c>
      <c r="L48" s="385" t="s">
        <v>0</v>
      </c>
      <c r="M48" s="381">
        <v>560</v>
      </c>
    </row>
    <row r="49" spans="1:15">
      <c r="A49" s="483"/>
      <c r="B49" s="484"/>
      <c r="C49" s="364"/>
      <c r="D49" s="364"/>
      <c r="E49" s="364"/>
      <c r="F49" s="488"/>
      <c r="G49" s="489"/>
      <c r="H49" s="490"/>
      <c r="I49" s="490"/>
      <c r="J49" s="50"/>
      <c r="K49" s="389" t="s">
        <v>694</v>
      </c>
      <c r="L49" s="385" t="s">
        <v>0</v>
      </c>
      <c r="M49" s="381">
        <v>6000</v>
      </c>
      <c r="O49" s="594"/>
    </row>
    <row r="50" spans="1:15">
      <c r="A50" s="483"/>
      <c r="B50" s="484"/>
      <c r="C50" s="364"/>
      <c r="D50" s="364"/>
      <c r="E50" s="364"/>
      <c r="F50" s="488"/>
      <c r="G50" s="489"/>
      <c r="H50" s="490"/>
      <c r="I50" s="490"/>
      <c r="J50" s="50"/>
      <c r="K50" s="389" t="s">
        <v>695</v>
      </c>
      <c r="L50" s="385" t="s">
        <v>0</v>
      </c>
      <c r="M50" s="381">
        <v>7000</v>
      </c>
    </row>
    <row r="51" spans="1:15">
      <c r="A51" s="483"/>
      <c r="B51" s="484"/>
      <c r="C51" s="364"/>
      <c r="D51" s="364"/>
      <c r="E51" s="364"/>
      <c r="F51" s="488"/>
      <c r="G51" s="489"/>
      <c r="H51" s="490"/>
      <c r="I51" s="490"/>
      <c r="J51" s="50"/>
      <c r="K51" s="389" t="s">
        <v>696</v>
      </c>
      <c r="L51" s="385" t="s">
        <v>0</v>
      </c>
      <c r="M51" s="381">
        <v>5000</v>
      </c>
      <c r="O51" s="594"/>
    </row>
    <row r="52" spans="1:15">
      <c r="A52" s="483"/>
      <c r="B52" s="484"/>
      <c r="C52" s="364"/>
      <c r="D52" s="364"/>
      <c r="E52" s="364"/>
      <c r="F52" s="488"/>
      <c r="G52" s="489"/>
      <c r="H52" s="490"/>
      <c r="I52" s="490"/>
      <c r="J52" s="50"/>
      <c r="K52" s="389" t="s">
        <v>697</v>
      </c>
      <c r="L52" s="385" t="s">
        <v>0</v>
      </c>
      <c r="M52" s="381">
        <v>1000</v>
      </c>
    </row>
    <row r="53" spans="1:15">
      <c r="A53" s="483"/>
      <c r="B53" s="484"/>
      <c r="C53" s="364"/>
      <c r="D53" s="364"/>
      <c r="E53" s="364"/>
      <c r="F53" s="488"/>
      <c r="G53" s="489"/>
      <c r="H53" s="490"/>
      <c r="I53" s="490"/>
      <c r="J53" s="50"/>
      <c r="K53" s="389" t="s">
        <v>698</v>
      </c>
      <c r="L53" s="385" t="s">
        <v>0</v>
      </c>
      <c r="M53" s="381">
        <v>2100</v>
      </c>
    </row>
    <row r="54" spans="1:15">
      <c r="A54" s="483"/>
      <c r="B54" s="484"/>
      <c r="C54" s="364"/>
      <c r="D54" s="364"/>
      <c r="E54" s="364"/>
      <c r="F54" s="488"/>
      <c r="G54" s="489"/>
      <c r="H54" s="490"/>
      <c r="I54" s="490"/>
      <c r="J54" s="50"/>
      <c r="K54" s="389" t="s">
        <v>699</v>
      </c>
      <c r="L54" s="385" t="s">
        <v>0</v>
      </c>
      <c r="M54" s="381">
        <v>4100</v>
      </c>
    </row>
    <row r="55" spans="1:15">
      <c r="A55" s="483"/>
      <c r="B55" s="484"/>
      <c r="C55" s="364"/>
      <c r="D55" s="364"/>
      <c r="E55" s="364"/>
      <c r="F55" s="488"/>
      <c r="G55" s="489"/>
      <c r="H55" s="490"/>
      <c r="I55" s="490"/>
      <c r="J55" s="50"/>
      <c r="K55" s="389" t="s">
        <v>700</v>
      </c>
      <c r="L55" s="385" t="s">
        <v>0</v>
      </c>
      <c r="M55" s="381">
        <v>3960</v>
      </c>
    </row>
    <row r="56" spans="1:15">
      <c r="A56" s="483"/>
      <c r="B56" s="484"/>
      <c r="C56" s="364"/>
      <c r="D56" s="364"/>
      <c r="E56" s="364"/>
      <c r="F56" s="488"/>
      <c r="G56" s="489"/>
      <c r="H56" s="490"/>
      <c r="I56" s="490"/>
      <c r="J56" s="50"/>
      <c r="K56" s="389" t="s">
        <v>701</v>
      </c>
      <c r="L56" s="385" t="s">
        <v>0</v>
      </c>
      <c r="M56" s="381">
        <v>1200</v>
      </c>
    </row>
    <row r="57" spans="1:15">
      <c r="A57" s="483"/>
      <c r="B57" s="484"/>
      <c r="C57" s="364"/>
      <c r="D57" s="364"/>
      <c r="E57" s="364"/>
      <c r="F57" s="488"/>
      <c r="G57" s="489"/>
      <c r="H57" s="490"/>
      <c r="I57" s="490"/>
      <c r="J57" s="50"/>
      <c r="K57" s="389" t="s">
        <v>741</v>
      </c>
      <c r="L57" s="385" t="s">
        <v>0</v>
      </c>
      <c r="M57" s="381">
        <v>18000</v>
      </c>
    </row>
    <row r="58" spans="1:15">
      <c r="A58" s="483"/>
      <c r="B58" s="484"/>
      <c r="C58" s="364"/>
      <c r="D58" s="364"/>
      <c r="E58" s="364"/>
      <c r="F58" s="488"/>
      <c r="G58" s="489"/>
      <c r="H58" s="490"/>
      <c r="I58" s="490"/>
      <c r="J58" s="50"/>
      <c r="K58" s="389" t="s">
        <v>702</v>
      </c>
      <c r="L58" s="385" t="s">
        <v>0</v>
      </c>
      <c r="M58" s="381">
        <v>500</v>
      </c>
    </row>
    <row r="59" spans="1:15">
      <c r="A59" s="483"/>
      <c r="B59" s="484"/>
      <c r="C59" s="364"/>
      <c r="D59" s="364"/>
      <c r="E59" s="364"/>
      <c r="F59" s="488"/>
      <c r="G59" s="489"/>
      <c r="H59" s="490"/>
      <c r="I59" s="490"/>
      <c r="J59" s="50"/>
      <c r="K59" s="389" t="s">
        <v>739</v>
      </c>
      <c r="L59" s="385" t="s">
        <v>0</v>
      </c>
      <c r="M59" s="381">
        <v>10000</v>
      </c>
    </row>
    <row r="60" spans="1:15">
      <c r="A60" s="483"/>
      <c r="B60" s="484"/>
      <c r="C60" s="364"/>
      <c r="D60" s="364"/>
      <c r="E60" s="364"/>
      <c r="F60" s="488"/>
      <c r="G60" s="489"/>
      <c r="H60" s="490"/>
      <c r="I60" s="490"/>
      <c r="J60" s="50"/>
      <c r="K60" s="421" t="s">
        <v>74</v>
      </c>
      <c r="L60" s="426"/>
      <c r="M60" s="386">
        <f>SUM(M61)</f>
        <v>22800</v>
      </c>
    </row>
    <row r="61" spans="1:15">
      <c r="A61" s="483"/>
      <c r="B61" s="484"/>
      <c r="C61" s="364"/>
      <c r="D61" s="364"/>
      <c r="E61" s="364"/>
      <c r="F61" s="488"/>
      <c r="G61" s="489"/>
      <c r="H61" s="490"/>
      <c r="I61" s="490"/>
      <c r="J61" s="50"/>
      <c r="K61" s="492" t="s">
        <v>526</v>
      </c>
      <c r="L61" s="385" t="s">
        <v>37</v>
      </c>
      <c r="M61" s="381">
        <v>22800</v>
      </c>
    </row>
    <row r="62" spans="1:15">
      <c r="A62" s="363"/>
      <c r="B62" s="364"/>
      <c r="C62" s="364"/>
      <c r="D62" s="364"/>
      <c r="E62" s="364"/>
      <c r="F62" s="495"/>
      <c r="G62" s="480" t="s">
        <v>75</v>
      </c>
      <c r="H62" s="496">
        <f>SUM(M62,M66)</f>
        <v>35460</v>
      </c>
      <c r="I62" s="41">
        <v>21760</v>
      </c>
      <c r="J62" s="497">
        <f>H62-I62</f>
        <v>13700</v>
      </c>
      <c r="K62" s="393" t="s">
        <v>76</v>
      </c>
      <c r="L62" s="425"/>
      <c r="M62" s="395">
        <f>SUM(M63:M65)</f>
        <v>29460</v>
      </c>
    </row>
    <row r="63" spans="1:15">
      <c r="A63" s="363"/>
      <c r="B63" s="364"/>
      <c r="C63" s="364"/>
      <c r="D63" s="364"/>
      <c r="E63" s="364"/>
      <c r="F63" s="495"/>
      <c r="G63" s="481"/>
      <c r="H63" s="498"/>
      <c r="I63" s="499"/>
      <c r="J63" s="500"/>
      <c r="K63" s="389" t="s">
        <v>464</v>
      </c>
      <c r="L63" s="385" t="s">
        <v>0</v>
      </c>
      <c r="M63" s="381">
        <v>3960</v>
      </c>
    </row>
    <row r="64" spans="1:15">
      <c r="A64" s="363"/>
      <c r="B64" s="364"/>
      <c r="C64" s="364"/>
      <c r="D64" s="364"/>
      <c r="E64" s="364"/>
      <c r="F64" s="495"/>
      <c r="G64" s="481"/>
      <c r="H64" s="498"/>
      <c r="I64" s="499"/>
      <c r="J64" s="500"/>
      <c r="K64" s="389" t="s">
        <v>527</v>
      </c>
      <c r="L64" s="385" t="s">
        <v>0</v>
      </c>
      <c r="M64" s="381">
        <v>24000</v>
      </c>
    </row>
    <row r="65" spans="1:15">
      <c r="A65" s="483"/>
      <c r="B65" s="484"/>
      <c r="C65" s="364"/>
      <c r="D65" s="364"/>
      <c r="E65" s="364"/>
      <c r="F65" s="488"/>
      <c r="G65" s="489"/>
      <c r="H65" s="490"/>
      <c r="I65" s="490"/>
      <c r="J65" s="50"/>
      <c r="K65" s="389" t="s">
        <v>528</v>
      </c>
      <c r="L65" s="385" t="s">
        <v>0</v>
      </c>
      <c r="M65" s="381">
        <v>1500</v>
      </c>
    </row>
    <row r="66" spans="1:15">
      <c r="A66" s="363"/>
      <c r="B66" s="364"/>
      <c r="C66" s="364"/>
      <c r="D66" s="364"/>
      <c r="E66" s="364"/>
      <c r="F66" s="495"/>
      <c r="G66" s="481"/>
      <c r="H66" s="498"/>
      <c r="I66" s="499"/>
      <c r="J66" s="500"/>
      <c r="K66" s="362" t="s">
        <v>45</v>
      </c>
      <c r="L66" s="501"/>
      <c r="M66" s="386">
        <f>SUM(M67:M68)</f>
        <v>6000</v>
      </c>
    </row>
    <row r="67" spans="1:15">
      <c r="A67" s="363"/>
      <c r="B67" s="364"/>
      <c r="C67" s="364"/>
      <c r="D67" s="364"/>
      <c r="E67" s="364"/>
      <c r="F67" s="495"/>
      <c r="G67" s="481"/>
      <c r="H67" s="498"/>
      <c r="I67" s="499"/>
      <c r="J67" s="500"/>
      <c r="K67" s="389" t="s">
        <v>529</v>
      </c>
      <c r="L67" s="385" t="s">
        <v>0</v>
      </c>
      <c r="M67" s="381">
        <v>4800</v>
      </c>
    </row>
    <row r="68" spans="1:15">
      <c r="A68" s="363"/>
      <c r="B68" s="364"/>
      <c r="C68" s="364"/>
      <c r="D68" s="364"/>
      <c r="E68" s="364"/>
      <c r="F68" s="495"/>
      <c r="G68" s="502"/>
      <c r="H68" s="503"/>
      <c r="I68" s="504"/>
      <c r="J68" s="505"/>
      <c r="K68" s="387" t="s">
        <v>530</v>
      </c>
      <c r="L68" s="380" t="s">
        <v>0</v>
      </c>
      <c r="M68" s="388">
        <v>1200</v>
      </c>
    </row>
    <row r="69" spans="1:15">
      <c r="A69" s="363"/>
      <c r="B69" s="364"/>
      <c r="C69" s="364"/>
      <c r="D69" s="364"/>
      <c r="E69" s="364"/>
      <c r="F69" s="495"/>
      <c r="G69" s="481" t="s">
        <v>8</v>
      </c>
      <c r="H69" s="498">
        <f>M69+M73</f>
        <v>20080</v>
      </c>
      <c r="I69" s="477">
        <v>21120</v>
      </c>
      <c r="J69" s="500">
        <f>H69-I69</f>
        <v>-1040</v>
      </c>
      <c r="K69" s="421" t="s">
        <v>458</v>
      </c>
      <c r="L69" s="385"/>
      <c r="M69" s="386">
        <f>SUM(M70:M72)</f>
        <v>11440</v>
      </c>
    </row>
    <row r="70" spans="1:15">
      <c r="A70" s="363"/>
      <c r="B70" s="364"/>
      <c r="C70" s="364"/>
      <c r="D70" s="364"/>
      <c r="E70" s="364"/>
      <c r="F70" s="495"/>
      <c r="G70" s="506"/>
      <c r="H70" s="498"/>
      <c r="I70" s="499"/>
      <c r="J70" s="500"/>
      <c r="K70" s="389" t="s">
        <v>706</v>
      </c>
      <c r="L70" s="385" t="s">
        <v>0</v>
      </c>
      <c r="M70" s="381">
        <v>1540</v>
      </c>
      <c r="O70" s="594"/>
    </row>
    <row r="71" spans="1:15">
      <c r="A71" s="363"/>
      <c r="B71" s="364"/>
      <c r="C71" s="364"/>
      <c r="D71" s="364"/>
      <c r="E71" s="364"/>
      <c r="F71" s="495"/>
      <c r="G71" s="506"/>
      <c r="H71" s="498"/>
      <c r="I71" s="499"/>
      <c r="J71" s="500"/>
      <c r="K71" s="389" t="s">
        <v>707</v>
      </c>
      <c r="L71" s="385" t="s">
        <v>456</v>
      </c>
      <c r="M71" s="381">
        <v>3300</v>
      </c>
      <c r="O71" s="594"/>
    </row>
    <row r="72" spans="1:15">
      <c r="A72" s="363"/>
      <c r="B72" s="364"/>
      <c r="C72" s="364"/>
      <c r="D72" s="364"/>
      <c r="E72" s="364"/>
      <c r="F72" s="495"/>
      <c r="G72" s="506"/>
      <c r="H72" s="498"/>
      <c r="I72" s="499"/>
      <c r="J72" s="500"/>
      <c r="K72" s="389" t="s">
        <v>708</v>
      </c>
      <c r="L72" s="385" t="s">
        <v>455</v>
      </c>
      <c r="M72" s="381">
        <v>6600</v>
      </c>
      <c r="O72" s="594"/>
    </row>
    <row r="73" spans="1:15">
      <c r="A73" s="363"/>
      <c r="B73" s="364"/>
      <c r="C73" s="364"/>
      <c r="D73" s="364"/>
      <c r="E73" s="364"/>
      <c r="F73" s="495"/>
      <c r="G73" s="506"/>
      <c r="H73" s="498"/>
      <c r="I73" s="499"/>
      <c r="J73" s="500"/>
      <c r="K73" s="421" t="s">
        <v>137</v>
      </c>
      <c r="L73" s="385"/>
      <c r="M73" s="386">
        <f>SUM(M74)</f>
        <v>8640</v>
      </c>
    </row>
    <row r="74" spans="1:15">
      <c r="A74" s="363"/>
      <c r="B74" s="364"/>
      <c r="C74" s="364"/>
      <c r="D74" s="364"/>
      <c r="E74" s="364"/>
      <c r="F74" s="507"/>
      <c r="G74" s="506"/>
      <c r="H74" s="498"/>
      <c r="I74" s="499"/>
      <c r="J74" s="500"/>
      <c r="K74" s="389" t="s">
        <v>651</v>
      </c>
      <c r="L74" s="385" t="s">
        <v>37</v>
      </c>
      <c r="M74" s="381">
        <v>8640</v>
      </c>
    </row>
    <row r="75" spans="1:15">
      <c r="A75" s="363"/>
      <c r="B75" s="364"/>
      <c r="C75" s="364"/>
      <c r="D75" s="364"/>
      <c r="E75" s="364"/>
      <c r="F75" s="472" t="s">
        <v>53</v>
      </c>
      <c r="G75" s="475"/>
      <c r="H75" s="98">
        <f>SUM(H76)</f>
        <v>11990</v>
      </c>
      <c r="I75" s="98">
        <v>18000</v>
      </c>
      <c r="J75" s="98">
        <f>H75-I75</f>
        <v>-6010</v>
      </c>
      <c r="K75" s="390"/>
      <c r="L75" s="391"/>
      <c r="M75" s="392"/>
    </row>
    <row r="76" spans="1:15">
      <c r="A76" s="363"/>
      <c r="B76" s="364"/>
      <c r="C76" s="364"/>
      <c r="D76" s="364"/>
      <c r="E76" s="364"/>
      <c r="F76" s="476"/>
      <c r="G76" s="480" t="s">
        <v>420</v>
      </c>
      <c r="H76" s="477">
        <f>M76</f>
        <v>11990</v>
      </c>
      <c r="I76" s="477">
        <v>18000</v>
      </c>
      <c r="J76" s="50">
        <f>H76-I76</f>
        <v>-6010</v>
      </c>
      <c r="K76" s="393" t="s">
        <v>77</v>
      </c>
      <c r="L76" s="419"/>
      <c r="M76" s="386">
        <f>SUM(M77:M78)</f>
        <v>11990</v>
      </c>
    </row>
    <row r="77" spans="1:15">
      <c r="A77" s="363"/>
      <c r="B77" s="364"/>
      <c r="C77" s="364"/>
      <c r="D77" s="364"/>
      <c r="E77" s="364"/>
      <c r="F77" s="476"/>
      <c r="G77" s="364"/>
      <c r="H77" s="477"/>
      <c r="I77" s="477"/>
      <c r="J77" s="50"/>
      <c r="K77" s="389" t="s">
        <v>531</v>
      </c>
      <c r="L77" s="418" t="s">
        <v>323</v>
      </c>
      <c r="M77" s="381">
        <v>3520</v>
      </c>
      <c r="O77" s="594"/>
    </row>
    <row r="78" spans="1:15">
      <c r="A78" s="363"/>
      <c r="B78" s="364"/>
      <c r="C78" s="364"/>
      <c r="D78" s="364"/>
      <c r="E78" s="364"/>
      <c r="F78" s="476"/>
      <c r="G78" s="364"/>
      <c r="H78" s="477"/>
      <c r="I78" s="477"/>
      <c r="J78" s="50"/>
      <c r="K78" s="387" t="s">
        <v>532</v>
      </c>
      <c r="L78" s="418" t="s">
        <v>324</v>
      </c>
      <c r="M78" s="381">
        <v>8470</v>
      </c>
      <c r="O78" s="594"/>
    </row>
    <row r="79" spans="1:15">
      <c r="A79" s="363"/>
      <c r="B79" s="364"/>
      <c r="C79" s="364"/>
      <c r="D79" s="364"/>
      <c r="E79" s="364"/>
      <c r="F79" s="472" t="s">
        <v>80</v>
      </c>
      <c r="G79" s="475"/>
      <c r="H79" s="98">
        <f>H80</f>
        <v>36600</v>
      </c>
      <c r="I79" s="98">
        <v>38400</v>
      </c>
      <c r="J79" s="98">
        <f>H79-I79</f>
        <v>-1800</v>
      </c>
      <c r="K79" s="390"/>
      <c r="L79" s="391"/>
      <c r="M79" s="392"/>
    </row>
    <row r="80" spans="1:15">
      <c r="A80" s="363"/>
      <c r="B80" s="364"/>
      <c r="C80" s="364"/>
      <c r="D80" s="364"/>
      <c r="E80" s="364"/>
      <c r="F80" s="476"/>
      <c r="G80" s="364" t="s">
        <v>81</v>
      </c>
      <c r="H80" s="477">
        <f>SUM(M80,M83)</f>
        <v>36600</v>
      </c>
      <c r="I80" s="477">
        <v>38400</v>
      </c>
      <c r="J80" s="50">
        <f>H80-I80</f>
        <v>-1800</v>
      </c>
      <c r="K80" s="393" t="s">
        <v>82</v>
      </c>
      <c r="L80" s="419"/>
      <c r="M80" s="395">
        <f>SUM(M81:M82)</f>
        <v>16600</v>
      </c>
    </row>
    <row r="81" spans="1:15">
      <c r="A81" s="363"/>
      <c r="B81" s="364"/>
      <c r="C81" s="364"/>
      <c r="D81" s="364"/>
      <c r="E81" s="364"/>
      <c r="F81" s="495"/>
      <c r="G81" s="506"/>
      <c r="H81" s="498"/>
      <c r="I81" s="499"/>
      <c r="J81" s="500"/>
      <c r="K81" s="389" t="s">
        <v>459</v>
      </c>
      <c r="L81" s="385" t="s">
        <v>0</v>
      </c>
      <c r="M81" s="381">
        <v>10000</v>
      </c>
    </row>
    <row r="82" spans="1:15">
      <c r="A82" s="363"/>
      <c r="B82" s="364"/>
      <c r="C82" s="364"/>
      <c r="D82" s="364"/>
      <c r="E82" s="364"/>
      <c r="F82" s="495"/>
      <c r="G82" s="506"/>
      <c r="H82" s="498"/>
      <c r="I82" s="499"/>
      <c r="J82" s="500"/>
      <c r="K82" s="389" t="s">
        <v>322</v>
      </c>
      <c r="L82" s="385" t="s">
        <v>0</v>
      </c>
      <c r="M82" s="381">
        <v>6600</v>
      </c>
    </row>
    <row r="83" spans="1:15">
      <c r="A83" s="363"/>
      <c r="B83" s="364"/>
      <c r="C83" s="364"/>
      <c r="D83" s="364"/>
      <c r="E83" s="364"/>
      <c r="F83" s="495"/>
      <c r="G83" s="506"/>
      <c r="H83" s="498"/>
      <c r="I83" s="499"/>
      <c r="J83" s="500"/>
      <c r="K83" s="362" t="s">
        <v>83</v>
      </c>
      <c r="L83" s="408"/>
      <c r="M83" s="386">
        <f>SUM(M84:M86)</f>
        <v>20000</v>
      </c>
    </row>
    <row r="84" spans="1:15">
      <c r="A84" s="363"/>
      <c r="B84" s="364"/>
      <c r="C84" s="364"/>
      <c r="D84" s="364"/>
      <c r="E84" s="364"/>
      <c r="F84" s="495"/>
      <c r="G84" s="506"/>
      <c r="H84" s="498"/>
      <c r="I84" s="499"/>
      <c r="J84" s="500"/>
      <c r="K84" s="389" t="s">
        <v>713</v>
      </c>
      <c r="L84" s="385" t="s">
        <v>0</v>
      </c>
      <c r="M84" s="381">
        <v>14500</v>
      </c>
      <c r="O84" s="594"/>
    </row>
    <row r="85" spans="1:15">
      <c r="A85" s="363"/>
      <c r="B85" s="364"/>
      <c r="C85" s="364"/>
      <c r="D85" s="364"/>
      <c r="E85" s="364"/>
      <c r="F85" s="495"/>
      <c r="G85" s="506"/>
      <c r="H85" s="498"/>
      <c r="I85" s="499"/>
      <c r="J85" s="500"/>
      <c r="K85" s="389" t="s">
        <v>714</v>
      </c>
      <c r="L85" s="385" t="s">
        <v>0</v>
      </c>
      <c r="M85" s="381">
        <v>4000</v>
      </c>
      <c r="O85" s="594"/>
    </row>
    <row r="86" spans="1:15">
      <c r="A86" s="363"/>
      <c r="B86" s="364"/>
      <c r="C86" s="469"/>
      <c r="D86" s="470"/>
      <c r="E86" s="508"/>
      <c r="F86" s="509"/>
      <c r="G86" s="510"/>
      <c r="H86" s="50"/>
      <c r="I86" s="50"/>
      <c r="J86" s="50"/>
      <c r="K86" s="389" t="s">
        <v>715</v>
      </c>
      <c r="L86" s="382" t="s">
        <v>0</v>
      </c>
      <c r="M86" s="381">
        <v>1500</v>
      </c>
      <c r="O86" s="594"/>
    </row>
    <row r="87" spans="1:15">
      <c r="A87" s="363"/>
      <c r="B87" s="364"/>
      <c r="C87" s="364"/>
      <c r="D87" s="364"/>
      <c r="E87" s="364"/>
      <c r="F87" s="472" t="s">
        <v>84</v>
      </c>
      <c r="G87" s="475"/>
      <c r="H87" s="98">
        <f>SUM(H88,H91)</f>
        <v>27120</v>
      </c>
      <c r="I87" s="98">
        <v>25920</v>
      </c>
      <c r="J87" s="98">
        <f>H87-I87</f>
        <v>1200</v>
      </c>
      <c r="K87" s="390"/>
      <c r="L87" s="391"/>
      <c r="M87" s="392"/>
    </row>
    <row r="88" spans="1:15">
      <c r="A88" s="363"/>
      <c r="B88" s="364"/>
      <c r="C88" s="364"/>
      <c r="D88" s="364"/>
      <c r="E88" s="364"/>
      <c r="F88" s="476"/>
      <c r="G88" s="364" t="s">
        <v>85</v>
      </c>
      <c r="H88" s="477">
        <f>M88</f>
        <v>20400</v>
      </c>
      <c r="I88" s="477">
        <v>19200</v>
      </c>
      <c r="J88" s="50">
        <f>H88-I88</f>
        <v>1200</v>
      </c>
      <c r="K88" s="393" t="s">
        <v>86</v>
      </c>
      <c r="L88" s="419"/>
      <c r="M88" s="395">
        <f>SUM(M89:M90)</f>
        <v>20400</v>
      </c>
    </row>
    <row r="89" spans="1:15">
      <c r="A89" s="363"/>
      <c r="B89" s="364"/>
      <c r="C89" s="364"/>
      <c r="D89" s="364"/>
      <c r="E89" s="364"/>
      <c r="F89" s="495"/>
      <c r="G89" s="506"/>
      <c r="H89" s="498"/>
      <c r="I89" s="499"/>
      <c r="J89" s="500"/>
      <c r="K89" s="389" t="s">
        <v>325</v>
      </c>
      <c r="L89" s="385" t="s">
        <v>0</v>
      </c>
      <c r="M89" s="381">
        <v>8400</v>
      </c>
    </row>
    <row r="90" spans="1:15">
      <c r="A90" s="363"/>
      <c r="B90" s="364"/>
      <c r="C90" s="364"/>
      <c r="D90" s="364"/>
      <c r="E90" s="364"/>
      <c r="F90" s="495"/>
      <c r="G90" s="481"/>
      <c r="H90" s="498"/>
      <c r="I90" s="499"/>
      <c r="J90" s="500"/>
      <c r="K90" s="389" t="s">
        <v>533</v>
      </c>
      <c r="L90" s="385" t="s">
        <v>0</v>
      </c>
      <c r="M90" s="381">
        <v>12000</v>
      </c>
    </row>
    <row r="91" spans="1:15">
      <c r="A91" s="363"/>
      <c r="B91" s="364"/>
      <c r="C91" s="364"/>
      <c r="D91" s="364"/>
      <c r="E91" s="364"/>
      <c r="F91" s="495"/>
      <c r="G91" s="506" t="s">
        <v>136</v>
      </c>
      <c r="H91" s="498">
        <f>M91</f>
        <v>6720</v>
      </c>
      <c r="I91" s="477">
        <v>6720</v>
      </c>
      <c r="J91" s="500">
        <f>H91-I91</f>
        <v>0</v>
      </c>
      <c r="K91" s="362" t="s">
        <v>87</v>
      </c>
      <c r="L91" s="408"/>
      <c r="M91" s="386">
        <f>M92</f>
        <v>6720</v>
      </c>
    </row>
    <row r="92" spans="1:15">
      <c r="A92" s="363"/>
      <c r="B92" s="364"/>
      <c r="C92" s="364"/>
      <c r="D92" s="364"/>
      <c r="E92" s="364"/>
      <c r="F92" s="495"/>
      <c r="G92" s="506"/>
      <c r="H92" s="498"/>
      <c r="I92" s="499"/>
      <c r="J92" s="500"/>
      <c r="K92" s="389" t="s">
        <v>326</v>
      </c>
      <c r="L92" s="385" t="s">
        <v>0</v>
      </c>
      <c r="M92" s="381">
        <v>6720</v>
      </c>
    </row>
    <row r="93" spans="1:15">
      <c r="A93" s="363"/>
      <c r="B93" s="364"/>
      <c r="C93" s="364"/>
      <c r="D93" s="364"/>
      <c r="E93" s="364"/>
      <c r="F93" s="472" t="s">
        <v>88</v>
      </c>
      <c r="G93" s="475"/>
      <c r="H93" s="98">
        <f>H94</f>
        <v>8000</v>
      </c>
      <c r="I93" s="98">
        <v>5000</v>
      </c>
      <c r="J93" s="98">
        <f>H93-I93</f>
        <v>3000</v>
      </c>
      <c r="K93" s="390"/>
      <c r="L93" s="391"/>
      <c r="M93" s="392"/>
    </row>
    <row r="94" spans="1:15">
      <c r="A94" s="363"/>
      <c r="B94" s="364"/>
      <c r="C94" s="364"/>
      <c r="D94" s="364"/>
      <c r="E94" s="364"/>
      <c r="F94" s="476"/>
      <c r="G94" s="364" t="s">
        <v>56</v>
      </c>
      <c r="H94" s="477">
        <f>M94</f>
        <v>8000</v>
      </c>
      <c r="I94" s="477">
        <v>5000</v>
      </c>
      <c r="J94" s="50">
        <f>H94-I94</f>
        <v>3000</v>
      </c>
      <c r="K94" s="393" t="s">
        <v>91</v>
      </c>
      <c r="L94" s="419"/>
      <c r="M94" s="395">
        <f>M95</f>
        <v>8000</v>
      </c>
    </row>
    <row r="95" spans="1:15">
      <c r="A95" s="363"/>
      <c r="B95" s="364"/>
      <c r="C95" s="364"/>
      <c r="D95" s="364"/>
      <c r="E95" s="364"/>
      <c r="F95" s="495"/>
      <c r="G95" s="506"/>
      <c r="H95" s="498"/>
      <c r="I95" s="499"/>
      <c r="J95" s="500"/>
      <c r="K95" s="389" t="s">
        <v>534</v>
      </c>
      <c r="L95" s="385" t="s">
        <v>0</v>
      </c>
      <c r="M95" s="381">
        <v>8000</v>
      </c>
    </row>
    <row r="96" spans="1:15">
      <c r="A96" s="363"/>
      <c r="B96" s="364"/>
      <c r="C96" s="364"/>
      <c r="D96" s="364"/>
      <c r="E96" s="364"/>
      <c r="F96" s="472" t="s">
        <v>89</v>
      </c>
      <c r="G96" s="475"/>
      <c r="H96" s="98">
        <f>SUM(H97,H99)</f>
        <v>5140</v>
      </c>
      <c r="I96" s="98">
        <v>4740</v>
      </c>
      <c r="J96" s="98">
        <f>H96-I96</f>
        <v>400</v>
      </c>
      <c r="K96" s="390"/>
      <c r="L96" s="391"/>
      <c r="M96" s="392"/>
    </row>
    <row r="97" spans="1:15">
      <c r="A97" s="363"/>
      <c r="B97" s="364"/>
      <c r="C97" s="364"/>
      <c r="D97" s="364"/>
      <c r="E97" s="364"/>
      <c r="F97" s="476"/>
      <c r="G97" s="364" t="s">
        <v>90</v>
      </c>
      <c r="H97" s="477">
        <f>M97</f>
        <v>3040</v>
      </c>
      <c r="I97" s="477">
        <v>2640</v>
      </c>
      <c r="J97" s="50">
        <f>H97-I97</f>
        <v>400</v>
      </c>
      <c r="K97" s="393" t="s">
        <v>92</v>
      </c>
      <c r="L97" s="419"/>
      <c r="M97" s="395">
        <f>M98</f>
        <v>3040</v>
      </c>
    </row>
    <row r="98" spans="1:15">
      <c r="A98" s="363"/>
      <c r="B98" s="364"/>
      <c r="C98" s="364"/>
      <c r="D98" s="364"/>
      <c r="E98" s="364"/>
      <c r="F98" s="495"/>
      <c r="G98" s="502"/>
      <c r="H98" s="503"/>
      <c r="I98" s="504"/>
      <c r="J98" s="505"/>
      <c r="K98" s="387" t="s">
        <v>535</v>
      </c>
      <c r="L98" s="380" t="s">
        <v>0</v>
      </c>
      <c r="M98" s="388">
        <v>3040</v>
      </c>
    </row>
    <row r="99" spans="1:15">
      <c r="A99" s="363"/>
      <c r="B99" s="364"/>
      <c r="C99" s="364"/>
      <c r="D99" s="364"/>
      <c r="E99" s="364"/>
      <c r="F99" s="495"/>
      <c r="G99" s="511" t="s">
        <v>93</v>
      </c>
      <c r="H99" s="498">
        <f>M99</f>
        <v>2100</v>
      </c>
      <c r="I99" s="477">
        <v>2100</v>
      </c>
      <c r="J99" s="500">
        <f>H99-I99</f>
        <v>0</v>
      </c>
      <c r="K99" s="362" t="s">
        <v>388</v>
      </c>
      <c r="L99" s="408"/>
      <c r="M99" s="386">
        <f>M100</f>
        <v>2100</v>
      </c>
    </row>
    <row r="100" spans="1:15">
      <c r="A100" s="363"/>
      <c r="B100" s="364"/>
      <c r="C100" s="364"/>
      <c r="D100" s="364"/>
      <c r="E100" s="478"/>
      <c r="F100" s="507"/>
      <c r="G100" s="512"/>
      <c r="H100" s="503"/>
      <c r="I100" s="504"/>
      <c r="J100" s="505"/>
      <c r="K100" s="387" t="s">
        <v>712</v>
      </c>
      <c r="L100" s="380" t="s">
        <v>0</v>
      </c>
      <c r="M100" s="388">
        <v>2100</v>
      </c>
      <c r="O100" s="594"/>
    </row>
    <row r="101" spans="1:15">
      <c r="A101" s="461"/>
      <c r="B101" s="464"/>
      <c r="C101" s="491"/>
      <c r="D101" s="491"/>
      <c r="E101" s="354" t="s">
        <v>327</v>
      </c>
      <c r="F101" s="462"/>
      <c r="G101" s="463"/>
      <c r="H101" s="92">
        <f>H102</f>
        <v>18363</v>
      </c>
      <c r="I101" s="92">
        <v>19597</v>
      </c>
      <c r="J101" s="92">
        <f>H101-I101</f>
        <v>-1234</v>
      </c>
      <c r="K101" s="356"/>
      <c r="L101" s="398"/>
      <c r="M101" s="468"/>
    </row>
    <row r="102" spans="1:15">
      <c r="A102" s="363"/>
      <c r="B102" s="364"/>
      <c r="C102" s="364"/>
      <c r="D102" s="364"/>
      <c r="E102" s="364"/>
      <c r="F102" s="472" t="s">
        <v>328</v>
      </c>
      <c r="G102" s="475"/>
      <c r="H102" s="98">
        <f>H103</f>
        <v>18363</v>
      </c>
      <c r="I102" s="98">
        <v>19597</v>
      </c>
      <c r="J102" s="98">
        <f>H102-I102</f>
        <v>-1234</v>
      </c>
      <c r="K102" s="390"/>
      <c r="L102" s="391"/>
      <c r="M102" s="392"/>
    </row>
    <row r="103" spans="1:15">
      <c r="A103" s="363"/>
      <c r="B103" s="364"/>
      <c r="C103" s="364"/>
      <c r="D103" s="364"/>
      <c r="E103" s="364"/>
      <c r="F103" s="476"/>
      <c r="G103" s="364" t="s">
        <v>329</v>
      </c>
      <c r="H103" s="477">
        <f>SUM(M103,M108,M113)</f>
        <v>18363</v>
      </c>
      <c r="I103" s="477">
        <v>19597</v>
      </c>
      <c r="J103" s="50">
        <f>H103-I103</f>
        <v>-1234</v>
      </c>
      <c r="K103" s="393" t="s">
        <v>330</v>
      </c>
      <c r="L103" s="419"/>
      <c r="M103" s="395">
        <f>SUM(M104:M107)</f>
        <v>6527</v>
      </c>
    </row>
    <row r="104" spans="1:15">
      <c r="A104" s="483"/>
      <c r="B104" s="484"/>
      <c r="C104" s="364"/>
      <c r="D104" s="364"/>
      <c r="E104" s="364"/>
      <c r="F104" s="488"/>
      <c r="G104" s="489"/>
      <c r="H104" s="490"/>
      <c r="I104" s="490"/>
      <c r="J104" s="50"/>
      <c r="K104" s="389" t="s">
        <v>536</v>
      </c>
      <c r="L104" s="385" t="s">
        <v>0</v>
      </c>
      <c r="M104" s="381">
        <v>3354</v>
      </c>
    </row>
    <row r="105" spans="1:15">
      <c r="A105" s="483"/>
      <c r="B105" s="484"/>
      <c r="C105" s="364"/>
      <c r="D105" s="364"/>
      <c r="E105" s="364"/>
      <c r="F105" s="488"/>
      <c r="G105" s="489"/>
      <c r="H105" s="490"/>
      <c r="I105" s="490"/>
      <c r="J105" s="50"/>
      <c r="K105" s="389" t="s">
        <v>537</v>
      </c>
      <c r="L105" s="385" t="s">
        <v>0</v>
      </c>
      <c r="M105" s="381">
        <v>1398</v>
      </c>
      <c r="O105" s="594"/>
    </row>
    <row r="106" spans="1:15">
      <c r="A106" s="483"/>
      <c r="B106" s="484"/>
      <c r="C106" s="364"/>
      <c r="D106" s="364"/>
      <c r="E106" s="364"/>
      <c r="F106" s="488"/>
      <c r="G106" s="489"/>
      <c r="H106" s="490"/>
      <c r="I106" s="490"/>
      <c r="J106" s="50"/>
      <c r="K106" s="389" t="s">
        <v>538</v>
      </c>
      <c r="L106" s="385" t="s">
        <v>0</v>
      </c>
      <c r="M106" s="381">
        <v>1305</v>
      </c>
    </row>
    <row r="107" spans="1:15">
      <c r="A107" s="483"/>
      <c r="B107" s="484"/>
      <c r="C107" s="364"/>
      <c r="D107" s="364"/>
      <c r="E107" s="364"/>
      <c r="F107" s="488"/>
      <c r="G107" s="489"/>
      <c r="H107" s="490"/>
      <c r="I107" s="490"/>
      <c r="J107" s="50"/>
      <c r="K107" s="389" t="s">
        <v>709</v>
      </c>
      <c r="L107" s="385" t="s">
        <v>0</v>
      </c>
      <c r="M107" s="381">
        <v>470</v>
      </c>
    </row>
    <row r="108" spans="1:15">
      <c r="A108" s="483"/>
      <c r="B108" s="484"/>
      <c r="C108" s="364"/>
      <c r="D108" s="364"/>
      <c r="E108" s="364"/>
      <c r="F108" s="488"/>
      <c r="G108" s="489"/>
      <c r="H108" s="490"/>
      <c r="I108" s="490"/>
      <c r="J108" s="50"/>
      <c r="K108" s="362" t="s">
        <v>331</v>
      </c>
      <c r="L108" s="418"/>
      <c r="M108" s="386">
        <f>SUM(M109:M112)</f>
        <v>8554</v>
      </c>
    </row>
    <row r="109" spans="1:15">
      <c r="A109" s="483"/>
      <c r="B109" s="484"/>
      <c r="C109" s="364"/>
      <c r="D109" s="364"/>
      <c r="E109" s="364"/>
      <c r="F109" s="488"/>
      <c r="G109" s="489"/>
      <c r="H109" s="490"/>
      <c r="I109" s="490"/>
      <c r="J109" s="50"/>
      <c r="K109" s="389" t="s">
        <v>539</v>
      </c>
      <c r="L109" s="385" t="s">
        <v>0</v>
      </c>
      <c r="M109" s="381">
        <v>4396</v>
      </c>
    </row>
    <row r="110" spans="1:15">
      <c r="A110" s="483"/>
      <c r="B110" s="484"/>
      <c r="C110" s="364"/>
      <c r="D110" s="364"/>
      <c r="E110" s="364"/>
      <c r="F110" s="488"/>
      <c r="G110" s="489"/>
      <c r="H110" s="490"/>
      <c r="I110" s="490"/>
      <c r="J110" s="50"/>
      <c r="K110" s="389" t="s">
        <v>540</v>
      </c>
      <c r="L110" s="385" t="s">
        <v>0</v>
      </c>
      <c r="M110" s="381">
        <v>1832</v>
      </c>
    </row>
    <row r="111" spans="1:15">
      <c r="A111" s="483"/>
      <c r="B111" s="484"/>
      <c r="C111" s="364"/>
      <c r="D111" s="364"/>
      <c r="E111" s="364"/>
      <c r="F111" s="488"/>
      <c r="G111" s="489"/>
      <c r="H111" s="490"/>
      <c r="I111" s="490"/>
      <c r="J111" s="50"/>
      <c r="K111" s="389" t="s">
        <v>644</v>
      </c>
      <c r="L111" s="385" t="s">
        <v>0</v>
      </c>
      <c r="M111" s="381">
        <v>1710</v>
      </c>
    </row>
    <row r="112" spans="1:15">
      <c r="A112" s="483"/>
      <c r="B112" s="484"/>
      <c r="C112" s="364"/>
      <c r="D112" s="364"/>
      <c r="E112" s="364"/>
      <c r="F112" s="488"/>
      <c r="G112" s="489"/>
      <c r="H112" s="490"/>
      <c r="I112" s="490"/>
      <c r="J112" s="50"/>
      <c r="K112" s="389" t="s">
        <v>710</v>
      </c>
      <c r="L112" s="385" t="s">
        <v>711</v>
      </c>
      <c r="M112" s="381">
        <v>616</v>
      </c>
      <c r="O112" s="594"/>
    </row>
    <row r="113" spans="1:13">
      <c r="A113" s="483"/>
      <c r="B113" s="484"/>
      <c r="C113" s="364"/>
      <c r="D113" s="364"/>
      <c r="E113" s="364"/>
      <c r="F113" s="488"/>
      <c r="G113" s="489"/>
      <c r="H113" s="490"/>
      <c r="I113" s="490"/>
      <c r="J113" s="50"/>
      <c r="K113" s="362" t="s">
        <v>332</v>
      </c>
      <c r="L113" s="418"/>
      <c r="M113" s="386">
        <f>M114</f>
        <v>3282</v>
      </c>
    </row>
    <row r="114" spans="1:13" ht="17.25" thickBot="1">
      <c r="A114" s="513"/>
      <c r="B114" s="514"/>
      <c r="C114" s="515"/>
      <c r="D114" s="515"/>
      <c r="E114" s="515"/>
      <c r="F114" s="516"/>
      <c r="G114" s="517"/>
      <c r="H114" s="518"/>
      <c r="I114" s="518"/>
      <c r="J114" s="231"/>
      <c r="K114" s="519" t="s">
        <v>541</v>
      </c>
      <c r="L114" s="520" t="s">
        <v>0</v>
      </c>
      <c r="M114" s="407">
        <v>3282</v>
      </c>
    </row>
    <row r="122" spans="1:13">
      <c r="L122" s="238"/>
      <c r="M122"/>
    </row>
    <row r="123" spans="1:13">
      <c r="L123" s="238"/>
      <c r="M123"/>
    </row>
    <row r="124" spans="1:13">
      <c r="L124" s="238"/>
      <c r="M124"/>
    </row>
    <row r="125" spans="1:13">
      <c r="L125" s="238"/>
      <c r="M125"/>
    </row>
    <row r="126" spans="1:13">
      <c r="L126" s="238"/>
      <c r="M126"/>
    </row>
    <row r="127" spans="1:13">
      <c r="L127" s="238"/>
      <c r="M127"/>
    </row>
    <row r="128" spans="1:13">
      <c r="L128" s="238"/>
      <c r="M128"/>
    </row>
    <row r="129" spans="12:13">
      <c r="L129" s="238"/>
      <c r="M129"/>
    </row>
    <row r="130" spans="12:13">
      <c r="L130" s="238"/>
      <c r="M130"/>
    </row>
    <row r="131" spans="12:13">
      <c r="L131" s="238"/>
      <c r="M131"/>
    </row>
    <row r="132" spans="12:13">
      <c r="L132" s="238"/>
      <c r="M132"/>
    </row>
    <row r="133" spans="12:13">
      <c r="L133" s="238"/>
      <c r="M133"/>
    </row>
    <row r="134" spans="12:13">
      <c r="L134" s="238"/>
      <c r="M134"/>
    </row>
    <row r="135" spans="12:13">
      <c r="L135" s="238"/>
      <c r="M135"/>
    </row>
    <row r="136" spans="12:13">
      <c r="L136" s="238"/>
      <c r="M136"/>
    </row>
    <row r="137" spans="12:13">
      <c r="L137" s="238"/>
      <c r="M137"/>
    </row>
    <row r="138" spans="12:13">
      <c r="L138" s="238"/>
      <c r="M138"/>
    </row>
  </sheetData>
  <autoFilter ref="A3:M114">
    <filterColumn colId="10" showButton="0"/>
    <filterColumn colId="11" showButton="0"/>
  </autoFilter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841" priority="709" operator="containsText" text="허하나로">
      <formula>NOT(ISERROR(SEARCH("허하나로",H755)))</formula>
    </cfRule>
    <cfRule type="containsText" dxfId="1840" priority="710" operator="containsText" text="한별">
      <formula>NOT(ISERROR(SEARCH("한별",H755)))</formula>
    </cfRule>
    <cfRule type="containsText" dxfId="1839" priority="711" operator="containsText" text="정홍조">
      <formula>NOT(ISERROR(SEARCH("정홍조",H755)))</formula>
    </cfRule>
    <cfRule type="containsText" dxfId="1838" priority="712" operator="containsText" text="김지윤">
      <formula>NOT(ISERROR(SEARCH("김지윤",H755)))</formula>
    </cfRule>
    <cfRule type="containsText" dxfId="1837" priority="713" operator="containsText" text="전준영">
      <formula>NOT(ISERROR(SEARCH("전준영",H755)))</formula>
    </cfRule>
    <cfRule type="containsText" dxfId="1836" priority="714" operator="containsText" text="차재성">
      <formula>NOT(ISERROR(SEARCH("차재성",H755)))</formula>
    </cfRule>
  </conditionalFormatting>
  <conditionalFormatting sqref="J6:J7">
    <cfRule type="containsText" dxfId="1835" priority="703" operator="containsText" text="허하나로">
      <formula>NOT(ISERROR(SEARCH("허하나로",H753)))</formula>
    </cfRule>
    <cfRule type="containsText" dxfId="1834" priority="704" operator="containsText" text="한별">
      <formula>NOT(ISERROR(SEARCH("한별",H753)))</formula>
    </cfRule>
    <cfRule type="containsText" dxfId="1833" priority="705" operator="containsText" text="정홍조">
      <formula>NOT(ISERROR(SEARCH("정홍조",H753)))</formula>
    </cfRule>
    <cfRule type="containsText" dxfId="1832" priority="706" operator="containsText" text="김지윤">
      <formula>NOT(ISERROR(SEARCH("김지윤",H753)))</formula>
    </cfRule>
    <cfRule type="containsText" dxfId="1831" priority="707" operator="containsText" text="전준영">
      <formula>NOT(ISERROR(SEARCH("전준영",H753)))</formula>
    </cfRule>
    <cfRule type="containsText" dxfId="1830" priority="708" operator="containsText" text="차재성">
      <formula>NOT(ISERROR(SEARCH("차재성",H753)))</formula>
    </cfRule>
  </conditionalFormatting>
  <conditionalFormatting sqref="J5">
    <cfRule type="containsText" dxfId="1829" priority="697" operator="containsText" text="허하나로">
      <formula>NOT(ISERROR(SEARCH("허하나로",H752)))</formula>
    </cfRule>
    <cfRule type="containsText" dxfId="1828" priority="698" operator="containsText" text="한별">
      <formula>NOT(ISERROR(SEARCH("한별",H752)))</formula>
    </cfRule>
    <cfRule type="containsText" dxfId="1827" priority="699" operator="containsText" text="정홍조">
      <formula>NOT(ISERROR(SEARCH("정홍조",H752)))</formula>
    </cfRule>
    <cfRule type="containsText" dxfId="1826" priority="700" operator="containsText" text="김지윤">
      <formula>NOT(ISERROR(SEARCH("김지윤",H752)))</formula>
    </cfRule>
    <cfRule type="containsText" dxfId="1825" priority="701" operator="containsText" text="전준영">
      <formula>NOT(ISERROR(SEARCH("전준영",H752)))</formula>
    </cfRule>
    <cfRule type="containsText" dxfId="1824" priority="702" operator="containsText" text="차재성">
      <formula>NOT(ISERROR(SEARCH("차재성",H752)))</formula>
    </cfRule>
  </conditionalFormatting>
  <conditionalFormatting sqref="J21">
    <cfRule type="containsText" dxfId="1823" priority="685" operator="containsText" text="허하나로">
      <formula>NOT(ISERROR(SEARCH("허하나로",H886)))</formula>
    </cfRule>
    <cfRule type="containsText" dxfId="1822" priority="686" operator="containsText" text="한별">
      <formula>NOT(ISERROR(SEARCH("한별",H886)))</formula>
    </cfRule>
    <cfRule type="containsText" dxfId="1821" priority="687" operator="containsText" text="정홍조">
      <formula>NOT(ISERROR(SEARCH("정홍조",H886)))</formula>
    </cfRule>
    <cfRule type="containsText" dxfId="1820" priority="688" operator="containsText" text="김지윤">
      <formula>NOT(ISERROR(SEARCH("김지윤",H886)))</formula>
    </cfRule>
    <cfRule type="containsText" dxfId="1819" priority="689" operator="containsText" text="전준영">
      <formula>NOT(ISERROR(SEARCH("전준영",H886)))</formula>
    </cfRule>
    <cfRule type="containsText" dxfId="1818" priority="690" operator="containsText" text="차재성">
      <formula>NOT(ISERROR(SEARCH("차재성",H886)))</formula>
    </cfRule>
  </conditionalFormatting>
  <conditionalFormatting sqref="J60:J61">
    <cfRule type="containsText" dxfId="1817" priority="679" operator="containsText" text="허하나로">
      <formula>NOT(ISERROR(SEARCH("허하나로",H1096)))</formula>
    </cfRule>
    <cfRule type="containsText" dxfId="1816" priority="680" operator="containsText" text="한별">
      <formula>NOT(ISERROR(SEARCH("한별",H1096)))</formula>
    </cfRule>
    <cfRule type="containsText" dxfId="1815" priority="681" operator="containsText" text="정홍조">
      <formula>NOT(ISERROR(SEARCH("정홍조",H1096)))</formula>
    </cfRule>
    <cfRule type="containsText" dxfId="1814" priority="682" operator="containsText" text="김지윤">
      <formula>NOT(ISERROR(SEARCH("김지윤",H1096)))</formula>
    </cfRule>
    <cfRule type="containsText" dxfId="1813" priority="683" operator="containsText" text="전준영">
      <formula>NOT(ISERROR(SEARCH("전준영",H1096)))</formula>
    </cfRule>
    <cfRule type="containsText" dxfId="1812" priority="684" operator="containsText" text="차재성">
      <formula>NOT(ISERROR(SEARCH("차재성",H1096)))</formula>
    </cfRule>
  </conditionalFormatting>
  <conditionalFormatting sqref="J23">
    <cfRule type="containsText" dxfId="1811" priority="715" operator="containsText" text="허하나로">
      <formula>NOT(ISERROR(SEARCH("허하나로",H1083)))</formula>
    </cfRule>
    <cfRule type="containsText" dxfId="1810" priority="716" operator="containsText" text="한별">
      <formula>NOT(ISERROR(SEARCH("한별",H1083)))</formula>
    </cfRule>
    <cfRule type="containsText" dxfId="1809" priority="717" operator="containsText" text="정홍조">
      <formula>NOT(ISERROR(SEARCH("정홍조",H1083)))</formula>
    </cfRule>
    <cfRule type="containsText" dxfId="1808" priority="718" operator="containsText" text="김지윤">
      <formula>NOT(ISERROR(SEARCH("김지윤",H1083)))</formula>
    </cfRule>
    <cfRule type="containsText" dxfId="1807" priority="719" operator="containsText" text="전준영">
      <formula>NOT(ISERROR(SEARCH("전준영",H1083)))</formula>
    </cfRule>
    <cfRule type="containsText" dxfId="1806" priority="720" operator="containsText" text="차재성">
      <formula>NOT(ISERROR(SEARCH("차재성",H1083)))</formula>
    </cfRule>
  </conditionalFormatting>
  <conditionalFormatting sqref="J8:J12">
    <cfRule type="containsText" dxfId="1805" priority="1957" operator="containsText" text="허하나로">
      <formula>NOT(ISERROR(SEARCH("허하나로",H1091)))</formula>
    </cfRule>
    <cfRule type="containsText" dxfId="1804" priority="1958" operator="containsText" text="한별">
      <formula>NOT(ISERROR(SEARCH("한별",H1091)))</formula>
    </cfRule>
    <cfRule type="containsText" dxfId="1803" priority="1959" operator="containsText" text="정홍조">
      <formula>NOT(ISERROR(SEARCH("정홍조",H1091)))</formula>
    </cfRule>
    <cfRule type="containsText" dxfId="1802" priority="1960" operator="containsText" text="김지윤">
      <formula>NOT(ISERROR(SEARCH("김지윤",H1091)))</formula>
    </cfRule>
    <cfRule type="containsText" dxfId="1801" priority="1961" operator="containsText" text="전준영">
      <formula>NOT(ISERROR(SEARCH("전준영",H1091)))</formula>
    </cfRule>
    <cfRule type="containsText" dxfId="1800" priority="1962" operator="containsText" text="차재성">
      <formula>NOT(ISERROR(SEARCH("차재성",H1091)))</formula>
    </cfRule>
  </conditionalFormatting>
  <conditionalFormatting sqref="J29">
    <cfRule type="containsText" dxfId="1799" priority="1975" operator="containsText" text="허하나로">
      <formula>NOT(ISERROR(SEARCH("허하나로",H1096)))</formula>
    </cfRule>
    <cfRule type="containsText" dxfId="1798" priority="1976" operator="containsText" text="한별">
      <formula>NOT(ISERROR(SEARCH("한별",H1096)))</formula>
    </cfRule>
    <cfRule type="containsText" dxfId="1797" priority="1977" operator="containsText" text="정홍조">
      <formula>NOT(ISERROR(SEARCH("정홍조",H1096)))</formula>
    </cfRule>
    <cfRule type="containsText" dxfId="1796" priority="1978" operator="containsText" text="김지윤">
      <formula>NOT(ISERROR(SEARCH("김지윤",H1096)))</formula>
    </cfRule>
    <cfRule type="containsText" dxfId="1795" priority="1979" operator="containsText" text="전준영">
      <formula>NOT(ISERROR(SEARCH("전준영",H1096)))</formula>
    </cfRule>
    <cfRule type="containsText" dxfId="1794" priority="1980" operator="containsText" text="차재성">
      <formula>NOT(ISERROR(SEARCH("차재성",H1096)))</formula>
    </cfRule>
  </conditionalFormatting>
  <conditionalFormatting sqref="J19">
    <cfRule type="containsText" dxfId="1793" priority="601" operator="containsText" text="허하나로">
      <formula>NOT(ISERROR(SEARCH("허하나로",H1095)))</formula>
    </cfRule>
    <cfRule type="containsText" dxfId="1792" priority="602" operator="containsText" text="한별">
      <formula>NOT(ISERROR(SEARCH("한별",H1095)))</formula>
    </cfRule>
    <cfRule type="containsText" dxfId="1791" priority="603" operator="containsText" text="정홍조">
      <formula>NOT(ISERROR(SEARCH("정홍조",H1095)))</formula>
    </cfRule>
    <cfRule type="containsText" dxfId="1790" priority="604" operator="containsText" text="김지윤">
      <formula>NOT(ISERROR(SEARCH("김지윤",H1095)))</formula>
    </cfRule>
    <cfRule type="containsText" dxfId="1789" priority="605" operator="containsText" text="전준영">
      <formula>NOT(ISERROR(SEARCH("전준영",H1095)))</formula>
    </cfRule>
    <cfRule type="containsText" dxfId="1788" priority="606" operator="containsText" text="차재성">
      <formula>NOT(ISERROR(SEARCH("차재성",H1095)))</formula>
    </cfRule>
  </conditionalFormatting>
  <conditionalFormatting sqref="J20">
    <cfRule type="containsText" dxfId="1787" priority="637" operator="containsText" text="허하나로">
      <formula>NOT(ISERROR(SEARCH("허하나로",H1095)))</formula>
    </cfRule>
    <cfRule type="containsText" dxfId="1786" priority="638" operator="containsText" text="한별">
      <formula>NOT(ISERROR(SEARCH("한별",H1095)))</formula>
    </cfRule>
    <cfRule type="containsText" dxfId="1785" priority="639" operator="containsText" text="정홍조">
      <formula>NOT(ISERROR(SEARCH("정홍조",H1095)))</formula>
    </cfRule>
    <cfRule type="containsText" dxfId="1784" priority="640" operator="containsText" text="김지윤">
      <formula>NOT(ISERROR(SEARCH("김지윤",H1095)))</formula>
    </cfRule>
    <cfRule type="containsText" dxfId="1783" priority="641" operator="containsText" text="전준영">
      <formula>NOT(ISERROR(SEARCH("전준영",H1095)))</formula>
    </cfRule>
    <cfRule type="containsText" dxfId="1782" priority="642" operator="containsText" text="차재성">
      <formula>NOT(ISERROR(SEARCH("차재성",H1095)))</formula>
    </cfRule>
  </conditionalFormatting>
  <conditionalFormatting sqref="J15">
    <cfRule type="containsText" dxfId="1781" priority="2059" operator="containsText" text="허하나로">
      <formula>NOT(ISERROR(SEARCH("허하나로",H1096)))</formula>
    </cfRule>
    <cfRule type="containsText" dxfId="1780" priority="2060" operator="containsText" text="한별">
      <formula>NOT(ISERROR(SEARCH("한별",H1096)))</formula>
    </cfRule>
    <cfRule type="containsText" dxfId="1779" priority="2061" operator="containsText" text="정홍조">
      <formula>NOT(ISERROR(SEARCH("정홍조",H1096)))</formula>
    </cfRule>
    <cfRule type="containsText" dxfId="1778" priority="2062" operator="containsText" text="김지윤">
      <formula>NOT(ISERROR(SEARCH("김지윤",H1096)))</formula>
    </cfRule>
    <cfRule type="containsText" dxfId="1777" priority="2063" operator="containsText" text="전준영">
      <formula>NOT(ISERROR(SEARCH("전준영",H1096)))</formula>
    </cfRule>
    <cfRule type="containsText" dxfId="1776" priority="2064" operator="containsText" text="차재성">
      <formula>NOT(ISERROR(SEARCH("차재성",H1096)))</formula>
    </cfRule>
  </conditionalFormatting>
  <conditionalFormatting sqref="J14">
    <cfRule type="containsText" dxfId="1775" priority="2071" operator="containsText" text="허하나로">
      <formula>NOT(ISERROR(SEARCH("허하나로",H1096)))</formula>
    </cfRule>
    <cfRule type="containsText" dxfId="1774" priority="2072" operator="containsText" text="한별">
      <formula>NOT(ISERROR(SEARCH("한별",H1096)))</formula>
    </cfRule>
    <cfRule type="containsText" dxfId="1773" priority="2073" operator="containsText" text="정홍조">
      <formula>NOT(ISERROR(SEARCH("정홍조",H1096)))</formula>
    </cfRule>
    <cfRule type="containsText" dxfId="1772" priority="2074" operator="containsText" text="김지윤">
      <formula>NOT(ISERROR(SEARCH("김지윤",H1096)))</formula>
    </cfRule>
    <cfRule type="containsText" dxfId="1771" priority="2075" operator="containsText" text="전준영">
      <formula>NOT(ISERROR(SEARCH("전준영",H1096)))</formula>
    </cfRule>
    <cfRule type="containsText" dxfId="1770" priority="2076" operator="containsText" text="차재성">
      <formula>NOT(ISERROR(SEARCH("차재성",H1096)))</formula>
    </cfRule>
  </conditionalFormatting>
  <conditionalFormatting sqref="J13">
    <cfRule type="containsText" dxfId="1769" priority="2083" operator="containsText" text="허하나로">
      <formula>NOT(ISERROR(SEARCH("허하나로",H1096)))</formula>
    </cfRule>
    <cfRule type="containsText" dxfId="1768" priority="2084" operator="containsText" text="한별">
      <formula>NOT(ISERROR(SEARCH("한별",H1096)))</formula>
    </cfRule>
    <cfRule type="containsText" dxfId="1767" priority="2085" operator="containsText" text="정홍조">
      <formula>NOT(ISERROR(SEARCH("정홍조",H1096)))</formula>
    </cfRule>
    <cfRule type="containsText" dxfId="1766" priority="2086" operator="containsText" text="김지윤">
      <formula>NOT(ISERROR(SEARCH("김지윤",H1096)))</formula>
    </cfRule>
    <cfRule type="containsText" dxfId="1765" priority="2087" operator="containsText" text="전준영">
      <formula>NOT(ISERROR(SEARCH("전준영",H1096)))</formula>
    </cfRule>
    <cfRule type="containsText" dxfId="1764" priority="2088" operator="containsText" text="차재성">
      <formula>NOT(ISERROR(SEARCH("차재성",H1096)))</formula>
    </cfRule>
  </conditionalFormatting>
  <conditionalFormatting sqref="J59">
    <cfRule type="containsText" dxfId="1763" priority="2107" operator="containsText" text="허하나로">
      <formula>NOT(ISERROR(SEARCH("허하나로",H1097)))</formula>
    </cfRule>
    <cfRule type="containsText" dxfId="1762" priority="2108" operator="containsText" text="한별">
      <formula>NOT(ISERROR(SEARCH("한별",H1097)))</formula>
    </cfRule>
    <cfRule type="containsText" dxfId="1761" priority="2109" operator="containsText" text="정홍조">
      <formula>NOT(ISERROR(SEARCH("정홍조",H1097)))</formula>
    </cfRule>
    <cfRule type="containsText" dxfId="1760" priority="2110" operator="containsText" text="김지윤">
      <formula>NOT(ISERROR(SEARCH("김지윤",H1097)))</formula>
    </cfRule>
    <cfRule type="containsText" dxfId="1759" priority="2111" operator="containsText" text="전준영">
      <formula>NOT(ISERROR(SEARCH("전준영",H1097)))</formula>
    </cfRule>
    <cfRule type="containsText" dxfId="1758" priority="2112" operator="containsText" text="차재성">
      <formula>NOT(ISERROR(SEARCH("차재성",H1097)))</formula>
    </cfRule>
  </conditionalFormatting>
  <conditionalFormatting sqref="J57">
    <cfRule type="containsText" dxfId="1757" priority="2125" operator="containsText" text="허하나로">
      <formula>NOT(ISERROR(SEARCH("허하나로",H1098)))</formula>
    </cfRule>
    <cfRule type="containsText" dxfId="1756" priority="2126" operator="containsText" text="한별">
      <formula>NOT(ISERROR(SEARCH("한별",H1098)))</formula>
    </cfRule>
    <cfRule type="containsText" dxfId="1755" priority="2127" operator="containsText" text="정홍조">
      <formula>NOT(ISERROR(SEARCH("정홍조",H1098)))</formula>
    </cfRule>
    <cfRule type="containsText" dxfId="1754" priority="2128" operator="containsText" text="김지윤">
      <formula>NOT(ISERROR(SEARCH("김지윤",H1098)))</formula>
    </cfRule>
    <cfRule type="containsText" dxfId="1753" priority="2129" operator="containsText" text="전준영">
      <formula>NOT(ISERROR(SEARCH("전준영",H1098)))</formula>
    </cfRule>
    <cfRule type="containsText" dxfId="1752" priority="2130" operator="containsText" text="차재성">
      <formula>NOT(ISERROR(SEARCH("차재성",H1098)))</formula>
    </cfRule>
  </conditionalFormatting>
  <conditionalFormatting sqref="J48:J49">
    <cfRule type="containsText" dxfId="1751" priority="2143" operator="containsText" text="허하나로">
      <formula>NOT(ISERROR(SEARCH("허하나로",H1096)))</formula>
    </cfRule>
    <cfRule type="containsText" dxfId="1750" priority="2144" operator="containsText" text="한별">
      <formula>NOT(ISERROR(SEARCH("한별",H1096)))</formula>
    </cfRule>
    <cfRule type="containsText" dxfId="1749" priority="2145" operator="containsText" text="정홍조">
      <formula>NOT(ISERROR(SEARCH("정홍조",H1096)))</formula>
    </cfRule>
    <cfRule type="containsText" dxfId="1748" priority="2146" operator="containsText" text="김지윤">
      <formula>NOT(ISERROR(SEARCH("김지윤",H1096)))</formula>
    </cfRule>
    <cfRule type="containsText" dxfId="1747" priority="2147" operator="containsText" text="전준영">
      <formula>NOT(ISERROR(SEARCH("전준영",H1096)))</formula>
    </cfRule>
    <cfRule type="containsText" dxfId="1746" priority="2148" operator="containsText" text="차재성">
      <formula>NOT(ISERROR(SEARCH("차재성",H1096)))</formula>
    </cfRule>
  </conditionalFormatting>
  <conditionalFormatting sqref="J39">
    <cfRule type="containsText" dxfId="1745" priority="2269" operator="containsText" text="허하나로">
      <formula>NOT(ISERROR(SEARCH("허하나로",H1105)))</formula>
    </cfRule>
    <cfRule type="containsText" dxfId="1744" priority="2270" operator="containsText" text="한별">
      <formula>NOT(ISERROR(SEARCH("한별",H1105)))</formula>
    </cfRule>
    <cfRule type="containsText" dxfId="1743" priority="2271" operator="containsText" text="정홍조">
      <formula>NOT(ISERROR(SEARCH("정홍조",H1105)))</formula>
    </cfRule>
    <cfRule type="containsText" dxfId="1742" priority="2272" operator="containsText" text="김지윤">
      <formula>NOT(ISERROR(SEARCH("김지윤",H1105)))</formula>
    </cfRule>
    <cfRule type="containsText" dxfId="1741" priority="2273" operator="containsText" text="전준영">
      <formula>NOT(ISERROR(SEARCH("전준영",H1105)))</formula>
    </cfRule>
    <cfRule type="containsText" dxfId="1740" priority="2274" operator="containsText" text="차재성">
      <formula>NOT(ISERROR(SEARCH("차재성",H1105)))</formula>
    </cfRule>
  </conditionalFormatting>
  <conditionalFormatting sqref="J45">
    <cfRule type="containsText" dxfId="1739" priority="595" operator="containsText" text="허하나로">
      <formula>NOT(ISERROR(SEARCH("허하나로",H1090)))</formula>
    </cfRule>
    <cfRule type="containsText" dxfId="1738" priority="596" operator="containsText" text="한별">
      <formula>NOT(ISERROR(SEARCH("한별",H1090)))</formula>
    </cfRule>
    <cfRule type="containsText" dxfId="1737" priority="597" operator="containsText" text="정홍조">
      <formula>NOT(ISERROR(SEARCH("정홍조",H1090)))</formula>
    </cfRule>
    <cfRule type="containsText" dxfId="1736" priority="598" operator="containsText" text="김지윤">
      <formula>NOT(ISERROR(SEARCH("김지윤",H1090)))</formula>
    </cfRule>
    <cfRule type="containsText" dxfId="1735" priority="599" operator="containsText" text="전준영">
      <formula>NOT(ISERROR(SEARCH("전준영",H1090)))</formula>
    </cfRule>
    <cfRule type="containsText" dxfId="1734" priority="600" operator="containsText" text="차재성">
      <formula>NOT(ISERROR(SEARCH("차재성",H1090)))</formula>
    </cfRule>
  </conditionalFormatting>
  <conditionalFormatting sqref="J46:J47">
    <cfRule type="containsText" dxfId="1733" priority="589" operator="containsText" text="허하나로">
      <formula>NOT(ISERROR(SEARCH("허하나로",H1119)))</formula>
    </cfRule>
    <cfRule type="containsText" dxfId="1732" priority="590" operator="containsText" text="한별">
      <formula>NOT(ISERROR(SEARCH("한별",H1119)))</formula>
    </cfRule>
    <cfRule type="containsText" dxfId="1731" priority="591" operator="containsText" text="정홍조">
      <formula>NOT(ISERROR(SEARCH("정홍조",H1119)))</formula>
    </cfRule>
    <cfRule type="containsText" dxfId="1730" priority="592" operator="containsText" text="김지윤">
      <formula>NOT(ISERROR(SEARCH("김지윤",H1119)))</formula>
    </cfRule>
    <cfRule type="containsText" dxfId="1729" priority="593" operator="containsText" text="전준영">
      <formula>NOT(ISERROR(SEARCH("전준영",H1119)))</formula>
    </cfRule>
    <cfRule type="containsText" dxfId="1728" priority="594" operator="containsText" text="차재성">
      <formula>NOT(ISERROR(SEARCH("차재성",H1119)))</formula>
    </cfRule>
  </conditionalFormatting>
  <conditionalFormatting sqref="J113">
    <cfRule type="containsText" dxfId="1727" priority="2287" operator="containsText" text="허하나로">
      <formula>NOT(ISERROR(SEARCH("허하나로",H1148)))</formula>
    </cfRule>
    <cfRule type="containsText" dxfId="1726" priority="2288" operator="containsText" text="한별">
      <formula>NOT(ISERROR(SEARCH("한별",H1148)))</formula>
    </cfRule>
    <cfRule type="containsText" dxfId="1725" priority="2289" operator="containsText" text="정홍조">
      <formula>NOT(ISERROR(SEARCH("정홍조",H1148)))</formula>
    </cfRule>
    <cfRule type="containsText" dxfId="1724" priority="2290" operator="containsText" text="김지윤">
      <formula>NOT(ISERROR(SEARCH("김지윤",H1148)))</formula>
    </cfRule>
    <cfRule type="containsText" dxfId="1723" priority="2291" operator="containsText" text="전준영">
      <formula>NOT(ISERROR(SEARCH("전준영",H1148)))</formula>
    </cfRule>
    <cfRule type="containsText" dxfId="1722" priority="2292" operator="containsText" text="차재성">
      <formula>NOT(ISERROR(SEARCH("차재성",H1148)))</formula>
    </cfRule>
  </conditionalFormatting>
  <conditionalFormatting sqref="J109:J110">
    <cfRule type="containsText" dxfId="1721" priority="2305" operator="containsText" text="허하나로">
      <formula>NOT(ISERROR(SEARCH("허하나로",H1147)))</formula>
    </cfRule>
    <cfRule type="containsText" dxfId="1720" priority="2306" operator="containsText" text="한별">
      <formula>NOT(ISERROR(SEARCH("한별",H1147)))</formula>
    </cfRule>
    <cfRule type="containsText" dxfId="1719" priority="2307" operator="containsText" text="정홍조">
      <formula>NOT(ISERROR(SEARCH("정홍조",H1147)))</formula>
    </cfRule>
    <cfRule type="containsText" dxfId="1718" priority="2308" operator="containsText" text="김지윤">
      <formula>NOT(ISERROR(SEARCH("김지윤",H1147)))</formula>
    </cfRule>
    <cfRule type="containsText" dxfId="1717" priority="2309" operator="containsText" text="전준영">
      <formula>NOT(ISERROR(SEARCH("전준영",H1147)))</formula>
    </cfRule>
    <cfRule type="containsText" dxfId="1716" priority="2310" operator="containsText" text="차재성">
      <formula>NOT(ISERROR(SEARCH("차재성",H1147)))</formula>
    </cfRule>
  </conditionalFormatting>
  <conditionalFormatting sqref="J54">
    <cfRule type="containsText" dxfId="1715" priority="2323" operator="containsText" text="허하나로">
      <formula>NOT(ISERROR(SEARCH("허하나로",H1097)))</formula>
    </cfRule>
    <cfRule type="containsText" dxfId="1714" priority="2324" operator="containsText" text="한별">
      <formula>NOT(ISERROR(SEARCH("한별",H1097)))</formula>
    </cfRule>
    <cfRule type="containsText" dxfId="1713" priority="2325" operator="containsText" text="정홍조">
      <formula>NOT(ISERROR(SEARCH("정홍조",H1097)))</formula>
    </cfRule>
    <cfRule type="containsText" dxfId="1712" priority="2326" operator="containsText" text="김지윤">
      <formula>NOT(ISERROR(SEARCH("김지윤",H1097)))</formula>
    </cfRule>
    <cfRule type="containsText" dxfId="1711" priority="2327" operator="containsText" text="전준영">
      <formula>NOT(ISERROR(SEARCH("전준영",H1097)))</formula>
    </cfRule>
    <cfRule type="containsText" dxfId="1710" priority="2328" operator="containsText" text="차재성">
      <formula>NOT(ISERROR(SEARCH("차재성",H1097)))</formula>
    </cfRule>
  </conditionalFormatting>
  <conditionalFormatting sqref="J53">
    <cfRule type="containsText" dxfId="1709" priority="2341" operator="containsText" text="허하나로">
      <formula>NOT(ISERROR(SEARCH("허하나로",H1097)))</formula>
    </cfRule>
    <cfRule type="containsText" dxfId="1708" priority="2342" operator="containsText" text="한별">
      <formula>NOT(ISERROR(SEARCH("한별",H1097)))</formula>
    </cfRule>
    <cfRule type="containsText" dxfId="1707" priority="2343" operator="containsText" text="정홍조">
      <formula>NOT(ISERROR(SEARCH("정홍조",H1097)))</formula>
    </cfRule>
    <cfRule type="containsText" dxfId="1706" priority="2344" operator="containsText" text="김지윤">
      <formula>NOT(ISERROR(SEARCH("김지윤",H1097)))</formula>
    </cfRule>
    <cfRule type="containsText" dxfId="1705" priority="2345" operator="containsText" text="전준영">
      <formula>NOT(ISERROR(SEARCH("전준영",H1097)))</formula>
    </cfRule>
    <cfRule type="containsText" dxfId="1704" priority="2346" operator="containsText" text="차재성">
      <formula>NOT(ISERROR(SEARCH("차재성",H1097)))</formula>
    </cfRule>
  </conditionalFormatting>
  <conditionalFormatting sqref="J52">
    <cfRule type="containsText" dxfId="1703" priority="2359" operator="containsText" text="허하나로">
      <formula>NOT(ISERROR(SEARCH("허하나로",H1097)))</formula>
    </cfRule>
    <cfRule type="containsText" dxfId="1702" priority="2360" operator="containsText" text="한별">
      <formula>NOT(ISERROR(SEARCH("한별",H1097)))</formula>
    </cfRule>
    <cfRule type="containsText" dxfId="1701" priority="2361" operator="containsText" text="정홍조">
      <formula>NOT(ISERROR(SEARCH("정홍조",H1097)))</formula>
    </cfRule>
    <cfRule type="containsText" dxfId="1700" priority="2362" operator="containsText" text="김지윤">
      <formula>NOT(ISERROR(SEARCH("김지윤",H1097)))</formula>
    </cfRule>
    <cfRule type="containsText" dxfId="1699" priority="2363" operator="containsText" text="전준영">
      <formula>NOT(ISERROR(SEARCH("전준영",H1097)))</formula>
    </cfRule>
    <cfRule type="containsText" dxfId="1698" priority="2364" operator="containsText" text="차재성">
      <formula>NOT(ISERROR(SEARCH("차재성",H1097)))</formula>
    </cfRule>
  </conditionalFormatting>
  <conditionalFormatting sqref="J50:J51">
    <cfRule type="containsText" dxfId="1697" priority="2377" operator="containsText" text="허하나로">
      <formula>NOT(ISERROR(SEARCH("허하나로",H1096)))</formula>
    </cfRule>
    <cfRule type="containsText" dxfId="1696" priority="2378" operator="containsText" text="한별">
      <formula>NOT(ISERROR(SEARCH("한별",H1096)))</formula>
    </cfRule>
    <cfRule type="containsText" dxfId="1695" priority="2379" operator="containsText" text="정홍조">
      <formula>NOT(ISERROR(SEARCH("정홍조",H1096)))</formula>
    </cfRule>
    <cfRule type="containsText" dxfId="1694" priority="2380" operator="containsText" text="김지윤">
      <formula>NOT(ISERROR(SEARCH("김지윤",H1096)))</formula>
    </cfRule>
    <cfRule type="containsText" dxfId="1693" priority="2381" operator="containsText" text="전준영">
      <formula>NOT(ISERROR(SEARCH("전준영",H1096)))</formula>
    </cfRule>
    <cfRule type="containsText" dxfId="1692" priority="2382" operator="containsText" text="차재성">
      <formula>NOT(ISERROR(SEARCH("차재성",H1096)))</formula>
    </cfRule>
  </conditionalFormatting>
  <conditionalFormatting sqref="J67 J65">
    <cfRule type="containsText" dxfId="1691" priority="2383" operator="containsText" text="허하나로">
      <formula>NOT(ISERROR(SEARCH("허하나로",H1096)))</formula>
    </cfRule>
    <cfRule type="containsText" dxfId="1690" priority="2384" operator="containsText" text="한별">
      <formula>NOT(ISERROR(SEARCH("한별",H1096)))</formula>
    </cfRule>
    <cfRule type="containsText" dxfId="1689" priority="2385" operator="containsText" text="정홍조">
      <formula>NOT(ISERROR(SEARCH("정홍조",H1096)))</formula>
    </cfRule>
    <cfRule type="containsText" dxfId="1688" priority="2386" operator="containsText" text="김지윤">
      <formula>NOT(ISERROR(SEARCH("김지윤",H1096)))</formula>
    </cfRule>
    <cfRule type="containsText" dxfId="1687" priority="2387" operator="containsText" text="전준영">
      <formula>NOT(ISERROR(SEARCH("전준영",H1096)))</formula>
    </cfRule>
    <cfRule type="containsText" dxfId="1686" priority="2388" operator="containsText" text="차재성">
      <formula>NOT(ISERROR(SEARCH("차재성",H1096)))</formula>
    </cfRule>
  </conditionalFormatting>
  <conditionalFormatting sqref="J66">
    <cfRule type="containsText" dxfId="1685" priority="2413" operator="containsText" text="허하나로">
      <formula>NOT(ISERROR(SEARCH("허하나로",H1098)))</formula>
    </cfRule>
    <cfRule type="containsText" dxfId="1684" priority="2414" operator="containsText" text="한별">
      <formula>NOT(ISERROR(SEARCH("한별",H1098)))</formula>
    </cfRule>
    <cfRule type="containsText" dxfId="1683" priority="2415" operator="containsText" text="정홍조">
      <formula>NOT(ISERROR(SEARCH("정홍조",H1098)))</formula>
    </cfRule>
    <cfRule type="containsText" dxfId="1682" priority="2416" operator="containsText" text="김지윤">
      <formula>NOT(ISERROR(SEARCH("김지윤",H1098)))</formula>
    </cfRule>
    <cfRule type="containsText" dxfId="1681" priority="2417" operator="containsText" text="전준영">
      <formula>NOT(ISERROR(SEARCH("전준영",H1098)))</formula>
    </cfRule>
    <cfRule type="containsText" dxfId="1680" priority="2418" operator="containsText" text="차재성">
      <formula>NOT(ISERROR(SEARCH("차재성",H1098)))</formula>
    </cfRule>
  </conditionalFormatting>
  <conditionalFormatting sqref="L66">
    <cfRule type="containsText" dxfId="1679" priority="2425" operator="containsText" text="허하나로">
      <formula>NOT(ISERROR(SEARCH("허하나로",J1232)))</formula>
    </cfRule>
    <cfRule type="containsText" dxfId="1678" priority="2426" operator="containsText" text="한별">
      <formula>NOT(ISERROR(SEARCH("한별",J1232)))</formula>
    </cfRule>
    <cfRule type="containsText" dxfId="1677" priority="2427" operator="containsText" text="정홍조">
      <formula>NOT(ISERROR(SEARCH("정홍조",J1232)))</formula>
    </cfRule>
    <cfRule type="containsText" dxfId="1676" priority="2428" operator="containsText" text="김지윤">
      <formula>NOT(ISERROR(SEARCH("김지윤",J1232)))</formula>
    </cfRule>
    <cfRule type="containsText" dxfId="1675" priority="2429" operator="containsText" text="전준영">
      <formula>NOT(ISERROR(SEARCH("전준영",J1232)))</formula>
    </cfRule>
    <cfRule type="containsText" dxfId="1674" priority="2430" operator="containsText" text="차재성">
      <formula>NOT(ISERROR(SEARCH("차재성",J1232)))</formula>
    </cfRule>
  </conditionalFormatting>
  <conditionalFormatting sqref="J64">
    <cfRule type="containsText" dxfId="1673" priority="2443" operator="containsText" text="허하나로">
      <formula>NOT(ISERROR(SEARCH("허하나로",H1098)))</formula>
    </cfRule>
    <cfRule type="containsText" dxfId="1672" priority="2444" operator="containsText" text="한별">
      <formula>NOT(ISERROR(SEARCH("한별",H1098)))</formula>
    </cfRule>
    <cfRule type="containsText" dxfId="1671" priority="2445" operator="containsText" text="정홍조">
      <formula>NOT(ISERROR(SEARCH("정홍조",H1098)))</formula>
    </cfRule>
    <cfRule type="containsText" dxfId="1670" priority="2446" operator="containsText" text="김지윤">
      <formula>NOT(ISERROR(SEARCH("김지윤",H1098)))</formula>
    </cfRule>
    <cfRule type="containsText" dxfId="1669" priority="2447" operator="containsText" text="전준영">
      <formula>NOT(ISERROR(SEARCH("전준영",H1098)))</formula>
    </cfRule>
    <cfRule type="containsText" dxfId="1668" priority="2448" operator="containsText" text="차재성">
      <formula>NOT(ISERROR(SEARCH("차재성",H1098)))</formula>
    </cfRule>
  </conditionalFormatting>
  <conditionalFormatting sqref="J62:J63">
    <cfRule type="containsText" dxfId="1667" priority="2473" operator="containsText" text="허하나로">
      <formula>NOT(ISERROR(SEARCH("허하나로",H1097)))</formula>
    </cfRule>
    <cfRule type="containsText" dxfId="1666" priority="2474" operator="containsText" text="한별">
      <formula>NOT(ISERROR(SEARCH("한별",H1097)))</formula>
    </cfRule>
    <cfRule type="containsText" dxfId="1665" priority="2475" operator="containsText" text="정홍조">
      <formula>NOT(ISERROR(SEARCH("정홍조",H1097)))</formula>
    </cfRule>
    <cfRule type="containsText" dxfId="1664" priority="2476" operator="containsText" text="김지윤">
      <formula>NOT(ISERROR(SEARCH("김지윤",H1097)))</formula>
    </cfRule>
    <cfRule type="containsText" dxfId="1663" priority="2477" operator="containsText" text="전준영">
      <formula>NOT(ISERROR(SEARCH("전준영",H1097)))</formula>
    </cfRule>
    <cfRule type="containsText" dxfId="1662" priority="2478" operator="containsText" text="차재성">
      <formula>NOT(ISERROR(SEARCH("차재성",H1097)))</formula>
    </cfRule>
  </conditionalFormatting>
  <conditionalFormatting sqref="L62">
    <cfRule type="containsText" dxfId="1661" priority="2485" operator="containsText" text="허하나로">
      <formula>NOT(ISERROR(SEARCH("허하나로",J1231)))</formula>
    </cfRule>
    <cfRule type="containsText" dxfId="1660" priority="2486" operator="containsText" text="한별">
      <formula>NOT(ISERROR(SEARCH("한별",J1231)))</formula>
    </cfRule>
    <cfRule type="containsText" dxfId="1659" priority="2487" operator="containsText" text="정홍조">
      <formula>NOT(ISERROR(SEARCH("정홍조",J1231)))</formula>
    </cfRule>
    <cfRule type="containsText" dxfId="1658" priority="2488" operator="containsText" text="김지윤">
      <formula>NOT(ISERROR(SEARCH("김지윤",J1231)))</formula>
    </cfRule>
    <cfRule type="containsText" dxfId="1657" priority="2489" operator="containsText" text="전준영">
      <formula>NOT(ISERROR(SEARCH("전준영",J1231)))</formula>
    </cfRule>
    <cfRule type="containsText" dxfId="1656" priority="2490" operator="containsText" text="차재성">
      <formula>NOT(ISERROR(SEARCH("차재성",J1231)))</formula>
    </cfRule>
  </conditionalFormatting>
  <conditionalFormatting sqref="J100">
    <cfRule type="containsText" dxfId="1655" priority="2491" operator="containsText" text="허하나로">
      <formula>NOT(ISERROR(SEARCH("허하나로",H1100)))</formula>
    </cfRule>
    <cfRule type="containsText" dxfId="1654" priority="2492" operator="containsText" text="한별">
      <formula>NOT(ISERROR(SEARCH("한별",H1100)))</formula>
    </cfRule>
    <cfRule type="containsText" dxfId="1653" priority="2493" operator="containsText" text="정홍조">
      <formula>NOT(ISERROR(SEARCH("정홍조",H1100)))</formula>
    </cfRule>
    <cfRule type="containsText" dxfId="1652" priority="2494" operator="containsText" text="김지윤">
      <formula>NOT(ISERROR(SEARCH("김지윤",H1100)))</formula>
    </cfRule>
    <cfRule type="containsText" dxfId="1651" priority="2495" operator="containsText" text="전준영">
      <formula>NOT(ISERROR(SEARCH("전준영",H1100)))</formula>
    </cfRule>
    <cfRule type="containsText" dxfId="1650" priority="2496" operator="containsText" text="차재성">
      <formula>NOT(ISERROR(SEARCH("차재성",H1100)))</formula>
    </cfRule>
  </conditionalFormatting>
  <conditionalFormatting sqref="J89">
    <cfRule type="containsText" dxfId="1649" priority="2521" operator="containsText" text="허하나로">
      <formula>NOT(ISERROR(SEARCH("허하나로",H1099)))</formula>
    </cfRule>
    <cfRule type="containsText" dxfId="1648" priority="2522" operator="containsText" text="한별">
      <formula>NOT(ISERROR(SEARCH("한별",H1099)))</formula>
    </cfRule>
    <cfRule type="containsText" dxfId="1647" priority="2523" operator="containsText" text="정홍조">
      <formula>NOT(ISERROR(SEARCH("정홍조",H1099)))</formula>
    </cfRule>
    <cfRule type="containsText" dxfId="1646" priority="2524" operator="containsText" text="김지윤">
      <formula>NOT(ISERROR(SEARCH("김지윤",H1099)))</formula>
    </cfRule>
    <cfRule type="containsText" dxfId="1645" priority="2525" operator="containsText" text="전준영">
      <formula>NOT(ISERROR(SEARCH("전준영",H1099)))</formula>
    </cfRule>
    <cfRule type="containsText" dxfId="1644" priority="2526" operator="containsText" text="차재성">
      <formula>NOT(ISERROR(SEARCH("차재성",H1099)))</formula>
    </cfRule>
  </conditionalFormatting>
  <conditionalFormatting sqref="J85">
    <cfRule type="containsText" dxfId="1643" priority="2611" operator="containsText" text="허하나로">
      <formula>NOT(ISERROR(SEARCH("허하나로",H1099)))</formula>
    </cfRule>
    <cfRule type="containsText" dxfId="1642" priority="2612" operator="containsText" text="한별">
      <formula>NOT(ISERROR(SEARCH("한별",H1099)))</formula>
    </cfRule>
    <cfRule type="containsText" dxfId="1641" priority="2613" operator="containsText" text="정홍조">
      <formula>NOT(ISERROR(SEARCH("정홍조",H1099)))</formula>
    </cfRule>
    <cfRule type="containsText" dxfId="1640" priority="2614" operator="containsText" text="김지윤">
      <formula>NOT(ISERROR(SEARCH("김지윤",H1099)))</formula>
    </cfRule>
    <cfRule type="containsText" dxfId="1639" priority="2615" operator="containsText" text="전준영">
      <formula>NOT(ISERROR(SEARCH("전준영",H1099)))</formula>
    </cfRule>
    <cfRule type="containsText" dxfId="1638" priority="2616" operator="containsText" text="차재성">
      <formula>NOT(ISERROR(SEARCH("차재성",H1099)))</formula>
    </cfRule>
  </conditionalFormatting>
  <conditionalFormatting sqref="J83">
    <cfRule type="containsText" dxfId="1637" priority="2641" operator="containsText" text="허하나로">
      <formula>NOT(ISERROR(SEARCH("허하나로",H1099)))</formula>
    </cfRule>
    <cfRule type="containsText" dxfId="1636" priority="2642" operator="containsText" text="한별">
      <formula>NOT(ISERROR(SEARCH("한별",H1099)))</formula>
    </cfRule>
    <cfRule type="containsText" dxfId="1635" priority="2643" operator="containsText" text="정홍조">
      <formula>NOT(ISERROR(SEARCH("정홍조",H1099)))</formula>
    </cfRule>
    <cfRule type="containsText" dxfId="1634" priority="2644" operator="containsText" text="김지윤">
      <formula>NOT(ISERROR(SEARCH("김지윤",H1099)))</formula>
    </cfRule>
    <cfRule type="containsText" dxfId="1633" priority="2645" operator="containsText" text="전준영">
      <formula>NOT(ISERROR(SEARCH("전준영",H1099)))</formula>
    </cfRule>
    <cfRule type="containsText" dxfId="1632" priority="2646" operator="containsText" text="차재성">
      <formula>NOT(ISERROR(SEARCH("차재성",H1099)))</formula>
    </cfRule>
  </conditionalFormatting>
  <conditionalFormatting sqref="J82">
    <cfRule type="containsText" dxfId="1631" priority="2671" operator="containsText" text="허하나로">
      <formula>NOT(ISERROR(SEARCH("허하나로",H1099)))</formula>
    </cfRule>
    <cfRule type="containsText" dxfId="1630" priority="2672" operator="containsText" text="한별">
      <formula>NOT(ISERROR(SEARCH("한별",H1099)))</formula>
    </cfRule>
    <cfRule type="containsText" dxfId="1629" priority="2673" operator="containsText" text="정홍조">
      <formula>NOT(ISERROR(SEARCH("정홍조",H1099)))</formula>
    </cfRule>
    <cfRule type="containsText" dxfId="1628" priority="2674" operator="containsText" text="김지윤">
      <formula>NOT(ISERROR(SEARCH("김지윤",H1099)))</formula>
    </cfRule>
    <cfRule type="containsText" dxfId="1627" priority="2675" operator="containsText" text="전준영">
      <formula>NOT(ISERROR(SEARCH("전준영",H1099)))</formula>
    </cfRule>
    <cfRule type="containsText" dxfId="1626" priority="2676" operator="containsText" text="차재성">
      <formula>NOT(ISERROR(SEARCH("차재성",H1099)))</formula>
    </cfRule>
  </conditionalFormatting>
  <conditionalFormatting sqref="J73:J74">
    <cfRule type="containsText" dxfId="1625" priority="2881" operator="containsText" text="허하나로">
      <formula>NOT(ISERROR(SEARCH("허하나로",H1101)))</formula>
    </cfRule>
    <cfRule type="containsText" dxfId="1624" priority="2882" operator="containsText" text="한별">
      <formula>NOT(ISERROR(SEARCH("한별",H1101)))</formula>
    </cfRule>
    <cfRule type="containsText" dxfId="1623" priority="2883" operator="containsText" text="정홍조">
      <formula>NOT(ISERROR(SEARCH("정홍조",H1101)))</formula>
    </cfRule>
    <cfRule type="containsText" dxfId="1622" priority="2884" operator="containsText" text="김지윤">
      <formula>NOT(ISERROR(SEARCH("김지윤",H1101)))</formula>
    </cfRule>
    <cfRule type="containsText" dxfId="1621" priority="2885" operator="containsText" text="전준영">
      <formula>NOT(ISERROR(SEARCH("전준영",H1101)))</formula>
    </cfRule>
    <cfRule type="containsText" dxfId="1620" priority="2886" operator="containsText" text="차재성">
      <formula>NOT(ISERROR(SEARCH("차재성",H1101)))</formula>
    </cfRule>
  </conditionalFormatting>
  <conditionalFormatting sqref="J75:J77">
    <cfRule type="containsText" dxfId="1619" priority="583" operator="containsText" text="허하나로">
      <formula>NOT(ISERROR(SEARCH("허하나로",H1140)))</formula>
    </cfRule>
    <cfRule type="containsText" dxfId="1618" priority="584" operator="containsText" text="한별">
      <formula>NOT(ISERROR(SEARCH("한별",H1140)))</formula>
    </cfRule>
    <cfRule type="containsText" dxfId="1617" priority="585" operator="containsText" text="정홍조">
      <formula>NOT(ISERROR(SEARCH("정홍조",H1140)))</formula>
    </cfRule>
    <cfRule type="containsText" dxfId="1616" priority="586" operator="containsText" text="김지윤">
      <formula>NOT(ISERROR(SEARCH("김지윤",H1140)))</formula>
    </cfRule>
    <cfRule type="containsText" dxfId="1615" priority="587" operator="containsText" text="전준영">
      <formula>NOT(ISERROR(SEARCH("전준영",H1140)))</formula>
    </cfRule>
    <cfRule type="containsText" dxfId="1614" priority="588" operator="containsText" text="차재성">
      <formula>NOT(ISERROR(SEARCH("차재성",H1140)))</formula>
    </cfRule>
  </conditionalFormatting>
  <conditionalFormatting sqref="J78">
    <cfRule type="containsText" dxfId="1613" priority="571" operator="containsText" text="허하나로">
      <formula>NOT(ISERROR(SEARCH("허하나로",H1142)))</formula>
    </cfRule>
    <cfRule type="containsText" dxfId="1612" priority="572" operator="containsText" text="한별">
      <formula>NOT(ISERROR(SEARCH("한별",H1142)))</formula>
    </cfRule>
    <cfRule type="containsText" dxfId="1611" priority="573" operator="containsText" text="정홍조">
      <formula>NOT(ISERROR(SEARCH("정홍조",H1142)))</formula>
    </cfRule>
    <cfRule type="containsText" dxfId="1610" priority="574" operator="containsText" text="김지윤">
      <formula>NOT(ISERROR(SEARCH("김지윤",H1142)))</formula>
    </cfRule>
    <cfRule type="containsText" dxfId="1609" priority="575" operator="containsText" text="전준영">
      <formula>NOT(ISERROR(SEARCH("전준영",H1142)))</formula>
    </cfRule>
    <cfRule type="containsText" dxfId="1608" priority="576" operator="containsText" text="차재성">
      <formula>NOT(ISERROR(SEARCH("차재성",H1142)))</formula>
    </cfRule>
  </conditionalFormatting>
  <conditionalFormatting sqref="J79">
    <cfRule type="containsText" dxfId="1607" priority="565" operator="containsText" text="허하나로">
      <formula>NOT(ISERROR(SEARCH("허하나로",H1145)))</formula>
    </cfRule>
    <cfRule type="containsText" dxfId="1606" priority="566" operator="containsText" text="한별">
      <formula>NOT(ISERROR(SEARCH("한별",H1145)))</formula>
    </cfRule>
    <cfRule type="containsText" dxfId="1605" priority="567" operator="containsText" text="정홍조">
      <formula>NOT(ISERROR(SEARCH("정홍조",H1145)))</formula>
    </cfRule>
    <cfRule type="containsText" dxfId="1604" priority="568" operator="containsText" text="김지윤">
      <formula>NOT(ISERROR(SEARCH("김지윤",H1145)))</formula>
    </cfRule>
    <cfRule type="containsText" dxfId="1603" priority="569" operator="containsText" text="전준영">
      <formula>NOT(ISERROR(SEARCH("전준영",H1145)))</formula>
    </cfRule>
    <cfRule type="containsText" dxfId="1602" priority="570" operator="containsText" text="차재성">
      <formula>NOT(ISERROR(SEARCH("차재성",H1145)))</formula>
    </cfRule>
  </conditionalFormatting>
  <conditionalFormatting sqref="J80">
    <cfRule type="containsText" dxfId="1601" priority="559" operator="containsText" text="허하나로">
      <formula>NOT(ISERROR(SEARCH("허하나로",H1146)))</formula>
    </cfRule>
    <cfRule type="containsText" dxfId="1600" priority="560" operator="containsText" text="한별">
      <formula>NOT(ISERROR(SEARCH("한별",H1146)))</formula>
    </cfRule>
    <cfRule type="containsText" dxfId="1599" priority="561" operator="containsText" text="정홍조">
      <formula>NOT(ISERROR(SEARCH("정홍조",H1146)))</formula>
    </cfRule>
    <cfRule type="containsText" dxfId="1598" priority="562" operator="containsText" text="김지윤">
      <formula>NOT(ISERROR(SEARCH("김지윤",H1146)))</formula>
    </cfRule>
    <cfRule type="containsText" dxfId="1597" priority="563" operator="containsText" text="전준영">
      <formula>NOT(ISERROR(SEARCH("전준영",H1146)))</formula>
    </cfRule>
    <cfRule type="containsText" dxfId="1596" priority="564" operator="containsText" text="차재성">
      <formula>NOT(ISERROR(SEARCH("차재성",H1146)))</formula>
    </cfRule>
  </conditionalFormatting>
  <conditionalFormatting sqref="J87">
    <cfRule type="containsText" dxfId="1595" priority="553" operator="containsText" text="허하나로">
      <formula>NOT(ISERROR(SEARCH("허하나로",H1150)))</formula>
    </cfRule>
    <cfRule type="containsText" dxfId="1594" priority="554" operator="containsText" text="한별">
      <formula>NOT(ISERROR(SEARCH("한별",H1150)))</formula>
    </cfRule>
    <cfRule type="containsText" dxfId="1593" priority="555" operator="containsText" text="정홍조">
      <formula>NOT(ISERROR(SEARCH("정홍조",H1150)))</formula>
    </cfRule>
    <cfRule type="containsText" dxfId="1592" priority="556" operator="containsText" text="김지윤">
      <formula>NOT(ISERROR(SEARCH("김지윤",H1150)))</formula>
    </cfRule>
    <cfRule type="containsText" dxfId="1591" priority="557" operator="containsText" text="전준영">
      <formula>NOT(ISERROR(SEARCH("전준영",H1150)))</formula>
    </cfRule>
    <cfRule type="containsText" dxfId="1590" priority="558" operator="containsText" text="차재성">
      <formula>NOT(ISERROR(SEARCH("차재성",H1150)))</formula>
    </cfRule>
  </conditionalFormatting>
  <conditionalFormatting sqref="J88">
    <cfRule type="containsText" dxfId="1589" priority="547" operator="containsText" text="허하나로">
      <formula>NOT(ISERROR(SEARCH("허하나로",H1151)))</formula>
    </cfRule>
    <cfRule type="containsText" dxfId="1588" priority="548" operator="containsText" text="한별">
      <formula>NOT(ISERROR(SEARCH("한별",H1151)))</formula>
    </cfRule>
    <cfRule type="containsText" dxfId="1587" priority="549" operator="containsText" text="정홍조">
      <formula>NOT(ISERROR(SEARCH("정홍조",H1151)))</formula>
    </cfRule>
    <cfRule type="containsText" dxfId="1586" priority="550" operator="containsText" text="김지윤">
      <formula>NOT(ISERROR(SEARCH("김지윤",H1151)))</formula>
    </cfRule>
    <cfRule type="containsText" dxfId="1585" priority="551" operator="containsText" text="전준영">
      <formula>NOT(ISERROR(SEARCH("전준영",H1151)))</formula>
    </cfRule>
    <cfRule type="containsText" dxfId="1584" priority="552" operator="containsText" text="차재성">
      <formula>NOT(ISERROR(SEARCH("차재성",H1151)))</formula>
    </cfRule>
  </conditionalFormatting>
  <conditionalFormatting sqref="J99">
    <cfRule type="containsText" dxfId="1583" priority="2899" operator="containsText" text="허하나로">
      <formula>NOT(ISERROR(SEARCH("허하나로",H1100)))</formula>
    </cfRule>
    <cfRule type="containsText" dxfId="1582" priority="2900" operator="containsText" text="한별">
      <formula>NOT(ISERROR(SEARCH("한별",H1100)))</formula>
    </cfRule>
    <cfRule type="containsText" dxfId="1581" priority="2901" operator="containsText" text="정홍조">
      <formula>NOT(ISERROR(SEARCH("정홍조",H1100)))</formula>
    </cfRule>
    <cfRule type="containsText" dxfId="1580" priority="2902" operator="containsText" text="김지윤">
      <formula>NOT(ISERROR(SEARCH("김지윤",H1100)))</formula>
    </cfRule>
    <cfRule type="containsText" dxfId="1579" priority="2903" operator="containsText" text="전준영">
      <formula>NOT(ISERROR(SEARCH("전준영",H1100)))</formula>
    </cfRule>
    <cfRule type="containsText" dxfId="1578" priority="2904" operator="containsText" text="차재성">
      <formula>NOT(ISERROR(SEARCH("차재성",H1100)))</formula>
    </cfRule>
  </conditionalFormatting>
  <conditionalFormatting sqref="J92">
    <cfRule type="containsText" dxfId="1577" priority="3079" operator="containsText" text="허하나로">
      <formula>NOT(ISERROR(SEARCH("허하나로",H1100)))</formula>
    </cfRule>
    <cfRule type="containsText" dxfId="1576" priority="3080" operator="containsText" text="한별">
      <formula>NOT(ISERROR(SEARCH("한별",H1100)))</formula>
    </cfRule>
    <cfRule type="containsText" dxfId="1575" priority="3081" operator="containsText" text="정홍조">
      <formula>NOT(ISERROR(SEARCH("정홍조",H1100)))</formula>
    </cfRule>
    <cfRule type="containsText" dxfId="1574" priority="3082" operator="containsText" text="김지윤">
      <formula>NOT(ISERROR(SEARCH("김지윤",H1100)))</formula>
    </cfRule>
    <cfRule type="containsText" dxfId="1573" priority="3083" operator="containsText" text="전준영">
      <formula>NOT(ISERROR(SEARCH("전준영",H1100)))</formula>
    </cfRule>
    <cfRule type="containsText" dxfId="1572" priority="3084" operator="containsText" text="차재성">
      <formula>NOT(ISERROR(SEARCH("차재성",H1100)))</formula>
    </cfRule>
  </conditionalFormatting>
  <conditionalFormatting sqref="J91">
    <cfRule type="containsText" dxfId="1571" priority="3097" operator="containsText" text="허하나로">
      <formula>NOT(ISERROR(SEARCH("허하나로",H1100)))</formula>
    </cfRule>
    <cfRule type="containsText" dxfId="1570" priority="3098" operator="containsText" text="한별">
      <formula>NOT(ISERROR(SEARCH("한별",H1100)))</formula>
    </cfRule>
    <cfRule type="containsText" dxfId="1569" priority="3099" operator="containsText" text="정홍조">
      <formula>NOT(ISERROR(SEARCH("정홍조",H1100)))</formula>
    </cfRule>
    <cfRule type="containsText" dxfId="1568" priority="3100" operator="containsText" text="김지윤">
      <formula>NOT(ISERROR(SEARCH("김지윤",H1100)))</formula>
    </cfRule>
    <cfRule type="containsText" dxfId="1567" priority="3101" operator="containsText" text="전준영">
      <formula>NOT(ISERROR(SEARCH("전준영",H1100)))</formula>
    </cfRule>
    <cfRule type="containsText" dxfId="1566" priority="3102" operator="containsText" text="차재성">
      <formula>NOT(ISERROR(SEARCH("차재성",H1100)))</formula>
    </cfRule>
  </conditionalFormatting>
  <conditionalFormatting sqref="J95">
    <cfRule type="containsText" dxfId="1565" priority="529" operator="containsText" text="허하나로">
      <formula>NOT(ISERROR(SEARCH("허하나로",H1103)))</formula>
    </cfRule>
    <cfRule type="containsText" dxfId="1564" priority="530" operator="containsText" text="한별">
      <formula>NOT(ISERROR(SEARCH("한별",H1103)))</formula>
    </cfRule>
    <cfRule type="containsText" dxfId="1563" priority="531" operator="containsText" text="정홍조">
      <formula>NOT(ISERROR(SEARCH("정홍조",H1103)))</formula>
    </cfRule>
    <cfRule type="containsText" dxfId="1562" priority="532" operator="containsText" text="김지윤">
      <formula>NOT(ISERROR(SEARCH("김지윤",H1103)))</formula>
    </cfRule>
    <cfRule type="containsText" dxfId="1561" priority="533" operator="containsText" text="전준영">
      <formula>NOT(ISERROR(SEARCH("전준영",H1103)))</formula>
    </cfRule>
    <cfRule type="containsText" dxfId="1560" priority="534" operator="containsText" text="차재성">
      <formula>NOT(ISERROR(SEARCH("차재성",H1103)))</formula>
    </cfRule>
  </conditionalFormatting>
  <conditionalFormatting sqref="J93">
    <cfRule type="containsText" dxfId="1559" priority="523" operator="containsText" text="허하나로">
      <formula>NOT(ISERROR(SEARCH("허하나로",H1159)))</formula>
    </cfRule>
    <cfRule type="containsText" dxfId="1558" priority="524" operator="containsText" text="한별">
      <formula>NOT(ISERROR(SEARCH("한별",H1159)))</formula>
    </cfRule>
    <cfRule type="containsText" dxfId="1557" priority="525" operator="containsText" text="정홍조">
      <formula>NOT(ISERROR(SEARCH("정홍조",H1159)))</formula>
    </cfRule>
    <cfRule type="containsText" dxfId="1556" priority="526" operator="containsText" text="김지윤">
      <formula>NOT(ISERROR(SEARCH("김지윤",H1159)))</formula>
    </cfRule>
    <cfRule type="containsText" dxfId="1555" priority="527" operator="containsText" text="전준영">
      <formula>NOT(ISERROR(SEARCH("전준영",H1159)))</formula>
    </cfRule>
    <cfRule type="containsText" dxfId="1554" priority="528" operator="containsText" text="차재성">
      <formula>NOT(ISERROR(SEARCH("차재성",H1159)))</formula>
    </cfRule>
  </conditionalFormatting>
  <conditionalFormatting sqref="J94">
    <cfRule type="containsText" dxfId="1553" priority="517" operator="containsText" text="허하나로">
      <formula>NOT(ISERROR(SEARCH("허하나로",H1160)))</formula>
    </cfRule>
    <cfRule type="containsText" dxfId="1552" priority="518" operator="containsText" text="한별">
      <formula>NOT(ISERROR(SEARCH("한별",H1160)))</formula>
    </cfRule>
    <cfRule type="containsText" dxfId="1551" priority="519" operator="containsText" text="정홍조">
      <formula>NOT(ISERROR(SEARCH("정홍조",H1160)))</formula>
    </cfRule>
    <cfRule type="containsText" dxfId="1550" priority="520" operator="containsText" text="김지윤">
      <formula>NOT(ISERROR(SEARCH("김지윤",H1160)))</formula>
    </cfRule>
    <cfRule type="containsText" dxfId="1549" priority="521" operator="containsText" text="전준영">
      <formula>NOT(ISERROR(SEARCH("전준영",H1160)))</formula>
    </cfRule>
    <cfRule type="containsText" dxfId="1548" priority="522" operator="containsText" text="차재성">
      <formula>NOT(ISERROR(SEARCH("차재성",H1160)))</formula>
    </cfRule>
  </conditionalFormatting>
  <conditionalFormatting sqref="J98">
    <cfRule type="containsText" dxfId="1547" priority="511" operator="containsText" text="허하나로">
      <formula>NOT(ISERROR(SEARCH("허하나로",H1106)))</formula>
    </cfRule>
    <cfRule type="containsText" dxfId="1546" priority="512" operator="containsText" text="한별">
      <formula>NOT(ISERROR(SEARCH("한별",H1106)))</formula>
    </cfRule>
    <cfRule type="containsText" dxfId="1545" priority="513" operator="containsText" text="정홍조">
      <formula>NOT(ISERROR(SEARCH("정홍조",H1106)))</formula>
    </cfRule>
    <cfRule type="containsText" dxfId="1544" priority="514" operator="containsText" text="김지윤">
      <formula>NOT(ISERROR(SEARCH("김지윤",H1106)))</formula>
    </cfRule>
    <cfRule type="containsText" dxfId="1543" priority="515" operator="containsText" text="전준영">
      <formula>NOT(ISERROR(SEARCH("전준영",H1106)))</formula>
    </cfRule>
    <cfRule type="containsText" dxfId="1542" priority="516" operator="containsText" text="차재성">
      <formula>NOT(ISERROR(SEARCH("차재성",H1106)))</formula>
    </cfRule>
  </conditionalFormatting>
  <conditionalFormatting sqref="J96">
    <cfRule type="containsText" dxfId="1541" priority="505" operator="containsText" text="허하나로">
      <formula>NOT(ISERROR(SEARCH("허하나로",H1162)))</formula>
    </cfRule>
    <cfRule type="containsText" dxfId="1540" priority="506" operator="containsText" text="한별">
      <formula>NOT(ISERROR(SEARCH("한별",H1162)))</formula>
    </cfRule>
    <cfRule type="containsText" dxfId="1539" priority="507" operator="containsText" text="정홍조">
      <formula>NOT(ISERROR(SEARCH("정홍조",H1162)))</formula>
    </cfRule>
    <cfRule type="containsText" dxfId="1538" priority="508" operator="containsText" text="김지윤">
      <formula>NOT(ISERROR(SEARCH("김지윤",H1162)))</formula>
    </cfRule>
    <cfRule type="containsText" dxfId="1537" priority="509" operator="containsText" text="전준영">
      <formula>NOT(ISERROR(SEARCH("전준영",H1162)))</formula>
    </cfRule>
    <cfRule type="containsText" dxfId="1536" priority="510" operator="containsText" text="차재성">
      <formula>NOT(ISERROR(SEARCH("차재성",H1162)))</formula>
    </cfRule>
  </conditionalFormatting>
  <conditionalFormatting sqref="J97">
    <cfRule type="containsText" dxfId="1535" priority="499" operator="containsText" text="허하나로">
      <formula>NOT(ISERROR(SEARCH("허하나로",H1163)))</formula>
    </cfRule>
    <cfRule type="containsText" dxfId="1534" priority="500" operator="containsText" text="한별">
      <formula>NOT(ISERROR(SEARCH("한별",H1163)))</formula>
    </cfRule>
    <cfRule type="containsText" dxfId="1533" priority="501" operator="containsText" text="정홍조">
      <formula>NOT(ISERROR(SEARCH("정홍조",H1163)))</formula>
    </cfRule>
    <cfRule type="containsText" dxfId="1532" priority="502" operator="containsText" text="김지윤">
      <formula>NOT(ISERROR(SEARCH("김지윤",H1163)))</formula>
    </cfRule>
    <cfRule type="containsText" dxfId="1531" priority="503" operator="containsText" text="전준영">
      <formula>NOT(ISERROR(SEARCH("전준영",H1163)))</formula>
    </cfRule>
    <cfRule type="containsText" dxfId="1530" priority="504" operator="containsText" text="차재성">
      <formula>NOT(ISERROR(SEARCH("차재성",H1163)))</formula>
    </cfRule>
  </conditionalFormatting>
  <conditionalFormatting sqref="J69">
    <cfRule type="containsText" dxfId="1529" priority="3445" operator="containsText" text="허하나로">
      <formula>NOT(ISERROR(SEARCH("허하나로",H1099)))</formula>
    </cfRule>
    <cfRule type="containsText" dxfId="1528" priority="3446" operator="containsText" text="한별">
      <formula>NOT(ISERROR(SEARCH("한별",H1099)))</formula>
    </cfRule>
    <cfRule type="containsText" dxfId="1527" priority="3447" operator="containsText" text="정홍조">
      <formula>NOT(ISERROR(SEARCH("정홍조",H1099)))</formula>
    </cfRule>
    <cfRule type="containsText" dxfId="1526" priority="3448" operator="containsText" text="김지윤">
      <formula>NOT(ISERROR(SEARCH("김지윤",H1099)))</formula>
    </cfRule>
    <cfRule type="containsText" dxfId="1525" priority="3449" operator="containsText" text="전준영">
      <formula>NOT(ISERROR(SEARCH("전준영",H1099)))</formula>
    </cfRule>
    <cfRule type="containsText" dxfId="1524" priority="3450" operator="containsText" text="차재성">
      <formula>NOT(ISERROR(SEARCH("차재성",H1099)))</formula>
    </cfRule>
  </conditionalFormatting>
  <conditionalFormatting sqref="J36:J37 J40:J42 J28 J33:J34">
    <cfRule type="containsText" dxfId="1523" priority="3463" operator="containsText" text="허하나로">
      <formula>NOT(ISERROR(SEARCH("허하나로",H1096)))</formula>
    </cfRule>
    <cfRule type="containsText" dxfId="1522" priority="3464" operator="containsText" text="한별">
      <formula>NOT(ISERROR(SEARCH("한별",H1096)))</formula>
    </cfRule>
    <cfRule type="containsText" dxfId="1521" priority="3465" operator="containsText" text="정홍조">
      <formula>NOT(ISERROR(SEARCH("정홍조",H1096)))</formula>
    </cfRule>
    <cfRule type="containsText" dxfId="1520" priority="3466" operator="containsText" text="김지윤">
      <formula>NOT(ISERROR(SEARCH("김지윤",H1096)))</formula>
    </cfRule>
    <cfRule type="containsText" dxfId="1519" priority="3467" operator="containsText" text="전준영">
      <formula>NOT(ISERROR(SEARCH("전준영",H1096)))</formula>
    </cfRule>
    <cfRule type="containsText" dxfId="1518" priority="3468" operator="containsText" text="차재성">
      <formula>NOT(ISERROR(SEARCH("차재성",H1096)))</formula>
    </cfRule>
  </conditionalFormatting>
  <conditionalFormatting sqref="J44">
    <cfRule type="containsText" dxfId="1517" priority="3469" operator="containsText" text="허하나로">
      <formula>NOT(ISERROR(SEARCH("허하나로",H1110)))</formula>
    </cfRule>
    <cfRule type="containsText" dxfId="1516" priority="3470" operator="containsText" text="한별">
      <formula>NOT(ISERROR(SEARCH("한별",H1110)))</formula>
    </cfRule>
    <cfRule type="containsText" dxfId="1515" priority="3471" operator="containsText" text="정홍조">
      <formula>NOT(ISERROR(SEARCH("정홍조",H1110)))</formula>
    </cfRule>
    <cfRule type="containsText" dxfId="1514" priority="3472" operator="containsText" text="김지윤">
      <formula>NOT(ISERROR(SEARCH("김지윤",H1110)))</formula>
    </cfRule>
    <cfRule type="containsText" dxfId="1513" priority="3473" operator="containsText" text="전준영">
      <formula>NOT(ISERROR(SEARCH("전준영",H1110)))</formula>
    </cfRule>
    <cfRule type="containsText" dxfId="1512" priority="3474" operator="containsText" text="차재성">
      <formula>NOT(ISERROR(SEARCH("차재성",H1110)))</formula>
    </cfRule>
  </conditionalFormatting>
  <conditionalFormatting sqref="J35">
    <cfRule type="containsText" dxfId="1511" priority="259" operator="containsText" text="허하나로">
      <formula>NOT(ISERROR(SEARCH("허하나로",H1101)))</formula>
    </cfRule>
    <cfRule type="containsText" dxfId="1510" priority="260" operator="containsText" text="한별">
      <formula>NOT(ISERROR(SEARCH("한별",H1101)))</formula>
    </cfRule>
    <cfRule type="containsText" dxfId="1509" priority="261" operator="containsText" text="정홍조">
      <formula>NOT(ISERROR(SEARCH("정홍조",H1101)))</formula>
    </cfRule>
    <cfRule type="containsText" dxfId="1508" priority="262" operator="containsText" text="김지윤">
      <formula>NOT(ISERROR(SEARCH("김지윤",H1101)))</formula>
    </cfRule>
    <cfRule type="containsText" dxfId="1507" priority="263" operator="containsText" text="전준영">
      <formula>NOT(ISERROR(SEARCH("전준영",H1101)))</formula>
    </cfRule>
    <cfRule type="containsText" dxfId="1506" priority="264" operator="containsText" text="차재성">
      <formula>NOT(ISERROR(SEARCH("차재성",H1101)))</formula>
    </cfRule>
  </conditionalFormatting>
  <conditionalFormatting sqref="J30:J32">
    <cfRule type="containsText" dxfId="1505" priority="271" operator="containsText" text="허하나로">
      <formula>NOT(ISERROR(SEARCH("허하나로",H1100)))</formula>
    </cfRule>
    <cfRule type="containsText" dxfId="1504" priority="272" operator="containsText" text="한별">
      <formula>NOT(ISERROR(SEARCH("한별",H1100)))</formula>
    </cfRule>
    <cfRule type="containsText" dxfId="1503" priority="273" operator="containsText" text="정홍조">
      <formula>NOT(ISERROR(SEARCH("정홍조",H1100)))</formula>
    </cfRule>
    <cfRule type="containsText" dxfId="1502" priority="274" operator="containsText" text="김지윤">
      <formula>NOT(ISERROR(SEARCH("김지윤",H1100)))</formula>
    </cfRule>
    <cfRule type="containsText" dxfId="1501" priority="275" operator="containsText" text="전준영">
      <formula>NOT(ISERROR(SEARCH("전준영",H1100)))</formula>
    </cfRule>
    <cfRule type="containsText" dxfId="1500" priority="276" operator="containsText" text="차재성">
      <formula>NOT(ISERROR(SEARCH("차재성",H1100)))</formula>
    </cfRule>
  </conditionalFormatting>
  <conditionalFormatting sqref="J43">
    <cfRule type="containsText" dxfId="1499" priority="277" operator="containsText" text="허하나로">
      <formula>NOT(ISERROR(SEARCH("허하나로",H1110)))</formula>
    </cfRule>
    <cfRule type="containsText" dxfId="1498" priority="278" operator="containsText" text="한별">
      <formula>NOT(ISERROR(SEARCH("한별",H1110)))</formula>
    </cfRule>
    <cfRule type="containsText" dxfId="1497" priority="279" operator="containsText" text="정홍조">
      <formula>NOT(ISERROR(SEARCH("정홍조",H1110)))</formula>
    </cfRule>
    <cfRule type="containsText" dxfId="1496" priority="280" operator="containsText" text="김지윤">
      <formula>NOT(ISERROR(SEARCH("김지윤",H1110)))</formula>
    </cfRule>
    <cfRule type="containsText" dxfId="1495" priority="281" operator="containsText" text="전준영">
      <formula>NOT(ISERROR(SEARCH("전준영",H1110)))</formula>
    </cfRule>
    <cfRule type="containsText" dxfId="1494" priority="282" operator="containsText" text="차재성">
      <formula>NOT(ISERROR(SEARCH("차재성",H1110)))</formula>
    </cfRule>
  </conditionalFormatting>
  <conditionalFormatting sqref="J38">
    <cfRule type="containsText" dxfId="1493" priority="235" operator="containsText" text="허하나로">
      <formula>NOT(ISERROR(SEARCH("허하나로",H1104)))</formula>
    </cfRule>
    <cfRule type="containsText" dxfId="1492" priority="236" operator="containsText" text="한별">
      <formula>NOT(ISERROR(SEARCH("한별",H1104)))</formula>
    </cfRule>
    <cfRule type="containsText" dxfId="1491" priority="237" operator="containsText" text="정홍조">
      <formula>NOT(ISERROR(SEARCH("정홍조",H1104)))</formula>
    </cfRule>
    <cfRule type="containsText" dxfId="1490" priority="238" operator="containsText" text="김지윤">
      <formula>NOT(ISERROR(SEARCH("김지윤",H1104)))</formula>
    </cfRule>
    <cfRule type="containsText" dxfId="1489" priority="239" operator="containsText" text="전준영">
      <formula>NOT(ISERROR(SEARCH("전준영",H1104)))</formula>
    </cfRule>
    <cfRule type="containsText" dxfId="1488" priority="240" operator="containsText" text="차재성">
      <formula>NOT(ISERROR(SEARCH("차재성",H1104)))</formula>
    </cfRule>
  </conditionalFormatting>
  <conditionalFormatting sqref="J81">
    <cfRule type="containsText" dxfId="1487" priority="223" operator="containsText" text="허하나로">
      <formula>NOT(ISERROR(SEARCH("허하나로",H1098)))</formula>
    </cfRule>
    <cfRule type="containsText" dxfId="1486" priority="224" operator="containsText" text="한별">
      <formula>NOT(ISERROR(SEARCH("한별",H1098)))</formula>
    </cfRule>
    <cfRule type="containsText" dxfId="1485" priority="225" operator="containsText" text="정홍조">
      <formula>NOT(ISERROR(SEARCH("정홍조",H1098)))</formula>
    </cfRule>
    <cfRule type="containsText" dxfId="1484" priority="226" operator="containsText" text="김지윤">
      <formula>NOT(ISERROR(SEARCH("김지윤",H1098)))</formula>
    </cfRule>
    <cfRule type="containsText" dxfId="1483" priority="227" operator="containsText" text="전준영">
      <formula>NOT(ISERROR(SEARCH("전준영",H1098)))</formula>
    </cfRule>
    <cfRule type="containsText" dxfId="1482" priority="228" operator="containsText" text="차재성">
      <formula>NOT(ISERROR(SEARCH("차재성",H1098)))</formula>
    </cfRule>
  </conditionalFormatting>
  <conditionalFormatting sqref="J84">
    <cfRule type="containsText" dxfId="1481" priority="217" operator="containsText" text="허하나로">
      <formula>NOT(ISERROR(SEARCH("허하나로",H1098)))</formula>
    </cfRule>
    <cfRule type="containsText" dxfId="1480" priority="218" operator="containsText" text="한별">
      <formula>NOT(ISERROR(SEARCH("한별",H1098)))</formula>
    </cfRule>
    <cfRule type="containsText" dxfId="1479" priority="219" operator="containsText" text="정홍조">
      <formula>NOT(ISERROR(SEARCH("정홍조",H1098)))</formula>
    </cfRule>
    <cfRule type="containsText" dxfId="1478" priority="220" operator="containsText" text="김지윤">
      <formula>NOT(ISERROR(SEARCH("김지윤",H1098)))</formula>
    </cfRule>
    <cfRule type="containsText" dxfId="1477" priority="221" operator="containsText" text="전준영">
      <formula>NOT(ISERROR(SEARCH("전준영",H1098)))</formula>
    </cfRule>
    <cfRule type="containsText" dxfId="1476" priority="222" operator="containsText" text="차재성">
      <formula>NOT(ISERROR(SEARCH("차재성",H1098)))</formula>
    </cfRule>
  </conditionalFormatting>
  <conditionalFormatting sqref="J101">
    <cfRule type="containsText" dxfId="1475" priority="163" operator="containsText" text="허하나로">
      <formula>NOT(ISERROR(SEARCH("허하나로",H1140)))</formula>
    </cfRule>
    <cfRule type="containsText" dxfId="1474" priority="164" operator="containsText" text="한별">
      <formula>NOT(ISERROR(SEARCH("한별",H1140)))</formula>
    </cfRule>
    <cfRule type="containsText" dxfId="1473" priority="165" operator="containsText" text="정홍조">
      <formula>NOT(ISERROR(SEARCH("정홍조",H1140)))</formula>
    </cfRule>
    <cfRule type="containsText" dxfId="1472" priority="166" operator="containsText" text="김지윤">
      <formula>NOT(ISERROR(SEARCH("김지윤",H1140)))</formula>
    </cfRule>
    <cfRule type="containsText" dxfId="1471" priority="167" operator="containsText" text="전준영">
      <formula>NOT(ISERROR(SEARCH("전준영",H1140)))</formula>
    </cfRule>
    <cfRule type="containsText" dxfId="1470" priority="168" operator="containsText" text="차재성">
      <formula>NOT(ISERROR(SEARCH("차재성",H1140)))</formula>
    </cfRule>
  </conditionalFormatting>
  <conditionalFormatting sqref="J102:J103">
    <cfRule type="containsText" dxfId="1469" priority="157" operator="containsText" text="허하나로">
      <formula>NOT(ISERROR(SEARCH("허하나로",H1169)))</formula>
    </cfRule>
    <cfRule type="containsText" dxfId="1468" priority="158" operator="containsText" text="한별">
      <formula>NOT(ISERROR(SEARCH("한별",H1169)))</formula>
    </cfRule>
    <cfRule type="containsText" dxfId="1467" priority="159" operator="containsText" text="정홍조">
      <formula>NOT(ISERROR(SEARCH("정홍조",H1169)))</formula>
    </cfRule>
    <cfRule type="containsText" dxfId="1466" priority="160" operator="containsText" text="김지윤">
      <formula>NOT(ISERROR(SEARCH("김지윤",H1169)))</formula>
    </cfRule>
    <cfRule type="containsText" dxfId="1465" priority="161" operator="containsText" text="전준영">
      <formula>NOT(ISERROR(SEARCH("전준영",H1169)))</formula>
    </cfRule>
    <cfRule type="containsText" dxfId="1464" priority="162" operator="containsText" text="차재성">
      <formula>NOT(ISERROR(SEARCH("차재성",H1169)))</formula>
    </cfRule>
  </conditionalFormatting>
  <conditionalFormatting sqref="J114">
    <cfRule type="containsText" dxfId="1463" priority="181" operator="containsText" text="허하나로">
      <formula>NOT(ISERROR(SEARCH("허하나로",H1147)))</formula>
    </cfRule>
    <cfRule type="containsText" dxfId="1462" priority="182" operator="containsText" text="한별">
      <formula>NOT(ISERROR(SEARCH("한별",H1147)))</formula>
    </cfRule>
    <cfRule type="containsText" dxfId="1461" priority="183" operator="containsText" text="정홍조">
      <formula>NOT(ISERROR(SEARCH("정홍조",H1147)))</formula>
    </cfRule>
    <cfRule type="containsText" dxfId="1460" priority="184" operator="containsText" text="김지윤">
      <formula>NOT(ISERROR(SEARCH("김지윤",H1147)))</formula>
    </cfRule>
    <cfRule type="containsText" dxfId="1459" priority="185" operator="containsText" text="전준영">
      <formula>NOT(ISERROR(SEARCH("전준영",H1147)))</formula>
    </cfRule>
    <cfRule type="containsText" dxfId="1458" priority="186" operator="containsText" text="차재성">
      <formula>NOT(ISERROR(SEARCH("차재성",H1147)))</formula>
    </cfRule>
  </conditionalFormatting>
  <conditionalFormatting sqref="J108">
    <cfRule type="containsText" dxfId="1457" priority="193" operator="containsText" text="허하나로">
      <formula>NOT(ISERROR(SEARCH("허하나로",H1147)))</formula>
    </cfRule>
    <cfRule type="containsText" dxfId="1456" priority="194" operator="containsText" text="한별">
      <formula>NOT(ISERROR(SEARCH("한별",H1147)))</formula>
    </cfRule>
    <cfRule type="containsText" dxfId="1455" priority="195" operator="containsText" text="정홍조">
      <formula>NOT(ISERROR(SEARCH("정홍조",H1147)))</formula>
    </cfRule>
    <cfRule type="containsText" dxfId="1454" priority="196" operator="containsText" text="김지윤">
      <formula>NOT(ISERROR(SEARCH("김지윤",H1147)))</formula>
    </cfRule>
    <cfRule type="containsText" dxfId="1453" priority="197" operator="containsText" text="전준영">
      <formula>NOT(ISERROR(SEARCH("전준영",H1147)))</formula>
    </cfRule>
    <cfRule type="containsText" dxfId="1452" priority="198" operator="containsText" text="차재성">
      <formula>NOT(ISERROR(SEARCH("차재성",H1147)))</formula>
    </cfRule>
  </conditionalFormatting>
  <conditionalFormatting sqref="J107">
    <cfRule type="containsText" dxfId="1451" priority="199" operator="containsText" text="허하나로">
      <formula>NOT(ISERROR(SEARCH("허하나로",H1147)))</formula>
    </cfRule>
    <cfRule type="containsText" dxfId="1450" priority="200" operator="containsText" text="한별">
      <formula>NOT(ISERROR(SEARCH("한별",H1147)))</formula>
    </cfRule>
    <cfRule type="containsText" dxfId="1449" priority="201" operator="containsText" text="정홍조">
      <formula>NOT(ISERROR(SEARCH("정홍조",H1147)))</formula>
    </cfRule>
    <cfRule type="containsText" dxfId="1448" priority="202" operator="containsText" text="김지윤">
      <formula>NOT(ISERROR(SEARCH("김지윤",H1147)))</formula>
    </cfRule>
    <cfRule type="containsText" dxfId="1447" priority="203" operator="containsText" text="전준영">
      <formula>NOT(ISERROR(SEARCH("전준영",H1147)))</formula>
    </cfRule>
    <cfRule type="containsText" dxfId="1446" priority="204" operator="containsText" text="차재성">
      <formula>NOT(ISERROR(SEARCH("차재성",H1147)))</formula>
    </cfRule>
  </conditionalFormatting>
  <conditionalFormatting sqref="J106">
    <cfRule type="containsText" dxfId="1445" priority="205" operator="containsText" text="허하나로">
      <formula>NOT(ISERROR(SEARCH("허하나로",H1147)))</formula>
    </cfRule>
    <cfRule type="containsText" dxfId="1444" priority="206" operator="containsText" text="한별">
      <formula>NOT(ISERROR(SEARCH("한별",H1147)))</formula>
    </cfRule>
    <cfRule type="containsText" dxfId="1443" priority="207" operator="containsText" text="정홍조">
      <formula>NOT(ISERROR(SEARCH("정홍조",H1147)))</formula>
    </cfRule>
    <cfRule type="containsText" dxfId="1442" priority="208" operator="containsText" text="김지윤">
      <formula>NOT(ISERROR(SEARCH("김지윤",H1147)))</formula>
    </cfRule>
    <cfRule type="containsText" dxfId="1441" priority="209" operator="containsText" text="전준영">
      <formula>NOT(ISERROR(SEARCH("전준영",H1147)))</formula>
    </cfRule>
    <cfRule type="containsText" dxfId="1440" priority="210" operator="containsText" text="차재성">
      <formula>NOT(ISERROR(SEARCH("차재성",H1147)))</formula>
    </cfRule>
  </conditionalFormatting>
  <conditionalFormatting sqref="J104:J105">
    <cfRule type="containsText" dxfId="1439" priority="211" operator="containsText" text="허하나로">
      <formula>NOT(ISERROR(SEARCH("허하나로",H1146)))</formula>
    </cfRule>
    <cfRule type="containsText" dxfId="1438" priority="212" operator="containsText" text="한별">
      <formula>NOT(ISERROR(SEARCH("한별",H1146)))</formula>
    </cfRule>
    <cfRule type="containsText" dxfId="1437" priority="213" operator="containsText" text="정홍조">
      <formula>NOT(ISERROR(SEARCH("정홍조",H1146)))</formula>
    </cfRule>
    <cfRule type="containsText" dxfId="1436" priority="214" operator="containsText" text="김지윤">
      <formula>NOT(ISERROR(SEARCH("김지윤",H1146)))</formula>
    </cfRule>
    <cfRule type="containsText" dxfId="1435" priority="215" operator="containsText" text="전준영">
      <formula>NOT(ISERROR(SEARCH("전준영",H1146)))</formula>
    </cfRule>
    <cfRule type="containsText" dxfId="1434" priority="216" operator="containsText" text="차재성">
      <formula>NOT(ISERROR(SEARCH("차재성",H1146)))</formula>
    </cfRule>
  </conditionalFormatting>
  <conditionalFormatting sqref="J112">
    <cfRule type="containsText" dxfId="1433" priority="3487" operator="containsText" text="허하나로">
      <formula>NOT(ISERROR(SEARCH("허하나로",H1148)))</formula>
    </cfRule>
    <cfRule type="containsText" dxfId="1432" priority="3488" operator="containsText" text="한별">
      <formula>NOT(ISERROR(SEARCH("한별",H1148)))</formula>
    </cfRule>
    <cfRule type="containsText" dxfId="1431" priority="3489" operator="containsText" text="정홍조">
      <formula>NOT(ISERROR(SEARCH("정홍조",H1148)))</formula>
    </cfRule>
    <cfRule type="containsText" dxfId="1430" priority="3490" operator="containsText" text="김지윤">
      <formula>NOT(ISERROR(SEARCH("김지윤",H1148)))</formula>
    </cfRule>
    <cfRule type="containsText" dxfId="1429" priority="3491" operator="containsText" text="전준영">
      <formula>NOT(ISERROR(SEARCH("전준영",H1148)))</formula>
    </cfRule>
    <cfRule type="containsText" dxfId="1428" priority="3492" operator="containsText" text="차재성">
      <formula>NOT(ISERROR(SEARCH("차재성",H1148)))</formula>
    </cfRule>
  </conditionalFormatting>
  <conditionalFormatting sqref="J111">
    <cfRule type="containsText" dxfId="1427" priority="3499" operator="containsText" text="허하나로">
      <formula>NOT(ISERROR(SEARCH("허하나로",H1148)))</formula>
    </cfRule>
    <cfRule type="containsText" dxfId="1426" priority="3500" operator="containsText" text="한별">
      <formula>NOT(ISERROR(SEARCH("한별",H1148)))</formula>
    </cfRule>
    <cfRule type="containsText" dxfId="1425" priority="3501" operator="containsText" text="정홍조">
      <formula>NOT(ISERROR(SEARCH("정홍조",H1148)))</formula>
    </cfRule>
    <cfRule type="containsText" dxfId="1424" priority="3502" operator="containsText" text="김지윤">
      <formula>NOT(ISERROR(SEARCH("김지윤",H1148)))</formula>
    </cfRule>
    <cfRule type="containsText" dxfId="1423" priority="3503" operator="containsText" text="전준영">
      <formula>NOT(ISERROR(SEARCH("전준영",H1148)))</formula>
    </cfRule>
    <cfRule type="containsText" dxfId="1422" priority="3504" operator="containsText" text="차재성">
      <formula>NOT(ISERROR(SEARCH("차재성",H1148)))</formula>
    </cfRule>
  </conditionalFormatting>
  <conditionalFormatting sqref="J16">
    <cfRule type="containsText" dxfId="1421" priority="151" operator="containsText" text="허하나로">
      <formula>NOT(ISERROR(SEARCH("허하나로",H1098)))</formula>
    </cfRule>
    <cfRule type="containsText" dxfId="1420" priority="152" operator="containsText" text="한별">
      <formula>NOT(ISERROR(SEARCH("한별",H1098)))</formula>
    </cfRule>
    <cfRule type="containsText" dxfId="1419" priority="153" operator="containsText" text="정홍조">
      <formula>NOT(ISERROR(SEARCH("정홍조",H1098)))</formula>
    </cfRule>
    <cfRule type="containsText" dxfId="1418" priority="154" operator="containsText" text="김지윤">
      <formula>NOT(ISERROR(SEARCH("김지윤",H1098)))</formula>
    </cfRule>
    <cfRule type="containsText" dxfId="1417" priority="155" operator="containsText" text="전준영">
      <formula>NOT(ISERROR(SEARCH("전준영",H1098)))</formula>
    </cfRule>
    <cfRule type="containsText" dxfId="1416" priority="156" operator="containsText" text="차재성">
      <formula>NOT(ISERROR(SEARCH("차재성",H1098)))</formula>
    </cfRule>
  </conditionalFormatting>
  <conditionalFormatting sqref="J18">
    <cfRule type="containsText" dxfId="1415" priority="133" operator="containsText" text="허하나로">
      <formula>NOT(ISERROR(SEARCH("허하나로",H1102)))</formula>
    </cfRule>
    <cfRule type="containsText" dxfId="1414" priority="134" operator="containsText" text="한별">
      <formula>NOT(ISERROR(SEARCH("한별",H1102)))</formula>
    </cfRule>
    <cfRule type="containsText" dxfId="1413" priority="135" operator="containsText" text="정홍조">
      <formula>NOT(ISERROR(SEARCH("정홍조",H1102)))</formula>
    </cfRule>
    <cfRule type="containsText" dxfId="1412" priority="136" operator="containsText" text="김지윤">
      <formula>NOT(ISERROR(SEARCH("김지윤",H1102)))</formula>
    </cfRule>
    <cfRule type="containsText" dxfId="1411" priority="137" operator="containsText" text="전준영">
      <formula>NOT(ISERROR(SEARCH("전준영",H1102)))</formula>
    </cfRule>
    <cfRule type="containsText" dxfId="1410" priority="138" operator="containsText" text="차재성">
      <formula>NOT(ISERROR(SEARCH("차재성",H1102)))</formula>
    </cfRule>
  </conditionalFormatting>
  <conditionalFormatting sqref="J17">
    <cfRule type="containsText" dxfId="1409" priority="139" operator="containsText" text="허하나로">
      <formula>NOT(ISERROR(SEARCH("허하나로",H1102)))</formula>
    </cfRule>
    <cfRule type="containsText" dxfId="1408" priority="140" operator="containsText" text="한별">
      <formula>NOT(ISERROR(SEARCH("한별",H1102)))</formula>
    </cfRule>
    <cfRule type="containsText" dxfId="1407" priority="141" operator="containsText" text="정홍조">
      <formula>NOT(ISERROR(SEARCH("정홍조",H1102)))</formula>
    </cfRule>
    <cfRule type="containsText" dxfId="1406" priority="142" operator="containsText" text="김지윤">
      <formula>NOT(ISERROR(SEARCH("김지윤",H1102)))</formula>
    </cfRule>
    <cfRule type="containsText" dxfId="1405" priority="143" operator="containsText" text="전준영">
      <formula>NOT(ISERROR(SEARCH("전준영",H1102)))</formula>
    </cfRule>
    <cfRule type="containsText" dxfId="1404" priority="144" operator="containsText" text="차재성">
      <formula>NOT(ISERROR(SEARCH("차재성",H1102)))</formula>
    </cfRule>
  </conditionalFormatting>
  <conditionalFormatting sqref="J27">
    <cfRule type="containsText" dxfId="1403" priority="4093" operator="containsText" text="허하나로">
      <formula>NOT(ISERROR(SEARCH("허하나로",H1096)))</formula>
    </cfRule>
    <cfRule type="containsText" dxfId="1402" priority="4094" operator="containsText" text="한별">
      <formula>NOT(ISERROR(SEARCH("한별",H1096)))</formula>
    </cfRule>
    <cfRule type="containsText" dxfId="1401" priority="4095" operator="containsText" text="정홍조">
      <formula>NOT(ISERROR(SEARCH("정홍조",H1096)))</formula>
    </cfRule>
    <cfRule type="containsText" dxfId="1400" priority="4096" operator="containsText" text="김지윤">
      <formula>NOT(ISERROR(SEARCH("김지윤",H1096)))</formula>
    </cfRule>
    <cfRule type="containsText" dxfId="1399" priority="4097" operator="containsText" text="전준영">
      <formula>NOT(ISERROR(SEARCH("전준영",H1096)))</formula>
    </cfRule>
    <cfRule type="containsText" dxfId="1398" priority="4098" operator="containsText" text="차재성">
      <formula>NOT(ISERROR(SEARCH("차재성",H1096)))</formula>
    </cfRule>
  </conditionalFormatting>
  <conditionalFormatting sqref="J56">
    <cfRule type="containsText" dxfId="1397" priority="4105" operator="containsText" text="허하나로">
      <formula>NOT(ISERROR(SEARCH("허하나로",H1097)))</formula>
    </cfRule>
    <cfRule type="containsText" dxfId="1396" priority="4106" operator="containsText" text="한별">
      <formula>NOT(ISERROR(SEARCH("한별",H1097)))</formula>
    </cfRule>
    <cfRule type="containsText" dxfId="1395" priority="4107" operator="containsText" text="정홍조">
      <formula>NOT(ISERROR(SEARCH("정홍조",H1097)))</formula>
    </cfRule>
    <cfRule type="containsText" dxfId="1394" priority="4108" operator="containsText" text="김지윤">
      <formula>NOT(ISERROR(SEARCH("김지윤",H1097)))</formula>
    </cfRule>
    <cfRule type="containsText" dxfId="1393" priority="4109" operator="containsText" text="전준영">
      <formula>NOT(ISERROR(SEARCH("전준영",H1097)))</formula>
    </cfRule>
    <cfRule type="containsText" dxfId="1392" priority="4110" operator="containsText" text="차재성">
      <formula>NOT(ISERROR(SEARCH("차재성",H1097)))</formula>
    </cfRule>
  </conditionalFormatting>
  <conditionalFormatting sqref="J55">
    <cfRule type="containsText" dxfId="1391" priority="4111" operator="containsText" text="허하나로">
      <formula>NOT(ISERROR(SEARCH("허하나로",H1097)))</formula>
    </cfRule>
    <cfRule type="containsText" dxfId="1390" priority="4112" operator="containsText" text="한별">
      <formula>NOT(ISERROR(SEARCH("한별",H1097)))</formula>
    </cfRule>
    <cfRule type="containsText" dxfId="1389" priority="4113" operator="containsText" text="정홍조">
      <formula>NOT(ISERROR(SEARCH("정홍조",H1097)))</formula>
    </cfRule>
    <cfRule type="containsText" dxfId="1388" priority="4114" operator="containsText" text="김지윤">
      <formula>NOT(ISERROR(SEARCH("김지윤",H1097)))</formula>
    </cfRule>
    <cfRule type="containsText" dxfId="1387" priority="4115" operator="containsText" text="전준영">
      <formula>NOT(ISERROR(SEARCH("전준영",H1097)))</formula>
    </cfRule>
    <cfRule type="containsText" dxfId="1386" priority="4116" operator="containsText" text="차재성">
      <formula>NOT(ISERROR(SEARCH("차재성",H1097)))</formula>
    </cfRule>
  </conditionalFormatting>
  <conditionalFormatting sqref="J70:J72">
    <cfRule type="containsText" dxfId="1385" priority="4141" operator="containsText" text="허하나로">
      <formula>NOT(ISERROR(SEARCH("허하나로",H1099)))</formula>
    </cfRule>
    <cfRule type="containsText" dxfId="1384" priority="4142" operator="containsText" text="한별">
      <formula>NOT(ISERROR(SEARCH("한별",H1099)))</formula>
    </cfRule>
    <cfRule type="containsText" dxfId="1383" priority="4143" operator="containsText" text="정홍조">
      <formula>NOT(ISERROR(SEARCH("정홍조",H1099)))</formula>
    </cfRule>
    <cfRule type="containsText" dxfId="1382" priority="4144" operator="containsText" text="김지윤">
      <formula>NOT(ISERROR(SEARCH("김지윤",H1099)))</formula>
    </cfRule>
    <cfRule type="containsText" dxfId="1381" priority="4145" operator="containsText" text="전준영">
      <formula>NOT(ISERROR(SEARCH("전준영",H1099)))</formula>
    </cfRule>
    <cfRule type="containsText" dxfId="1380" priority="4146" operator="containsText" text="차재성">
      <formula>NOT(ISERROR(SEARCH("차재성",H1099)))</formula>
    </cfRule>
  </conditionalFormatting>
  <conditionalFormatting sqref="J58">
    <cfRule type="containsText" dxfId="1379" priority="4321" operator="containsText" text="허하나로">
      <formula>NOT(ISERROR(SEARCH("허하나로",H1097)))</formula>
    </cfRule>
    <cfRule type="containsText" dxfId="1378" priority="4322" operator="containsText" text="한별">
      <formula>NOT(ISERROR(SEARCH("한별",H1097)))</formula>
    </cfRule>
    <cfRule type="containsText" dxfId="1377" priority="4323" operator="containsText" text="정홍조">
      <formula>NOT(ISERROR(SEARCH("정홍조",H1097)))</formula>
    </cfRule>
    <cfRule type="containsText" dxfId="1376" priority="4324" operator="containsText" text="김지윤">
      <formula>NOT(ISERROR(SEARCH("김지윤",H1097)))</formula>
    </cfRule>
    <cfRule type="containsText" dxfId="1375" priority="4325" operator="containsText" text="전준영">
      <formula>NOT(ISERROR(SEARCH("전준영",H1097)))</formula>
    </cfRule>
    <cfRule type="containsText" dxfId="1374" priority="4326" operator="containsText" text="차재성">
      <formula>NOT(ISERROR(SEARCH("차재성",H1097)))</formula>
    </cfRule>
  </conditionalFormatting>
  <conditionalFormatting sqref="J68">
    <cfRule type="containsText" dxfId="1373" priority="4339" operator="containsText" text="허하나로">
      <formula>NOT(ISERROR(SEARCH("허하나로",H1098)))</formula>
    </cfRule>
    <cfRule type="containsText" dxfId="1372" priority="4340" operator="containsText" text="한별">
      <formula>NOT(ISERROR(SEARCH("한별",H1098)))</formula>
    </cfRule>
    <cfRule type="containsText" dxfId="1371" priority="4341" operator="containsText" text="정홍조">
      <formula>NOT(ISERROR(SEARCH("정홍조",H1098)))</formula>
    </cfRule>
    <cfRule type="containsText" dxfId="1370" priority="4342" operator="containsText" text="김지윤">
      <formula>NOT(ISERROR(SEARCH("김지윤",H1098)))</formula>
    </cfRule>
    <cfRule type="containsText" dxfId="1369" priority="4343" operator="containsText" text="전준영">
      <formula>NOT(ISERROR(SEARCH("전준영",H1098)))</formula>
    </cfRule>
    <cfRule type="containsText" dxfId="1368" priority="4344" operator="containsText" text="차재성">
      <formula>NOT(ISERROR(SEARCH("차재성",H1098)))</formula>
    </cfRule>
  </conditionalFormatting>
  <conditionalFormatting sqref="J24:J26">
    <cfRule type="containsText" dxfId="1367" priority="4351" operator="containsText" text="허하나로">
      <formula>NOT(ISERROR(SEARCH("허하나로",H1094)))</formula>
    </cfRule>
    <cfRule type="containsText" dxfId="1366" priority="4352" operator="containsText" text="한별">
      <formula>NOT(ISERROR(SEARCH("한별",H1094)))</formula>
    </cfRule>
    <cfRule type="containsText" dxfId="1365" priority="4353" operator="containsText" text="정홍조">
      <formula>NOT(ISERROR(SEARCH("정홍조",H1094)))</formula>
    </cfRule>
    <cfRule type="containsText" dxfId="1364" priority="4354" operator="containsText" text="김지윤">
      <formula>NOT(ISERROR(SEARCH("김지윤",H1094)))</formula>
    </cfRule>
    <cfRule type="containsText" dxfId="1363" priority="4355" operator="containsText" text="전준영">
      <formula>NOT(ISERROR(SEARCH("전준영",H1094)))</formula>
    </cfRule>
    <cfRule type="containsText" dxfId="1362" priority="4356" operator="containsText" text="차재성">
      <formula>NOT(ISERROR(SEARCH("차재성",H1094)))</formula>
    </cfRule>
  </conditionalFormatting>
  <conditionalFormatting sqref="J90">
    <cfRule type="containsText" dxfId="1361" priority="4375" operator="containsText" text="허하나로">
      <formula>NOT(ISERROR(SEARCH("허하나로",H1099)))</formula>
    </cfRule>
    <cfRule type="containsText" dxfId="1360" priority="4376" operator="containsText" text="한별">
      <formula>NOT(ISERROR(SEARCH("한별",H1099)))</formula>
    </cfRule>
    <cfRule type="containsText" dxfId="1359" priority="4377" operator="containsText" text="정홍조">
      <formula>NOT(ISERROR(SEARCH("정홍조",H1099)))</formula>
    </cfRule>
    <cfRule type="containsText" dxfId="1358" priority="4378" operator="containsText" text="김지윤">
      <formula>NOT(ISERROR(SEARCH("김지윤",H1099)))</formula>
    </cfRule>
    <cfRule type="containsText" dxfId="1357" priority="4379" operator="containsText" text="전준영">
      <formula>NOT(ISERROR(SEARCH("전준영",H1099)))</formula>
    </cfRule>
    <cfRule type="containsText" dxfId="1356" priority="4380" operator="containsText" text="차재성">
      <formula>NOT(ISERROR(SEARCH("차재성",H1099)))</formula>
    </cfRule>
  </conditionalFormatting>
  <pageMargins left="0.25" right="0.25" top="0.75" bottom="0.75" header="0.3" footer="0.3"/>
  <pageSetup paperSize="9" scale="72" fitToHeight="0" orientation="landscape" r:id="rId1"/>
  <rowBreaks count="3" manualBreakCount="3">
    <brk id="39" max="16383" man="1"/>
    <brk id="74" max="16383" man="1"/>
    <brk id="10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O68"/>
  <sheetViews>
    <sheetView zoomScale="85" zoomScaleNormal="85" workbookViewId="0">
      <selection activeCell="H5" sqref="H5:H8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5.625" customWidth="1"/>
    <col min="10" max="10" width="14.625" customWidth="1"/>
    <col min="11" max="11" width="57.5" customWidth="1"/>
    <col min="12" max="12" width="3.875" customWidth="1"/>
    <col min="13" max="13" width="14.625" customWidth="1"/>
    <col min="14" max="14" width="9.875" style="595" bestFit="1" customWidth="1"/>
  </cols>
  <sheetData>
    <row r="1" spans="1:15" ht="17.25" thickBot="1">
      <c r="A1" s="88" t="s">
        <v>171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5" ht="16.5" customHeight="1">
      <c r="A2" s="643" t="s">
        <v>21</v>
      </c>
      <c r="B2" s="645" t="s">
        <v>22</v>
      </c>
      <c r="C2" s="646"/>
      <c r="D2" s="647"/>
      <c r="E2" s="645" t="s">
        <v>23</v>
      </c>
      <c r="F2" s="646"/>
      <c r="G2" s="647"/>
      <c r="H2" s="623" t="s">
        <v>660</v>
      </c>
      <c r="I2" s="623" t="s">
        <v>543</v>
      </c>
      <c r="J2" s="648" t="s">
        <v>468</v>
      </c>
      <c r="K2" s="634" t="s">
        <v>1</v>
      </c>
      <c r="L2" s="635"/>
      <c r="M2" s="636"/>
    </row>
    <row r="3" spans="1:15" ht="17.25" thickBot="1">
      <c r="A3" s="644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24"/>
      <c r="I3" s="624"/>
      <c r="J3" s="649"/>
      <c r="K3" s="637"/>
      <c r="L3" s="638"/>
      <c r="M3" s="639"/>
    </row>
    <row r="4" spans="1:15" ht="17.25" thickBot="1">
      <c r="A4" s="640" t="s">
        <v>144</v>
      </c>
      <c r="B4" s="641"/>
      <c r="C4" s="641"/>
      <c r="D4" s="641"/>
      <c r="E4" s="641"/>
      <c r="F4" s="641"/>
      <c r="G4" s="642"/>
      <c r="H4" s="185">
        <f>H5</f>
        <v>170012</v>
      </c>
      <c r="I4" s="185">
        <v>151892</v>
      </c>
      <c r="J4" s="120">
        <f>H4-I4</f>
        <v>18120</v>
      </c>
      <c r="K4" s="89"/>
      <c r="L4" s="90"/>
      <c r="M4" s="121"/>
    </row>
    <row r="5" spans="1:15">
      <c r="A5" s="205" t="s">
        <v>2</v>
      </c>
      <c r="B5" s="122"/>
      <c r="C5" s="123"/>
      <c r="D5" s="123"/>
      <c r="E5" s="123"/>
      <c r="F5" s="123"/>
      <c r="G5" s="124"/>
      <c r="H5" s="95">
        <f>H6</f>
        <v>170012</v>
      </c>
      <c r="I5" s="94">
        <v>151892</v>
      </c>
      <c r="J5" s="95">
        <f t="shared" ref="J5:J11" si="0">H5-I5</f>
        <v>18120</v>
      </c>
      <c r="K5" s="78"/>
      <c r="L5" s="79"/>
      <c r="M5" s="80"/>
    </row>
    <row r="6" spans="1:15">
      <c r="A6" s="10"/>
      <c r="B6" s="129" t="s">
        <v>264</v>
      </c>
      <c r="C6" s="129"/>
      <c r="D6" s="130"/>
      <c r="E6" s="130"/>
      <c r="F6" s="130"/>
      <c r="G6" s="131"/>
      <c r="H6" s="95">
        <f>SUM(H7,H22,H33,H51)</f>
        <v>170012</v>
      </c>
      <c r="I6" s="94">
        <v>151892</v>
      </c>
      <c r="J6" s="95">
        <f t="shared" si="0"/>
        <v>18120</v>
      </c>
      <c r="K6" s="78"/>
      <c r="L6" s="79"/>
      <c r="M6" s="80"/>
    </row>
    <row r="7" spans="1:15">
      <c r="A7" s="10"/>
      <c r="B7" s="6"/>
      <c r="C7" s="129" t="s">
        <v>104</v>
      </c>
      <c r="D7" s="130"/>
      <c r="E7" s="130"/>
      <c r="F7" s="130"/>
      <c r="G7" s="131"/>
      <c r="H7" s="95">
        <f>H8+H13</f>
        <v>20200</v>
      </c>
      <c r="I7" s="94">
        <v>28600</v>
      </c>
      <c r="J7" s="95">
        <f t="shared" si="0"/>
        <v>-8400</v>
      </c>
      <c r="K7" s="78"/>
      <c r="L7" s="79"/>
      <c r="M7" s="80"/>
    </row>
    <row r="8" spans="1:15">
      <c r="A8" s="10"/>
      <c r="B8" s="6"/>
      <c r="C8" s="7"/>
      <c r="D8" s="354" t="s">
        <v>469</v>
      </c>
      <c r="E8" s="130"/>
      <c r="F8" s="130"/>
      <c r="G8" s="131"/>
      <c r="H8" s="465">
        <f>SUM(H9)</f>
        <v>5000</v>
      </c>
      <c r="I8" s="132">
        <v>0</v>
      </c>
      <c r="J8" s="95">
        <f t="shared" si="0"/>
        <v>5000</v>
      </c>
      <c r="K8" s="355"/>
      <c r="L8" s="133"/>
      <c r="M8" s="269"/>
    </row>
    <row r="9" spans="1:15">
      <c r="A9" s="10"/>
      <c r="B9" s="6"/>
      <c r="C9" s="134"/>
      <c r="D9" s="135"/>
      <c r="E9" s="129" t="s">
        <v>31</v>
      </c>
      <c r="F9" s="130"/>
      <c r="G9" s="131"/>
      <c r="H9" s="91">
        <f>SUM(H10)</f>
        <v>5000</v>
      </c>
      <c r="I9" s="91">
        <v>0</v>
      </c>
      <c r="J9" s="95">
        <f t="shared" si="0"/>
        <v>5000</v>
      </c>
      <c r="K9" s="356"/>
      <c r="L9" s="93"/>
      <c r="M9" s="270"/>
    </row>
    <row r="10" spans="1:15">
      <c r="A10" s="63"/>
      <c r="B10" s="65"/>
      <c r="C10" s="186"/>
      <c r="D10" s="187"/>
      <c r="E10" s="187"/>
      <c r="F10" s="136" t="s">
        <v>61</v>
      </c>
      <c r="G10" s="189"/>
      <c r="H10" s="72">
        <f>H11</f>
        <v>5000</v>
      </c>
      <c r="I10" s="72">
        <v>0</v>
      </c>
      <c r="J10" s="271">
        <f t="shared" si="0"/>
        <v>5000</v>
      </c>
      <c r="K10" s="357"/>
      <c r="L10" s="358"/>
      <c r="M10" s="359"/>
    </row>
    <row r="11" spans="1:15">
      <c r="A11" s="63"/>
      <c r="B11" s="65"/>
      <c r="C11" s="65"/>
      <c r="D11" s="145"/>
      <c r="E11" s="190"/>
      <c r="F11" s="190"/>
      <c r="G11" s="65" t="s">
        <v>36</v>
      </c>
      <c r="H11" s="73">
        <f>M11</f>
        <v>5000</v>
      </c>
      <c r="I11" s="73">
        <v>0</v>
      </c>
      <c r="J11" s="272">
        <f t="shared" si="0"/>
        <v>5000</v>
      </c>
      <c r="K11" s="360" t="s">
        <v>47</v>
      </c>
      <c r="L11" s="44"/>
      <c r="M11" s="361">
        <f>SUM(M12)</f>
        <v>5000</v>
      </c>
    </row>
    <row r="12" spans="1:15" s="368" customFormat="1">
      <c r="A12" s="363"/>
      <c r="B12" s="364"/>
      <c r="C12" s="364"/>
      <c r="D12" s="365"/>
      <c r="E12" s="366"/>
      <c r="F12" s="366"/>
      <c r="G12" s="367"/>
      <c r="H12" s="50"/>
      <c r="I12" s="50"/>
      <c r="J12" s="50"/>
      <c r="K12" s="432" t="s">
        <v>656</v>
      </c>
      <c r="L12" s="382" t="s">
        <v>0</v>
      </c>
      <c r="M12" s="603">
        <v>5000</v>
      </c>
      <c r="N12" s="595"/>
      <c r="O12" s="369"/>
    </row>
    <row r="13" spans="1:15">
      <c r="A13" s="10"/>
      <c r="B13" s="6"/>
      <c r="C13" s="6"/>
      <c r="D13" s="129" t="s">
        <v>313</v>
      </c>
      <c r="E13" s="130"/>
      <c r="F13" s="130"/>
      <c r="G13" s="131"/>
      <c r="H13" s="132">
        <f>H14</f>
        <v>15200</v>
      </c>
      <c r="I13" s="132">
        <v>28600</v>
      </c>
      <c r="J13" s="92">
        <f>H13-I13</f>
        <v>-13400</v>
      </c>
      <c r="K13" s="160"/>
      <c r="L13" s="560"/>
      <c r="M13" s="150"/>
    </row>
    <row r="14" spans="1:15">
      <c r="A14" s="10"/>
      <c r="B14" s="6"/>
      <c r="C14" s="134"/>
      <c r="D14" s="135"/>
      <c r="E14" s="129" t="s">
        <v>31</v>
      </c>
      <c r="F14" s="130"/>
      <c r="G14" s="131"/>
      <c r="H14" s="91">
        <f>SUM(H15)</f>
        <v>15200</v>
      </c>
      <c r="I14" s="91">
        <v>28600</v>
      </c>
      <c r="J14" s="92">
        <f>H14-I14</f>
        <v>-13400</v>
      </c>
      <c r="K14" s="84"/>
      <c r="L14" s="93"/>
      <c r="M14" s="236"/>
    </row>
    <row r="15" spans="1:15">
      <c r="A15" s="63"/>
      <c r="B15" s="65"/>
      <c r="C15" s="65"/>
      <c r="D15" s="65"/>
      <c r="E15" s="65"/>
      <c r="F15" s="136" t="s">
        <v>61</v>
      </c>
      <c r="G15" s="140"/>
      <c r="H15" s="72">
        <f>SUM(H16,H20)</f>
        <v>15200</v>
      </c>
      <c r="I15" s="72">
        <v>28600</v>
      </c>
      <c r="J15" s="98">
        <f>H15-I15</f>
        <v>-13400</v>
      </c>
      <c r="K15" s="144"/>
      <c r="L15" s="38"/>
      <c r="M15" s="237"/>
    </row>
    <row r="16" spans="1:15">
      <c r="A16" s="63"/>
      <c r="B16" s="65"/>
      <c r="C16" s="65"/>
      <c r="D16" s="65"/>
      <c r="E16" s="65"/>
      <c r="F16" s="143"/>
      <c r="G16" s="64" t="s">
        <v>36</v>
      </c>
      <c r="H16" s="571">
        <f>M16</f>
        <v>15000</v>
      </c>
      <c r="I16" s="571">
        <v>28000</v>
      </c>
      <c r="J16" s="572">
        <f>H16-I16</f>
        <v>-13000</v>
      </c>
      <c r="K16" s="36" t="s">
        <v>62</v>
      </c>
      <c r="L16" s="39"/>
      <c r="M16" s="219">
        <f>SUM(M17:M19)</f>
        <v>15000</v>
      </c>
    </row>
    <row r="17" spans="1:15">
      <c r="A17" s="63"/>
      <c r="B17" s="65"/>
      <c r="C17" s="65"/>
      <c r="D17" s="65"/>
      <c r="E17" s="65"/>
      <c r="F17" s="143"/>
      <c r="G17" s="65"/>
      <c r="H17" s="75"/>
      <c r="I17" s="75"/>
      <c r="J17" s="48"/>
      <c r="K17" s="216" t="s">
        <v>544</v>
      </c>
      <c r="L17" s="51" t="s">
        <v>404</v>
      </c>
      <c r="M17" s="191">
        <v>7500</v>
      </c>
    </row>
    <row r="18" spans="1:15">
      <c r="A18" s="63"/>
      <c r="B18" s="65"/>
      <c r="C18" s="65"/>
      <c r="D18" s="65"/>
      <c r="E18" s="65"/>
      <c r="F18" s="143"/>
      <c r="G18" s="65"/>
      <c r="H18" s="75"/>
      <c r="I18" s="75"/>
      <c r="J18" s="48"/>
      <c r="K18" s="216" t="s">
        <v>545</v>
      </c>
      <c r="L18" s="203" t="s">
        <v>0</v>
      </c>
      <c r="M18" s="191">
        <v>5000</v>
      </c>
    </row>
    <row r="19" spans="1:15">
      <c r="A19" s="63"/>
      <c r="B19" s="65"/>
      <c r="C19" s="65"/>
      <c r="D19" s="65"/>
      <c r="E19" s="65"/>
      <c r="F19" s="143"/>
      <c r="G19" s="67"/>
      <c r="H19" s="76"/>
      <c r="I19" s="76"/>
      <c r="J19" s="49"/>
      <c r="K19" s="217" t="s">
        <v>546</v>
      </c>
      <c r="L19" s="204" t="s">
        <v>0</v>
      </c>
      <c r="M19" s="196">
        <v>2500</v>
      </c>
    </row>
    <row r="20" spans="1:15">
      <c r="A20" s="63"/>
      <c r="B20" s="65"/>
      <c r="C20" s="65"/>
      <c r="D20" s="65"/>
      <c r="E20" s="65"/>
      <c r="F20" s="143"/>
      <c r="G20" s="65" t="s">
        <v>65</v>
      </c>
      <c r="H20" s="75">
        <f>M20</f>
        <v>200</v>
      </c>
      <c r="I20" s="75">
        <v>300</v>
      </c>
      <c r="J20" s="48">
        <f>H20-I20</f>
        <v>-100</v>
      </c>
      <c r="K20" s="215" t="s">
        <v>64</v>
      </c>
      <c r="L20" s="51"/>
      <c r="M20" s="193">
        <f>M21</f>
        <v>200</v>
      </c>
    </row>
    <row r="21" spans="1:15">
      <c r="A21" s="63"/>
      <c r="B21" s="65"/>
      <c r="C21" s="65"/>
      <c r="D21" s="65"/>
      <c r="E21" s="67"/>
      <c r="F21" s="335"/>
      <c r="G21" s="67"/>
      <c r="H21" s="76"/>
      <c r="I21" s="71"/>
      <c r="J21" s="49"/>
      <c r="K21" s="387" t="s">
        <v>716</v>
      </c>
      <c r="L21" s="204" t="s">
        <v>0</v>
      </c>
      <c r="M21" s="196">
        <v>200</v>
      </c>
    </row>
    <row r="22" spans="1:15">
      <c r="A22" s="461"/>
      <c r="B22" s="464"/>
      <c r="C22" s="354" t="s">
        <v>129</v>
      </c>
      <c r="D22" s="462"/>
      <c r="E22" s="462"/>
      <c r="F22" s="462"/>
      <c r="G22" s="463"/>
      <c r="H22" s="92">
        <f>SUM(H23,H28)</f>
        <v>53300</v>
      </c>
      <c r="I22" s="95">
        <v>50000</v>
      </c>
      <c r="J22" s="92">
        <f t="shared" ref="J22" si="1">H22-I22</f>
        <v>3300</v>
      </c>
      <c r="K22" s="409"/>
      <c r="L22" s="410"/>
      <c r="M22" s="428"/>
    </row>
    <row r="23" spans="1:15">
      <c r="A23" s="461"/>
      <c r="B23" s="464"/>
      <c r="C23" s="464"/>
      <c r="D23" s="354" t="s">
        <v>54</v>
      </c>
      <c r="E23" s="462"/>
      <c r="F23" s="462"/>
      <c r="G23" s="463"/>
      <c r="H23" s="465">
        <f>H24</f>
        <v>50000</v>
      </c>
      <c r="I23" s="465">
        <v>50000</v>
      </c>
      <c r="J23" s="92">
        <f>H23-I23</f>
        <v>0</v>
      </c>
      <c r="K23" s="355"/>
      <c r="L23" s="397"/>
      <c r="M23" s="428"/>
    </row>
    <row r="24" spans="1:15">
      <c r="A24" s="461"/>
      <c r="B24" s="464"/>
      <c r="C24" s="466"/>
      <c r="D24" s="467"/>
      <c r="E24" s="354" t="s">
        <v>31</v>
      </c>
      <c r="F24" s="462"/>
      <c r="G24" s="463"/>
      <c r="H24" s="92">
        <f>H25</f>
        <v>50000</v>
      </c>
      <c r="I24" s="92">
        <v>50000</v>
      </c>
      <c r="J24" s="92">
        <f>H24-I24</f>
        <v>0</v>
      </c>
      <c r="K24" s="356"/>
      <c r="L24" s="398"/>
      <c r="M24" s="399"/>
    </row>
    <row r="25" spans="1:15">
      <c r="A25" s="363"/>
      <c r="B25" s="364"/>
      <c r="C25" s="364"/>
      <c r="D25" s="364"/>
      <c r="E25" s="364"/>
      <c r="F25" s="472" t="s">
        <v>55</v>
      </c>
      <c r="G25" s="475"/>
      <c r="H25" s="98">
        <f>H26</f>
        <v>50000</v>
      </c>
      <c r="I25" s="98">
        <v>50000</v>
      </c>
      <c r="J25" s="98">
        <f>H25-I25</f>
        <v>0</v>
      </c>
      <c r="K25" s="390"/>
      <c r="L25" s="391"/>
      <c r="M25" s="405"/>
    </row>
    <row r="26" spans="1:15">
      <c r="A26" s="363"/>
      <c r="B26" s="364"/>
      <c r="C26" s="364"/>
      <c r="D26" s="364"/>
      <c r="E26" s="364"/>
      <c r="F26" s="476"/>
      <c r="G26" s="364" t="s">
        <v>56</v>
      </c>
      <c r="H26" s="477">
        <f>M26</f>
        <v>50000</v>
      </c>
      <c r="I26" s="477">
        <v>50000</v>
      </c>
      <c r="J26" s="50">
        <f>H26-I26</f>
        <v>0</v>
      </c>
      <c r="K26" s="393" t="s">
        <v>57</v>
      </c>
      <c r="L26" s="419"/>
      <c r="M26" s="395">
        <f>SUM(M27:M27)</f>
        <v>50000</v>
      </c>
    </row>
    <row r="27" spans="1:15">
      <c r="A27" s="363"/>
      <c r="B27" s="364"/>
      <c r="C27" s="364"/>
      <c r="D27" s="364"/>
      <c r="E27" s="364"/>
      <c r="F27" s="476"/>
      <c r="G27" s="364"/>
      <c r="H27" s="477"/>
      <c r="I27" s="477"/>
      <c r="J27" s="50"/>
      <c r="K27" s="387" t="s">
        <v>386</v>
      </c>
      <c r="L27" s="380" t="s">
        <v>0</v>
      </c>
      <c r="M27" s="388">
        <v>50000</v>
      </c>
    </row>
    <row r="28" spans="1:15">
      <c r="A28" s="461"/>
      <c r="B28" s="464"/>
      <c r="C28" s="464"/>
      <c r="D28" s="354" t="s">
        <v>218</v>
      </c>
      <c r="E28" s="462"/>
      <c r="F28" s="462"/>
      <c r="G28" s="463"/>
      <c r="H28" s="465">
        <f>H29</f>
        <v>3300</v>
      </c>
      <c r="I28" s="465">
        <v>0</v>
      </c>
      <c r="J28" s="92">
        <f>H28-I28</f>
        <v>3300</v>
      </c>
      <c r="K28" s="355"/>
      <c r="L28" s="410"/>
      <c r="M28" s="428"/>
    </row>
    <row r="29" spans="1:15">
      <c r="A29" s="461"/>
      <c r="B29" s="464"/>
      <c r="C29" s="466"/>
      <c r="D29" s="467"/>
      <c r="E29" s="354" t="s">
        <v>549</v>
      </c>
      <c r="F29" s="462"/>
      <c r="G29" s="463"/>
      <c r="H29" s="92">
        <f>H30</f>
        <v>3300</v>
      </c>
      <c r="I29" s="92">
        <v>0</v>
      </c>
      <c r="J29" s="92">
        <f>H29-I29</f>
        <v>3300</v>
      </c>
      <c r="K29" s="356"/>
      <c r="L29" s="398"/>
      <c r="M29" s="399"/>
    </row>
    <row r="30" spans="1:15">
      <c r="A30" s="363"/>
      <c r="B30" s="364"/>
      <c r="C30" s="364"/>
      <c r="D30" s="364"/>
      <c r="E30" s="364"/>
      <c r="F30" s="472" t="s">
        <v>550</v>
      </c>
      <c r="G30" s="475"/>
      <c r="H30" s="98">
        <f>H31</f>
        <v>3300</v>
      </c>
      <c r="I30" s="98">
        <v>0</v>
      </c>
      <c r="J30" s="98">
        <f>H30-I30</f>
        <v>3300</v>
      </c>
      <c r="K30" s="390"/>
      <c r="L30" s="391"/>
      <c r="M30" s="405"/>
    </row>
    <row r="31" spans="1:15">
      <c r="A31" s="363"/>
      <c r="B31" s="364"/>
      <c r="C31" s="364"/>
      <c r="D31" s="364"/>
      <c r="E31" s="364"/>
      <c r="F31" s="476"/>
      <c r="G31" s="364" t="s">
        <v>551</v>
      </c>
      <c r="H31" s="477">
        <f>M31</f>
        <v>3300</v>
      </c>
      <c r="I31" s="477">
        <v>0</v>
      </c>
      <c r="J31" s="50">
        <f>H31-I31</f>
        <v>3300</v>
      </c>
      <c r="K31" s="393" t="s">
        <v>50</v>
      </c>
      <c r="L31" s="419"/>
      <c r="M31" s="395">
        <f>SUM(M32:M32)</f>
        <v>3300</v>
      </c>
    </row>
    <row r="32" spans="1:15">
      <c r="A32" s="363"/>
      <c r="B32" s="364"/>
      <c r="C32" s="364"/>
      <c r="D32" s="364"/>
      <c r="E32" s="364"/>
      <c r="F32" s="476"/>
      <c r="G32" s="364"/>
      <c r="H32" s="477"/>
      <c r="I32" s="477"/>
      <c r="J32" s="50"/>
      <c r="K32" s="604" t="s">
        <v>658</v>
      </c>
      <c r="L32" s="385" t="s">
        <v>0</v>
      </c>
      <c r="M32" s="381">
        <v>3300</v>
      </c>
      <c r="O32" s="369"/>
    </row>
    <row r="33" spans="1:15">
      <c r="A33" s="461"/>
      <c r="B33" s="464"/>
      <c r="C33" s="179" t="s">
        <v>296</v>
      </c>
      <c r="D33" s="462"/>
      <c r="E33" s="462"/>
      <c r="F33" s="462"/>
      <c r="G33" s="463"/>
      <c r="H33" s="92">
        <f>H34</f>
        <v>21512</v>
      </c>
      <c r="I33" s="92">
        <v>28292</v>
      </c>
      <c r="J33" s="92">
        <f>H33-I33</f>
        <v>-6780</v>
      </c>
      <c r="K33" s="403"/>
      <c r="L33" s="397"/>
      <c r="M33" s="404"/>
    </row>
    <row r="34" spans="1:15">
      <c r="A34" s="461"/>
      <c r="B34" s="464"/>
      <c r="C34" s="482"/>
      <c r="D34" s="354" t="s">
        <v>34</v>
      </c>
      <c r="E34" s="462"/>
      <c r="F34" s="462"/>
      <c r="G34" s="463"/>
      <c r="H34" s="465">
        <f>H35</f>
        <v>21512</v>
      </c>
      <c r="I34" s="465">
        <v>28292</v>
      </c>
      <c r="J34" s="92">
        <f>H34-I34</f>
        <v>-6780</v>
      </c>
      <c r="K34" s="396"/>
      <c r="L34" s="397"/>
      <c r="M34" s="404"/>
    </row>
    <row r="35" spans="1:15">
      <c r="A35" s="461"/>
      <c r="B35" s="464"/>
      <c r="C35" s="466"/>
      <c r="D35" s="467"/>
      <c r="E35" s="354" t="s">
        <v>33</v>
      </c>
      <c r="F35" s="462"/>
      <c r="G35" s="463"/>
      <c r="H35" s="92">
        <f>SUM(H36,H41,H45,H48)</f>
        <v>21512</v>
      </c>
      <c r="I35" s="92">
        <v>28292</v>
      </c>
      <c r="J35" s="92">
        <f>H35-I35</f>
        <v>-6780</v>
      </c>
      <c r="K35" s="356"/>
      <c r="L35" s="398"/>
      <c r="M35" s="399"/>
    </row>
    <row r="36" spans="1:15">
      <c r="A36" s="363"/>
      <c r="B36" s="364"/>
      <c r="C36" s="364"/>
      <c r="D36" s="364"/>
      <c r="E36" s="364"/>
      <c r="F36" s="472" t="s">
        <v>35</v>
      </c>
      <c r="G36" s="475"/>
      <c r="H36" s="98">
        <f>H37+H39</f>
        <v>8912</v>
      </c>
      <c r="I36" s="98">
        <v>9792</v>
      </c>
      <c r="J36" s="98">
        <f>H36-I36</f>
        <v>-880</v>
      </c>
      <c r="K36" s="390"/>
      <c r="L36" s="391"/>
      <c r="M36" s="405"/>
    </row>
    <row r="37" spans="1:15">
      <c r="A37" s="483"/>
      <c r="B37" s="484"/>
      <c r="C37" s="364"/>
      <c r="D37" s="364"/>
      <c r="E37" s="364"/>
      <c r="F37" s="485"/>
      <c r="G37" s="486" t="s">
        <v>36</v>
      </c>
      <c r="H37" s="487">
        <f>M37</f>
        <v>2000</v>
      </c>
      <c r="I37" s="487">
        <v>2880</v>
      </c>
      <c r="J37" s="41">
        <f>H37-I37</f>
        <v>-880</v>
      </c>
      <c r="K37" s="393" t="s">
        <v>52</v>
      </c>
      <c r="L37" s="420"/>
      <c r="M37" s="395">
        <f>SUM(M38:M38)</f>
        <v>2000</v>
      </c>
    </row>
    <row r="38" spans="1:15">
      <c r="A38" s="483"/>
      <c r="B38" s="484"/>
      <c r="C38" s="364"/>
      <c r="D38" s="364"/>
      <c r="E38" s="364"/>
      <c r="F38" s="489"/>
      <c r="G38" s="493"/>
      <c r="H38" s="490"/>
      <c r="I38" s="490"/>
      <c r="J38" s="494"/>
      <c r="K38" s="379" t="s">
        <v>717</v>
      </c>
      <c r="L38" s="380" t="s">
        <v>37</v>
      </c>
      <c r="M38" s="381">
        <v>2000</v>
      </c>
      <c r="O38" s="369"/>
    </row>
    <row r="39" spans="1:15">
      <c r="A39" s="483"/>
      <c r="B39" s="484"/>
      <c r="C39" s="364"/>
      <c r="D39" s="364"/>
      <c r="E39" s="364"/>
      <c r="F39" s="488"/>
      <c r="G39" s="489" t="s">
        <v>142</v>
      </c>
      <c r="H39" s="487">
        <f>M39</f>
        <v>6912</v>
      </c>
      <c r="I39" s="487">
        <v>6912</v>
      </c>
      <c r="J39" s="41">
        <f>H39-I39</f>
        <v>0</v>
      </c>
      <c r="K39" s="362" t="s">
        <v>137</v>
      </c>
      <c r="L39" s="420"/>
      <c r="M39" s="395">
        <f>SUM(M40:M40)</f>
        <v>6912</v>
      </c>
    </row>
    <row r="40" spans="1:15">
      <c r="A40" s="483"/>
      <c r="B40" s="484"/>
      <c r="C40" s="364"/>
      <c r="D40" s="364"/>
      <c r="E40" s="364"/>
      <c r="F40" s="489"/>
      <c r="G40" s="489"/>
      <c r="H40" s="490"/>
      <c r="I40" s="490"/>
      <c r="J40" s="494"/>
      <c r="K40" s="387" t="s">
        <v>650</v>
      </c>
      <c r="L40" s="380" t="s">
        <v>37</v>
      </c>
      <c r="M40" s="381">
        <v>6912</v>
      </c>
    </row>
    <row r="41" spans="1:15">
      <c r="A41" s="363"/>
      <c r="B41" s="364"/>
      <c r="C41" s="364"/>
      <c r="D41" s="364"/>
      <c r="E41" s="364"/>
      <c r="F41" s="650" t="s">
        <v>40</v>
      </c>
      <c r="G41" s="651"/>
      <c r="H41" s="522">
        <f>H42</f>
        <v>9000</v>
      </c>
      <c r="I41" s="98">
        <v>14400</v>
      </c>
      <c r="J41" s="523">
        <f>H41-I41</f>
        <v>-5400</v>
      </c>
      <c r="K41" s="422"/>
      <c r="L41" s="423"/>
      <c r="M41" s="424"/>
    </row>
    <row r="42" spans="1:15">
      <c r="A42" s="363"/>
      <c r="B42" s="364"/>
      <c r="C42" s="364"/>
      <c r="D42" s="364"/>
      <c r="E42" s="364"/>
      <c r="F42" s="524"/>
      <c r="G42" s="480" t="s">
        <v>41</v>
      </c>
      <c r="H42" s="496">
        <f>M42</f>
        <v>9000</v>
      </c>
      <c r="I42" s="477">
        <v>14400</v>
      </c>
      <c r="J42" s="497">
        <f>H42-I42</f>
        <v>-5400</v>
      </c>
      <c r="K42" s="393" t="s">
        <v>50</v>
      </c>
      <c r="L42" s="425"/>
      <c r="M42" s="395">
        <f>SUM(M43:M44)</f>
        <v>9000</v>
      </c>
    </row>
    <row r="43" spans="1:15">
      <c r="A43" s="363"/>
      <c r="B43" s="364"/>
      <c r="C43" s="364"/>
      <c r="D43" s="364"/>
      <c r="E43" s="364"/>
      <c r="F43" s="481"/>
      <c r="G43" s="481"/>
      <c r="H43" s="490"/>
      <c r="I43" s="490"/>
      <c r="J43" s="494"/>
      <c r="K43" s="389" t="s">
        <v>718</v>
      </c>
      <c r="L43" s="426" t="s">
        <v>0</v>
      </c>
      <c r="M43" s="381">
        <v>2400</v>
      </c>
      <c r="O43" s="369"/>
    </row>
    <row r="44" spans="1:15">
      <c r="A44" s="363"/>
      <c r="B44" s="364"/>
      <c r="C44" s="364"/>
      <c r="D44" s="365"/>
      <c r="E44" s="366"/>
      <c r="F44" s="366"/>
      <c r="G44" s="367"/>
      <c r="H44" s="50"/>
      <c r="I44" s="50"/>
      <c r="J44" s="50"/>
      <c r="K44" s="387" t="s">
        <v>719</v>
      </c>
      <c r="L44" s="384" t="s">
        <v>0</v>
      </c>
      <c r="M44" s="381">
        <v>6600</v>
      </c>
      <c r="O44" s="369"/>
    </row>
    <row r="45" spans="1:15">
      <c r="A45" s="363"/>
      <c r="B45" s="364"/>
      <c r="C45" s="364"/>
      <c r="D45" s="364"/>
      <c r="E45" s="364"/>
      <c r="F45" s="650" t="s">
        <v>42</v>
      </c>
      <c r="G45" s="651"/>
      <c r="H45" s="522">
        <f>H46</f>
        <v>1500</v>
      </c>
      <c r="I45" s="98">
        <v>2000</v>
      </c>
      <c r="J45" s="523">
        <f>H45-I45</f>
        <v>-500</v>
      </c>
      <c r="K45" s="422"/>
      <c r="L45" s="423"/>
      <c r="M45" s="424"/>
    </row>
    <row r="46" spans="1:15">
      <c r="A46" s="483"/>
      <c r="B46" s="484"/>
      <c r="C46" s="364"/>
      <c r="D46" s="364"/>
      <c r="E46" s="364"/>
      <c r="F46" s="481"/>
      <c r="G46" s="524" t="s">
        <v>43</v>
      </c>
      <c r="H46" s="496">
        <f>M46</f>
        <v>1500</v>
      </c>
      <c r="I46" s="477">
        <v>2000</v>
      </c>
      <c r="J46" s="497">
        <f>H46-I46</f>
        <v>-500</v>
      </c>
      <c r="K46" s="393" t="s">
        <v>509</v>
      </c>
      <c r="L46" s="420"/>
      <c r="M46" s="395">
        <f>M47</f>
        <v>1500</v>
      </c>
    </row>
    <row r="47" spans="1:15">
      <c r="A47" s="525"/>
      <c r="B47" s="526"/>
      <c r="C47" s="526"/>
      <c r="D47" s="526"/>
      <c r="E47" s="526"/>
      <c r="F47" s="502"/>
      <c r="G47" s="502"/>
      <c r="H47" s="527"/>
      <c r="I47" s="527"/>
      <c r="J47" s="528"/>
      <c r="K47" s="529" t="s">
        <v>720</v>
      </c>
      <c r="L47" s="530" t="s">
        <v>0</v>
      </c>
      <c r="M47" s="381">
        <v>1500</v>
      </c>
      <c r="O47" s="369"/>
    </row>
    <row r="48" spans="1:15">
      <c r="A48" s="363"/>
      <c r="B48" s="364"/>
      <c r="C48" s="364"/>
      <c r="D48" s="364"/>
      <c r="E48" s="364"/>
      <c r="F48" s="472" t="s">
        <v>89</v>
      </c>
      <c r="G48" s="475"/>
      <c r="H48" s="98">
        <f>H49</f>
        <v>2100</v>
      </c>
      <c r="I48" s="98">
        <v>2100</v>
      </c>
      <c r="J48" s="98">
        <f>H48-I48</f>
        <v>0</v>
      </c>
      <c r="K48" s="390"/>
      <c r="L48" s="391"/>
      <c r="M48" s="392"/>
    </row>
    <row r="49" spans="1:13">
      <c r="A49" s="363"/>
      <c r="B49" s="364"/>
      <c r="C49" s="364"/>
      <c r="D49" s="364"/>
      <c r="E49" s="364"/>
      <c r="F49" s="476"/>
      <c r="G49" s="364" t="s">
        <v>93</v>
      </c>
      <c r="H49" s="477">
        <f>M49</f>
        <v>2100</v>
      </c>
      <c r="I49" s="477">
        <v>2100</v>
      </c>
      <c r="J49" s="50">
        <f>H49-I49</f>
        <v>0</v>
      </c>
      <c r="K49" s="393" t="s">
        <v>388</v>
      </c>
      <c r="L49" s="419"/>
      <c r="M49" s="395">
        <f>M50</f>
        <v>2100</v>
      </c>
    </row>
    <row r="50" spans="1:13">
      <c r="A50" s="363"/>
      <c r="B50" s="364"/>
      <c r="C50" s="364"/>
      <c r="D50" s="364"/>
      <c r="E50" s="364"/>
      <c r="F50" s="495"/>
      <c r="G50" s="502"/>
      <c r="H50" s="503"/>
      <c r="I50" s="504"/>
      <c r="J50" s="505"/>
      <c r="K50" s="387" t="s">
        <v>389</v>
      </c>
      <c r="L50" s="380" t="s">
        <v>0</v>
      </c>
      <c r="M50" s="388">
        <v>2100</v>
      </c>
    </row>
    <row r="51" spans="1:13">
      <c r="A51" s="461"/>
      <c r="B51" s="464"/>
      <c r="C51" s="179" t="s">
        <v>95</v>
      </c>
      <c r="D51" s="462"/>
      <c r="E51" s="462"/>
      <c r="F51" s="462"/>
      <c r="G51" s="463"/>
      <c r="H51" s="92">
        <f>H52</f>
        <v>75000</v>
      </c>
      <c r="I51" s="92">
        <v>45000</v>
      </c>
      <c r="J51" s="92">
        <f>H51-I51</f>
        <v>30000</v>
      </c>
      <c r="K51" s="403"/>
      <c r="L51" s="397"/>
      <c r="M51" s="404"/>
    </row>
    <row r="52" spans="1:13">
      <c r="A52" s="461"/>
      <c r="B52" s="464"/>
      <c r="C52" s="482"/>
      <c r="D52" s="354" t="s">
        <v>96</v>
      </c>
      <c r="E52" s="462"/>
      <c r="F52" s="462"/>
      <c r="G52" s="463"/>
      <c r="H52" s="465">
        <f>H53</f>
        <v>75000</v>
      </c>
      <c r="I52" s="465">
        <v>45000</v>
      </c>
      <c r="J52" s="92">
        <f>H52-I52</f>
        <v>30000</v>
      </c>
      <c r="K52" s="396"/>
      <c r="L52" s="397"/>
      <c r="M52" s="404"/>
    </row>
    <row r="53" spans="1:13">
      <c r="A53" s="461"/>
      <c r="B53" s="464"/>
      <c r="C53" s="466"/>
      <c r="D53" s="467"/>
      <c r="E53" s="354" t="s">
        <v>33</v>
      </c>
      <c r="F53" s="462"/>
      <c r="G53" s="463"/>
      <c r="H53" s="92">
        <f>SUM(H54,H61,H66)</f>
        <v>75000</v>
      </c>
      <c r="I53" s="92">
        <v>45000</v>
      </c>
      <c r="J53" s="92">
        <f>H53-I53</f>
        <v>30000</v>
      </c>
      <c r="K53" s="356"/>
      <c r="L53" s="398"/>
      <c r="M53" s="468"/>
    </row>
    <row r="54" spans="1:13">
      <c r="A54" s="363"/>
      <c r="B54" s="364"/>
      <c r="C54" s="364"/>
      <c r="D54" s="364"/>
      <c r="E54" s="364"/>
      <c r="F54" s="472" t="s">
        <v>60</v>
      </c>
      <c r="G54" s="475"/>
      <c r="H54" s="98">
        <f>SUM(H55,H57,H59)</f>
        <v>15000</v>
      </c>
      <c r="I54" s="98">
        <v>15000</v>
      </c>
      <c r="J54" s="98">
        <f>H54-I54</f>
        <v>0</v>
      </c>
      <c r="K54" s="390"/>
      <c r="L54" s="391"/>
      <c r="M54" s="392"/>
    </row>
    <row r="55" spans="1:13">
      <c r="A55" s="483"/>
      <c r="B55" s="484"/>
      <c r="C55" s="364"/>
      <c r="D55" s="364"/>
      <c r="E55" s="364"/>
      <c r="F55" s="485"/>
      <c r="G55" s="486" t="s">
        <v>36</v>
      </c>
      <c r="H55" s="487">
        <f>M55</f>
        <v>5000</v>
      </c>
      <c r="I55" s="487">
        <v>5000</v>
      </c>
      <c r="J55" s="41">
        <f>H55-I55</f>
        <v>0</v>
      </c>
      <c r="K55" s="362" t="s">
        <v>101</v>
      </c>
      <c r="L55" s="420"/>
      <c r="M55" s="395">
        <f>M56</f>
        <v>5000</v>
      </c>
    </row>
    <row r="56" spans="1:13">
      <c r="A56" s="483"/>
      <c r="B56" s="484"/>
      <c r="C56" s="364"/>
      <c r="D56" s="364"/>
      <c r="E56" s="364"/>
      <c r="F56" s="488"/>
      <c r="G56" s="493"/>
      <c r="H56" s="527"/>
      <c r="I56" s="527"/>
      <c r="J56" s="146"/>
      <c r="K56" s="387" t="s">
        <v>100</v>
      </c>
      <c r="L56" s="380" t="s">
        <v>0</v>
      </c>
      <c r="M56" s="388">
        <v>5000</v>
      </c>
    </row>
    <row r="57" spans="1:13">
      <c r="A57" s="483"/>
      <c r="B57" s="484"/>
      <c r="C57" s="364"/>
      <c r="D57" s="364"/>
      <c r="E57" s="364"/>
      <c r="F57" s="488"/>
      <c r="G57" s="489" t="s">
        <v>7</v>
      </c>
      <c r="H57" s="490">
        <f>M57</f>
        <v>5000</v>
      </c>
      <c r="I57" s="490">
        <v>5000</v>
      </c>
      <c r="J57" s="41">
        <f t="shared" ref="J57" si="2">H57-I57</f>
        <v>0</v>
      </c>
      <c r="K57" s="531" t="s">
        <v>98</v>
      </c>
      <c r="L57" s="532"/>
      <c r="M57" s="395">
        <f>M58</f>
        <v>5000</v>
      </c>
    </row>
    <row r="58" spans="1:13">
      <c r="A58" s="483"/>
      <c r="B58" s="484"/>
      <c r="C58" s="364"/>
      <c r="D58" s="364"/>
      <c r="E58" s="364"/>
      <c r="F58" s="488"/>
      <c r="G58" s="493"/>
      <c r="H58" s="527"/>
      <c r="I58" s="527"/>
      <c r="J58" s="146"/>
      <c r="K58" s="387" t="s">
        <v>99</v>
      </c>
      <c r="L58" s="380" t="s">
        <v>0</v>
      </c>
      <c r="M58" s="388">
        <v>5000</v>
      </c>
    </row>
    <row r="59" spans="1:13">
      <c r="A59" s="483"/>
      <c r="B59" s="484"/>
      <c r="C59" s="364"/>
      <c r="D59" s="364"/>
      <c r="E59" s="364"/>
      <c r="F59" s="488"/>
      <c r="G59" s="489" t="s">
        <v>142</v>
      </c>
      <c r="H59" s="490">
        <f>M59</f>
        <v>5000</v>
      </c>
      <c r="I59" s="490">
        <v>5000</v>
      </c>
      <c r="J59" s="50">
        <f>H59-I59</f>
        <v>0</v>
      </c>
      <c r="K59" s="362" t="s">
        <v>137</v>
      </c>
      <c r="L59" s="385"/>
      <c r="M59" s="386">
        <f>M60</f>
        <v>5000</v>
      </c>
    </row>
    <row r="60" spans="1:13">
      <c r="A60" s="483"/>
      <c r="B60" s="484"/>
      <c r="C60" s="364"/>
      <c r="D60" s="364"/>
      <c r="E60" s="364"/>
      <c r="F60" s="488"/>
      <c r="G60" s="493"/>
      <c r="H60" s="527"/>
      <c r="I60" s="527"/>
      <c r="J60" s="146"/>
      <c r="K60" s="389" t="s">
        <v>103</v>
      </c>
      <c r="L60" s="385" t="s">
        <v>0</v>
      </c>
      <c r="M60" s="381">
        <v>5000</v>
      </c>
    </row>
    <row r="61" spans="1:13">
      <c r="A61" s="363"/>
      <c r="B61" s="364"/>
      <c r="C61" s="364"/>
      <c r="D61" s="364"/>
      <c r="E61" s="364"/>
      <c r="F61" s="472" t="s">
        <v>46</v>
      </c>
      <c r="G61" s="475"/>
      <c r="H61" s="98">
        <f>SUM(H62,H64)</f>
        <v>55000</v>
      </c>
      <c r="I61" s="98">
        <v>25000</v>
      </c>
      <c r="J61" s="98">
        <f>H61-I61</f>
        <v>30000</v>
      </c>
      <c r="K61" s="390"/>
      <c r="L61" s="391"/>
      <c r="M61" s="392"/>
    </row>
    <row r="62" spans="1:13">
      <c r="A62" s="483"/>
      <c r="B62" s="484"/>
      <c r="C62" s="364"/>
      <c r="D62" s="364"/>
      <c r="E62" s="364"/>
      <c r="F62" s="488"/>
      <c r="G62" s="486" t="s">
        <v>41</v>
      </c>
      <c r="H62" s="487">
        <f>M62</f>
        <v>5000</v>
      </c>
      <c r="I62" s="487">
        <v>5000</v>
      </c>
      <c r="J62" s="41">
        <f>H62-I62</f>
        <v>0</v>
      </c>
      <c r="K62" s="393" t="s">
        <v>77</v>
      </c>
      <c r="L62" s="532"/>
      <c r="M62" s="395">
        <f>SUM(M63)</f>
        <v>5000</v>
      </c>
    </row>
    <row r="63" spans="1:13">
      <c r="A63" s="483"/>
      <c r="B63" s="484"/>
      <c r="C63" s="364"/>
      <c r="D63" s="364"/>
      <c r="E63" s="364"/>
      <c r="F63" s="488"/>
      <c r="G63" s="489"/>
      <c r="H63" s="490"/>
      <c r="I63" s="490"/>
      <c r="J63" s="50"/>
      <c r="K63" s="389" t="s">
        <v>143</v>
      </c>
      <c r="L63" s="385" t="s">
        <v>0</v>
      </c>
      <c r="M63" s="381">
        <v>5000</v>
      </c>
    </row>
    <row r="64" spans="1:13">
      <c r="A64" s="483"/>
      <c r="B64" s="484"/>
      <c r="C64" s="364"/>
      <c r="D64" s="364"/>
      <c r="E64" s="364"/>
      <c r="F64" s="488"/>
      <c r="G64" s="489" t="s">
        <v>79</v>
      </c>
      <c r="H64" s="490">
        <f>M64</f>
        <v>50000</v>
      </c>
      <c r="I64" s="490">
        <v>20000</v>
      </c>
      <c r="J64" s="50">
        <f>H64-I64</f>
        <v>30000</v>
      </c>
      <c r="K64" s="362" t="s">
        <v>78</v>
      </c>
      <c r="L64" s="385"/>
      <c r="M64" s="386">
        <f>SUM(M65)</f>
        <v>50000</v>
      </c>
    </row>
    <row r="65" spans="1:15">
      <c r="A65" s="483"/>
      <c r="B65" s="484"/>
      <c r="C65" s="364"/>
      <c r="D65" s="364"/>
      <c r="E65" s="364"/>
      <c r="F65" s="488"/>
      <c r="G65" s="489"/>
      <c r="H65" s="490"/>
      <c r="I65" s="490"/>
      <c r="J65" s="50"/>
      <c r="K65" s="389" t="s">
        <v>652</v>
      </c>
      <c r="L65" s="385" t="s">
        <v>0</v>
      </c>
      <c r="M65" s="381">
        <v>50000</v>
      </c>
      <c r="O65" s="594"/>
    </row>
    <row r="66" spans="1:15">
      <c r="A66" s="363"/>
      <c r="B66" s="364"/>
      <c r="C66" s="364"/>
      <c r="D66" s="364"/>
      <c r="E66" s="364"/>
      <c r="F66" s="472" t="s">
        <v>80</v>
      </c>
      <c r="G66" s="475"/>
      <c r="H66" s="98">
        <f>H67</f>
        <v>5000</v>
      </c>
      <c r="I66" s="98">
        <v>5000</v>
      </c>
      <c r="J66" s="98">
        <f>H66-I66</f>
        <v>0</v>
      </c>
      <c r="K66" s="390"/>
      <c r="L66" s="391"/>
      <c r="M66" s="392"/>
    </row>
    <row r="67" spans="1:15">
      <c r="A67" s="483"/>
      <c r="B67" s="484"/>
      <c r="C67" s="364"/>
      <c r="D67" s="364"/>
      <c r="E67" s="364"/>
      <c r="F67" s="488"/>
      <c r="G67" s="489" t="s">
        <v>43</v>
      </c>
      <c r="H67" s="490">
        <f>M67</f>
        <v>5000</v>
      </c>
      <c r="I67" s="490">
        <v>5000</v>
      </c>
      <c r="J67" s="50">
        <f>H67-I67</f>
        <v>0</v>
      </c>
      <c r="K67" s="36" t="s">
        <v>509</v>
      </c>
      <c r="L67" s="385"/>
      <c r="M67" s="386">
        <f>M68</f>
        <v>5000</v>
      </c>
    </row>
    <row r="68" spans="1:15" ht="17.25" thickBot="1">
      <c r="A68" s="227"/>
      <c r="B68" s="228"/>
      <c r="C68" s="69"/>
      <c r="D68" s="69"/>
      <c r="E68" s="69"/>
      <c r="F68" s="229"/>
      <c r="G68" s="230"/>
      <c r="H68" s="213"/>
      <c r="I68" s="213"/>
      <c r="J68" s="231"/>
      <c r="K68" s="232" t="s">
        <v>102</v>
      </c>
      <c r="L68" s="233" t="s">
        <v>0</v>
      </c>
      <c r="M68" s="243">
        <v>5000</v>
      </c>
    </row>
  </sheetData>
  <protectedRanges>
    <protectedRange password="ECE8" sqref="N2:AB4" name="작성자만수정"/>
    <protectedRange password="ECE8" sqref="N155:AB155 N102:AB145 N5:AB7 N13:AB31 N51:AB99 N33:AB37 N32 P32:AB32 N39:AB42 N38 P38:AB38 N45:AB46 N43:N44 P43:AB44 N47 P47:AB47" name="작성자만수정_2_1"/>
    <protectedRange password="ECE8" sqref="N202:AB203 N100:AB101" name="작성자만수정_2_1_1"/>
    <protectedRange password="ECE8" sqref="N219:AB221 N208:AB212" name="작성자만수정_2_1_2"/>
  </protectedRanges>
  <autoFilter ref="A3:M68">
    <filterColumn colId="10" showButton="0"/>
    <filterColumn colId="11" showButton="0"/>
  </autoFilter>
  <mergeCells count="10">
    <mergeCell ref="F41:G41"/>
    <mergeCell ref="F45:G45"/>
    <mergeCell ref="H2:H3"/>
    <mergeCell ref="K2:M3"/>
    <mergeCell ref="A4:G4"/>
    <mergeCell ref="I2:I3"/>
    <mergeCell ref="J2:J3"/>
    <mergeCell ref="A2:A3"/>
    <mergeCell ref="B2:D2"/>
    <mergeCell ref="E2:G2"/>
  </mergeCells>
  <phoneticPr fontId="12" type="noConversion"/>
  <conditionalFormatting sqref="J46:J47">
    <cfRule type="containsText" dxfId="1355" priority="271" operator="containsText" text="허하나로">
      <formula>NOT(ISERROR(SEARCH("허하나로",H1075)))</formula>
    </cfRule>
    <cfRule type="containsText" dxfId="1354" priority="272" operator="containsText" text="한별">
      <formula>NOT(ISERROR(SEARCH("한별",H1075)))</formula>
    </cfRule>
    <cfRule type="containsText" dxfId="1353" priority="273" operator="containsText" text="정홍조">
      <formula>NOT(ISERROR(SEARCH("정홍조",H1075)))</formula>
    </cfRule>
    <cfRule type="containsText" dxfId="1352" priority="274" operator="containsText" text="김지윤">
      <formula>NOT(ISERROR(SEARCH("김지윤",H1075)))</formula>
    </cfRule>
    <cfRule type="containsText" dxfId="1351" priority="275" operator="containsText" text="전준영">
      <formula>NOT(ISERROR(SEARCH("전준영",H1075)))</formula>
    </cfRule>
    <cfRule type="containsText" dxfId="1350" priority="276" operator="containsText" text="차재성">
      <formula>NOT(ISERROR(SEARCH("차재성",H1075)))</formula>
    </cfRule>
  </conditionalFormatting>
  <conditionalFormatting sqref="J22">
    <cfRule type="containsText" dxfId="1349" priority="283" operator="containsText" text="허하나로">
      <formula>NOT(ISERROR(SEARCH("허하나로",H713)))</formula>
    </cfRule>
    <cfRule type="containsText" dxfId="1348" priority="284" operator="containsText" text="한별">
      <formula>NOT(ISERROR(SEARCH("한별",H713)))</formula>
    </cfRule>
    <cfRule type="containsText" dxfId="1347" priority="285" operator="containsText" text="정홍조">
      <formula>NOT(ISERROR(SEARCH("정홍조",H713)))</formula>
    </cfRule>
    <cfRule type="containsText" dxfId="1346" priority="286" operator="containsText" text="김지윤">
      <formula>NOT(ISERROR(SEARCH("김지윤",H713)))</formula>
    </cfRule>
    <cfRule type="containsText" dxfId="1345" priority="287" operator="containsText" text="전준영">
      <formula>NOT(ISERROR(SEARCH("전준영",H713)))</formula>
    </cfRule>
    <cfRule type="containsText" dxfId="1344" priority="288" operator="containsText" text="차재성">
      <formula>NOT(ISERROR(SEARCH("차재성",H713)))</formula>
    </cfRule>
  </conditionalFormatting>
  <conditionalFormatting sqref="J5">
    <cfRule type="containsText" dxfId="1343" priority="277" operator="containsText" text="허하나로">
      <formula>NOT(ISERROR(SEARCH("허하나로",H711)))</formula>
    </cfRule>
    <cfRule type="containsText" dxfId="1342" priority="278" operator="containsText" text="한별">
      <formula>NOT(ISERROR(SEARCH("한별",H711)))</formula>
    </cfRule>
    <cfRule type="containsText" dxfId="1341" priority="279" operator="containsText" text="정홍조">
      <formula>NOT(ISERROR(SEARCH("정홍조",H711)))</formula>
    </cfRule>
    <cfRule type="containsText" dxfId="1340" priority="280" operator="containsText" text="김지윤">
      <formula>NOT(ISERROR(SEARCH("김지윤",H711)))</formula>
    </cfRule>
    <cfRule type="containsText" dxfId="1339" priority="281" operator="containsText" text="전준영">
      <formula>NOT(ISERROR(SEARCH("전준영",H711)))</formula>
    </cfRule>
    <cfRule type="containsText" dxfId="1338" priority="282" operator="containsText" text="차재성">
      <formula>NOT(ISERROR(SEARCH("차재성",H711)))</formula>
    </cfRule>
  </conditionalFormatting>
  <conditionalFormatting sqref="J33">
    <cfRule type="containsText" dxfId="1337" priority="265" operator="containsText" text="허하나로">
      <formula>NOT(ISERROR(SEARCH("허하나로",H845)))</formula>
    </cfRule>
    <cfRule type="containsText" dxfId="1336" priority="266" operator="containsText" text="한별">
      <formula>NOT(ISERROR(SEARCH("한별",H845)))</formula>
    </cfRule>
    <cfRule type="containsText" dxfId="1335" priority="267" operator="containsText" text="정홍조">
      <formula>NOT(ISERROR(SEARCH("정홍조",H845)))</formula>
    </cfRule>
    <cfRule type="containsText" dxfId="1334" priority="268" operator="containsText" text="김지윤">
      <formula>NOT(ISERROR(SEARCH("김지윤",H845)))</formula>
    </cfRule>
    <cfRule type="containsText" dxfId="1333" priority="269" operator="containsText" text="전준영">
      <formula>NOT(ISERROR(SEARCH("전준영",H845)))</formula>
    </cfRule>
    <cfRule type="containsText" dxfId="1332" priority="270" operator="containsText" text="차재성">
      <formula>NOT(ISERROR(SEARCH("차재성",H845)))</formula>
    </cfRule>
  </conditionalFormatting>
  <conditionalFormatting sqref="J36:J37">
    <cfRule type="containsText" dxfId="1331" priority="259" operator="containsText" text="허하나로">
      <formula>NOT(ISERROR(SEARCH("허하나로",H1053)))</formula>
    </cfRule>
    <cfRule type="containsText" dxfId="1330" priority="260" operator="containsText" text="한별">
      <formula>NOT(ISERROR(SEARCH("한별",H1053)))</formula>
    </cfRule>
    <cfRule type="containsText" dxfId="1329" priority="261" operator="containsText" text="정홍조">
      <formula>NOT(ISERROR(SEARCH("정홍조",H1053)))</formula>
    </cfRule>
    <cfRule type="containsText" dxfId="1328" priority="262" operator="containsText" text="김지윤">
      <formula>NOT(ISERROR(SEARCH("김지윤",H1053)))</formula>
    </cfRule>
    <cfRule type="containsText" dxfId="1327" priority="263" operator="containsText" text="전준영">
      <formula>NOT(ISERROR(SEARCH("전준영",H1053)))</formula>
    </cfRule>
    <cfRule type="containsText" dxfId="1326" priority="264" operator="containsText" text="차재성">
      <formula>NOT(ISERROR(SEARCH("차재성",H1053)))</formula>
    </cfRule>
  </conditionalFormatting>
  <conditionalFormatting sqref="J38">
    <cfRule type="containsText" dxfId="1325" priority="253" operator="containsText" text="허하나로">
      <formula>NOT(ISERROR(SEARCH("허하나로",H1044)))</formula>
    </cfRule>
    <cfRule type="containsText" dxfId="1324" priority="254" operator="containsText" text="한별">
      <formula>NOT(ISERROR(SEARCH("한별",H1044)))</formula>
    </cfRule>
    <cfRule type="containsText" dxfId="1323" priority="255" operator="containsText" text="정홍조">
      <formula>NOT(ISERROR(SEARCH("정홍조",H1044)))</formula>
    </cfRule>
    <cfRule type="containsText" dxfId="1322" priority="256" operator="containsText" text="김지윤">
      <formula>NOT(ISERROR(SEARCH("김지윤",H1044)))</formula>
    </cfRule>
    <cfRule type="containsText" dxfId="1321" priority="257" operator="containsText" text="전준영">
      <formula>NOT(ISERROR(SEARCH("전준영",H1044)))</formula>
    </cfRule>
    <cfRule type="containsText" dxfId="1320" priority="258" operator="containsText" text="차재성">
      <formula>NOT(ISERROR(SEARCH("차재성",H1044)))</formula>
    </cfRule>
  </conditionalFormatting>
  <conditionalFormatting sqref="J35">
    <cfRule type="containsText" dxfId="1319" priority="301" operator="containsText" text="허하나로">
      <formula>NOT(ISERROR(SEARCH("허하나로",H1042)))</formula>
    </cfRule>
    <cfRule type="containsText" dxfId="1318" priority="302" operator="containsText" text="한별">
      <formula>NOT(ISERROR(SEARCH("한별",H1042)))</formula>
    </cfRule>
    <cfRule type="containsText" dxfId="1317" priority="303" operator="containsText" text="정홍조">
      <formula>NOT(ISERROR(SEARCH("정홍조",H1042)))</formula>
    </cfRule>
    <cfRule type="containsText" dxfId="1316" priority="304" operator="containsText" text="김지윤">
      <formula>NOT(ISERROR(SEARCH("김지윤",H1042)))</formula>
    </cfRule>
    <cfRule type="containsText" dxfId="1315" priority="305" operator="containsText" text="전준영">
      <formula>NOT(ISERROR(SEARCH("전준영",H1042)))</formula>
    </cfRule>
    <cfRule type="containsText" dxfId="1314" priority="306" operator="containsText" text="차재성">
      <formula>NOT(ISERROR(SEARCH("차재성",H1042)))</formula>
    </cfRule>
  </conditionalFormatting>
  <conditionalFormatting sqref="J45">
    <cfRule type="containsText" dxfId="1313" priority="247" operator="containsText" text="허하나로">
      <formula>NOT(ISERROR(SEARCH("허하나로",H1059)))</formula>
    </cfRule>
    <cfRule type="containsText" dxfId="1312" priority="248" operator="containsText" text="한별">
      <formula>NOT(ISERROR(SEARCH("한별",H1059)))</formula>
    </cfRule>
    <cfRule type="containsText" dxfId="1311" priority="249" operator="containsText" text="정홍조">
      <formula>NOT(ISERROR(SEARCH("정홍조",H1059)))</formula>
    </cfRule>
    <cfRule type="containsText" dxfId="1310" priority="250" operator="containsText" text="김지윤">
      <formula>NOT(ISERROR(SEARCH("김지윤",H1059)))</formula>
    </cfRule>
    <cfRule type="containsText" dxfId="1309" priority="251" operator="containsText" text="전준영">
      <formula>NOT(ISERROR(SEARCH("전준영",H1059)))</formula>
    </cfRule>
    <cfRule type="containsText" dxfId="1308" priority="252" operator="containsText" text="차재성">
      <formula>NOT(ISERROR(SEARCH("차재성",H1059)))</formula>
    </cfRule>
  </conditionalFormatting>
  <conditionalFormatting sqref="L42">
    <cfRule type="containsText" dxfId="1307" priority="241" operator="containsText" text="허하나로">
      <formula>NOT(ISERROR(SEARCH("허하나로",J1190)))</formula>
    </cfRule>
    <cfRule type="containsText" dxfId="1306" priority="242" operator="containsText" text="한별">
      <formula>NOT(ISERROR(SEARCH("한별",J1190)))</formula>
    </cfRule>
    <cfRule type="containsText" dxfId="1305" priority="243" operator="containsText" text="정홍조">
      <formula>NOT(ISERROR(SEARCH("정홍조",J1190)))</formula>
    </cfRule>
    <cfRule type="containsText" dxfId="1304" priority="244" operator="containsText" text="김지윤">
      <formula>NOT(ISERROR(SEARCH("김지윤",J1190)))</formula>
    </cfRule>
    <cfRule type="containsText" dxfId="1303" priority="245" operator="containsText" text="전준영">
      <formula>NOT(ISERROR(SEARCH("전준영",J1190)))</formula>
    </cfRule>
    <cfRule type="containsText" dxfId="1302" priority="246" operator="containsText" text="차재성">
      <formula>NOT(ISERROR(SEARCH("차재성",J1190)))</formula>
    </cfRule>
  </conditionalFormatting>
  <conditionalFormatting sqref="J23:J31">
    <cfRule type="containsText" dxfId="1301" priority="325" operator="containsText" text="허하나로">
      <formula>NOT(ISERROR(SEARCH("허하나로",H1039)))</formula>
    </cfRule>
    <cfRule type="containsText" dxfId="1300" priority="326" operator="containsText" text="한별">
      <formula>NOT(ISERROR(SEARCH("한별",H1039)))</formula>
    </cfRule>
    <cfRule type="containsText" dxfId="1299" priority="327" operator="containsText" text="정홍조">
      <formula>NOT(ISERROR(SEARCH("정홍조",H1039)))</formula>
    </cfRule>
    <cfRule type="containsText" dxfId="1298" priority="328" operator="containsText" text="김지윤">
      <formula>NOT(ISERROR(SEARCH("김지윤",H1039)))</formula>
    </cfRule>
    <cfRule type="containsText" dxfId="1297" priority="329" operator="containsText" text="전준영">
      <formula>NOT(ISERROR(SEARCH("전준영",H1039)))</formula>
    </cfRule>
    <cfRule type="containsText" dxfId="1296" priority="330" operator="containsText" text="차재성">
      <formula>NOT(ISERROR(SEARCH("차재성",H1039)))</formula>
    </cfRule>
  </conditionalFormatting>
  <conditionalFormatting sqref="J68">
    <cfRule type="containsText" dxfId="1295" priority="139" operator="containsText" text="허하나로">
      <formula>NOT(ISERROR(SEARCH("허하나로",H1121)))</formula>
    </cfRule>
    <cfRule type="containsText" dxfId="1294" priority="140" operator="containsText" text="한별">
      <formula>NOT(ISERROR(SEARCH("한별",H1121)))</formula>
    </cfRule>
    <cfRule type="containsText" dxfId="1293" priority="141" operator="containsText" text="정홍조">
      <formula>NOT(ISERROR(SEARCH("정홍조",H1121)))</formula>
    </cfRule>
    <cfRule type="containsText" dxfId="1292" priority="142" operator="containsText" text="김지윤">
      <formula>NOT(ISERROR(SEARCH("김지윤",H1121)))</formula>
    </cfRule>
    <cfRule type="containsText" dxfId="1291" priority="143" operator="containsText" text="전준영">
      <formula>NOT(ISERROR(SEARCH("전준영",H1121)))</formula>
    </cfRule>
    <cfRule type="containsText" dxfId="1290" priority="144" operator="containsText" text="차재성">
      <formula>NOT(ISERROR(SEARCH("차재성",H1121)))</formula>
    </cfRule>
  </conditionalFormatting>
  <conditionalFormatting sqref="J59">
    <cfRule type="containsText" dxfId="1289" priority="145" operator="containsText" text="허하나로">
      <formula>NOT(ISERROR(SEARCH("허하나로",H1116)))</formula>
    </cfRule>
    <cfRule type="containsText" dxfId="1288" priority="146" operator="containsText" text="한별">
      <formula>NOT(ISERROR(SEARCH("한별",H1116)))</formula>
    </cfRule>
    <cfRule type="containsText" dxfId="1287" priority="147" operator="containsText" text="정홍조">
      <formula>NOT(ISERROR(SEARCH("정홍조",H1116)))</formula>
    </cfRule>
    <cfRule type="containsText" dxfId="1286" priority="148" operator="containsText" text="김지윤">
      <formula>NOT(ISERROR(SEARCH("김지윤",H1116)))</formula>
    </cfRule>
    <cfRule type="containsText" dxfId="1285" priority="149" operator="containsText" text="전준영">
      <formula>NOT(ISERROR(SEARCH("전준영",H1116)))</formula>
    </cfRule>
    <cfRule type="containsText" dxfId="1284" priority="150" operator="containsText" text="차재성">
      <formula>NOT(ISERROR(SEARCH("차재성",H1116)))</formula>
    </cfRule>
  </conditionalFormatting>
  <conditionalFormatting sqref="J60">
    <cfRule type="containsText" dxfId="1283" priority="151" operator="containsText" text="허하나로">
      <formula>NOT(ISERROR(SEARCH("허하나로",H1115)))</formula>
    </cfRule>
    <cfRule type="containsText" dxfId="1282" priority="152" operator="containsText" text="한별">
      <formula>NOT(ISERROR(SEARCH("한별",H1115)))</formula>
    </cfRule>
    <cfRule type="containsText" dxfId="1281" priority="153" operator="containsText" text="정홍조">
      <formula>NOT(ISERROR(SEARCH("정홍조",H1115)))</formula>
    </cfRule>
    <cfRule type="containsText" dxfId="1280" priority="154" operator="containsText" text="김지윤">
      <formula>NOT(ISERROR(SEARCH("김지윤",H1115)))</formula>
    </cfRule>
    <cfRule type="containsText" dxfId="1279" priority="155" operator="containsText" text="전준영">
      <formula>NOT(ISERROR(SEARCH("전준영",H1115)))</formula>
    </cfRule>
    <cfRule type="containsText" dxfId="1278" priority="156" operator="containsText" text="차재성">
      <formula>NOT(ISERROR(SEARCH("차재성",H1115)))</formula>
    </cfRule>
  </conditionalFormatting>
  <conditionalFormatting sqref="J51">
    <cfRule type="containsText" dxfId="1277" priority="127" operator="containsText" text="허하나로">
      <formula>NOT(ISERROR(SEARCH("허하나로",H905)))</formula>
    </cfRule>
    <cfRule type="containsText" dxfId="1276" priority="128" operator="containsText" text="한별">
      <formula>NOT(ISERROR(SEARCH("한별",H905)))</formula>
    </cfRule>
    <cfRule type="containsText" dxfId="1275" priority="129" operator="containsText" text="정홍조">
      <formula>NOT(ISERROR(SEARCH("정홍조",H905)))</formula>
    </cfRule>
    <cfRule type="containsText" dxfId="1274" priority="130" operator="containsText" text="김지윤">
      <formula>NOT(ISERROR(SEARCH("김지윤",H905)))</formula>
    </cfRule>
    <cfRule type="containsText" dxfId="1273" priority="131" operator="containsText" text="전준영">
      <formula>NOT(ISERROR(SEARCH("전준영",H905)))</formula>
    </cfRule>
    <cfRule type="containsText" dxfId="1272" priority="132" operator="containsText" text="차재성">
      <formula>NOT(ISERROR(SEARCH("차재성",H905)))</formula>
    </cfRule>
  </conditionalFormatting>
  <conditionalFormatting sqref="J53">
    <cfRule type="containsText" dxfId="1271" priority="133" operator="containsText" text="허하나로">
      <formula>NOT(ISERROR(SEARCH("허하나로",H1102)))</formula>
    </cfRule>
    <cfRule type="containsText" dxfId="1270" priority="134" operator="containsText" text="한별">
      <formula>NOT(ISERROR(SEARCH("한별",H1102)))</formula>
    </cfRule>
    <cfRule type="containsText" dxfId="1269" priority="135" operator="containsText" text="정홍조">
      <formula>NOT(ISERROR(SEARCH("정홍조",H1102)))</formula>
    </cfRule>
    <cfRule type="containsText" dxfId="1268" priority="136" operator="containsText" text="김지윤">
      <formula>NOT(ISERROR(SEARCH("김지윤",H1102)))</formula>
    </cfRule>
    <cfRule type="containsText" dxfId="1267" priority="137" operator="containsText" text="전준영">
      <formula>NOT(ISERROR(SEARCH("전준영",H1102)))</formula>
    </cfRule>
    <cfRule type="containsText" dxfId="1266" priority="138" operator="containsText" text="차재성">
      <formula>NOT(ISERROR(SEARCH("차재성",H1102)))</formula>
    </cfRule>
  </conditionalFormatting>
  <conditionalFormatting sqref="J63">
    <cfRule type="containsText" dxfId="1265" priority="163" operator="containsText" text="허하나로">
      <formula>NOT(ISERROR(SEARCH("허하나로",H1116)))</formula>
    </cfRule>
    <cfRule type="containsText" dxfId="1264" priority="164" operator="containsText" text="한별">
      <formula>NOT(ISERROR(SEARCH("한별",H1116)))</formula>
    </cfRule>
    <cfRule type="containsText" dxfId="1263" priority="165" operator="containsText" text="정홍조">
      <formula>NOT(ISERROR(SEARCH("정홍조",H1116)))</formula>
    </cfRule>
    <cfRule type="containsText" dxfId="1262" priority="166" operator="containsText" text="김지윤">
      <formula>NOT(ISERROR(SEARCH("김지윤",H1116)))</formula>
    </cfRule>
    <cfRule type="containsText" dxfId="1261" priority="167" operator="containsText" text="전준영">
      <formula>NOT(ISERROR(SEARCH("전준영",H1116)))</formula>
    </cfRule>
    <cfRule type="containsText" dxfId="1260" priority="168" operator="containsText" text="차재성">
      <formula>NOT(ISERROR(SEARCH("차재성",H1116)))</formula>
    </cfRule>
  </conditionalFormatting>
  <conditionalFormatting sqref="J62">
    <cfRule type="containsText" dxfId="1259" priority="169" operator="containsText" text="허하나로">
      <formula>NOT(ISERROR(SEARCH("허하나로",H1116)))</formula>
    </cfRule>
    <cfRule type="containsText" dxfId="1258" priority="170" operator="containsText" text="한별">
      <formula>NOT(ISERROR(SEARCH("한별",H1116)))</formula>
    </cfRule>
    <cfRule type="containsText" dxfId="1257" priority="171" operator="containsText" text="정홍조">
      <formula>NOT(ISERROR(SEARCH("정홍조",H1116)))</formula>
    </cfRule>
    <cfRule type="containsText" dxfId="1256" priority="172" operator="containsText" text="김지윤">
      <formula>NOT(ISERROR(SEARCH("김지윤",H1116)))</formula>
    </cfRule>
    <cfRule type="containsText" dxfId="1255" priority="173" operator="containsText" text="전준영">
      <formula>NOT(ISERROR(SEARCH("전준영",H1116)))</formula>
    </cfRule>
    <cfRule type="containsText" dxfId="1254" priority="174" operator="containsText" text="차재성">
      <formula>NOT(ISERROR(SEARCH("차재성",H1116)))</formula>
    </cfRule>
  </conditionalFormatting>
  <conditionalFormatting sqref="J61">
    <cfRule type="containsText" dxfId="1253" priority="121" operator="containsText" text="허하나로">
      <formula>NOT(ISERROR(SEARCH("허하나로",H1118)))</formula>
    </cfRule>
    <cfRule type="containsText" dxfId="1252" priority="122" operator="containsText" text="한별">
      <formula>NOT(ISERROR(SEARCH("한별",H1118)))</formula>
    </cfRule>
    <cfRule type="containsText" dxfId="1251" priority="123" operator="containsText" text="정홍조">
      <formula>NOT(ISERROR(SEARCH("정홍조",H1118)))</formula>
    </cfRule>
    <cfRule type="containsText" dxfId="1250" priority="124" operator="containsText" text="김지윤">
      <formula>NOT(ISERROR(SEARCH("김지윤",H1118)))</formula>
    </cfRule>
    <cfRule type="containsText" dxfId="1249" priority="125" operator="containsText" text="전준영">
      <formula>NOT(ISERROR(SEARCH("전준영",H1118)))</formula>
    </cfRule>
    <cfRule type="containsText" dxfId="1248" priority="126" operator="containsText" text="차재성">
      <formula>NOT(ISERROR(SEARCH("차재성",H1118)))</formula>
    </cfRule>
  </conditionalFormatting>
  <conditionalFormatting sqref="J67">
    <cfRule type="containsText" dxfId="1247" priority="115" operator="containsText" text="허하나로">
      <formula>NOT(ISERROR(SEARCH("허하나로",H1121)))</formula>
    </cfRule>
    <cfRule type="containsText" dxfId="1246" priority="116" operator="containsText" text="한별">
      <formula>NOT(ISERROR(SEARCH("한별",H1121)))</formula>
    </cfRule>
    <cfRule type="containsText" dxfId="1245" priority="117" operator="containsText" text="정홍조">
      <formula>NOT(ISERROR(SEARCH("정홍조",H1121)))</formula>
    </cfRule>
    <cfRule type="containsText" dxfId="1244" priority="118" operator="containsText" text="김지윤">
      <formula>NOT(ISERROR(SEARCH("김지윤",H1121)))</formula>
    </cfRule>
    <cfRule type="containsText" dxfId="1243" priority="119" operator="containsText" text="전준영">
      <formula>NOT(ISERROR(SEARCH("전준영",H1121)))</formula>
    </cfRule>
    <cfRule type="containsText" dxfId="1242" priority="120" operator="containsText" text="차재성">
      <formula>NOT(ISERROR(SEARCH("차재성",H1121)))</formula>
    </cfRule>
  </conditionalFormatting>
  <conditionalFormatting sqref="J66">
    <cfRule type="containsText" dxfId="1241" priority="109" operator="containsText" text="허하나로">
      <formula>NOT(ISERROR(SEARCH("허하나로",H1123)))</formula>
    </cfRule>
    <cfRule type="containsText" dxfId="1240" priority="110" operator="containsText" text="한별">
      <formula>NOT(ISERROR(SEARCH("한별",H1123)))</formula>
    </cfRule>
    <cfRule type="containsText" dxfId="1239" priority="111" operator="containsText" text="정홍조">
      <formula>NOT(ISERROR(SEARCH("정홍조",H1123)))</formula>
    </cfRule>
    <cfRule type="containsText" dxfId="1238" priority="112" operator="containsText" text="김지윤">
      <formula>NOT(ISERROR(SEARCH("김지윤",H1123)))</formula>
    </cfRule>
    <cfRule type="containsText" dxfId="1237" priority="113" operator="containsText" text="전준영">
      <formula>NOT(ISERROR(SEARCH("전준영",H1123)))</formula>
    </cfRule>
    <cfRule type="containsText" dxfId="1236" priority="114" operator="containsText" text="차재성">
      <formula>NOT(ISERROR(SEARCH("차재성",H1123)))</formula>
    </cfRule>
  </conditionalFormatting>
  <conditionalFormatting sqref="J64:J65">
    <cfRule type="containsText" dxfId="1235" priority="175" operator="containsText" text="허하나로">
      <formula>NOT(ISERROR(SEARCH("허하나로",H1116)))</formula>
    </cfRule>
    <cfRule type="containsText" dxfId="1234" priority="176" operator="containsText" text="한별">
      <formula>NOT(ISERROR(SEARCH("한별",H1116)))</formula>
    </cfRule>
    <cfRule type="containsText" dxfId="1233" priority="177" operator="containsText" text="정홍조">
      <formula>NOT(ISERROR(SEARCH("정홍조",H1116)))</formula>
    </cfRule>
    <cfRule type="containsText" dxfId="1232" priority="178" operator="containsText" text="김지윤">
      <formula>NOT(ISERROR(SEARCH("김지윤",H1116)))</formula>
    </cfRule>
    <cfRule type="containsText" dxfId="1231" priority="179" operator="containsText" text="전준영">
      <formula>NOT(ISERROR(SEARCH("전준영",H1116)))</formula>
    </cfRule>
    <cfRule type="containsText" dxfId="1230" priority="180" operator="containsText" text="차재성">
      <formula>NOT(ISERROR(SEARCH("차재성",H1116)))</formula>
    </cfRule>
  </conditionalFormatting>
  <conditionalFormatting sqref="J54:J57">
    <cfRule type="containsText" dxfId="1229" priority="181" operator="containsText" text="허하나로">
      <formula>NOT(ISERROR(SEARCH("허하나로",H1113)))</formula>
    </cfRule>
    <cfRule type="containsText" dxfId="1228" priority="182" operator="containsText" text="한별">
      <formula>NOT(ISERROR(SEARCH("한별",H1113)))</formula>
    </cfRule>
    <cfRule type="containsText" dxfId="1227" priority="183" operator="containsText" text="정홍조">
      <formula>NOT(ISERROR(SEARCH("정홍조",H1113)))</formula>
    </cfRule>
    <cfRule type="containsText" dxfId="1226" priority="184" operator="containsText" text="김지윤">
      <formula>NOT(ISERROR(SEARCH("김지윤",H1113)))</formula>
    </cfRule>
    <cfRule type="containsText" dxfId="1225" priority="185" operator="containsText" text="전준영">
      <formula>NOT(ISERROR(SEARCH("전준영",H1113)))</formula>
    </cfRule>
    <cfRule type="containsText" dxfId="1224" priority="186" operator="containsText" text="차재성">
      <formula>NOT(ISERROR(SEARCH("차재성",H1113)))</formula>
    </cfRule>
  </conditionalFormatting>
  <conditionalFormatting sqref="J58">
    <cfRule type="containsText" dxfId="1223" priority="103" operator="containsText" text="허하나로">
      <formula>NOT(ISERROR(SEARCH("허하나로",H1111)))</formula>
    </cfRule>
    <cfRule type="containsText" dxfId="1222" priority="104" operator="containsText" text="한별">
      <formula>NOT(ISERROR(SEARCH("한별",H1111)))</formula>
    </cfRule>
    <cfRule type="containsText" dxfId="1221" priority="105" operator="containsText" text="정홍조">
      <formula>NOT(ISERROR(SEARCH("정홍조",H1111)))</formula>
    </cfRule>
    <cfRule type="containsText" dxfId="1220" priority="106" operator="containsText" text="김지윤">
      <formula>NOT(ISERROR(SEARCH("김지윤",H1111)))</formula>
    </cfRule>
    <cfRule type="containsText" dxfId="1219" priority="107" operator="containsText" text="전준영">
      <formula>NOT(ISERROR(SEARCH("전준영",H1111)))</formula>
    </cfRule>
    <cfRule type="containsText" dxfId="1218" priority="108" operator="containsText" text="차재성">
      <formula>NOT(ISERROR(SEARCH("차재성",H1111)))</formula>
    </cfRule>
  </conditionalFormatting>
  <conditionalFormatting sqref="J39">
    <cfRule type="containsText" dxfId="1217" priority="85" operator="containsText" text="허하나로">
      <formula>NOT(ISERROR(SEARCH("허하나로",H1056)))</formula>
    </cfRule>
    <cfRule type="containsText" dxfId="1216" priority="86" operator="containsText" text="한별">
      <formula>NOT(ISERROR(SEARCH("한별",H1056)))</formula>
    </cfRule>
    <cfRule type="containsText" dxfId="1215" priority="87" operator="containsText" text="정홍조">
      <formula>NOT(ISERROR(SEARCH("정홍조",H1056)))</formula>
    </cfRule>
    <cfRule type="containsText" dxfId="1214" priority="88" operator="containsText" text="김지윤">
      <formula>NOT(ISERROR(SEARCH("김지윤",H1056)))</formula>
    </cfRule>
    <cfRule type="containsText" dxfId="1213" priority="89" operator="containsText" text="전준영">
      <formula>NOT(ISERROR(SEARCH("전준영",H1056)))</formula>
    </cfRule>
    <cfRule type="containsText" dxfId="1212" priority="90" operator="containsText" text="차재성">
      <formula>NOT(ISERROR(SEARCH("차재성",H1056)))</formula>
    </cfRule>
  </conditionalFormatting>
  <conditionalFormatting sqref="J40">
    <cfRule type="containsText" dxfId="1211" priority="79" operator="containsText" text="허하나로">
      <formula>NOT(ISERROR(SEARCH("허하나로",H1046)))</formula>
    </cfRule>
    <cfRule type="containsText" dxfId="1210" priority="80" operator="containsText" text="한별">
      <formula>NOT(ISERROR(SEARCH("한별",H1046)))</formula>
    </cfRule>
    <cfRule type="containsText" dxfId="1209" priority="81" operator="containsText" text="정홍조">
      <formula>NOT(ISERROR(SEARCH("정홍조",H1046)))</formula>
    </cfRule>
    <cfRule type="containsText" dxfId="1208" priority="82" operator="containsText" text="김지윤">
      <formula>NOT(ISERROR(SEARCH("김지윤",H1046)))</formula>
    </cfRule>
    <cfRule type="containsText" dxfId="1207" priority="83" operator="containsText" text="전준영">
      <formula>NOT(ISERROR(SEARCH("전준영",H1046)))</formula>
    </cfRule>
    <cfRule type="containsText" dxfId="1206" priority="84" operator="containsText" text="차재성">
      <formula>NOT(ISERROR(SEARCH("차재성",H1046)))</formula>
    </cfRule>
  </conditionalFormatting>
  <conditionalFormatting sqref="J41:J42">
    <cfRule type="containsText" dxfId="1205" priority="3517" operator="containsText" text="허하나로">
      <formula>NOT(ISERROR(SEARCH("허하나로",H1055)))</formula>
    </cfRule>
    <cfRule type="containsText" dxfId="1204" priority="3518" operator="containsText" text="한별">
      <formula>NOT(ISERROR(SEARCH("한별",H1055)))</formula>
    </cfRule>
    <cfRule type="containsText" dxfId="1203" priority="3519" operator="containsText" text="정홍조">
      <formula>NOT(ISERROR(SEARCH("정홍조",H1055)))</formula>
    </cfRule>
    <cfRule type="containsText" dxfId="1202" priority="3520" operator="containsText" text="김지윤">
      <formula>NOT(ISERROR(SEARCH("김지윤",H1055)))</formula>
    </cfRule>
    <cfRule type="containsText" dxfId="1201" priority="3521" operator="containsText" text="전준영">
      <formula>NOT(ISERROR(SEARCH("전준영",H1055)))</formula>
    </cfRule>
    <cfRule type="containsText" dxfId="1200" priority="3522" operator="containsText" text="차재성">
      <formula>NOT(ISERROR(SEARCH("차재성",H1055)))</formula>
    </cfRule>
  </conditionalFormatting>
  <conditionalFormatting sqref="J43">
    <cfRule type="containsText" dxfId="1199" priority="73" operator="containsText" text="허하나로">
      <formula>NOT(ISERROR(SEARCH("허하나로",H1055)))</formula>
    </cfRule>
    <cfRule type="containsText" dxfId="1198" priority="74" operator="containsText" text="한별">
      <formula>NOT(ISERROR(SEARCH("한별",H1055)))</formula>
    </cfRule>
    <cfRule type="containsText" dxfId="1197" priority="75" operator="containsText" text="정홍조">
      <formula>NOT(ISERROR(SEARCH("정홍조",H1055)))</formula>
    </cfRule>
    <cfRule type="containsText" dxfId="1196" priority="76" operator="containsText" text="김지윤">
      <formula>NOT(ISERROR(SEARCH("김지윤",H1055)))</formula>
    </cfRule>
    <cfRule type="containsText" dxfId="1195" priority="77" operator="containsText" text="전준영">
      <formula>NOT(ISERROR(SEARCH("전준영",H1055)))</formula>
    </cfRule>
    <cfRule type="containsText" dxfId="1194" priority="78" operator="containsText" text="차재성">
      <formula>NOT(ISERROR(SEARCH("차재성",H1055)))</formula>
    </cfRule>
  </conditionalFormatting>
  <conditionalFormatting sqref="J2:J3">
    <cfRule type="containsText" dxfId="1193" priority="49" operator="containsText" text="허하나로">
      <formula>NOT(ISERROR(SEARCH("허하나로",H770)))</formula>
    </cfRule>
    <cfRule type="containsText" dxfId="1192" priority="50" operator="containsText" text="한별">
      <formula>NOT(ISERROR(SEARCH("한별",H770)))</formula>
    </cfRule>
    <cfRule type="containsText" dxfId="1191" priority="51" operator="containsText" text="정홍조">
      <formula>NOT(ISERROR(SEARCH("정홍조",H770)))</formula>
    </cfRule>
    <cfRule type="containsText" dxfId="1190" priority="52" operator="containsText" text="김지윤">
      <formula>NOT(ISERROR(SEARCH("김지윤",H770)))</formula>
    </cfRule>
    <cfRule type="containsText" dxfId="1189" priority="53" operator="containsText" text="전준영">
      <formula>NOT(ISERROR(SEARCH("전준영",H770)))</formula>
    </cfRule>
    <cfRule type="containsText" dxfId="1188" priority="54" operator="containsText" text="차재성">
      <formula>NOT(ISERROR(SEARCH("차재성",H770)))</formula>
    </cfRule>
  </conditionalFormatting>
  <conditionalFormatting sqref="J10:J11">
    <cfRule type="containsText" dxfId="1187" priority="37" operator="containsText" text="허하나로">
      <formula>NOT(ISERROR(SEARCH("허하나로",H922)))</formula>
    </cfRule>
    <cfRule type="containsText" dxfId="1186" priority="38" operator="containsText" text="한별">
      <formula>NOT(ISERROR(SEARCH("한별",H922)))</formula>
    </cfRule>
    <cfRule type="containsText" dxfId="1185" priority="39" operator="containsText" text="정홍조">
      <formula>NOT(ISERROR(SEARCH("정홍조",H922)))</formula>
    </cfRule>
    <cfRule type="containsText" dxfId="1184" priority="40" operator="containsText" text="김지윤">
      <formula>NOT(ISERROR(SEARCH("김지윤",H922)))</formula>
    </cfRule>
    <cfRule type="containsText" dxfId="1183" priority="41" operator="containsText" text="전준영">
      <formula>NOT(ISERROR(SEARCH("전준영",H922)))</formula>
    </cfRule>
    <cfRule type="containsText" dxfId="1182" priority="42" operator="containsText" text="차재성">
      <formula>NOT(ISERROR(SEARCH("차재성",H922)))</formula>
    </cfRule>
  </conditionalFormatting>
  <conditionalFormatting sqref="J8:J9">
    <cfRule type="containsText" dxfId="1181" priority="43" operator="containsText" text="허하나로">
      <formula>NOT(ISERROR(SEARCH("허하나로",H920)))</formula>
    </cfRule>
    <cfRule type="containsText" dxfId="1180" priority="44" operator="containsText" text="한별">
      <formula>NOT(ISERROR(SEARCH("한별",H920)))</formula>
    </cfRule>
    <cfRule type="containsText" dxfId="1179" priority="45" operator="containsText" text="정홍조">
      <formula>NOT(ISERROR(SEARCH("정홍조",H920)))</formula>
    </cfRule>
    <cfRule type="containsText" dxfId="1178" priority="46" operator="containsText" text="김지윤">
      <formula>NOT(ISERROR(SEARCH("김지윤",H920)))</formula>
    </cfRule>
    <cfRule type="containsText" dxfId="1177" priority="47" operator="containsText" text="전준영">
      <formula>NOT(ISERROR(SEARCH("전준영",H920)))</formula>
    </cfRule>
    <cfRule type="containsText" dxfId="1176" priority="48" operator="containsText" text="차재성">
      <formula>NOT(ISERROR(SEARCH("차재성",H920)))</formula>
    </cfRule>
  </conditionalFormatting>
  <conditionalFormatting sqref="J32">
    <cfRule type="containsText" dxfId="1175" priority="31" operator="containsText" text="허하나로">
      <formula>NOT(ISERROR(SEARCH("허하나로",H1048)))</formula>
    </cfRule>
    <cfRule type="containsText" dxfId="1174" priority="32" operator="containsText" text="한별">
      <formula>NOT(ISERROR(SEARCH("한별",H1048)))</formula>
    </cfRule>
    <cfRule type="containsText" dxfId="1173" priority="33" operator="containsText" text="정홍조">
      <formula>NOT(ISERROR(SEARCH("정홍조",H1048)))</formula>
    </cfRule>
    <cfRule type="containsText" dxfId="1172" priority="34" operator="containsText" text="김지윤">
      <formula>NOT(ISERROR(SEARCH("김지윤",H1048)))</formula>
    </cfRule>
    <cfRule type="containsText" dxfId="1171" priority="35" operator="containsText" text="전준영">
      <formula>NOT(ISERROR(SEARCH("전준영",H1048)))</formula>
    </cfRule>
    <cfRule type="containsText" dxfId="1170" priority="36" operator="containsText" text="차재성">
      <formula>NOT(ISERROR(SEARCH("차재성",H1048)))</formula>
    </cfRule>
  </conditionalFormatting>
  <pageMargins left="0.23622047244094491" right="0.23622047244094491" top="0.74803149606299213" bottom="0.74803149606299213" header="0.31496062992125984" footer="0.31496062992125984"/>
  <pageSetup paperSize="9" scale="74" fitToHeight="0" orientation="landscape" useFirstPageNumber="1" r:id="rId1"/>
  <headerFooter alignWithMargins="0">
    <oddHeader xml:space="preserve">&amp;L&amp;"돋움,굵게"
</oddHeader>
  </headerFooter>
  <rowBreaks count="2" manualBreakCount="2">
    <brk id="32" max="16383" man="1"/>
    <brk id="60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5" operator="containsText" text="허하나로" id="{24FD43E4-20DE-437E-AD59-68C9BC13BAF7}">
            <xm:f>NOT(ISERROR(SEARCH("허하나로",행정관리부!H753)))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6" operator="containsText" text="한별" id="{60F8BA74-FE42-4F1F-B322-10590855B08A}">
            <xm:f>NOT(ISERROR(SEARCH("한별",행정관리부!H753)))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07" operator="containsText" text="정홍조" id="{C6EEC022-9C16-4D2D-953D-977281EE8274}">
            <xm:f>NOT(ISERROR(SEARCH("정홍조",행정관리부!H753)))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08" operator="containsText" text="김지윤" id="{AB358A13-B26B-4E8E-AF46-CDDEDBE21BB2}">
            <xm:f>NOT(ISERROR(SEARCH("김지윤",행정관리부!H753)))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09" operator="containsText" text="전준영" id="{BC518656-669C-4B9D-BDF8-B8CED81A0E35}">
            <xm:f>NOT(ISERROR(SEARCH("전준영",행정관리부!H753)))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10" operator="containsText" text="차재성" id="{34134193-752B-443B-8DD6-E4B873E2D494}">
            <xm:f>NOT(ISERROR(SEARCH("차재성",행정관리부!H753)))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J6:J7</xm:sqref>
        </x14:conditionalFormatting>
        <x14:conditionalFormatting xmlns:xm="http://schemas.microsoft.com/office/excel/2006/main">
          <x14:cfRule type="containsText" priority="211" operator="containsText" text="허하나로" id="{1EB00C52-6782-449F-B675-F5701B702752}">
            <xm:f>NOT(ISERROR(SEARCH("허하나로",행정관리부!H1080)))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12" operator="containsText" text="한별" id="{CF2A2941-03C0-4637-B6CB-F816BB26EA32}">
            <xm:f>NOT(ISERROR(SEARCH("한별",행정관리부!H1080)))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3" operator="containsText" text="정홍조" id="{1DB369BD-79B5-49B0-95DA-7B2207AC2F37}">
            <xm:f>NOT(ISERROR(SEARCH("정홍조",행정관리부!H1080)))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14" operator="containsText" text="김지윤" id="{C2FE386E-0A07-48A5-85CC-48AD572F6029}">
            <xm:f>NOT(ISERROR(SEARCH("김지윤",행정관리부!H1080)))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15" operator="containsText" text="전준영" id="{36CDD458-810E-4539-B8EE-1637B8378362}">
            <xm:f>NOT(ISERROR(SEARCH("전준영",행정관리부!H1080)))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16" operator="containsText" text="차재성" id="{C5D09E41-1AAB-4D47-9969-73F6179D6D7E}">
            <xm:f>NOT(ISERROR(SEARCH("차재성",행정관리부!H1080)))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J13:J17 J19</xm:sqref>
        </x14:conditionalFormatting>
        <x14:conditionalFormatting xmlns:xm="http://schemas.microsoft.com/office/excel/2006/main">
          <x14:cfRule type="containsText" priority="67" operator="containsText" text="허하나로" id="{C8DFF365-DAED-48F2-89EF-BF9FBA637E0A}">
            <xm:f>NOT(ISERROR(SEARCH("허하나로",행정관리부!H1081)))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77A51C8F-45A6-4C9A-A89A-9F148E12E284}">
            <xm:f>NOT(ISERROR(SEARCH("한별",행정관리부!H1081)))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B3E9070C-92EC-4C38-97B0-A19E56B49D7A}">
            <xm:f>NOT(ISERROR(SEARCH("정홍조",행정관리부!H1081)))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925272BA-11B1-47AB-97CC-EEF990D3811B}">
            <xm:f>NOT(ISERROR(SEARCH("김지윤",행정관리부!H1081)))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672FB15A-F652-47AA-B252-7B9563F34B4B}">
            <xm:f>NOT(ISERROR(SEARCH("전준영",행정관리부!H1081)))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15D30090-086C-41E9-BB68-D54731507161}">
            <xm:f>NOT(ISERROR(SEARCH("차재성",행정관리부!H1081)))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61" operator="containsText" text="허하나로" id="{E34DF48F-6D6F-42AC-AC0D-B1642F7FC0DB}">
            <xm:f>NOT(ISERROR(SEARCH("허하나로",행정관리부!H1137)))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60EBE7BB-FB13-4A36-AAF5-259BFE896885}">
            <xm:f>NOT(ISERROR(SEARCH("한별",행정관리부!H1137)))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A45C6314-BBF4-4499-99F0-A2373DB51757}">
            <xm:f>NOT(ISERROR(SEARCH("정홍조",행정관리부!H1137)))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BC33EAB8-E47C-4841-A578-76E995917D97}">
            <xm:f>NOT(ISERROR(SEARCH("김지윤",행정관리부!H1137)))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85215C64-2EB0-452B-B013-1F3C1AF3E18F}">
            <xm:f>NOT(ISERROR(SEARCH("전준영",행정관리부!H1137)))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0ABA230F-C9FA-4850-BEA1-30945FD5DABF}">
            <xm:f>NOT(ISERROR(SEARCH("차재성",행정관리부!H1137)))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J48:J49</xm:sqref>
        </x14:conditionalFormatting>
        <x14:conditionalFormatting xmlns:xm="http://schemas.microsoft.com/office/excel/2006/main">
          <x14:cfRule type="containsText" priority="3955" operator="containsText" text="허하나로" id="{1EB00C52-6782-449F-B675-F5701B702752}">
            <xm:f>NOT(ISERROR(SEARCH("허하나로",행정관리부!H1084)))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956" operator="containsText" text="한별" id="{CF2A2941-03C0-4637-B6CB-F816BB26EA32}">
            <xm:f>NOT(ISERROR(SEARCH("한별",행정관리부!H1084)))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57" operator="containsText" text="정홍조" id="{1DB369BD-79B5-49B0-95DA-7B2207AC2F37}">
            <xm:f>NOT(ISERROR(SEARCH("정홍조",행정관리부!H1084)))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958" operator="containsText" text="김지윤" id="{C2FE386E-0A07-48A5-85CC-48AD572F6029}">
            <xm:f>NOT(ISERROR(SEARCH("김지윤",행정관리부!H1084)))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959" operator="containsText" text="전준영" id="{36CDD458-810E-4539-B8EE-1637B8378362}">
            <xm:f>NOT(ISERROR(SEARCH("전준영",행정관리부!H1084)))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960" operator="containsText" text="차재성" id="{C5D09E41-1AAB-4D47-9969-73F6179D6D7E}">
            <xm:f>NOT(ISERROR(SEARCH("차재성",행정관리부!H1084)))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containsText" priority="4549" operator="containsText" text="허하나로" id="{1EB00C52-6782-449F-B675-F5701B702752}">
            <xm:f>NOT(ISERROR(SEARCH("허하나로",행정관리부!H1089)))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550" operator="containsText" text="한별" id="{CF2A2941-03C0-4637-B6CB-F816BB26EA32}">
            <xm:f>NOT(ISERROR(SEARCH("한별",행정관리부!H1089)))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51" operator="containsText" text="정홍조" id="{1DB369BD-79B5-49B0-95DA-7B2207AC2F37}">
            <xm:f>NOT(ISERROR(SEARCH("정홍조",행정관리부!H1089)))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552" operator="containsText" text="김지윤" id="{C2FE386E-0A07-48A5-85CC-48AD572F6029}">
            <xm:f>NOT(ISERROR(SEARCH("김지윤",행정관리부!H1089)))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553" operator="containsText" text="전준영" id="{36CDD458-810E-4539-B8EE-1637B8378362}">
            <xm:f>NOT(ISERROR(SEARCH("전준영",행정관리부!H1089)))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554" operator="containsText" text="차재성" id="{C5D09E41-1AAB-4D47-9969-73F6179D6D7E}">
            <xm:f>NOT(ISERROR(SEARCH("차재성",행정관리부!H1089)))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J20:J21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AY217"/>
  <sheetViews>
    <sheetView topLeftCell="A4" zoomScale="85" zoomScaleNormal="85" zoomScaleSheetLayoutView="85" workbookViewId="0">
      <selection activeCell="K28" sqref="K28"/>
    </sheetView>
  </sheetViews>
  <sheetFormatPr defaultRowHeight="16.5"/>
  <cols>
    <col min="1" max="6" width="3.875" style="24" customWidth="1"/>
    <col min="7" max="7" width="32.625" style="24" customWidth="1"/>
    <col min="8" max="8" width="14.625" style="77" customWidth="1"/>
    <col min="9" max="9" width="17.125" style="77" customWidth="1"/>
    <col min="10" max="10" width="14.625" style="26" customWidth="1"/>
    <col min="11" max="11" width="55.875" style="21" customWidth="1"/>
    <col min="12" max="12" width="3.875" style="22" customWidth="1"/>
    <col min="13" max="13" width="14.625" style="25" customWidth="1"/>
    <col min="14" max="14" width="57.125" style="23" hidden="1" customWidth="1"/>
    <col min="15" max="15" width="14" style="34" hidden="1" customWidth="1"/>
    <col min="16" max="16" width="16" style="35" hidden="1" customWidth="1"/>
    <col min="17" max="17" width="10" style="35" hidden="1" customWidth="1"/>
    <col min="18" max="18" width="12.75" style="35" hidden="1" customWidth="1"/>
    <col min="19" max="19" width="12.5" style="35" hidden="1" customWidth="1"/>
    <col min="20" max="20" width="11.75" style="35" hidden="1" customWidth="1"/>
    <col min="21" max="21" width="10" style="35" hidden="1" customWidth="1"/>
    <col min="22" max="24" width="9" style="35" hidden="1" customWidth="1"/>
    <col min="25" max="29" width="9" style="34" hidden="1" customWidth="1"/>
    <col min="30" max="30" width="9" style="595"/>
    <col min="31" max="16384" width="9" style="34"/>
  </cols>
  <sheetData>
    <row r="1" spans="1:30" ht="17.25" customHeight="1" thickBot="1">
      <c r="A1" s="88" t="s">
        <v>170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30" s="1" customFormat="1" ht="18" customHeight="1">
      <c r="A2" s="643" t="s">
        <v>21</v>
      </c>
      <c r="B2" s="645" t="s">
        <v>22</v>
      </c>
      <c r="C2" s="646"/>
      <c r="D2" s="647"/>
      <c r="E2" s="645" t="s">
        <v>23</v>
      </c>
      <c r="F2" s="646"/>
      <c r="G2" s="647"/>
      <c r="H2" s="623" t="s">
        <v>660</v>
      </c>
      <c r="I2" s="623" t="s">
        <v>543</v>
      </c>
      <c r="J2" s="648" t="s">
        <v>468</v>
      </c>
      <c r="K2" s="634" t="s">
        <v>1</v>
      </c>
      <c r="L2" s="635"/>
      <c r="M2" s="636"/>
      <c r="N2" s="13"/>
      <c r="O2" s="4"/>
      <c r="P2" s="8"/>
      <c r="Q2" s="4"/>
      <c r="R2" s="4"/>
      <c r="S2" s="4"/>
      <c r="T2" s="5"/>
      <c r="U2" s="3"/>
      <c r="AD2" s="595"/>
    </row>
    <row r="3" spans="1:30" s="1" customFormat="1" ht="18" customHeight="1" thickBot="1">
      <c r="A3" s="644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24"/>
      <c r="I3" s="624"/>
      <c r="J3" s="649"/>
      <c r="K3" s="637"/>
      <c r="L3" s="638"/>
      <c r="M3" s="639"/>
      <c r="N3" s="13"/>
      <c r="O3" s="4"/>
      <c r="P3" s="8"/>
      <c r="Q3" s="4"/>
      <c r="R3" s="4"/>
      <c r="S3" s="4"/>
      <c r="T3" s="5"/>
      <c r="U3" s="3"/>
      <c r="AD3" s="595"/>
    </row>
    <row r="4" spans="1:30" s="61" customFormat="1" ht="18" customHeight="1" thickBot="1">
      <c r="A4" s="640" t="s">
        <v>30</v>
      </c>
      <c r="B4" s="641"/>
      <c r="C4" s="641"/>
      <c r="D4" s="641"/>
      <c r="E4" s="641"/>
      <c r="F4" s="641"/>
      <c r="G4" s="642"/>
      <c r="H4" s="185">
        <f>H5</f>
        <v>197636</v>
      </c>
      <c r="I4" s="185">
        <v>86166</v>
      </c>
      <c r="J4" s="120">
        <f>H4-I4</f>
        <v>111470</v>
      </c>
      <c r="K4" s="89"/>
      <c r="L4" s="90"/>
      <c r="M4" s="121"/>
      <c r="N4" s="66"/>
      <c r="O4" s="17"/>
      <c r="P4" s="18"/>
      <c r="Q4" s="19"/>
      <c r="R4" s="20"/>
      <c r="S4" s="20"/>
      <c r="T4" s="62"/>
      <c r="X4" s="62"/>
      <c r="Y4" s="62"/>
      <c r="Z4" s="62"/>
      <c r="AA4" s="62"/>
      <c r="AB4" s="62"/>
      <c r="AD4" s="595"/>
    </row>
    <row r="5" spans="1:30" s="1" customFormat="1" ht="18" customHeight="1">
      <c r="A5" s="205" t="s">
        <v>2</v>
      </c>
      <c r="B5" s="122"/>
      <c r="C5" s="123"/>
      <c r="D5" s="123"/>
      <c r="E5" s="123"/>
      <c r="F5" s="123"/>
      <c r="G5" s="124"/>
      <c r="H5" s="94">
        <f>H6</f>
        <v>197636</v>
      </c>
      <c r="I5" s="94">
        <v>86166</v>
      </c>
      <c r="J5" s="95">
        <f>H5-I5</f>
        <v>111470</v>
      </c>
      <c r="K5" s="78"/>
      <c r="L5" s="79"/>
      <c r="M5" s="80"/>
      <c r="N5" s="125"/>
      <c r="O5" s="2"/>
      <c r="P5" s="11"/>
      <c r="Q5" s="126"/>
      <c r="R5" s="126"/>
      <c r="S5" s="126"/>
      <c r="T5" s="127"/>
      <c r="U5" s="128"/>
      <c r="AD5" s="595"/>
    </row>
    <row r="6" spans="1:30" s="1" customFormat="1" ht="18" customHeight="1">
      <c r="A6" s="10"/>
      <c r="B6" s="129" t="s">
        <v>253</v>
      </c>
      <c r="C6" s="129"/>
      <c r="D6" s="130"/>
      <c r="E6" s="130"/>
      <c r="F6" s="130"/>
      <c r="G6" s="131"/>
      <c r="H6" s="94">
        <f>SUM(H7,H37)</f>
        <v>197636</v>
      </c>
      <c r="I6" s="94">
        <v>86166</v>
      </c>
      <c r="J6" s="95">
        <f>H6-I6</f>
        <v>111470</v>
      </c>
      <c r="K6" s="78"/>
      <c r="L6" s="79"/>
      <c r="M6" s="80"/>
      <c r="N6" s="125"/>
      <c r="O6" s="2"/>
      <c r="P6" s="11"/>
      <c r="Q6" s="126"/>
      <c r="R6" s="126"/>
      <c r="S6" s="126"/>
      <c r="T6" s="127"/>
      <c r="U6" s="128"/>
      <c r="AD6" s="595"/>
    </row>
    <row r="7" spans="1:30" s="1" customFormat="1" ht="18" customHeight="1">
      <c r="A7" s="10"/>
      <c r="B7" s="6"/>
      <c r="C7" s="129" t="s">
        <v>253</v>
      </c>
      <c r="D7" s="130"/>
      <c r="E7" s="130"/>
      <c r="F7" s="130"/>
      <c r="G7" s="131"/>
      <c r="H7" s="94">
        <f>SUM(H8,,H18,H32)</f>
        <v>174760</v>
      </c>
      <c r="I7" s="94">
        <v>53850</v>
      </c>
      <c r="J7" s="95">
        <f t="shared" ref="J7:J11" si="0">H7-I7</f>
        <v>120910</v>
      </c>
      <c r="K7" s="78"/>
      <c r="L7" s="79"/>
      <c r="M7" s="80"/>
      <c r="N7" s="652"/>
      <c r="O7" s="652"/>
      <c r="P7" s="652"/>
      <c r="Q7" s="652"/>
      <c r="R7" s="652"/>
      <c r="S7" s="652"/>
      <c r="T7" s="652"/>
      <c r="U7" s="652"/>
      <c r="AD7" s="595"/>
    </row>
    <row r="8" spans="1:30" s="1" customFormat="1" ht="18" customHeight="1">
      <c r="A8" s="10"/>
      <c r="B8" s="6"/>
      <c r="C8" s="7"/>
      <c r="D8" s="129" t="s">
        <v>441</v>
      </c>
      <c r="E8" s="130"/>
      <c r="F8" s="130"/>
      <c r="G8" s="131"/>
      <c r="H8" s="132">
        <f>H9</f>
        <v>11300</v>
      </c>
      <c r="I8" s="132">
        <v>14450</v>
      </c>
      <c r="J8" s="95">
        <f t="shared" si="0"/>
        <v>-3150</v>
      </c>
      <c r="K8" s="81"/>
      <c r="L8" s="133"/>
      <c r="M8" s="80"/>
      <c r="N8" s="125"/>
      <c r="O8" s="2"/>
      <c r="P8" s="11"/>
      <c r="Q8" s="126"/>
      <c r="R8" s="126"/>
      <c r="S8" s="126"/>
      <c r="T8" s="127"/>
      <c r="U8" s="128"/>
      <c r="AD8" s="595"/>
    </row>
    <row r="9" spans="1:30" s="1" customFormat="1" ht="18" customHeight="1">
      <c r="A9" s="10"/>
      <c r="B9" s="6"/>
      <c r="C9" s="134"/>
      <c r="D9" s="135"/>
      <c r="E9" s="129" t="s">
        <v>33</v>
      </c>
      <c r="F9" s="130"/>
      <c r="G9" s="131"/>
      <c r="H9" s="91">
        <f>H10</f>
        <v>11300</v>
      </c>
      <c r="I9" s="91">
        <v>14450</v>
      </c>
      <c r="J9" s="95">
        <f t="shared" si="0"/>
        <v>-3150</v>
      </c>
      <c r="K9" s="84"/>
      <c r="L9" s="93"/>
      <c r="M9" s="82"/>
      <c r="N9" s="125"/>
      <c r="O9" s="2"/>
      <c r="P9" s="11"/>
      <c r="Q9" s="126"/>
      <c r="R9" s="126"/>
      <c r="S9" s="126"/>
      <c r="T9" s="12"/>
      <c r="U9" s="128"/>
      <c r="AD9" s="595"/>
    </row>
    <row r="10" spans="1:30" s="61" customFormat="1" ht="18" customHeight="1">
      <c r="A10" s="63"/>
      <c r="B10" s="65"/>
      <c r="C10" s="186"/>
      <c r="D10" s="187"/>
      <c r="E10" s="188"/>
      <c r="F10" s="136" t="s">
        <v>438</v>
      </c>
      <c r="G10" s="189"/>
      <c r="H10" s="72">
        <f>H11</f>
        <v>11300</v>
      </c>
      <c r="I10" s="72">
        <v>14450</v>
      </c>
      <c r="J10" s="72">
        <f t="shared" si="0"/>
        <v>-3150</v>
      </c>
      <c r="K10" s="52"/>
      <c r="L10" s="53"/>
      <c r="M10" s="40"/>
      <c r="N10" s="436"/>
      <c r="AD10" s="595"/>
    </row>
    <row r="11" spans="1:30" s="61" customFormat="1" ht="18" customHeight="1">
      <c r="A11" s="63"/>
      <c r="B11" s="65"/>
      <c r="C11" s="65"/>
      <c r="D11" s="145"/>
      <c r="E11" s="190"/>
      <c r="F11" s="190"/>
      <c r="G11" s="138" t="s">
        <v>442</v>
      </c>
      <c r="H11" s="73">
        <f>SUM(M11,M15)</f>
        <v>11300</v>
      </c>
      <c r="I11" s="73">
        <v>10450</v>
      </c>
      <c r="J11" s="73">
        <f t="shared" si="0"/>
        <v>850</v>
      </c>
      <c r="K11" s="36" t="s">
        <v>47</v>
      </c>
      <c r="L11" s="44"/>
      <c r="M11" s="219">
        <f>SUM(M12:M14)</f>
        <v>8100</v>
      </c>
      <c r="N11" s="437"/>
      <c r="O11" s="47"/>
      <c r="AD11" s="595"/>
    </row>
    <row r="12" spans="1:30" s="61" customFormat="1" ht="18" customHeight="1">
      <c r="A12" s="63"/>
      <c r="B12" s="65"/>
      <c r="C12" s="65"/>
      <c r="D12" s="145"/>
      <c r="E12" s="190"/>
      <c r="F12" s="190"/>
      <c r="G12" s="68"/>
      <c r="H12" s="74"/>
      <c r="I12" s="74"/>
      <c r="J12" s="74"/>
      <c r="K12" s="604" t="s">
        <v>661</v>
      </c>
      <c r="L12" s="382" t="s">
        <v>443</v>
      </c>
      <c r="M12" s="381">
        <v>4000</v>
      </c>
      <c r="N12" s="436"/>
      <c r="O12" s="47"/>
      <c r="AD12" s="595"/>
    </row>
    <row r="13" spans="1:30" s="61" customFormat="1" ht="18" customHeight="1">
      <c r="A13" s="63"/>
      <c r="B13" s="65"/>
      <c r="C13" s="65"/>
      <c r="D13" s="145"/>
      <c r="E13" s="145"/>
      <c r="F13" s="190"/>
      <c r="G13" s="68"/>
      <c r="H13" s="74"/>
      <c r="I13" s="74"/>
      <c r="J13" s="48"/>
      <c r="K13" s="389" t="s">
        <v>568</v>
      </c>
      <c r="L13" s="382" t="s">
        <v>0</v>
      </c>
      <c r="M13" s="406">
        <v>1100</v>
      </c>
      <c r="N13" s="438" t="s">
        <v>16</v>
      </c>
      <c r="O13" s="47"/>
      <c r="P13" s="46"/>
      <c r="AD13" s="595"/>
    </row>
    <row r="14" spans="1:30" s="61" customFormat="1" ht="18" customHeight="1">
      <c r="A14" s="63"/>
      <c r="B14" s="65"/>
      <c r="C14" s="65"/>
      <c r="D14" s="145"/>
      <c r="E14" s="190"/>
      <c r="F14" s="190"/>
      <c r="G14" s="68"/>
      <c r="H14" s="74"/>
      <c r="I14" s="74"/>
      <c r="J14" s="48"/>
      <c r="K14" s="604" t="s">
        <v>749</v>
      </c>
      <c r="L14" s="382" t="s">
        <v>0</v>
      </c>
      <c r="M14" s="406">
        <v>3000</v>
      </c>
      <c r="N14" s="438"/>
      <c r="O14" s="47"/>
      <c r="P14" s="46"/>
      <c r="AD14" s="595"/>
    </row>
    <row r="15" spans="1:30" s="61" customFormat="1" ht="18" customHeight="1">
      <c r="A15" s="63"/>
      <c r="B15" s="65"/>
      <c r="C15" s="65"/>
      <c r="D15" s="145"/>
      <c r="E15" s="190"/>
      <c r="F15" s="190"/>
      <c r="G15" s="68"/>
      <c r="H15" s="74"/>
      <c r="I15" s="74"/>
      <c r="J15" s="74"/>
      <c r="K15" s="362" t="s">
        <v>567</v>
      </c>
      <c r="L15" s="45"/>
      <c r="M15" s="193">
        <f>SUM(M16:M17)</f>
        <v>3200</v>
      </c>
      <c r="N15" s="436"/>
      <c r="O15" s="47"/>
      <c r="AD15" s="595"/>
    </row>
    <row r="16" spans="1:30" s="61" customFormat="1" ht="18" customHeight="1">
      <c r="A16" s="63"/>
      <c r="B16" s="65"/>
      <c r="C16" s="65"/>
      <c r="D16" s="145"/>
      <c r="E16" s="190"/>
      <c r="F16" s="190"/>
      <c r="G16" s="68"/>
      <c r="H16" s="74"/>
      <c r="I16" s="74"/>
      <c r="J16" s="74"/>
      <c r="K16" s="389" t="s">
        <v>722</v>
      </c>
      <c r="L16" s="382" t="s">
        <v>443</v>
      </c>
      <c r="M16" s="406">
        <v>2500</v>
      </c>
      <c r="N16" s="436"/>
      <c r="O16" s="47"/>
      <c r="AD16" s="595"/>
    </row>
    <row r="17" spans="1:51" s="61" customFormat="1" ht="18" customHeight="1">
      <c r="A17" s="63"/>
      <c r="B17" s="65"/>
      <c r="C17" s="65"/>
      <c r="D17" s="145"/>
      <c r="E17" s="190"/>
      <c r="F17" s="190"/>
      <c r="G17" s="68"/>
      <c r="H17" s="74"/>
      <c r="I17" s="74"/>
      <c r="J17" s="74"/>
      <c r="K17" s="389" t="s">
        <v>569</v>
      </c>
      <c r="L17" s="382" t="s">
        <v>199</v>
      </c>
      <c r="M17" s="406">
        <v>700</v>
      </c>
      <c r="N17" s="436"/>
      <c r="O17" s="47"/>
      <c r="AD17" s="595"/>
    </row>
    <row r="18" spans="1:51" s="1" customFormat="1" ht="18" customHeight="1">
      <c r="A18" s="10"/>
      <c r="B18" s="6"/>
      <c r="C18" s="147"/>
      <c r="D18" s="129" t="s">
        <v>444</v>
      </c>
      <c r="E18" s="130"/>
      <c r="F18" s="130"/>
      <c r="G18" s="131"/>
      <c r="H18" s="132">
        <f>SUM(H19,H28)</f>
        <v>63460</v>
      </c>
      <c r="I18" s="132">
        <v>32400</v>
      </c>
      <c r="J18" s="92">
        <f t="shared" ref="J18:J21" si="1">H18-I18</f>
        <v>31060</v>
      </c>
      <c r="K18" s="355"/>
      <c r="L18" s="133"/>
      <c r="M18" s="80"/>
      <c r="N18" s="125"/>
      <c r="O18" s="2"/>
      <c r="P18" s="11"/>
      <c r="Q18" s="126"/>
      <c r="R18" s="126"/>
      <c r="S18" s="126"/>
      <c r="T18" s="127"/>
      <c r="U18" s="128"/>
      <c r="AD18" s="595"/>
    </row>
    <row r="19" spans="1:51" s="1" customFormat="1" ht="18" customHeight="1">
      <c r="A19" s="10"/>
      <c r="B19" s="6"/>
      <c r="C19" s="134"/>
      <c r="D19" s="135"/>
      <c r="E19" s="129" t="s">
        <v>31</v>
      </c>
      <c r="F19" s="130"/>
      <c r="G19" s="131"/>
      <c r="H19" s="91">
        <f>SUM(H20,H25)</f>
        <v>23460</v>
      </c>
      <c r="I19" s="91">
        <v>22400</v>
      </c>
      <c r="J19" s="95">
        <f t="shared" si="1"/>
        <v>1060</v>
      </c>
      <c r="K19" s="356"/>
      <c r="L19" s="93"/>
      <c r="M19" s="82"/>
      <c r="N19" s="125"/>
      <c r="O19" s="2"/>
      <c r="P19" s="11"/>
      <c r="Q19" s="126"/>
      <c r="R19" s="126"/>
      <c r="S19" s="126"/>
      <c r="T19" s="12"/>
      <c r="U19" s="128"/>
      <c r="AD19" s="595"/>
    </row>
    <row r="20" spans="1:51" s="61" customFormat="1" ht="18" customHeight="1">
      <c r="A20" s="63"/>
      <c r="B20" s="65"/>
      <c r="C20" s="186"/>
      <c r="D20" s="187"/>
      <c r="E20" s="188"/>
      <c r="F20" s="136" t="s">
        <v>438</v>
      </c>
      <c r="G20" s="189"/>
      <c r="H20" s="72">
        <f>H21</f>
        <v>20160</v>
      </c>
      <c r="I20" s="72">
        <v>22400</v>
      </c>
      <c r="J20" s="72">
        <f t="shared" si="1"/>
        <v>-2240</v>
      </c>
      <c r="K20" s="400"/>
      <c r="L20" s="53"/>
      <c r="M20" s="40"/>
      <c r="N20" s="436"/>
      <c r="AD20" s="595"/>
    </row>
    <row r="21" spans="1:51" s="61" customFormat="1" ht="18" customHeight="1">
      <c r="A21" s="63"/>
      <c r="B21" s="65"/>
      <c r="C21" s="65"/>
      <c r="D21" s="145"/>
      <c r="E21" s="190"/>
      <c r="F21" s="190"/>
      <c r="G21" s="138" t="s">
        <v>442</v>
      </c>
      <c r="H21" s="73">
        <f>M21</f>
        <v>20160</v>
      </c>
      <c r="I21" s="73">
        <v>22400</v>
      </c>
      <c r="J21" s="73">
        <f t="shared" si="1"/>
        <v>-2240</v>
      </c>
      <c r="K21" s="393" t="s">
        <v>47</v>
      </c>
      <c r="L21" s="44"/>
      <c r="M21" s="219">
        <f>SUM(M22:M24)</f>
        <v>20160</v>
      </c>
      <c r="N21" s="437"/>
      <c r="O21" s="47"/>
      <c r="AD21" s="595"/>
    </row>
    <row r="22" spans="1:51" s="61" customFormat="1" ht="18" customHeight="1">
      <c r="A22" s="63"/>
      <c r="B22" s="65"/>
      <c r="C22" s="65"/>
      <c r="D22" s="145"/>
      <c r="E22" s="190"/>
      <c r="F22" s="190"/>
      <c r="G22" s="68"/>
      <c r="H22" s="74"/>
      <c r="I22" s="74"/>
      <c r="J22" s="74"/>
      <c r="K22" s="389" t="s">
        <v>570</v>
      </c>
      <c r="L22" s="45" t="s">
        <v>443</v>
      </c>
      <c r="M22" s="191">
        <v>15000</v>
      </c>
      <c r="N22" s="436"/>
      <c r="O22" s="47"/>
      <c r="AD22" s="595"/>
    </row>
    <row r="23" spans="1:51" s="61" customFormat="1" ht="18" customHeight="1">
      <c r="A23" s="63"/>
      <c r="B23" s="65"/>
      <c r="C23" s="65"/>
      <c r="D23" s="145"/>
      <c r="E23" s="190"/>
      <c r="F23" s="190"/>
      <c r="G23" s="68"/>
      <c r="H23" s="74"/>
      <c r="I23" s="74"/>
      <c r="J23" s="74"/>
      <c r="K23" s="389" t="s">
        <v>572</v>
      </c>
      <c r="L23" s="45" t="s">
        <v>571</v>
      </c>
      <c r="M23" s="191">
        <v>3000</v>
      </c>
      <c r="N23" s="436"/>
      <c r="O23" s="47"/>
      <c r="AD23" s="595"/>
    </row>
    <row r="24" spans="1:51" s="61" customFormat="1" ht="18" customHeight="1">
      <c r="A24" s="63"/>
      <c r="B24" s="65"/>
      <c r="C24" s="65"/>
      <c r="D24" s="145"/>
      <c r="E24" s="190"/>
      <c r="F24" s="190"/>
      <c r="G24" s="68"/>
      <c r="H24" s="74"/>
      <c r="I24" s="74"/>
      <c r="J24" s="74"/>
      <c r="K24" s="217" t="s">
        <v>573</v>
      </c>
      <c r="L24" s="142" t="s">
        <v>443</v>
      </c>
      <c r="M24" s="234">
        <v>2160</v>
      </c>
      <c r="N24" s="436"/>
      <c r="O24" s="47"/>
      <c r="AD24" s="595"/>
    </row>
    <row r="25" spans="1:51" s="137" customFormat="1" ht="18" customHeight="1">
      <c r="A25" s="63"/>
      <c r="B25" s="65"/>
      <c r="C25" s="364"/>
      <c r="D25" s="364"/>
      <c r="E25" s="364"/>
      <c r="F25" s="650" t="s">
        <v>40</v>
      </c>
      <c r="G25" s="651"/>
      <c r="H25" s="522">
        <f>H26</f>
        <v>3300</v>
      </c>
      <c r="I25" s="522">
        <v>0</v>
      </c>
      <c r="J25" s="523">
        <f>H25-I25</f>
        <v>3300</v>
      </c>
      <c r="K25" s="422"/>
      <c r="L25" s="423"/>
      <c r="M25" s="566"/>
      <c r="N25" s="444"/>
      <c r="P25" s="141"/>
      <c r="V25" s="54"/>
      <c r="W25" s="59"/>
      <c r="X25" s="59"/>
      <c r="Y25" s="59"/>
      <c r="Z25" s="59"/>
      <c r="AA25" s="59"/>
      <c r="AB25" s="59"/>
      <c r="AC25" s="59"/>
      <c r="AD25" s="595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</row>
    <row r="26" spans="1:51" s="137" customFormat="1" ht="18" customHeight="1">
      <c r="A26" s="63"/>
      <c r="B26" s="65"/>
      <c r="C26" s="364"/>
      <c r="D26" s="364"/>
      <c r="E26" s="364"/>
      <c r="F26" s="524"/>
      <c r="G26" s="480" t="s">
        <v>41</v>
      </c>
      <c r="H26" s="496">
        <f>M26</f>
        <v>3300</v>
      </c>
      <c r="I26" s="487">
        <v>0</v>
      </c>
      <c r="J26" s="497">
        <f>H26-I26</f>
        <v>3300</v>
      </c>
      <c r="K26" s="393" t="s">
        <v>49</v>
      </c>
      <c r="L26" s="425"/>
      <c r="M26" s="395">
        <f>SUM(M27:M28)</f>
        <v>3300</v>
      </c>
      <c r="N26" s="445"/>
      <c r="O26" s="151"/>
      <c r="P26" s="139"/>
      <c r="Q26" s="101"/>
      <c r="R26" s="101"/>
      <c r="S26" s="101"/>
      <c r="V26" s="54"/>
      <c r="W26" s="59"/>
      <c r="X26" s="59"/>
      <c r="Y26" s="59"/>
      <c r="Z26" s="59"/>
      <c r="AA26" s="59"/>
      <c r="AB26" s="59"/>
      <c r="AC26" s="59"/>
      <c r="AD26" s="595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</row>
    <row r="27" spans="1:51" s="137" customFormat="1" ht="18" customHeight="1">
      <c r="A27" s="63"/>
      <c r="B27" s="65"/>
      <c r="C27" s="364"/>
      <c r="D27" s="364"/>
      <c r="E27" s="364"/>
      <c r="F27" s="481"/>
      <c r="G27" s="481"/>
      <c r="H27" s="490"/>
      <c r="I27" s="534"/>
      <c r="J27" s="494"/>
      <c r="K27" s="389" t="s">
        <v>657</v>
      </c>
      <c r="L27" s="426" t="s">
        <v>0</v>
      </c>
      <c r="M27" s="381">
        <v>3300</v>
      </c>
      <c r="N27" s="446" t="s">
        <v>17</v>
      </c>
      <c r="O27" s="151"/>
      <c r="P27" s="139">
        <v>670000</v>
      </c>
      <c r="Q27" s="101">
        <v>1</v>
      </c>
      <c r="R27" s="101">
        <v>1</v>
      </c>
      <c r="S27" s="101"/>
      <c r="V27" s="54"/>
      <c r="W27" s="59"/>
      <c r="X27" s="59"/>
      <c r="Y27" s="59"/>
      <c r="Z27" s="59"/>
      <c r="AA27" s="59"/>
      <c r="AB27" s="59"/>
      <c r="AC27" s="59"/>
      <c r="AD27" s="595"/>
      <c r="AE27" s="596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</row>
    <row r="28" spans="1:51" s="1" customFormat="1" ht="18" customHeight="1">
      <c r="A28" s="10"/>
      <c r="B28" s="6"/>
      <c r="C28" s="134"/>
      <c r="D28" s="246"/>
      <c r="E28" s="129" t="s">
        <v>58</v>
      </c>
      <c r="F28" s="130"/>
      <c r="G28" s="131"/>
      <c r="H28" s="91">
        <f>H29</f>
        <v>40000</v>
      </c>
      <c r="I28" s="91">
        <v>10000</v>
      </c>
      <c r="J28" s="92">
        <f t="shared" ref="J28:J30" si="2">H28-I28</f>
        <v>30000</v>
      </c>
      <c r="K28" s="84"/>
      <c r="L28" s="93"/>
      <c r="M28" s="82"/>
      <c r="N28" s="125"/>
      <c r="O28" s="2"/>
      <c r="P28" s="11"/>
      <c r="Q28" s="126"/>
      <c r="R28" s="126"/>
      <c r="S28" s="126"/>
      <c r="T28" s="12"/>
      <c r="U28" s="128"/>
      <c r="AD28" s="595"/>
    </row>
    <row r="29" spans="1:51" s="61" customFormat="1" ht="18" customHeight="1">
      <c r="A29" s="63"/>
      <c r="B29" s="65"/>
      <c r="C29" s="186"/>
      <c r="D29" s="187"/>
      <c r="E29" s="188"/>
      <c r="F29" s="136" t="s">
        <v>59</v>
      </c>
      <c r="G29" s="189"/>
      <c r="H29" s="72">
        <f>H30</f>
        <v>40000</v>
      </c>
      <c r="I29" s="72">
        <v>10000</v>
      </c>
      <c r="J29" s="72">
        <f t="shared" si="2"/>
        <v>30000</v>
      </c>
      <c r="K29" s="52"/>
      <c r="L29" s="53"/>
      <c r="M29" s="40"/>
      <c r="N29" s="436"/>
      <c r="AD29" s="595"/>
    </row>
    <row r="30" spans="1:51" s="61" customFormat="1" ht="18" customHeight="1">
      <c r="A30" s="63"/>
      <c r="B30" s="65"/>
      <c r="C30" s="364"/>
      <c r="D30" s="365"/>
      <c r="E30" s="366"/>
      <c r="F30" s="366"/>
      <c r="G30" s="474" t="s">
        <v>445</v>
      </c>
      <c r="H30" s="41">
        <f>M30</f>
        <v>40000</v>
      </c>
      <c r="I30" s="41">
        <v>10000</v>
      </c>
      <c r="J30" s="41">
        <f t="shared" si="2"/>
        <v>30000</v>
      </c>
      <c r="K30" s="393" t="s">
        <v>446</v>
      </c>
      <c r="L30" s="394"/>
      <c r="M30" s="395">
        <f>M31</f>
        <v>40000</v>
      </c>
      <c r="N30" s="437"/>
      <c r="O30" s="47"/>
      <c r="AD30" s="595"/>
    </row>
    <row r="31" spans="1:51" s="61" customFormat="1" ht="18" customHeight="1">
      <c r="A31" s="63"/>
      <c r="B31" s="65"/>
      <c r="C31" s="364"/>
      <c r="D31" s="365"/>
      <c r="E31" s="366"/>
      <c r="F31" s="366"/>
      <c r="G31" s="367"/>
      <c r="H31" s="50"/>
      <c r="I31" s="50"/>
      <c r="J31" s="146"/>
      <c r="K31" s="387" t="s">
        <v>574</v>
      </c>
      <c r="L31" s="384" t="s">
        <v>443</v>
      </c>
      <c r="M31" s="388">
        <v>40000</v>
      </c>
      <c r="N31" s="436"/>
      <c r="O31" s="47"/>
      <c r="AD31" s="595"/>
    </row>
    <row r="32" spans="1:51" s="1" customFormat="1" ht="18" customHeight="1">
      <c r="A32" s="10"/>
      <c r="B32" s="6"/>
      <c r="C32" s="482"/>
      <c r="D32" s="354" t="s">
        <v>502</v>
      </c>
      <c r="E32" s="462"/>
      <c r="F32" s="462"/>
      <c r="G32" s="463"/>
      <c r="H32" s="465">
        <f>SUM(H33)</f>
        <v>100000</v>
      </c>
      <c r="I32" s="465">
        <v>0</v>
      </c>
      <c r="J32" s="95">
        <f t="shared" ref="J32:J35" si="3">H32-I32</f>
        <v>100000</v>
      </c>
      <c r="K32" s="355"/>
      <c r="L32" s="412"/>
      <c r="M32" s="428"/>
      <c r="N32" s="125"/>
      <c r="O32" s="2"/>
      <c r="P32" s="11"/>
      <c r="Q32" s="126"/>
      <c r="R32" s="126"/>
      <c r="S32" s="126"/>
      <c r="T32" s="127"/>
      <c r="U32" s="128"/>
      <c r="AD32" s="595"/>
    </row>
    <row r="33" spans="1:51" s="1" customFormat="1" ht="18" customHeight="1">
      <c r="A33" s="10"/>
      <c r="B33" s="6"/>
      <c r="C33" s="466"/>
      <c r="D33" s="467"/>
      <c r="E33" s="354" t="s">
        <v>31</v>
      </c>
      <c r="F33" s="462"/>
      <c r="G33" s="463"/>
      <c r="H33" s="92">
        <f>SUM(H34)</f>
        <v>100000</v>
      </c>
      <c r="I33" s="92">
        <v>0</v>
      </c>
      <c r="J33" s="95">
        <f t="shared" si="3"/>
        <v>100000</v>
      </c>
      <c r="K33" s="356"/>
      <c r="L33" s="398"/>
      <c r="M33" s="399"/>
      <c r="N33" s="125"/>
      <c r="O33" s="2"/>
      <c r="P33" s="11"/>
      <c r="Q33" s="126"/>
      <c r="R33" s="126"/>
      <c r="S33" s="126"/>
      <c r="T33" s="12"/>
      <c r="U33" s="128"/>
      <c r="AD33" s="595"/>
    </row>
    <row r="34" spans="1:51" s="61" customFormat="1" ht="18" customHeight="1">
      <c r="A34" s="63"/>
      <c r="B34" s="65"/>
      <c r="C34" s="469"/>
      <c r="D34" s="470"/>
      <c r="E34" s="471"/>
      <c r="F34" s="472" t="s">
        <v>35</v>
      </c>
      <c r="G34" s="473"/>
      <c r="H34" s="98">
        <f>H35</f>
        <v>100000</v>
      </c>
      <c r="I34" s="98">
        <v>0</v>
      </c>
      <c r="J34" s="98">
        <f t="shared" si="3"/>
        <v>100000</v>
      </c>
      <c r="K34" s="400"/>
      <c r="L34" s="357"/>
      <c r="M34" s="401"/>
      <c r="N34" s="436"/>
      <c r="AD34" s="595"/>
    </row>
    <row r="35" spans="1:51" s="61" customFormat="1" ht="18" customHeight="1">
      <c r="A35" s="63"/>
      <c r="B35" s="65"/>
      <c r="C35" s="364"/>
      <c r="D35" s="365"/>
      <c r="E35" s="366"/>
      <c r="F35" s="366"/>
      <c r="G35" s="474" t="s">
        <v>442</v>
      </c>
      <c r="H35" s="41">
        <f>M35</f>
        <v>100000</v>
      </c>
      <c r="I35" s="41">
        <v>0</v>
      </c>
      <c r="J35" s="41">
        <f t="shared" si="3"/>
        <v>100000</v>
      </c>
      <c r="K35" s="393" t="s">
        <v>47</v>
      </c>
      <c r="L35" s="394"/>
      <c r="M35" s="395">
        <f>SUM(M36:M36)</f>
        <v>100000</v>
      </c>
      <c r="N35" s="437"/>
      <c r="O35" s="47"/>
      <c r="AD35" s="595"/>
    </row>
    <row r="36" spans="1:51" s="565" customFormat="1" ht="18" customHeight="1">
      <c r="A36" s="363"/>
      <c r="B36" s="364"/>
      <c r="C36" s="364"/>
      <c r="D36" s="365"/>
      <c r="E36" s="365"/>
      <c r="F36" s="366"/>
      <c r="G36" s="367"/>
      <c r="H36" s="50"/>
      <c r="I36" s="50"/>
      <c r="J36" s="50"/>
      <c r="K36" s="387" t="s">
        <v>575</v>
      </c>
      <c r="L36" s="382" t="s">
        <v>443</v>
      </c>
      <c r="M36" s="406">
        <v>100000</v>
      </c>
      <c r="N36" s="438"/>
      <c r="O36" s="564"/>
      <c r="AD36" s="595"/>
    </row>
    <row r="37" spans="1:51" s="1" customFormat="1" ht="18" customHeight="1">
      <c r="A37" s="10"/>
      <c r="B37" s="6"/>
      <c r="C37" s="179" t="s">
        <v>254</v>
      </c>
      <c r="D37" s="462"/>
      <c r="E37" s="462"/>
      <c r="F37" s="462"/>
      <c r="G37" s="463"/>
      <c r="H37" s="92">
        <f>H38</f>
        <v>22876</v>
      </c>
      <c r="I37" s="92">
        <v>32316</v>
      </c>
      <c r="J37" s="92">
        <f>H37-I37</f>
        <v>-9440</v>
      </c>
      <c r="K37" s="403"/>
      <c r="L37" s="397"/>
      <c r="M37" s="404"/>
      <c r="N37" s="652"/>
      <c r="O37" s="652"/>
      <c r="P37" s="652"/>
      <c r="Q37" s="652"/>
      <c r="R37" s="652"/>
      <c r="S37" s="652"/>
      <c r="T37" s="652"/>
      <c r="U37" s="652"/>
      <c r="AD37" s="595"/>
    </row>
    <row r="38" spans="1:51" s="1" customFormat="1" ht="18" customHeight="1">
      <c r="A38" s="10"/>
      <c r="B38" s="6"/>
      <c r="C38" s="482"/>
      <c r="D38" s="354" t="s">
        <v>34</v>
      </c>
      <c r="E38" s="462"/>
      <c r="F38" s="462"/>
      <c r="G38" s="463"/>
      <c r="H38" s="465">
        <f>H39</f>
        <v>22876</v>
      </c>
      <c r="I38" s="465">
        <v>32316</v>
      </c>
      <c r="J38" s="92">
        <f>H38-I38</f>
        <v>-9440</v>
      </c>
      <c r="K38" s="396"/>
      <c r="L38" s="397"/>
      <c r="M38" s="404"/>
      <c r="N38" s="125"/>
      <c r="O38" s="2"/>
      <c r="P38" s="11"/>
      <c r="Q38" s="126"/>
      <c r="R38" s="126"/>
      <c r="S38" s="126"/>
      <c r="T38" s="127"/>
      <c r="U38" s="128"/>
      <c r="AD38" s="595"/>
    </row>
    <row r="39" spans="1:51" s="1" customFormat="1" ht="18" customHeight="1">
      <c r="A39" s="10"/>
      <c r="B39" s="6"/>
      <c r="C39" s="466"/>
      <c r="D39" s="467"/>
      <c r="E39" s="354" t="s">
        <v>33</v>
      </c>
      <c r="F39" s="462"/>
      <c r="G39" s="463"/>
      <c r="H39" s="92">
        <f>SUM(H40,H47,H51,H54)</f>
        <v>22876</v>
      </c>
      <c r="I39" s="92">
        <v>32316</v>
      </c>
      <c r="J39" s="92">
        <f>H39-I39</f>
        <v>-9440</v>
      </c>
      <c r="K39" s="356"/>
      <c r="L39" s="398"/>
      <c r="M39" s="399"/>
      <c r="N39" s="125"/>
      <c r="O39" s="2"/>
      <c r="P39" s="11"/>
      <c r="Q39" s="126"/>
      <c r="R39" s="126"/>
      <c r="S39" s="126"/>
      <c r="T39" s="12"/>
      <c r="U39" s="128"/>
      <c r="AD39" s="595"/>
    </row>
    <row r="40" spans="1:51" s="141" customFormat="1" ht="18" customHeight="1">
      <c r="A40" s="63"/>
      <c r="B40" s="65"/>
      <c r="C40" s="364"/>
      <c r="D40" s="364"/>
      <c r="E40" s="364"/>
      <c r="F40" s="472" t="s">
        <v>35</v>
      </c>
      <c r="G40" s="475"/>
      <c r="H40" s="98">
        <f>SUM(H41,H43,H45)</f>
        <v>10276</v>
      </c>
      <c r="I40" s="98">
        <v>12016</v>
      </c>
      <c r="J40" s="98">
        <f>H40-I40</f>
        <v>-1740</v>
      </c>
      <c r="K40" s="390"/>
      <c r="L40" s="391"/>
      <c r="M40" s="405"/>
      <c r="N40" s="439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AD40" s="595"/>
    </row>
    <row r="41" spans="1:51" s="137" customFormat="1" ht="18" customHeight="1">
      <c r="A41" s="55"/>
      <c r="B41" s="57"/>
      <c r="C41" s="364"/>
      <c r="D41" s="364"/>
      <c r="E41" s="364"/>
      <c r="F41" s="485"/>
      <c r="G41" s="486" t="s">
        <v>36</v>
      </c>
      <c r="H41" s="487">
        <f>M41</f>
        <v>2000</v>
      </c>
      <c r="I41" s="487">
        <v>3240</v>
      </c>
      <c r="J41" s="41">
        <f>H41-I41</f>
        <v>-1240</v>
      </c>
      <c r="K41" s="393" t="s">
        <v>47</v>
      </c>
      <c r="L41" s="420"/>
      <c r="M41" s="395">
        <f>SUM(M42:M42)</f>
        <v>2000</v>
      </c>
      <c r="N41" s="440"/>
      <c r="O41" s="60"/>
      <c r="P41" s="97"/>
      <c r="Q41" s="54"/>
      <c r="R41" s="54"/>
      <c r="S41" s="54"/>
      <c r="T41" s="54"/>
      <c r="U41" s="54"/>
      <c r="V41" s="54"/>
      <c r="W41" s="59"/>
      <c r="X41" s="59"/>
      <c r="Y41" s="59"/>
      <c r="Z41" s="59"/>
      <c r="AA41" s="59"/>
      <c r="AB41" s="59"/>
      <c r="AC41" s="59"/>
      <c r="AD41" s="595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</row>
    <row r="42" spans="1:51" s="59" customFormat="1" ht="18" customHeight="1">
      <c r="A42" s="55"/>
      <c r="B42" s="57"/>
      <c r="C42" s="364"/>
      <c r="D42" s="364"/>
      <c r="E42" s="364"/>
      <c r="F42" s="489"/>
      <c r="G42" s="489"/>
      <c r="H42" s="490"/>
      <c r="I42" s="490"/>
      <c r="J42" s="494"/>
      <c r="K42" s="379" t="s">
        <v>717</v>
      </c>
      <c r="L42" s="385" t="s">
        <v>37</v>
      </c>
      <c r="M42" s="381">
        <v>2000</v>
      </c>
      <c r="N42" s="441" t="s">
        <v>9</v>
      </c>
      <c r="P42" s="99"/>
      <c r="Q42" s="54"/>
      <c r="R42" s="54"/>
      <c r="S42" s="54"/>
      <c r="T42" s="54"/>
      <c r="U42" s="54"/>
      <c r="V42" s="54"/>
      <c r="AD42" s="595"/>
    </row>
    <row r="43" spans="1:51" s="137" customFormat="1" ht="18" customHeight="1">
      <c r="A43" s="55"/>
      <c r="B43" s="57"/>
      <c r="C43" s="364"/>
      <c r="D43" s="364"/>
      <c r="E43" s="364"/>
      <c r="F43" s="489"/>
      <c r="G43" s="486" t="s">
        <v>38</v>
      </c>
      <c r="H43" s="487">
        <f>M43</f>
        <v>500</v>
      </c>
      <c r="I43" s="487">
        <v>1000</v>
      </c>
      <c r="J43" s="533">
        <f>H43-I43</f>
        <v>-500</v>
      </c>
      <c r="K43" s="393" t="s">
        <v>48</v>
      </c>
      <c r="L43" s="532"/>
      <c r="M43" s="395">
        <f>SUM(M44)</f>
        <v>500</v>
      </c>
      <c r="N43" s="442" t="s">
        <v>10</v>
      </c>
      <c r="O43" s="151"/>
      <c r="P43" s="139">
        <v>10380</v>
      </c>
      <c r="Q43" s="101">
        <v>0.5</v>
      </c>
      <c r="R43" s="101">
        <v>0.5</v>
      </c>
      <c r="S43" s="101">
        <v>4</v>
      </c>
      <c r="T43" s="101">
        <v>5</v>
      </c>
      <c r="U43" s="101">
        <v>52</v>
      </c>
      <c r="AD43" s="595"/>
    </row>
    <row r="44" spans="1:51" s="137" customFormat="1" ht="18" customHeight="1">
      <c r="A44" s="63"/>
      <c r="B44" s="65"/>
      <c r="C44" s="364"/>
      <c r="D44" s="364"/>
      <c r="E44" s="364"/>
      <c r="F44" s="489"/>
      <c r="G44" s="489"/>
      <c r="H44" s="490"/>
      <c r="I44" s="490"/>
      <c r="J44" s="494"/>
      <c r="K44" s="379" t="s">
        <v>576</v>
      </c>
      <c r="L44" s="380" t="s">
        <v>39</v>
      </c>
      <c r="M44" s="381">
        <v>500</v>
      </c>
      <c r="N44" s="443" t="s">
        <v>4</v>
      </c>
      <c r="O44" s="151"/>
      <c r="P44" s="139">
        <v>10380</v>
      </c>
      <c r="Q44" s="101">
        <v>8</v>
      </c>
      <c r="R44" s="101">
        <v>4</v>
      </c>
      <c r="S44" s="101">
        <v>12</v>
      </c>
      <c r="T44" s="101"/>
      <c r="U44" s="101"/>
      <c r="AD44" s="595"/>
    </row>
    <row r="45" spans="1:51" s="137" customFormat="1" ht="18" customHeight="1">
      <c r="A45" s="55"/>
      <c r="B45" s="57"/>
      <c r="C45" s="364"/>
      <c r="D45" s="364"/>
      <c r="E45" s="364"/>
      <c r="F45" s="489"/>
      <c r="G45" s="486" t="s">
        <v>307</v>
      </c>
      <c r="H45" s="487">
        <f>M45</f>
        <v>7776</v>
      </c>
      <c r="I45" s="487">
        <v>7776</v>
      </c>
      <c r="J45" s="533">
        <f>H45-I45</f>
        <v>0</v>
      </c>
      <c r="K45" s="393" t="s">
        <v>308</v>
      </c>
      <c r="L45" s="532"/>
      <c r="M45" s="395">
        <f>SUM(M46)</f>
        <v>7776</v>
      </c>
      <c r="N45" s="442" t="s">
        <v>10</v>
      </c>
      <c r="O45" s="151"/>
      <c r="P45" s="139">
        <v>10380</v>
      </c>
      <c r="Q45" s="101">
        <v>0.5</v>
      </c>
      <c r="R45" s="101">
        <v>0.5</v>
      </c>
      <c r="S45" s="101">
        <v>4</v>
      </c>
      <c r="T45" s="101">
        <v>5</v>
      </c>
      <c r="U45" s="101">
        <v>52</v>
      </c>
      <c r="AD45" s="595"/>
    </row>
    <row r="46" spans="1:51" s="137" customFormat="1" ht="18" customHeight="1">
      <c r="A46" s="63"/>
      <c r="B46" s="65"/>
      <c r="C46" s="364"/>
      <c r="D46" s="364"/>
      <c r="E46" s="364"/>
      <c r="F46" s="489"/>
      <c r="G46" s="489"/>
      <c r="H46" s="490"/>
      <c r="I46" s="490"/>
      <c r="J46" s="494"/>
      <c r="K46" s="387" t="s">
        <v>395</v>
      </c>
      <c r="L46" s="380" t="s">
        <v>37</v>
      </c>
      <c r="M46" s="381">
        <v>7776</v>
      </c>
      <c r="N46" s="443" t="s">
        <v>4</v>
      </c>
      <c r="O46" s="151"/>
      <c r="P46" s="139">
        <v>10380</v>
      </c>
      <c r="Q46" s="101">
        <v>8</v>
      </c>
      <c r="R46" s="101">
        <v>4</v>
      </c>
      <c r="S46" s="101">
        <v>12</v>
      </c>
      <c r="T46" s="101"/>
      <c r="U46" s="101"/>
      <c r="AD46" s="595"/>
    </row>
    <row r="47" spans="1:51" s="137" customFormat="1" ht="18" customHeight="1">
      <c r="A47" s="63"/>
      <c r="B47" s="65"/>
      <c r="C47" s="364"/>
      <c r="D47" s="364"/>
      <c r="E47" s="364"/>
      <c r="F47" s="650" t="s">
        <v>40</v>
      </c>
      <c r="G47" s="651"/>
      <c r="H47" s="522">
        <f>H48</f>
        <v>9000</v>
      </c>
      <c r="I47" s="522">
        <v>16200</v>
      </c>
      <c r="J47" s="523">
        <f>H47-I47</f>
        <v>-7200</v>
      </c>
      <c r="K47" s="422"/>
      <c r="L47" s="423"/>
      <c r="M47" s="424"/>
      <c r="N47" s="444"/>
      <c r="P47" s="141"/>
      <c r="V47" s="54"/>
      <c r="W47" s="59"/>
      <c r="X47" s="59"/>
      <c r="Y47" s="59"/>
      <c r="Z47" s="59"/>
      <c r="AA47" s="59"/>
      <c r="AB47" s="59"/>
      <c r="AC47" s="59"/>
      <c r="AD47" s="595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</row>
    <row r="48" spans="1:51" s="137" customFormat="1" ht="18" customHeight="1">
      <c r="A48" s="63"/>
      <c r="B48" s="65"/>
      <c r="C48" s="364"/>
      <c r="D48" s="364"/>
      <c r="E48" s="364"/>
      <c r="F48" s="524"/>
      <c r="G48" s="480" t="s">
        <v>41</v>
      </c>
      <c r="H48" s="496">
        <f>M48</f>
        <v>9000</v>
      </c>
      <c r="I48" s="487">
        <v>16200</v>
      </c>
      <c r="J48" s="497">
        <f>H48-I48</f>
        <v>-7200</v>
      </c>
      <c r="K48" s="393" t="s">
        <v>49</v>
      </c>
      <c r="L48" s="425"/>
      <c r="M48" s="395">
        <f>SUM(M49:M50)</f>
        <v>9000</v>
      </c>
      <c r="N48" s="445"/>
      <c r="O48" s="151"/>
      <c r="P48" s="139"/>
      <c r="Q48" s="101"/>
      <c r="R48" s="101"/>
      <c r="S48" s="101"/>
      <c r="V48" s="54"/>
      <c r="W48" s="59"/>
      <c r="X48" s="59"/>
      <c r="Y48" s="59"/>
      <c r="Z48" s="59"/>
      <c r="AA48" s="59"/>
      <c r="AB48" s="59"/>
      <c r="AC48" s="59"/>
      <c r="AD48" s="595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</row>
    <row r="49" spans="1:51" s="137" customFormat="1" ht="18" customHeight="1">
      <c r="A49" s="63"/>
      <c r="B49" s="65"/>
      <c r="C49" s="364"/>
      <c r="D49" s="364"/>
      <c r="E49" s="364"/>
      <c r="F49" s="481"/>
      <c r="G49" s="481"/>
      <c r="H49" s="490"/>
      <c r="I49" s="534"/>
      <c r="J49" s="494"/>
      <c r="K49" s="389" t="s">
        <v>577</v>
      </c>
      <c r="L49" s="426" t="s">
        <v>0</v>
      </c>
      <c r="M49" s="381">
        <v>2400</v>
      </c>
      <c r="N49" s="446" t="s">
        <v>17</v>
      </c>
      <c r="O49" s="151"/>
      <c r="P49" s="139">
        <v>670000</v>
      </c>
      <c r="Q49" s="101">
        <v>1</v>
      </c>
      <c r="R49" s="101">
        <v>1</v>
      </c>
      <c r="S49" s="101"/>
      <c r="V49" s="54"/>
      <c r="W49" s="59"/>
      <c r="X49" s="59"/>
      <c r="Y49" s="59"/>
      <c r="Z49" s="59"/>
      <c r="AA49" s="59"/>
      <c r="AB49" s="59"/>
      <c r="AC49" s="59"/>
      <c r="AD49" s="595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</row>
    <row r="50" spans="1:51" s="137" customFormat="1" ht="18" customHeight="1">
      <c r="A50" s="63"/>
      <c r="B50" s="65"/>
      <c r="C50" s="364"/>
      <c r="D50" s="364"/>
      <c r="E50" s="364"/>
      <c r="F50" s="502"/>
      <c r="G50" s="502"/>
      <c r="H50" s="527"/>
      <c r="I50" s="535"/>
      <c r="J50" s="528"/>
      <c r="K50" s="387" t="s">
        <v>578</v>
      </c>
      <c r="L50" s="530" t="s">
        <v>0</v>
      </c>
      <c r="M50" s="388">
        <v>6600</v>
      </c>
      <c r="N50" s="446" t="s">
        <v>18</v>
      </c>
      <c r="O50" s="151"/>
      <c r="P50" s="139">
        <v>26000</v>
      </c>
      <c r="Q50" s="101">
        <v>16</v>
      </c>
      <c r="R50" s="101"/>
      <c r="S50" s="101"/>
      <c r="AD50" s="595"/>
    </row>
    <row r="51" spans="1:51" s="137" customFormat="1" ht="18" customHeight="1">
      <c r="A51" s="63"/>
      <c r="B51" s="65"/>
      <c r="C51" s="364"/>
      <c r="D51" s="364"/>
      <c r="E51" s="364"/>
      <c r="F51" s="650" t="s">
        <v>42</v>
      </c>
      <c r="G51" s="651"/>
      <c r="H51" s="522">
        <f>H52</f>
        <v>1500</v>
      </c>
      <c r="I51" s="522">
        <v>2000</v>
      </c>
      <c r="J51" s="523">
        <f>H51-I51</f>
        <v>-500</v>
      </c>
      <c r="K51" s="422"/>
      <c r="L51" s="423"/>
      <c r="M51" s="424"/>
      <c r="N51" s="444"/>
      <c r="P51" s="141"/>
      <c r="V51" s="54"/>
      <c r="W51" s="59"/>
      <c r="X51" s="59"/>
      <c r="Y51" s="59"/>
      <c r="Z51" s="59"/>
      <c r="AA51" s="59"/>
      <c r="AB51" s="59"/>
      <c r="AC51" s="59"/>
      <c r="AD51" s="595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</row>
    <row r="52" spans="1:51" s="137" customFormat="1" ht="18" customHeight="1">
      <c r="A52" s="63"/>
      <c r="B52" s="65"/>
      <c r="C52" s="364"/>
      <c r="D52" s="364"/>
      <c r="E52" s="364"/>
      <c r="F52" s="481"/>
      <c r="G52" s="524" t="s">
        <v>43</v>
      </c>
      <c r="H52" s="496">
        <f>M52</f>
        <v>1500</v>
      </c>
      <c r="I52" s="496">
        <v>2000</v>
      </c>
      <c r="J52" s="497">
        <f>H52-I52</f>
        <v>-500</v>
      </c>
      <c r="K52" s="36" t="s">
        <v>509</v>
      </c>
      <c r="L52" s="420"/>
      <c r="M52" s="395">
        <f>SUM(M53)</f>
        <v>1500</v>
      </c>
      <c r="N52" s="447"/>
      <c r="O52" s="151"/>
      <c r="P52" s="139"/>
      <c r="Q52" s="101"/>
      <c r="R52" s="101"/>
      <c r="S52" s="101"/>
      <c r="AD52" s="595"/>
    </row>
    <row r="53" spans="1:51" s="137" customFormat="1" ht="18" customHeight="1">
      <c r="A53" s="319"/>
      <c r="B53" s="320"/>
      <c r="C53" s="526"/>
      <c r="D53" s="526"/>
      <c r="E53" s="526"/>
      <c r="F53" s="502"/>
      <c r="G53" s="502"/>
      <c r="H53" s="527"/>
      <c r="I53" s="528"/>
      <c r="J53" s="528"/>
      <c r="K53" s="529" t="s">
        <v>579</v>
      </c>
      <c r="L53" s="530" t="s">
        <v>0</v>
      </c>
      <c r="M53" s="388">
        <v>1500</v>
      </c>
      <c r="N53" s="448" t="s">
        <v>11</v>
      </c>
      <c r="O53" s="151"/>
      <c r="P53" s="139">
        <v>130000</v>
      </c>
      <c r="Q53" s="101">
        <v>1</v>
      </c>
      <c r="R53" s="101"/>
      <c r="S53" s="101"/>
      <c r="AD53" s="595"/>
    </row>
    <row r="54" spans="1:51" customFormat="1">
      <c r="A54" s="63"/>
      <c r="B54" s="65"/>
      <c r="C54" s="364"/>
      <c r="D54" s="364"/>
      <c r="E54" s="364"/>
      <c r="F54" s="521" t="s">
        <v>89</v>
      </c>
      <c r="G54" s="536"/>
      <c r="H54" s="146">
        <f>H55</f>
        <v>2100</v>
      </c>
      <c r="I54" s="146">
        <v>2100</v>
      </c>
      <c r="J54" s="146">
        <f>H54-I54</f>
        <v>0</v>
      </c>
      <c r="K54" s="537"/>
      <c r="L54" s="538"/>
      <c r="M54" s="539"/>
      <c r="AD54" s="595"/>
    </row>
    <row r="55" spans="1:51" customFormat="1">
      <c r="A55" s="63"/>
      <c r="B55" s="65"/>
      <c r="C55" s="364"/>
      <c r="D55" s="364"/>
      <c r="E55" s="364"/>
      <c r="F55" s="476"/>
      <c r="G55" s="364" t="s">
        <v>93</v>
      </c>
      <c r="H55" s="477">
        <f>M55</f>
        <v>2100</v>
      </c>
      <c r="I55" s="477">
        <v>2100</v>
      </c>
      <c r="J55" s="50">
        <f>H55-I55</f>
        <v>0</v>
      </c>
      <c r="K55" s="393" t="s">
        <v>388</v>
      </c>
      <c r="L55" s="419"/>
      <c r="M55" s="395">
        <f>M56</f>
        <v>2100</v>
      </c>
      <c r="AD55" s="595"/>
    </row>
    <row r="56" spans="1:51" customFormat="1" ht="17.25" thickBot="1">
      <c r="A56" s="291"/>
      <c r="B56" s="69"/>
      <c r="C56" s="69"/>
      <c r="D56" s="69"/>
      <c r="E56" s="69"/>
      <c r="F56" s="337"/>
      <c r="G56" s="200"/>
      <c r="H56" s="338"/>
      <c r="I56" s="339"/>
      <c r="J56" s="340"/>
      <c r="K56" s="232" t="s">
        <v>400</v>
      </c>
      <c r="L56" s="233" t="s">
        <v>0</v>
      </c>
      <c r="M56" s="243">
        <v>2100</v>
      </c>
      <c r="N56">
        <v>8</v>
      </c>
      <c r="AD56" s="595"/>
    </row>
    <row r="57" spans="1:51" s="137" customFormat="1" ht="18" customHeight="1">
      <c r="AD57" s="595"/>
    </row>
    <row r="58" spans="1:51" s="137" customFormat="1" ht="18" customHeight="1">
      <c r="AD58" s="595"/>
    </row>
    <row r="59" spans="1:51" s="137" customFormat="1" ht="18" customHeight="1">
      <c r="AD59" s="595"/>
    </row>
    <row r="60" spans="1:51" s="137" customFormat="1" ht="18" customHeight="1">
      <c r="AD60" s="595"/>
    </row>
    <row r="61" spans="1:51" s="137" customFormat="1" ht="18" customHeight="1">
      <c r="AD61" s="595"/>
    </row>
    <row r="62" spans="1:51" s="137" customFormat="1" ht="18" customHeight="1">
      <c r="AD62" s="595"/>
    </row>
    <row r="63" spans="1:51" s="137" customFormat="1" ht="18" customHeight="1">
      <c r="AD63" s="595"/>
    </row>
    <row r="64" spans="1:51" s="137" customFormat="1" ht="18" customHeight="1">
      <c r="AD64" s="595"/>
    </row>
    <row r="65" spans="1:30" s="137" customFormat="1" ht="18" customHeight="1">
      <c r="AD65" s="595"/>
    </row>
    <row r="66" spans="1:30" s="137" customFormat="1" ht="18" customHeight="1">
      <c r="AD66" s="595"/>
    </row>
    <row r="67" spans="1:30" s="137" customFormat="1" ht="18" customHeight="1">
      <c r="AD67" s="595"/>
    </row>
    <row r="68" spans="1:30" s="137" customFormat="1" ht="18" customHeight="1">
      <c r="A68" s="1"/>
      <c r="AD68" s="595"/>
    </row>
    <row r="69" spans="1:30" s="137" customFormat="1" ht="18" customHeight="1">
      <c r="A69" s="1"/>
      <c r="AD69" s="595"/>
    </row>
    <row r="70" spans="1:30" s="137" customFormat="1" ht="18" customHeight="1">
      <c r="A70" s="1"/>
      <c r="AD70" s="595"/>
    </row>
    <row r="71" spans="1:30" s="137" customFormat="1" ht="18" customHeight="1">
      <c r="A71" s="1"/>
      <c r="AD71" s="595"/>
    </row>
    <row r="72" spans="1:30" s="137" customFormat="1" ht="18" customHeight="1">
      <c r="A72" s="1"/>
      <c r="AD72" s="595"/>
    </row>
    <row r="73" spans="1:30" s="137" customFormat="1" ht="18" customHeight="1">
      <c r="A73" s="158"/>
      <c r="AD73" s="595"/>
    </row>
    <row r="74" spans="1:30" s="137" customFormat="1" ht="18" customHeight="1">
      <c r="A74" s="158"/>
      <c r="AD74" s="595"/>
    </row>
    <row r="75" spans="1:30" s="137" customFormat="1" ht="18" customHeight="1">
      <c r="AD75" s="595"/>
    </row>
    <row r="76" spans="1:30" s="137" customFormat="1" ht="18" customHeight="1">
      <c r="AD76" s="595"/>
    </row>
    <row r="77" spans="1:30" s="137" customFormat="1" ht="18" customHeight="1">
      <c r="AD77" s="595"/>
    </row>
    <row r="78" spans="1:30" s="137" customFormat="1" ht="18" customHeight="1">
      <c r="A78" s="1"/>
      <c r="B78" s="1"/>
      <c r="C78" s="1"/>
      <c r="D78" s="1"/>
      <c r="E78" s="1"/>
      <c r="F78" s="1"/>
      <c r="G78" s="1"/>
      <c r="H78" s="1"/>
      <c r="AD78" s="595"/>
    </row>
    <row r="79" spans="1:30" s="137" customFormat="1" ht="18" customHeight="1">
      <c r="A79" s="1"/>
      <c r="B79" s="1"/>
      <c r="C79" s="1"/>
      <c r="D79" s="1"/>
      <c r="E79" s="1"/>
      <c r="F79" s="1"/>
      <c r="G79" s="1"/>
      <c r="H79" s="1"/>
      <c r="AD79" s="595"/>
    </row>
    <row r="80" spans="1:30" s="1" customFormat="1" ht="18" customHeight="1">
      <c r="AD80" s="595"/>
    </row>
    <row r="81" spans="1:30" s="1" customFormat="1" ht="18" customHeight="1">
      <c r="AD81" s="595"/>
    </row>
    <row r="82" spans="1:30" s="137" customFormat="1" ht="18" customHeight="1">
      <c r="A82" s="1"/>
      <c r="B82" s="1"/>
      <c r="C82" s="1"/>
      <c r="D82" s="1"/>
      <c r="E82" s="1"/>
      <c r="F82" s="1"/>
      <c r="G82" s="1"/>
      <c r="H82" s="1"/>
      <c r="AD82" s="595"/>
    </row>
    <row r="83" spans="1:30" s="137" customFormat="1" ht="18" customHeight="1">
      <c r="A83" s="157"/>
      <c r="B83" s="158"/>
      <c r="C83" s="158"/>
      <c r="D83" s="158"/>
      <c r="E83" s="158"/>
      <c r="F83" s="158"/>
      <c r="G83" s="158"/>
      <c r="H83" s="158"/>
      <c r="AD83" s="595"/>
    </row>
    <row r="84" spans="1:30" s="137" customFormat="1" ht="18" customHeight="1">
      <c r="A84" s="24"/>
      <c r="B84" s="24"/>
      <c r="C84" s="24"/>
      <c r="D84" s="24"/>
      <c r="E84" s="24"/>
      <c r="F84" s="24"/>
      <c r="G84" s="24"/>
      <c r="H84" s="77"/>
      <c r="AD84" s="595"/>
    </row>
    <row r="85" spans="1:30" s="137" customFormat="1" ht="18" customHeight="1">
      <c r="A85" s="24"/>
      <c r="B85" s="24"/>
      <c r="C85" s="24"/>
      <c r="D85" s="24"/>
      <c r="E85" s="24"/>
      <c r="F85" s="24"/>
      <c r="G85" s="24"/>
      <c r="H85" s="77"/>
      <c r="AD85" s="595"/>
    </row>
    <row r="86" spans="1:30" s="137" customFormat="1" ht="18" customHeight="1">
      <c r="A86" s="24"/>
      <c r="B86" s="24"/>
      <c r="C86" s="24"/>
      <c r="D86" s="24"/>
      <c r="E86" s="24"/>
      <c r="F86" s="24"/>
      <c r="G86" s="24"/>
      <c r="H86" s="77"/>
      <c r="AD86" s="595"/>
    </row>
    <row r="87" spans="1:30" s="137" customFormat="1" ht="18" customHeight="1">
      <c r="A87" s="24"/>
      <c r="B87" s="24"/>
      <c r="C87" s="24"/>
      <c r="D87" s="24"/>
      <c r="E87" s="24"/>
      <c r="F87" s="24"/>
      <c r="G87" s="24"/>
      <c r="H87" s="77"/>
      <c r="AD87" s="595"/>
    </row>
    <row r="88" spans="1:30" s="137" customFormat="1" ht="18" customHeight="1">
      <c r="A88" s="24"/>
      <c r="B88" s="24"/>
      <c r="C88" s="24"/>
      <c r="D88" s="24"/>
      <c r="E88" s="24"/>
      <c r="F88" s="24"/>
      <c r="G88" s="24"/>
      <c r="H88" s="77"/>
      <c r="AD88" s="595"/>
    </row>
    <row r="89" spans="1:30" s="137" customFormat="1" ht="18" customHeight="1">
      <c r="A89" s="24"/>
      <c r="B89" s="24"/>
      <c r="C89" s="24"/>
      <c r="D89" s="24"/>
      <c r="E89" s="24"/>
      <c r="F89" s="24"/>
      <c r="G89" s="24"/>
      <c r="H89" s="77"/>
      <c r="AD89" s="595"/>
    </row>
    <row r="90" spans="1:30" s="137" customFormat="1" ht="18" customHeight="1">
      <c r="A90" s="24"/>
      <c r="B90" s="24"/>
      <c r="C90" s="24"/>
      <c r="D90" s="24"/>
      <c r="E90" s="24"/>
      <c r="F90" s="24"/>
      <c r="G90" s="24"/>
      <c r="H90" s="77"/>
      <c r="AD90" s="595"/>
    </row>
    <row r="91" spans="1:30" s="137" customFormat="1" ht="18" customHeight="1">
      <c r="A91" s="24"/>
      <c r="B91" s="24"/>
      <c r="C91" s="24"/>
      <c r="D91" s="24"/>
      <c r="E91" s="24"/>
      <c r="F91" s="24"/>
      <c r="G91" s="24"/>
      <c r="H91" s="77"/>
      <c r="AD91" s="595"/>
    </row>
    <row r="92" spans="1:30" s="137" customFormat="1" ht="18" customHeight="1">
      <c r="A92" s="24"/>
      <c r="B92" s="24"/>
      <c r="C92" s="24"/>
      <c r="D92" s="24"/>
      <c r="E92" s="24"/>
      <c r="F92" s="24"/>
      <c r="G92" s="24"/>
      <c r="H92" s="77"/>
      <c r="AD92" s="595"/>
    </row>
    <row r="93" spans="1:30" s="137" customFormat="1" ht="18" customHeight="1">
      <c r="A93" s="24"/>
      <c r="B93" s="24"/>
      <c r="C93" s="24"/>
      <c r="D93" s="24"/>
      <c r="E93" s="24"/>
      <c r="F93" s="24"/>
      <c r="G93" s="24"/>
      <c r="H93" s="77"/>
      <c r="AD93" s="595"/>
    </row>
    <row r="94" spans="1:30" s="137" customFormat="1" ht="18" customHeight="1">
      <c r="A94" s="24"/>
      <c r="B94" s="24"/>
      <c r="C94" s="24"/>
      <c r="D94" s="24"/>
      <c r="E94" s="24"/>
      <c r="F94" s="24"/>
      <c r="G94" s="24"/>
      <c r="H94" s="77"/>
      <c r="AD94" s="595"/>
    </row>
    <row r="95" spans="1:30" s="137" customFormat="1" ht="18" customHeight="1">
      <c r="A95" s="24"/>
      <c r="B95" s="24"/>
      <c r="C95" s="24"/>
      <c r="D95" s="24"/>
      <c r="E95" s="24"/>
      <c r="F95" s="24"/>
      <c r="G95" s="24"/>
      <c r="H95" s="77"/>
      <c r="AD95" s="595"/>
    </row>
    <row r="96" spans="1:30" s="137" customFormat="1" ht="18" customHeight="1">
      <c r="A96" s="24"/>
      <c r="B96" s="24"/>
      <c r="C96" s="24"/>
      <c r="D96" s="24"/>
      <c r="E96" s="24"/>
      <c r="F96" s="24"/>
      <c r="G96" s="24"/>
      <c r="H96" s="77"/>
      <c r="AD96" s="595"/>
    </row>
    <row r="97" spans="1:38" s="137" customFormat="1" ht="18" customHeight="1">
      <c r="A97" s="24"/>
      <c r="B97" s="24"/>
      <c r="C97" s="24"/>
      <c r="D97" s="24"/>
      <c r="E97" s="24"/>
      <c r="F97" s="24"/>
      <c r="G97" s="24"/>
      <c r="H97" s="77"/>
      <c r="AD97" s="595"/>
    </row>
    <row r="98" spans="1:38" s="137" customFormat="1" ht="18" customHeight="1">
      <c r="A98" s="24"/>
      <c r="B98" s="24"/>
      <c r="C98" s="24"/>
      <c r="D98" s="24"/>
      <c r="E98" s="24"/>
      <c r="F98" s="24"/>
      <c r="G98" s="24"/>
      <c r="H98" s="77"/>
      <c r="AD98" s="595"/>
    </row>
    <row r="99" spans="1:38" s="137" customFormat="1" ht="18" customHeight="1">
      <c r="A99" s="24"/>
      <c r="B99" s="24"/>
      <c r="C99" s="24"/>
      <c r="D99" s="24"/>
      <c r="E99" s="24"/>
      <c r="F99" s="24"/>
      <c r="G99" s="24"/>
      <c r="H99" s="77"/>
      <c r="AD99" s="595"/>
    </row>
    <row r="100" spans="1:38" s="137" customFormat="1" ht="18" customHeight="1">
      <c r="A100" s="24"/>
      <c r="B100" s="24"/>
      <c r="C100" s="24"/>
      <c r="D100" s="24"/>
      <c r="E100" s="24"/>
      <c r="F100" s="24"/>
      <c r="G100" s="24"/>
      <c r="H100" s="77"/>
      <c r="AD100" s="595"/>
    </row>
    <row r="101" spans="1:38" s="137" customFormat="1" ht="18" customHeight="1">
      <c r="A101" s="24"/>
      <c r="B101" s="24"/>
      <c r="C101" s="24"/>
      <c r="D101" s="24"/>
      <c r="E101" s="24"/>
      <c r="F101" s="24"/>
      <c r="G101" s="24"/>
      <c r="H101" s="77"/>
      <c r="AD101" s="595"/>
    </row>
    <row r="102" spans="1:38" s="137" customFormat="1" ht="18" customHeight="1">
      <c r="A102" s="24"/>
      <c r="B102" s="24"/>
      <c r="C102" s="24"/>
      <c r="D102" s="24"/>
      <c r="E102" s="24"/>
      <c r="F102" s="24"/>
      <c r="G102" s="24"/>
      <c r="H102" s="77"/>
      <c r="AD102" s="595"/>
    </row>
    <row r="103" spans="1:38" s="137" customFormat="1" ht="18" customHeight="1">
      <c r="A103" s="24"/>
      <c r="B103" s="24"/>
      <c r="C103" s="24"/>
      <c r="D103" s="24"/>
      <c r="E103" s="24"/>
      <c r="F103" s="24"/>
      <c r="G103" s="24"/>
      <c r="H103" s="77"/>
      <c r="AD103" s="595"/>
    </row>
    <row r="104" spans="1:38" s="137" customFormat="1" ht="18" customHeight="1">
      <c r="A104" s="24"/>
      <c r="B104" s="24"/>
      <c r="C104" s="24"/>
      <c r="D104" s="24"/>
      <c r="E104" s="24"/>
      <c r="F104" s="24"/>
      <c r="G104" s="24"/>
      <c r="H104" s="77"/>
      <c r="AD104" s="595"/>
    </row>
    <row r="105" spans="1:38" s="137" customFormat="1" ht="18" customHeight="1">
      <c r="A105" s="24"/>
      <c r="B105" s="24"/>
      <c r="C105" s="24"/>
      <c r="D105" s="24"/>
      <c r="E105" s="24"/>
      <c r="F105" s="24"/>
      <c r="G105" s="24"/>
      <c r="H105" s="77"/>
      <c r="AD105" s="595"/>
    </row>
    <row r="106" spans="1:38" s="137" customFormat="1" ht="18" customHeight="1">
      <c r="A106" s="24"/>
      <c r="B106" s="24"/>
      <c r="C106" s="24"/>
      <c r="D106" s="24"/>
      <c r="E106" s="24"/>
      <c r="F106" s="24"/>
      <c r="G106" s="24"/>
      <c r="H106" s="77"/>
      <c r="AD106" s="595"/>
    </row>
    <row r="107" spans="1:38" s="137" customFormat="1" ht="18" customHeight="1">
      <c r="A107" s="24"/>
      <c r="B107" s="24"/>
      <c r="C107" s="24"/>
      <c r="D107" s="24"/>
      <c r="E107" s="24"/>
      <c r="F107" s="24"/>
      <c r="G107" s="24"/>
      <c r="H107" s="77"/>
      <c r="AD107" s="595"/>
    </row>
    <row r="108" spans="1:38" s="137" customFormat="1" ht="18" customHeight="1">
      <c r="A108" s="24"/>
      <c r="B108" s="24"/>
      <c r="C108" s="24"/>
      <c r="D108" s="24"/>
      <c r="E108" s="24"/>
      <c r="F108" s="24"/>
      <c r="G108" s="24"/>
      <c r="H108" s="77"/>
      <c r="AD108" s="595"/>
    </row>
    <row r="109" spans="1:38" s="137" customFormat="1" ht="18" customHeight="1">
      <c r="A109" s="24"/>
      <c r="B109" s="24"/>
      <c r="C109" s="24"/>
      <c r="D109" s="24"/>
      <c r="E109" s="24"/>
      <c r="F109" s="24"/>
      <c r="G109" s="24"/>
      <c r="H109" s="77"/>
      <c r="AD109" s="595"/>
    </row>
    <row r="110" spans="1:38" s="137" customFormat="1" ht="18" customHeight="1">
      <c r="A110" s="24"/>
      <c r="B110" s="24"/>
      <c r="C110" s="24"/>
      <c r="D110" s="24"/>
      <c r="E110" s="24"/>
      <c r="F110" s="24"/>
      <c r="G110" s="24"/>
      <c r="H110" s="77"/>
      <c r="AD110" s="595"/>
    </row>
    <row r="111" spans="1:38" s="137" customFormat="1" ht="18" customHeight="1">
      <c r="A111" s="24"/>
      <c r="B111" s="24"/>
      <c r="C111" s="24"/>
      <c r="D111" s="24"/>
      <c r="E111" s="24"/>
      <c r="F111" s="24"/>
      <c r="G111" s="24"/>
      <c r="H111" s="77"/>
      <c r="AD111" s="595"/>
    </row>
    <row r="112" spans="1:38" s="137" customFormat="1" ht="18" customHeight="1">
      <c r="A112" s="24"/>
      <c r="B112" s="24"/>
      <c r="C112" s="24"/>
      <c r="D112" s="24"/>
      <c r="E112" s="24"/>
      <c r="F112" s="24"/>
      <c r="G112" s="24"/>
      <c r="H112" s="77"/>
      <c r="I112" s="54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5"/>
      <c r="AE112" s="59"/>
      <c r="AF112" s="59"/>
      <c r="AG112" s="59"/>
      <c r="AH112" s="59"/>
      <c r="AI112" s="59"/>
      <c r="AJ112" s="59"/>
      <c r="AK112" s="59"/>
      <c r="AL112" s="59"/>
    </row>
    <row r="113" spans="1:38" s="137" customFormat="1" ht="18" customHeight="1">
      <c r="A113" s="24"/>
      <c r="B113" s="24"/>
      <c r="C113" s="24"/>
      <c r="D113" s="24"/>
      <c r="E113" s="24"/>
      <c r="F113" s="24"/>
      <c r="G113" s="24"/>
      <c r="H113" s="77"/>
      <c r="I113" s="54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5"/>
      <c r="AE113" s="59"/>
      <c r="AF113" s="59"/>
      <c r="AG113" s="59"/>
      <c r="AH113" s="59"/>
      <c r="AI113" s="59"/>
      <c r="AJ113" s="59"/>
      <c r="AK113" s="59"/>
      <c r="AL113" s="59"/>
    </row>
    <row r="114" spans="1:38" s="1" customFormat="1" ht="18" customHeight="1">
      <c r="A114" s="24"/>
      <c r="B114" s="24"/>
      <c r="C114" s="24"/>
      <c r="D114" s="24"/>
      <c r="E114" s="24"/>
      <c r="F114" s="24"/>
      <c r="G114" s="24"/>
      <c r="H114" s="77"/>
      <c r="AD114" s="595"/>
    </row>
    <row r="115" spans="1:38" s="1" customFormat="1" ht="18" customHeight="1">
      <c r="A115" s="24"/>
      <c r="B115" s="24"/>
      <c r="C115" s="24"/>
      <c r="D115" s="24"/>
      <c r="E115" s="24"/>
      <c r="F115" s="24"/>
      <c r="G115" s="24"/>
      <c r="H115" s="77"/>
      <c r="AD115" s="595"/>
    </row>
    <row r="116" spans="1:38" s="1" customFormat="1" ht="18" customHeight="1">
      <c r="A116" s="24"/>
      <c r="B116" s="24"/>
      <c r="C116" s="24"/>
      <c r="D116" s="24"/>
      <c r="E116" s="24"/>
      <c r="F116" s="24"/>
      <c r="G116" s="24"/>
      <c r="H116" s="77"/>
      <c r="AD116" s="595"/>
    </row>
    <row r="117" spans="1:38" s="137" customFormat="1" ht="18" customHeight="1">
      <c r="A117" s="24"/>
      <c r="B117" s="24"/>
      <c r="C117" s="24"/>
      <c r="D117" s="24"/>
      <c r="E117" s="24"/>
      <c r="F117" s="24"/>
      <c r="G117" s="24"/>
      <c r="H117" s="77"/>
      <c r="AD117" s="595"/>
    </row>
    <row r="118" spans="1:38" s="137" customFormat="1" ht="18" customHeight="1">
      <c r="A118" s="24"/>
      <c r="B118" s="24"/>
      <c r="C118" s="24"/>
      <c r="D118" s="24"/>
      <c r="E118" s="24"/>
      <c r="F118" s="24"/>
      <c r="G118" s="24"/>
      <c r="H118" s="77"/>
      <c r="I118" s="54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5"/>
      <c r="AE118" s="59"/>
      <c r="AF118" s="59"/>
      <c r="AG118" s="59"/>
      <c r="AH118" s="59"/>
      <c r="AI118" s="59"/>
      <c r="AJ118" s="59"/>
      <c r="AK118" s="59"/>
      <c r="AL118" s="59"/>
    </row>
    <row r="119" spans="1:38" s="137" customFormat="1" ht="18" customHeight="1">
      <c r="A119" s="24"/>
      <c r="B119" s="24"/>
      <c r="C119" s="24"/>
      <c r="D119" s="24"/>
      <c r="E119" s="24"/>
      <c r="F119" s="24"/>
      <c r="G119" s="24"/>
      <c r="H119" s="77"/>
      <c r="I119" s="54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5"/>
      <c r="AE119" s="59"/>
      <c r="AF119" s="59"/>
      <c r="AG119" s="59"/>
      <c r="AH119" s="59"/>
      <c r="AI119" s="59"/>
      <c r="AJ119" s="59"/>
      <c r="AK119" s="59"/>
      <c r="AL119" s="59"/>
    </row>
    <row r="120" spans="1:38" s="137" customFormat="1" ht="18" customHeight="1">
      <c r="A120" s="24"/>
      <c r="B120" s="24"/>
      <c r="C120" s="24"/>
      <c r="D120" s="24"/>
      <c r="E120" s="24"/>
      <c r="F120" s="24"/>
      <c r="G120" s="24"/>
      <c r="H120" s="77"/>
      <c r="I120" s="54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5"/>
      <c r="AE120" s="59"/>
      <c r="AF120" s="59"/>
      <c r="AG120" s="59"/>
      <c r="AH120" s="59"/>
      <c r="AI120" s="59"/>
      <c r="AJ120" s="59"/>
      <c r="AK120" s="59"/>
      <c r="AL120" s="59"/>
    </row>
    <row r="121" spans="1:38" s="137" customFormat="1" ht="18" customHeight="1">
      <c r="A121" s="24"/>
      <c r="B121" s="24"/>
      <c r="C121" s="24"/>
      <c r="D121" s="24"/>
      <c r="E121" s="24"/>
      <c r="F121" s="24"/>
      <c r="G121" s="24"/>
      <c r="H121" s="77"/>
      <c r="I121" s="54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5"/>
      <c r="AE121" s="59"/>
      <c r="AF121" s="59"/>
      <c r="AG121" s="59"/>
      <c r="AH121" s="59"/>
      <c r="AI121" s="59"/>
      <c r="AJ121" s="59"/>
      <c r="AK121" s="59"/>
      <c r="AL121" s="59"/>
    </row>
    <row r="122" spans="1:38" s="137" customFormat="1" ht="18" customHeight="1">
      <c r="A122" s="24"/>
      <c r="B122" s="24"/>
      <c r="C122" s="24"/>
      <c r="D122" s="24"/>
      <c r="E122" s="24"/>
      <c r="F122" s="24"/>
      <c r="G122" s="24"/>
      <c r="H122" s="77"/>
      <c r="I122" s="54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5"/>
      <c r="AE122" s="59"/>
      <c r="AF122" s="59"/>
      <c r="AG122" s="59"/>
      <c r="AH122" s="59"/>
      <c r="AI122" s="59"/>
      <c r="AJ122" s="59"/>
      <c r="AK122" s="59"/>
      <c r="AL122" s="59"/>
    </row>
    <row r="123" spans="1:38" s="137" customFormat="1" ht="18" customHeight="1">
      <c r="A123" s="24"/>
      <c r="B123" s="24"/>
      <c r="C123" s="24"/>
      <c r="D123" s="24"/>
      <c r="E123" s="24"/>
      <c r="F123" s="24"/>
      <c r="G123" s="24"/>
      <c r="H123" s="77"/>
      <c r="I123" s="54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5"/>
      <c r="AE123" s="59"/>
      <c r="AF123" s="59"/>
      <c r="AG123" s="59"/>
      <c r="AH123" s="59"/>
      <c r="AI123" s="59"/>
      <c r="AJ123" s="59"/>
      <c r="AK123" s="59"/>
      <c r="AL123" s="59"/>
    </row>
    <row r="124" spans="1:38" s="137" customFormat="1" ht="18" customHeight="1">
      <c r="A124" s="24"/>
      <c r="B124" s="24"/>
      <c r="C124" s="24"/>
      <c r="D124" s="24"/>
      <c r="E124" s="24"/>
      <c r="F124" s="24"/>
      <c r="G124" s="24"/>
      <c r="H124" s="77"/>
      <c r="I124" s="54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5"/>
      <c r="AE124" s="59"/>
      <c r="AF124" s="59"/>
      <c r="AG124" s="59"/>
      <c r="AH124" s="59"/>
      <c r="AI124" s="59"/>
      <c r="AJ124" s="59"/>
      <c r="AK124" s="59"/>
      <c r="AL124" s="59"/>
    </row>
    <row r="125" spans="1:38" s="137" customFormat="1" ht="18" customHeight="1">
      <c r="A125" s="24"/>
      <c r="B125" s="24"/>
      <c r="C125" s="24"/>
      <c r="D125" s="24"/>
      <c r="E125" s="24"/>
      <c r="F125" s="24"/>
      <c r="G125" s="24"/>
      <c r="H125" s="77"/>
      <c r="I125" s="54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5"/>
      <c r="AE125" s="59"/>
      <c r="AF125" s="59"/>
      <c r="AG125" s="59"/>
      <c r="AH125" s="59"/>
      <c r="AI125" s="59"/>
      <c r="AJ125" s="59"/>
      <c r="AK125" s="59"/>
      <c r="AL125" s="59"/>
    </row>
    <row r="126" spans="1:38" s="137" customFormat="1" ht="18" customHeight="1">
      <c r="A126" s="24"/>
      <c r="B126" s="24"/>
      <c r="C126" s="24"/>
      <c r="D126" s="24"/>
      <c r="E126" s="24"/>
      <c r="F126" s="24"/>
      <c r="G126" s="24"/>
      <c r="H126" s="77"/>
      <c r="I126" s="54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5"/>
      <c r="AE126" s="59"/>
      <c r="AF126" s="59"/>
      <c r="AG126" s="59"/>
      <c r="AH126" s="59"/>
      <c r="AI126" s="59"/>
      <c r="AJ126" s="59"/>
      <c r="AK126" s="59"/>
      <c r="AL126" s="59"/>
    </row>
    <row r="127" spans="1:38" s="137" customFormat="1" ht="18" customHeight="1">
      <c r="A127" s="24"/>
      <c r="B127" s="24"/>
      <c r="C127" s="24"/>
      <c r="D127" s="24"/>
      <c r="E127" s="24"/>
      <c r="F127" s="24"/>
      <c r="G127" s="24"/>
      <c r="H127" s="77"/>
      <c r="I127" s="54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5"/>
      <c r="AE127" s="59"/>
      <c r="AF127" s="59"/>
      <c r="AG127" s="59"/>
      <c r="AH127" s="59"/>
      <c r="AI127" s="59"/>
      <c r="AJ127" s="59"/>
      <c r="AK127" s="59"/>
      <c r="AL127" s="59"/>
    </row>
    <row r="128" spans="1:38" s="137" customFormat="1" ht="18" customHeight="1">
      <c r="A128" s="24"/>
      <c r="B128" s="24"/>
      <c r="C128" s="24"/>
      <c r="D128" s="24"/>
      <c r="E128" s="24"/>
      <c r="F128" s="24"/>
      <c r="G128" s="24"/>
      <c r="H128" s="77"/>
      <c r="I128" s="54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5"/>
      <c r="AE128" s="59"/>
      <c r="AF128" s="59"/>
      <c r="AG128" s="59"/>
      <c r="AH128" s="59"/>
      <c r="AI128" s="59"/>
      <c r="AJ128" s="59"/>
      <c r="AK128" s="59"/>
      <c r="AL128" s="59"/>
    </row>
    <row r="129" spans="1:38" s="137" customFormat="1" ht="18" customHeight="1">
      <c r="A129" s="24"/>
      <c r="B129" s="24"/>
      <c r="C129" s="24"/>
      <c r="D129" s="24"/>
      <c r="E129" s="24"/>
      <c r="F129" s="24"/>
      <c r="G129" s="24"/>
      <c r="H129" s="77"/>
      <c r="I129" s="54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5"/>
      <c r="AE129" s="59"/>
      <c r="AF129" s="59"/>
      <c r="AG129" s="59"/>
      <c r="AH129" s="59"/>
      <c r="AI129" s="59"/>
      <c r="AJ129" s="59"/>
      <c r="AK129" s="59"/>
      <c r="AL129" s="59"/>
    </row>
    <row r="130" spans="1:38" s="137" customFormat="1" ht="18" customHeight="1">
      <c r="A130" s="24"/>
      <c r="B130" s="24"/>
      <c r="C130" s="24"/>
      <c r="D130" s="24"/>
      <c r="E130" s="24"/>
      <c r="F130" s="24"/>
      <c r="G130" s="24"/>
      <c r="H130" s="77"/>
      <c r="I130" s="54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5"/>
      <c r="AE130" s="59"/>
      <c r="AF130" s="59"/>
      <c r="AG130" s="59"/>
      <c r="AH130" s="59"/>
      <c r="AI130" s="59"/>
      <c r="AJ130" s="59"/>
      <c r="AK130" s="59"/>
      <c r="AL130" s="59"/>
    </row>
    <row r="131" spans="1:38" s="137" customFormat="1" ht="18" customHeight="1">
      <c r="A131" s="24"/>
      <c r="B131" s="24"/>
      <c r="C131" s="24"/>
      <c r="D131" s="24"/>
      <c r="E131" s="24"/>
      <c r="F131" s="24"/>
      <c r="G131" s="24"/>
      <c r="H131" s="77"/>
      <c r="I131" s="54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5"/>
      <c r="AE131" s="59"/>
      <c r="AF131" s="59"/>
      <c r="AG131" s="59"/>
      <c r="AH131" s="59"/>
      <c r="AI131" s="59"/>
      <c r="AJ131" s="59"/>
      <c r="AK131" s="59"/>
      <c r="AL131" s="59"/>
    </row>
    <row r="132" spans="1:38" s="137" customFormat="1" ht="18" customHeight="1">
      <c r="A132" s="24"/>
      <c r="B132" s="24"/>
      <c r="C132" s="24"/>
      <c r="D132" s="24"/>
      <c r="E132" s="24"/>
      <c r="F132" s="24"/>
      <c r="G132" s="24"/>
      <c r="H132" s="77"/>
      <c r="I132" s="54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5"/>
      <c r="AE132" s="59"/>
      <c r="AF132" s="59"/>
      <c r="AG132" s="59"/>
      <c r="AH132" s="59"/>
      <c r="AI132" s="59"/>
      <c r="AJ132" s="59"/>
      <c r="AK132" s="59"/>
      <c r="AL132" s="59"/>
    </row>
    <row r="133" spans="1:38" s="137" customFormat="1" ht="18" customHeight="1">
      <c r="A133" s="24"/>
      <c r="B133" s="24"/>
      <c r="C133" s="24"/>
      <c r="D133" s="24"/>
      <c r="E133" s="24"/>
      <c r="F133" s="24"/>
      <c r="G133" s="24"/>
      <c r="H133" s="77"/>
      <c r="I133" s="54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5"/>
      <c r="AE133" s="59"/>
      <c r="AF133" s="59"/>
      <c r="AG133" s="59"/>
      <c r="AH133" s="59"/>
      <c r="AI133" s="59"/>
      <c r="AJ133" s="59"/>
      <c r="AK133" s="59"/>
      <c r="AL133" s="59"/>
    </row>
    <row r="134" spans="1:38" s="137" customFormat="1" ht="18" customHeight="1">
      <c r="A134" s="24"/>
      <c r="B134" s="24"/>
      <c r="C134" s="24"/>
      <c r="D134" s="24"/>
      <c r="E134" s="24"/>
      <c r="F134" s="24"/>
      <c r="G134" s="24"/>
      <c r="H134" s="77"/>
      <c r="I134" s="54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5"/>
      <c r="AE134" s="59"/>
      <c r="AF134" s="59"/>
      <c r="AG134" s="59"/>
      <c r="AH134" s="59"/>
      <c r="AI134" s="59"/>
      <c r="AJ134" s="59"/>
      <c r="AK134" s="59"/>
      <c r="AL134" s="59"/>
    </row>
    <row r="135" spans="1:38" s="137" customFormat="1" ht="18" customHeight="1">
      <c r="A135" s="24"/>
      <c r="B135" s="24"/>
      <c r="C135" s="24"/>
      <c r="D135" s="24"/>
      <c r="E135" s="24"/>
      <c r="F135" s="24"/>
      <c r="G135" s="24"/>
      <c r="H135" s="77"/>
      <c r="I135" s="54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5"/>
      <c r="AE135" s="59"/>
      <c r="AF135" s="59"/>
      <c r="AG135" s="59"/>
      <c r="AH135" s="59"/>
      <c r="AI135" s="59"/>
      <c r="AJ135" s="59"/>
      <c r="AK135" s="59"/>
      <c r="AL135" s="59"/>
    </row>
    <row r="136" spans="1:38" s="137" customFormat="1" ht="18" customHeight="1">
      <c r="A136" s="24"/>
      <c r="B136" s="24"/>
      <c r="C136" s="24"/>
      <c r="D136" s="24"/>
      <c r="E136" s="24"/>
      <c r="F136" s="24"/>
      <c r="G136" s="24"/>
      <c r="H136" s="77"/>
      <c r="I136" s="54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5"/>
      <c r="AE136" s="59"/>
      <c r="AF136" s="59"/>
      <c r="AG136" s="59"/>
      <c r="AH136" s="59"/>
      <c r="AI136" s="59"/>
      <c r="AJ136" s="59"/>
      <c r="AK136" s="59"/>
      <c r="AL136" s="59"/>
    </row>
    <row r="137" spans="1:38" s="137" customFormat="1" ht="18" customHeight="1">
      <c r="A137" s="24"/>
      <c r="B137" s="24"/>
      <c r="C137" s="24"/>
      <c r="D137" s="24"/>
      <c r="E137" s="24"/>
      <c r="F137" s="24"/>
      <c r="G137" s="24"/>
      <c r="H137" s="77"/>
      <c r="I137" s="54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5"/>
      <c r="AE137" s="59"/>
      <c r="AF137" s="59"/>
      <c r="AG137" s="59"/>
      <c r="AH137" s="59"/>
      <c r="AI137" s="59"/>
      <c r="AJ137" s="59"/>
      <c r="AK137" s="59"/>
      <c r="AL137" s="59"/>
    </row>
    <row r="138" spans="1:38" s="137" customFormat="1" ht="18" customHeight="1">
      <c r="A138" s="24"/>
      <c r="B138" s="24"/>
      <c r="C138" s="24"/>
      <c r="D138" s="24"/>
      <c r="E138" s="24"/>
      <c r="F138" s="24"/>
      <c r="G138" s="24"/>
      <c r="H138" s="77"/>
      <c r="I138" s="54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5"/>
      <c r="AE138" s="59"/>
      <c r="AF138" s="59"/>
      <c r="AG138" s="59"/>
      <c r="AH138" s="59"/>
      <c r="AI138" s="59"/>
      <c r="AJ138" s="59"/>
      <c r="AK138" s="59"/>
      <c r="AL138" s="59"/>
    </row>
    <row r="139" spans="1:38" s="137" customFormat="1" ht="18" customHeight="1">
      <c r="A139" s="24"/>
      <c r="B139" s="24"/>
      <c r="C139" s="24"/>
      <c r="D139" s="24"/>
      <c r="E139" s="24"/>
      <c r="F139" s="24"/>
      <c r="G139" s="24"/>
      <c r="H139" s="77"/>
      <c r="I139" s="54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5"/>
      <c r="AE139" s="59"/>
      <c r="AF139" s="59"/>
      <c r="AG139" s="59"/>
      <c r="AH139" s="59"/>
      <c r="AI139" s="59"/>
      <c r="AJ139" s="59"/>
      <c r="AK139" s="59"/>
      <c r="AL139" s="59"/>
    </row>
    <row r="140" spans="1:38" s="137" customFormat="1" ht="18" customHeight="1">
      <c r="A140" s="24"/>
      <c r="B140" s="24"/>
      <c r="C140" s="24"/>
      <c r="D140" s="24"/>
      <c r="E140" s="24"/>
      <c r="F140" s="24"/>
      <c r="G140" s="24"/>
      <c r="H140" s="77"/>
      <c r="I140" s="54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5"/>
      <c r="AE140" s="59"/>
      <c r="AF140" s="59"/>
      <c r="AG140" s="59"/>
      <c r="AH140" s="59"/>
      <c r="AI140" s="59"/>
      <c r="AJ140" s="59"/>
      <c r="AK140" s="59"/>
      <c r="AL140" s="59"/>
    </row>
    <row r="141" spans="1:38" s="137" customFormat="1" ht="18" customHeight="1">
      <c r="A141" s="24"/>
      <c r="B141" s="24"/>
      <c r="C141" s="24"/>
      <c r="D141" s="24"/>
      <c r="E141" s="24"/>
      <c r="F141" s="24"/>
      <c r="G141" s="24"/>
      <c r="H141" s="77"/>
      <c r="I141" s="54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5"/>
      <c r="AE141" s="59"/>
      <c r="AF141" s="59"/>
      <c r="AG141" s="59"/>
      <c r="AH141" s="59"/>
      <c r="AI141" s="59"/>
      <c r="AJ141" s="59"/>
      <c r="AK141" s="59"/>
      <c r="AL141" s="59"/>
    </row>
    <row r="142" spans="1:38" s="137" customFormat="1" ht="18" customHeight="1">
      <c r="A142" s="24"/>
      <c r="B142" s="24"/>
      <c r="C142" s="24"/>
      <c r="D142" s="24"/>
      <c r="E142" s="24"/>
      <c r="F142" s="24"/>
      <c r="G142" s="24"/>
      <c r="H142" s="77"/>
      <c r="I142" s="54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5"/>
      <c r="AE142" s="59"/>
      <c r="AF142" s="59"/>
      <c r="AG142" s="59"/>
      <c r="AH142" s="59"/>
      <c r="AI142" s="59"/>
      <c r="AJ142" s="59"/>
      <c r="AK142" s="59"/>
      <c r="AL142" s="59"/>
    </row>
    <row r="143" spans="1:38" s="137" customFormat="1" ht="18" customHeight="1">
      <c r="A143" s="24"/>
      <c r="B143" s="24"/>
      <c r="C143" s="24"/>
      <c r="D143" s="24"/>
      <c r="E143" s="24"/>
      <c r="F143" s="24"/>
      <c r="G143" s="24"/>
      <c r="H143" s="77"/>
      <c r="I143" s="54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5"/>
      <c r="AE143" s="59"/>
      <c r="AF143" s="59"/>
      <c r="AG143" s="59"/>
      <c r="AH143" s="59"/>
      <c r="AI143" s="59"/>
      <c r="AJ143" s="59"/>
      <c r="AK143" s="59"/>
      <c r="AL143" s="59"/>
    </row>
    <row r="144" spans="1:38" s="137" customFormat="1" ht="18" customHeight="1">
      <c r="A144" s="24"/>
      <c r="B144" s="24"/>
      <c r="C144" s="24"/>
      <c r="D144" s="24"/>
      <c r="E144" s="24"/>
      <c r="F144" s="24"/>
      <c r="G144" s="24"/>
      <c r="H144" s="77"/>
      <c r="I144" s="54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5"/>
      <c r="AE144" s="59"/>
      <c r="AF144" s="59"/>
      <c r="AG144" s="59"/>
      <c r="AH144" s="59"/>
      <c r="AI144" s="59"/>
      <c r="AJ144" s="59"/>
      <c r="AK144" s="59"/>
      <c r="AL144" s="59"/>
    </row>
    <row r="145" spans="1:38" s="137" customFormat="1" ht="18" customHeight="1">
      <c r="A145" s="24"/>
      <c r="B145" s="24"/>
      <c r="C145" s="24"/>
      <c r="D145" s="24"/>
      <c r="E145" s="24"/>
      <c r="F145" s="24"/>
      <c r="G145" s="24"/>
      <c r="H145" s="77"/>
      <c r="I145" s="54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5"/>
      <c r="AE145" s="59"/>
      <c r="AF145" s="59"/>
      <c r="AG145" s="59"/>
      <c r="AH145" s="59"/>
      <c r="AI145" s="59"/>
      <c r="AJ145" s="59"/>
      <c r="AK145" s="59"/>
      <c r="AL145" s="59"/>
    </row>
    <row r="146" spans="1:38" s="137" customFormat="1" ht="18" customHeight="1">
      <c r="A146" s="24"/>
      <c r="B146" s="24"/>
      <c r="C146" s="24"/>
      <c r="D146" s="24"/>
      <c r="E146" s="24"/>
      <c r="F146" s="24"/>
      <c r="G146" s="24"/>
      <c r="H146" s="77"/>
      <c r="I146" s="54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5"/>
      <c r="AE146" s="59"/>
      <c r="AF146" s="59"/>
      <c r="AG146" s="59"/>
      <c r="AH146" s="59"/>
      <c r="AI146" s="59"/>
      <c r="AJ146" s="59"/>
      <c r="AK146" s="59"/>
      <c r="AL146" s="59"/>
    </row>
    <row r="147" spans="1:38" s="137" customFormat="1" ht="18" customHeight="1">
      <c r="A147" s="24"/>
      <c r="B147" s="24"/>
      <c r="C147" s="24"/>
      <c r="D147" s="24"/>
      <c r="E147" s="24"/>
      <c r="F147" s="24"/>
      <c r="G147" s="24"/>
      <c r="H147" s="77"/>
      <c r="I147" s="54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5"/>
      <c r="AE147" s="59"/>
      <c r="AF147" s="59"/>
      <c r="AG147" s="59"/>
      <c r="AH147" s="59"/>
      <c r="AI147" s="59"/>
      <c r="AJ147" s="59"/>
      <c r="AK147" s="59"/>
      <c r="AL147" s="59"/>
    </row>
    <row r="148" spans="1:38" s="137" customFormat="1" ht="18" customHeight="1">
      <c r="A148" s="24"/>
      <c r="B148" s="24"/>
      <c r="C148" s="24"/>
      <c r="D148" s="24"/>
      <c r="E148" s="24"/>
      <c r="F148" s="24"/>
      <c r="G148" s="24"/>
      <c r="H148" s="77"/>
      <c r="I148" s="54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5"/>
      <c r="AE148" s="59"/>
      <c r="AF148" s="59"/>
      <c r="AG148" s="59"/>
      <c r="AH148" s="59"/>
      <c r="AI148" s="59"/>
      <c r="AJ148" s="59"/>
      <c r="AK148" s="59"/>
      <c r="AL148" s="59"/>
    </row>
    <row r="149" spans="1:38" s="137" customFormat="1" ht="18" customHeight="1">
      <c r="A149" s="24"/>
      <c r="B149" s="24"/>
      <c r="C149" s="24"/>
      <c r="D149" s="24"/>
      <c r="E149" s="24"/>
      <c r="F149" s="24"/>
      <c r="G149" s="24"/>
      <c r="H149" s="77"/>
      <c r="I149" s="54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5"/>
      <c r="AE149" s="59"/>
      <c r="AF149" s="59"/>
      <c r="AG149" s="59"/>
      <c r="AH149" s="59"/>
      <c r="AI149" s="59"/>
      <c r="AJ149" s="59"/>
      <c r="AK149" s="59"/>
      <c r="AL149" s="59"/>
    </row>
    <row r="150" spans="1:38" s="137" customFormat="1" ht="18" customHeight="1">
      <c r="A150" s="24"/>
      <c r="B150" s="24"/>
      <c r="C150" s="24"/>
      <c r="D150" s="24"/>
      <c r="E150" s="24"/>
      <c r="F150" s="24"/>
      <c r="G150" s="24"/>
      <c r="H150" s="77"/>
      <c r="I150" s="54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5"/>
      <c r="AE150" s="59"/>
      <c r="AF150" s="59"/>
      <c r="AG150" s="59"/>
      <c r="AH150" s="59"/>
      <c r="AI150" s="59"/>
      <c r="AJ150" s="59"/>
      <c r="AK150" s="59"/>
      <c r="AL150" s="59"/>
    </row>
    <row r="151" spans="1:38" s="137" customFormat="1" ht="18" customHeight="1">
      <c r="A151" s="24"/>
      <c r="B151" s="24"/>
      <c r="C151" s="24"/>
      <c r="D151" s="24"/>
      <c r="E151" s="24"/>
      <c r="F151" s="24"/>
      <c r="G151" s="24"/>
      <c r="H151" s="77"/>
      <c r="I151" s="54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5"/>
      <c r="AE151" s="59"/>
      <c r="AF151" s="59"/>
      <c r="AG151" s="59"/>
      <c r="AH151" s="59"/>
      <c r="AI151" s="59"/>
      <c r="AJ151" s="59"/>
      <c r="AK151" s="59"/>
      <c r="AL151" s="59"/>
    </row>
    <row r="152" spans="1:38" s="137" customFormat="1" ht="18" customHeight="1">
      <c r="A152" s="24"/>
      <c r="B152" s="24"/>
      <c r="C152" s="24"/>
      <c r="D152" s="24"/>
      <c r="E152" s="24"/>
      <c r="F152" s="24"/>
      <c r="G152" s="24"/>
      <c r="H152" s="77"/>
      <c r="I152" s="54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5"/>
      <c r="AE152" s="59"/>
      <c r="AF152" s="59"/>
      <c r="AG152" s="59"/>
      <c r="AH152" s="59"/>
      <c r="AI152" s="59"/>
      <c r="AJ152" s="59"/>
      <c r="AK152" s="59"/>
      <c r="AL152" s="59"/>
    </row>
    <row r="153" spans="1:38" s="137" customFormat="1" ht="18" customHeight="1">
      <c r="A153" s="24"/>
      <c r="B153" s="24"/>
      <c r="C153" s="24"/>
      <c r="D153" s="24"/>
      <c r="E153" s="24"/>
      <c r="F153" s="24"/>
      <c r="G153" s="24"/>
      <c r="H153" s="77"/>
      <c r="I153" s="54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5"/>
      <c r="AE153" s="59"/>
      <c r="AF153" s="59"/>
      <c r="AG153" s="59"/>
      <c r="AH153" s="59"/>
      <c r="AI153" s="59"/>
      <c r="AJ153" s="59"/>
      <c r="AK153" s="59"/>
      <c r="AL153" s="59"/>
    </row>
    <row r="154" spans="1:38" s="137" customFormat="1" ht="18" customHeight="1">
      <c r="A154" s="24"/>
      <c r="B154" s="24"/>
      <c r="C154" s="24"/>
      <c r="D154" s="24"/>
      <c r="E154" s="24"/>
      <c r="F154" s="24"/>
      <c r="G154" s="24"/>
      <c r="H154" s="77"/>
      <c r="I154" s="54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5"/>
      <c r="AE154" s="59"/>
      <c r="AF154" s="59"/>
      <c r="AG154" s="59"/>
      <c r="AH154" s="59"/>
      <c r="AI154" s="59"/>
      <c r="AJ154" s="59"/>
      <c r="AK154" s="59"/>
      <c r="AL154" s="59"/>
    </row>
    <row r="155" spans="1:38" s="137" customFormat="1" ht="18" customHeight="1">
      <c r="A155" s="24"/>
      <c r="B155" s="24"/>
      <c r="C155" s="24"/>
      <c r="D155" s="24"/>
      <c r="E155" s="24"/>
      <c r="F155" s="24"/>
      <c r="G155" s="24"/>
      <c r="H155" s="77"/>
      <c r="I155" s="54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5"/>
      <c r="AE155" s="59"/>
      <c r="AF155" s="59"/>
      <c r="AG155" s="59"/>
      <c r="AH155" s="59"/>
      <c r="AI155" s="59"/>
      <c r="AJ155" s="59"/>
      <c r="AK155" s="59"/>
      <c r="AL155" s="59"/>
    </row>
    <row r="156" spans="1:38" s="137" customFormat="1" ht="18" customHeight="1">
      <c r="A156" s="24"/>
      <c r="B156" s="24"/>
      <c r="C156" s="24"/>
      <c r="D156" s="24"/>
      <c r="E156" s="24"/>
      <c r="F156" s="24"/>
      <c r="G156" s="24"/>
      <c r="H156" s="77"/>
      <c r="I156" s="54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5"/>
      <c r="AE156" s="59"/>
      <c r="AF156" s="59"/>
      <c r="AG156" s="59"/>
      <c r="AH156" s="59"/>
      <c r="AI156" s="59"/>
      <c r="AJ156" s="59"/>
      <c r="AK156" s="59"/>
      <c r="AL156" s="59"/>
    </row>
    <row r="157" spans="1:38" s="137" customFormat="1" ht="18" customHeight="1">
      <c r="A157" s="24"/>
      <c r="B157" s="24"/>
      <c r="C157" s="24"/>
      <c r="D157" s="24"/>
      <c r="E157" s="24"/>
      <c r="F157" s="24"/>
      <c r="G157" s="24"/>
      <c r="H157" s="77"/>
      <c r="I157" s="54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5"/>
      <c r="AE157" s="59"/>
      <c r="AF157" s="59"/>
      <c r="AG157" s="59"/>
      <c r="AH157" s="59"/>
      <c r="AI157" s="59"/>
      <c r="AJ157" s="59"/>
      <c r="AK157" s="59"/>
      <c r="AL157" s="59"/>
    </row>
    <row r="158" spans="1:38" s="137" customFormat="1" ht="18" customHeight="1">
      <c r="A158" s="24"/>
      <c r="B158" s="24"/>
      <c r="C158" s="24"/>
      <c r="D158" s="24"/>
      <c r="E158" s="24"/>
      <c r="F158" s="24"/>
      <c r="G158" s="24"/>
      <c r="H158" s="77"/>
      <c r="I158" s="54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5"/>
      <c r="AE158" s="59"/>
      <c r="AF158" s="59"/>
      <c r="AG158" s="59"/>
      <c r="AH158" s="59"/>
      <c r="AI158" s="59"/>
      <c r="AJ158" s="59"/>
      <c r="AK158" s="59"/>
      <c r="AL158" s="59"/>
    </row>
    <row r="159" spans="1:38" s="137" customFormat="1" ht="18" customHeight="1">
      <c r="A159" s="24"/>
      <c r="B159" s="24"/>
      <c r="C159" s="24"/>
      <c r="D159" s="24"/>
      <c r="E159" s="24"/>
      <c r="F159" s="24"/>
      <c r="G159" s="24"/>
      <c r="H159" s="77"/>
      <c r="I159" s="54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5"/>
      <c r="AE159" s="59"/>
      <c r="AF159" s="59"/>
      <c r="AG159" s="59"/>
      <c r="AH159" s="59"/>
      <c r="AI159" s="59"/>
      <c r="AJ159" s="59"/>
      <c r="AK159" s="59"/>
      <c r="AL159" s="59"/>
    </row>
    <row r="160" spans="1:38" s="137" customFormat="1" ht="18" customHeight="1">
      <c r="A160" s="24"/>
      <c r="B160" s="24"/>
      <c r="C160" s="24"/>
      <c r="D160" s="24"/>
      <c r="E160" s="24"/>
      <c r="F160" s="24"/>
      <c r="G160" s="24"/>
      <c r="H160" s="77"/>
      <c r="I160" s="54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5"/>
      <c r="AE160" s="59"/>
      <c r="AF160" s="59"/>
      <c r="AG160" s="59"/>
      <c r="AH160" s="59"/>
      <c r="AI160" s="59"/>
      <c r="AJ160" s="59"/>
      <c r="AK160" s="59"/>
      <c r="AL160" s="59"/>
    </row>
    <row r="161" spans="1:38" s="137" customFormat="1" ht="18" customHeight="1">
      <c r="A161" s="24"/>
      <c r="B161" s="24"/>
      <c r="C161" s="24"/>
      <c r="D161" s="24"/>
      <c r="E161" s="24"/>
      <c r="F161" s="24"/>
      <c r="G161" s="24"/>
      <c r="H161" s="77"/>
      <c r="I161" s="54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5"/>
      <c r="AE161" s="59"/>
      <c r="AF161" s="59"/>
      <c r="AG161" s="59"/>
      <c r="AH161" s="59"/>
      <c r="AI161" s="59"/>
      <c r="AJ161" s="59"/>
      <c r="AK161" s="59"/>
      <c r="AL161" s="59"/>
    </row>
    <row r="162" spans="1:38" s="137" customFormat="1" ht="18" customHeight="1">
      <c r="A162" s="24"/>
      <c r="B162" s="24"/>
      <c r="C162" s="24"/>
      <c r="D162" s="24"/>
      <c r="E162" s="24"/>
      <c r="F162" s="24"/>
      <c r="G162" s="24"/>
      <c r="H162" s="77"/>
      <c r="I162" s="54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5"/>
      <c r="AE162" s="59"/>
      <c r="AF162" s="59"/>
      <c r="AG162" s="59"/>
      <c r="AH162" s="59"/>
      <c r="AI162" s="59"/>
      <c r="AJ162" s="59"/>
      <c r="AK162" s="59"/>
      <c r="AL162" s="59"/>
    </row>
    <row r="163" spans="1:38" s="137" customFormat="1" ht="18" customHeight="1">
      <c r="A163" s="24"/>
      <c r="B163" s="24"/>
      <c r="C163" s="24"/>
      <c r="D163" s="24"/>
      <c r="E163" s="24"/>
      <c r="F163" s="24"/>
      <c r="G163" s="24"/>
      <c r="H163" s="77"/>
      <c r="I163" s="54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5"/>
      <c r="AE163" s="59"/>
      <c r="AF163" s="59"/>
      <c r="AG163" s="59"/>
      <c r="AH163" s="59"/>
      <c r="AI163" s="59"/>
      <c r="AJ163" s="59"/>
      <c r="AK163" s="59"/>
      <c r="AL163" s="59"/>
    </row>
    <row r="164" spans="1:38" s="137" customFormat="1" ht="18" customHeight="1">
      <c r="A164" s="24"/>
      <c r="B164" s="24"/>
      <c r="C164" s="24"/>
      <c r="D164" s="24"/>
      <c r="E164" s="24"/>
      <c r="F164" s="24"/>
      <c r="G164" s="24"/>
      <c r="H164" s="77"/>
      <c r="I164" s="54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5"/>
      <c r="AE164" s="59"/>
      <c r="AF164" s="59"/>
      <c r="AG164" s="59"/>
      <c r="AH164" s="59"/>
      <c r="AI164" s="59"/>
      <c r="AJ164" s="59"/>
      <c r="AK164" s="59"/>
      <c r="AL164" s="59"/>
    </row>
    <row r="165" spans="1:38" s="137" customFormat="1" ht="18" customHeight="1">
      <c r="A165" s="24"/>
      <c r="B165" s="24"/>
      <c r="C165" s="24"/>
      <c r="D165" s="24"/>
      <c r="E165" s="24"/>
      <c r="F165" s="24"/>
      <c r="G165" s="24"/>
      <c r="H165" s="77"/>
      <c r="I165" s="54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5"/>
      <c r="AE165" s="59"/>
      <c r="AF165" s="59"/>
      <c r="AG165" s="59"/>
      <c r="AH165" s="59"/>
      <c r="AI165" s="59"/>
      <c r="AJ165" s="59"/>
      <c r="AK165" s="59"/>
      <c r="AL165" s="59"/>
    </row>
    <row r="166" spans="1:38" s="137" customFormat="1" ht="18" customHeight="1">
      <c r="A166" s="24"/>
      <c r="B166" s="24"/>
      <c r="C166" s="24"/>
      <c r="D166" s="24"/>
      <c r="E166" s="24"/>
      <c r="F166" s="24"/>
      <c r="G166" s="24"/>
      <c r="H166" s="77"/>
      <c r="I166" s="54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5"/>
      <c r="AE166" s="59"/>
      <c r="AF166" s="59"/>
      <c r="AG166" s="59"/>
      <c r="AH166" s="59"/>
      <c r="AI166" s="59"/>
      <c r="AJ166" s="59"/>
      <c r="AK166" s="59"/>
      <c r="AL166" s="59"/>
    </row>
    <row r="167" spans="1:38" s="137" customFormat="1" ht="18" customHeight="1">
      <c r="A167" s="24"/>
      <c r="B167" s="24"/>
      <c r="C167" s="24"/>
      <c r="D167" s="24"/>
      <c r="E167" s="24"/>
      <c r="F167" s="24"/>
      <c r="G167" s="24"/>
      <c r="H167" s="77"/>
      <c r="I167" s="54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5"/>
      <c r="AE167" s="59"/>
      <c r="AF167" s="59"/>
      <c r="AG167" s="59"/>
      <c r="AH167" s="59"/>
      <c r="AI167" s="59"/>
      <c r="AJ167" s="59"/>
      <c r="AK167" s="59"/>
      <c r="AL167" s="59"/>
    </row>
    <row r="168" spans="1:38" s="1" customFormat="1" ht="18" customHeight="1">
      <c r="A168" s="24"/>
      <c r="B168" s="24"/>
      <c r="C168" s="24"/>
      <c r="D168" s="24"/>
      <c r="E168" s="24"/>
      <c r="F168" s="24"/>
      <c r="G168" s="24"/>
      <c r="H168" s="77"/>
      <c r="AD168" s="595"/>
    </row>
    <row r="169" spans="1:38" s="1" customFormat="1" ht="18" customHeight="1">
      <c r="A169" s="24"/>
      <c r="B169" s="24"/>
      <c r="C169" s="24"/>
      <c r="D169" s="24"/>
      <c r="E169" s="24"/>
      <c r="F169" s="24"/>
      <c r="G169" s="24"/>
      <c r="H169" s="77"/>
      <c r="AD169" s="595"/>
    </row>
    <row r="170" spans="1:38" s="137" customFormat="1" ht="18" customHeight="1">
      <c r="A170" s="24"/>
      <c r="B170" s="24"/>
      <c r="C170" s="24"/>
      <c r="D170" s="24"/>
      <c r="E170" s="24"/>
      <c r="F170" s="24"/>
      <c r="G170" s="24"/>
      <c r="H170" s="77"/>
      <c r="I170" s="54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5"/>
      <c r="AE170" s="59"/>
      <c r="AF170" s="59"/>
      <c r="AG170" s="59"/>
      <c r="AH170" s="59"/>
      <c r="AI170" s="59"/>
      <c r="AJ170" s="59"/>
      <c r="AK170" s="59"/>
      <c r="AL170" s="59"/>
    </row>
    <row r="171" spans="1:38" s="137" customFormat="1" ht="18" customHeight="1">
      <c r="A171" s="24"/>
      <c r="B171" s="24"/>
      <c r="C171" s="24"/>
      <c r="D171" s="24"/>
      <c r="E171" s="24"/>
      <c r="F171" s="24"/>
      <c r="G171" s="24"/>
      <c r="H171" s="77"/>
      <c r="I171" s="54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5"/>
      <c r="AE171" s="59"/>
      <c r="AF171" s="59"/>
      <c r="AG171" s="59"/>
      <c r="AH171" s="59"/>
      <c r="AI171" s="59"/>
      <c r="AJ171" s="59"/>
      <c r="AK171" s="59"/>
      <c r="AL171" s="59"/>
    </row>
    <row r="172" spans="1:38" s="137" customFormat="1" ht="18" customHeight="1">
      <c r="A172" s="24"/>
      <c r="B172" s="24"/>
      <c r="C172" s="24"/>
      <c r="D172" s="24"/>
      <c r="E172" s="24"/>
      <c r="F172" s="24"/>
      <c r="G172" s="24"/>
      <c r="H172" s="77"/>
      <c r="I172" s="54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5"/>
      <c r="AE172" s="59"/>
      <c r="AF172" s="59"/>
      <c r="AG172" s="59"/>
      <c r="AH172" s="59"/>
      <c r="AI172" s="59"/>
      <c r="AJ172" s="59"/>
      <c r="AK172" s="59"/>
      <c r="AL172" s="59"/>
    </row>
    <row r="173" spans="1:38" s="137" customFormat="1" ht="18" customHeight="1">
      <c r="A173" s="24"/>
      <c r="B173" s="24"/>
      <c r="C173" s="24"/>
      <c r="D173" s="24"/>
      <c r="E173" s="24"/>
      <c r="F173" s="24"/>
      <c r="G173" s="24"/>
      <c r="H173" s="77"/>
      <c r="I173" s="54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5"/>
      <c r="AE173" s="59"/>
      <c r="AF173" s="59"/>
      <c r="AG173" s="59"/>
      <c r="AH173" s="59"/>
      <c r="AI173" s="59"/>
      <c r="AJ173" s="59"/>
      <c r="AK173" s="59"/>
      <c r="AL173" s="59"/>
    </row>
    <row r="174" spans="1:38" s="137" customFormat="1" ht="18" customHeight="1">
      <c r="A174" s="24"/>
      <c r="B174" s="24"/>
      <c r="C174" s="24"/>
      <c r="D174" s="24"/>
      <c r="E174" s="24"/>
      <c r="F174" s="24"/>
      <c r="G174" s="24"/>
      <c r="H174" s="77"/>
      <c r="I174" s="54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5"/>
      <c r="AE174" s="59"/>
      <c r="AF174" s="59"/>
      <c r="AG174" s="59"/>
      <c r="AH174" s="59"/>
      <c r="AI174" s="59"/>
      <c r="AJ174" s="59"/>
      <c r="AK174" s="59"/>
      <c r="AL174" s="59"/>
    </row>
    <row r="175" spans="1:38" s="137" customFormat="1" ht="18" customHeight="1">
      <c r="A175" s="24"/>
      <c r="B175" s="24"/>
      <c r="C175" s="24"/>
      <c r="D175" s="24"/>
      <c r="E175" s="24"/>
      <c r="F175" s="24"/>
      <c r="G175" s="24"/>
      <c r="H175" s="77"/>
      <c r="I175" s="54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5"/>
      <c r="AE175" s="59"/>
      <c r="AF175" s="59"/>
      <c r="AG175" s="59"/>
      <c r="AH175" s="59"/>
      <c r="AI175" s="59"/>
      <c r="AJ175" s="59"/>
      <c r="AK175" s="59"/>
      <c r="AL175" s="59"/>
    </row>
    <row r="176" spans="1:38" s="137" customFormat="1" ht="18" customHeight="1">
      <c r="A176" s="24"/>
      <c r="B176" s="24"/>
      <c r="C176" s="24"/>
      <c r="D176" s="24"/>
      <c r="E176" s="24"/>
      <c r="F176" s="24"/>
      <c r="G176" s="24"/>
      <c r="H176" s="77"/>
      <c r="I176" s="54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5"/>
      <c r="AE176" s="59"/>
      <c r="AF176" s="59"/>
      <c r="AG176" s="59"/>
      <c r="AH176" s="59"/>
      <c r="AI176" s="59"/>
      <c r="AJ176" s="59"/>
      <c r="AK176" s="59"/>
      <c r="AL176" s="59"/>
    </row>
    <row r="177" spans="1:38" s="137" customFormat="1" ht="18" customHeight="1">
      <c r="A177" s="24"/>
      <c r="B177" s="24"/>
      <c r="C177" s="24"/>
      <c r="D177" s="24"/>
      <c r="E177" s="24"/>
      <c r="F177" s="24"/>
      <c r="G177" s="24"/>
      <c r="H177" s="77"/>
      <c r="I177" s="54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5"/>
      <c r="AE177" s="59"/>
      <c r="AF177" s="59"/>
      <c r="AG177" s="59"/>
      <c r="AH177" s="59"/>
      <c r="AI177" s="59"/>
      <c r="AJ177" s="59"/>
      <c r="AK177" s="59"/>
      <c r="AL177" s="59"/>
    </row>
    <row r="178" spans="1:38" s="137" customFormat="1" ht="18" customHeight="1">
      <c r="A178" s="24"/>
      <c r="B178" s="24"/>
      <c r="C178" s="24"/>
      <c r="D178" s="24"/>
      <c r="E178" s="24"/>
      <c r="F178" s="24"/>
      <c r="G178" s="24"/>
      <c r="H178" s="77"/>
      <c r="I178" s="54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5"/>
      <c r="AE178" s="59"/>
      <c r="AF178" s="59"/>
      <c r="AG178" s="59"/>
      <c r="AH178" s="59"/>
      <c r="AI178" s="59"/>
      <c r="AJ178" s="59"/>
      <c r="AK178" s="59"/>
      <c r="AL178" s="59"/>
    </row>
    <row r="179" spans="1:38" s="137" customFormat="1" ht="18" customHeight="1">
      <c r="A179" s="24"/>
      <c r="B179" s="24"/>
      <c r="C179" s="24"/>
      <c r="D179" s="24"/>
      <c r="E179" s="24"/>
      <c r="F179" s="24"/>
      <c r="G179" s="24"/>
      <c r="H179" s="77"/>
      <c r="I179" s="54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5"/>
      <c r="AE179" s="59"/>
      <c r="AF179" s="59"/>
      <c r="AG179" s="59"/>
      <c r="AH179" s="59"/>
      <c r="AI179" s="59"/>
      <c r="AJ179" s="59"/>
      <c r="AK179" s="59"/>
      <c r="AL179" s="59"/>
    </row>
    <row r="180" spans="1:38" s="137" customFormat="1" ht="18" customHeight="1">
      <c r="A180" s="24"/>
      <c r="B180" s="24"/>
      <c r="C180" s="24"/>
      <c r="D180" s="24"/>
      <c r="E180" s="24"/>
      <c r="F180" s="24"/>
      <c r="G180" s="24"/>
      <c r="H180" s="77"/>
      <c r="I180" s="54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5"/>
      <c r="AE180" s="59"/>
      <c r="AF180" s="59"/>
      <c r="AG180" s="59"/>
      <c r="AH180" s="59"/>
      <c r="AI180" s="59"/>
      <c r="AJ180" s="59"/>
      <c r="AK180" s="59"/>
      <c r="AL180" s="59"/>
    </row>
    <row r="181" spans="1:38" s="137" customFormat="1" ht="18" customHeight="1">
      <c r="A181" s="24"/>
      <c r="B181" s="24"/>
      <c r="C181" s="24"/>
      <c r="D181" s="24"/>
      <c r="E181" s="24"/>
      <c r="F181" s="24"/>
      <c r="G181" s="24"/>
      <c r="H181" s="77"/>
      <c r="I181" s="54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5"/>
      <c r="AE181" s="59"/>
      <c r="AF181" s="59"/>
      <c r="AG181" s="59"/>
      <c r="AH181" s="59"/>
      <c r="AI181" s="59"/>
      <c r="AJ181" s="59"/>
      <c r="AK181" s="59"/>
      <c r="AL181" s="59"/>
    </row>
    <row r="182" spans="1:38" s="137" customFormat="1" ht="18" customHeight="1">
      <c r="A182" s="24"/>
      <c r="B182" s="24"/>
      <c r="C182" s="24"/>
      <c r="D182" s="24"/>
      <c r="E182" s="24"/>
      <c r="F182" s="24"/>
      <c r="G182" s="24"/>
      <c r="H182" s="77"/>
      <c r="I182" s="54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5"/>
      <c r="AE182" s="59"/>
      <c r="AF182" s="59"/>
      <c r="AG182" s="59"/>
      <c r="AH182" s="59"/>
      <c r="AI182" s="59"/>
      <c r="AJ182" s="59"/>
      <c r="AK182" s="59"/>
      <c r="AL182" s="59"/>
    </row>
    <row r="183" spans="1:38" s="137" customFormat="1" ht="18" customHeight="1">
      <c r="A183" s="24"/>
      <c r="B183" s="24"/>
      <c r="C183" s="24"/>
      <c r="D183" s="24"/>
      <c r="E183" s="24"/>
      <c r="F183" s="24"/>
      <c r="G183" s="24"/>
      <c r="H183" s="77"/>
      <c r="I183" s="54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5"/>
      <c r="AE183" s="59"/>
      <c r="AF183" s="59"/>
      <c r="AG183" s="59"/>
      <c r="AH183" s="59"/>
      <c r="AI183" s="59"/>
      <c r="AJ183" s="59"/>
      <c r="AK183" s="59"/>
      <c r="AL183" s="59"/>
    </row>
    <row r="184" spans="1:38" s="137" customFormat="1" ht="18" customHeight="1">
      <c r="A184" s="24"/>
      <c r="B184" s="24"/>
      <c r="C184" s="24"/>
      <c r="D184" s="24"/>
      <c r="E184" s="24"/>
      <c r="F184" s="24"/>
      <c r="G184" s="24"/>
      <c r="H184" s="77"/>
      <c r="I184" s="54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5"/>
      <c r="AE184" s="59"/>
      <c r="AF184" s="59"/>
      <c r="AG184" s="59"/>
      <c r="AH184" s="59"/>
      <c r="AI184" s="59"/>
      <c r="AJ184" s="59"/>
      <c r="AK184" s="59"/>
      <c r="AL184" s="59"/>
    </row>
    <row r="185" spans="1:38" s="137" customFormat="1" ht="18" customHeight="1">
      <c r="A185" s="24"/>
      <c r="B185" s="24"/>
      <c r="C185" s="24"/>
      <c r="D185" s="24"/>
      <c r="E185" s="24"/>
      <c r="F185" s="24"/>
      <c r="G185" s="24"/>
      <c r="H185" s="77"/>
      <c r="I185" s="54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5"/>
      <c r="AE185" s="59"/>
      <c r="AF185" s="59"/>
      <c r="AG185" s="59"/>
      <c r="AH185" s="59"/>
      <c r="AI185" s="59"/>
      <c r="AJ185" s="59"/>
      <c r="AK185" s="59"/>
      <c r="AL185" s="59"/>
    </row>
    <row r="186" spans="1:38" s="137" customFormat="1" ht="18" customHeight="1">
      <c r="A186" s="24"/>
      <c r="B186" s="24"/>
      <c r="C186" s="24"/>
      <c r="D186" s="24"/>
      <c r="E186" s="24"/>
      <c r="F186" s="24"/>
      <c r="G186" s="24"/>
      <c r="H186" s="77"/>
      <c r="I186" s="54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5"/>
      <c r="AE186" s="59"/>
      <c r="AF186" s="59"/>
      <c r="AG186" s="59"/>
      <c r="AH186" s="59"/>
      <c r="AI186" s="59"/>
      <c r="AJ186" s="59"/>
      <c r="AK186" s="59"/>
      <c r="AL186" s="59"/>
    </row>
    <row r="187" spans="1:38" s="137" customFormat="1" ht="18" customHeight="1">
      <c r="A187" s="24"/>
      <c r="B187" s="24"/>
      <c r="C187" s="24"/>
      <c r="D187" s="24"/>
      <c r="E187" s="24"/>
      <c r="F187" s="24"/>
      <c r="G187" s="24"/>
      <c r="H187" s="77"/>
      <c r="I187" s="54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5"/>
      <c r="AE187" s="59"/>
      <c r="AF187" s="59"/>
      <c r="AG187" s="59"/>
      <c r="AH187" s="59"/>
      <c r="AI187" s="59"/>
      <c r="AJ187" s="59"/>
      <c r="AK187" s="59"/>
      <c r="AL187" s="59"/>
    </row>
    <row r="188" spans="1:38" s="137" customFormat="1" ht="18" customHeight="1">
      <c r="A188" s="24"/>
      <c r="B188" s="24"/>
      <c r="C188" s="24"/>
      <c r="D188" s="24"/>
      <c r="E188" s="24"/>
      <c r="F188" s="24"/>
      <c r="G188" s="24"/>
      <c r="H188" s="77"/>
      <c r="I188" s="54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5"/>
      <c r="AE188" s="59"/>
      <c r="AF188" s="59"/>
      <c r="AG188" s="59"/>
      <c r="AH188" s="59"/>
      <c r="AI188" s="59"/>
      <c r="AJ188" s="59"/>
      <c r="AK188" s="59"/>
      <c r="AL188" s="59"/>
    </row>
    <row r="189" spans="1:38" s="137" customFormat="1" ht="18" customHeight="1">
      <c r="A189" s="24"/>
      <c r="B189" s="24"/>
      <c r="C189" s="24"/>
      <c r="D189" s="24"/>
      <c r="E189" s="24"/>
      <c r="F189" s="24"/>
      <c r="G189" s="24"/>
      <c r="H189" s="77"/>
      <c r="I189" s="54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5"/>
      <c r="AE189" s="59"/>
      <c r="AF189" s="59"/>
      <c r="AG189" s="59"/>
      <c r="AH189" s="59"/>
      <c r="AI189" s="59"/>
      <c r="AJ189" s="59"/>
      <c r="AK189" s="59"/>
      <c r="AL189" s="59"/>
    </row>
    <row r="190" spans="1:38" s="137" customFormat="1" ht="18" customHeight="1">
      <c r="A190" s="24"/>
      <c r="B190" s="24"/>
      <c r="C190" s="24"/>
      <c r="D190" s="24"/>
      <c r="E190" s="24"/>
      <c r="F190" s="24"/>
      <c r="G190" s="24"/>
      <c r="H190" s="77"/>
      <c r="I190" s="54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5"/>
      <c r="AE190" s="59"/>
      <c r="AF190" s="59"/>
      <c r="AG190" s="59"/>
      <c r="AH190" s="59"/>
      <c r="AI190" s="59"/>
      <c r="AJ190" s="59"/>
      <c r="AK190" s="59"/>
      <c r="AL190" s="59"/>
    </row>
    <row r="191" spans="1:38" s="137" customFormat="1" ht="18" customHeight="1">
      <c r="A191" s="24"/>
      <c r="B191" s="24"/>
      <c r="C191" s="24"/>
      <c r="D191" s="24"/>
      <c r="E191" s="24"/>
      <c r="F191" s="24"/>
      <c r="G191" s="24"/>
      <c r="H191" s="77"/>
      <c r="I191" s="54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5"/>
      <c r="AE191" s="59"/>
      <c r="AF191" s="59"/>
      <c r="AG191" s="59"/>
      <c r="AH191" s="59"/>
      <c r="AI191" s="59"/>
      <c r="AJ191" s="59"/>
      <c r="AK191" s="59"/>
      <c r="AL191" s="59"/>
    </row>
    <row r="192" spans="1:38" s="137" customFormat="1" ht="18" customHeight="1">
      <c r="A192" s="24"/>
      <c r="B192" s="24"/>
      <c r="C192" s="24"/>
      <c r="D192" s="24"/>
      <c r="E192" s="24"/>
      <c r="F192" s="24"/>
      <c r="G192" s="24"/>
      <c r="H192" s="77"/>
      <c r="I192" s="54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5"/>
      <c r="AE192" s="59"/>
      <c r="AF192" s="59"/>
      <c r="AG192" s="59"/>
      <c r="AH192" s="59"/>
      <c r="AI192" s="59"/>
      <c r="AJ192" s="59"/>
      <c r="AK192" s="59"/>
      <c r="AL192" s="59"/>
    </row>
    <row r="193" spans="1:30" s="1" customFormat="1" ht="18" customHeight="1">
      <c r="A193" s="24"/>
      <c r="B193" s="24"/>
      <c r="C193" s="24"/>
      <c r="D193" s="24"/>
      <c r="E193" s="24"/>
      <c r="F193" s="24"/>
      <c r="G193" s="24"/>
      <c r="H193" s="77"/>
      <c r="AD193" s="595"/>
    </row>
    <row r="194" spans="1:30" s="1" customFormat="1" ht="18" customHeight="1">
      <c r="A194" s="24"/>
      <c r="B194" s="24"/>
      <c r="C194" s="24"/>
      <c r="D194" s="24"/>
      <c r="E194" s="24"/>
      <c r="F194" s="24"/>
      <c r="G194" s="24"/>
      <c r="H194" s="77"/>
      <c r="AD194" s="595"/>
    </row>
    <row r="195" spans="1:30" s="1" customFormat="1" ht="18" customHeight="1">
      <c r="A195" s="24"/>
      <c r="B195" s="24"/>
      <c r="C195" s="24"/>
      <c r="D195" s="24"/>
      <c r="E195" s="24"/>
      <c r="F195" s="24"/>
      <c r="G195" s="24"/>
      <c r="H195" s="77"/>
      <c r="AD195" s="595"/>
    </row>
    <row r="196" spans="1:30" s="1" customFormat="1" ht="18" customHeight="1">
      <c r="A196" s="24"/>
      <c r="B196" s="24"/>
      <c r="C196" s="24"/>
      <c r="D196" s="24"/>
      <c r="E196" s="24"/>
      <c r="F196" s="24"/>
      <c r="G196" s="24"/>
      <c r="H196" s="77"/>
      <c r="AD196" s="595"/>
    </row>
    <row r="197" spans="1:30" s="1" customFormat="1" ht="18" customHeight="1">
      <c r="A197" s="24"/>
      <c r="B197" s="24"/>
      <c r="C197" s="24"/>
      <c r="D197" s="24"/>
      <c r="E197" s="24"/>
      <c r="F197" s="24"/>
      <c r="G197" s="24"/>
      <c r="H197" s="77"/>
      <c r="AD197" s="595"/>
    </row>
    <row r="198" spans="1:30" s="1" customFormat="1" ht="18" customHeight="1">
      <c r="A198" s="24"/>
      <c r="B198" s="24"/>
      <c r="C198" s="24"/>
      <c r="D198" s="24"/>
      <c r="E198" s="24"/>
      <c r="F198" s="24"/>
      <c r="G198" s="24"/>
      <c r="H198" s="77"/>
      <c r="AD198" s="595"/>
    </row>
    <row r="199" spans="1:30" s="1" customFormat="1" ht="18" customHeight="1">
      <c r="A199" s="24"/>
      <c r="B199" s="24"/>
      <c r="C199" s="24"/>
      <c r="D199" s="24"/>
      <c r="E199" s="24"/>
      <c r="F199" s="24"/>
      <c r="G199" s="24"/>
      <c r="H199" s="77"/>
      <c r="AD199" s="595"/>
    </row>
    <row r="200" spans="1:30" s="137" customFormat="1" ht="18" customHeight="1">
      <c r="A200" s="24"/>
      <c r="B200" s="24"/>
      <c r="C200" s="24"/>
      <c r="D200" s="24"/>
      <c r="E200" s="24"/>
      <c r="F200" s="24"/>
      <c r="G200" s="24"/>
      <c r="H200" s="77"/>
      <c r="I200" s="61"/>
      <c r="J200" s="61"/>
      <c r="K200" s="61"/>
      <c r="AD200" s="595"/>
    </row>
    <row r="201" spans="1:30" s="137" customFormat="1" ht="18" customHeight="1">
      <c r="A201" s="24"/>
      <c r="B201" s="24"/>
      <c r="C201" s="24"/>
      <c r="D201" s="24"/>
      <c r="E201" s="24"/>
      <c r="F201" s="24"/>
      <c r="G201" s="24"/>
      <c r="H201" s="77"/>
      <c r="I201" s="61"/>
      <c r="J201" s="61"/>
      <c r="K201" s="61"/>
      <c r="AD201" s="595"/>
    </row>
    <row r="202" spans="1:30" s="1" customFormat="1" ht="18" customHeight="1">
      <c r="A202" s="24"/>
      <c r="B202" s="24"/>
      <c r="C202" s="24"/>
      <c r="D202" s="24"/>
      <c r="E202" s="24"/>
      <c r="F202" s="24"/>
      <c r="G202" s="24"/>
      <c r="H202" s="77"/>
      <c r="AD202" s="595"/>
    </row>
    <row r="203" spans="1:30" s="1" customFormat="1" ht="18" customHeight="1">
      <c r="A203" s="24"/>
      <c r="B203" s="24"/>
      <c r="C203" s="24"/>
      <c r="D203" s="24"/>
      <c r="E203" s="24"/>
      <c r="F203" s="24"/>
      <c r="G203" s="24"/>
      <c r="H203" s="77"/>
      <c r="AD203" s="595"/>
    </row>
    <row r="204" spans="1:30" s="1" customFormat="1" ht="18" customHeight="1">
      <c r="A204" s="24"/>
      <c r="B204" s="24"/>
      <c r="C204" s="24"/>
      <c r="D204" s="24"/>
      <c r="E204" s="24"/>
      <c r="F204" s="24"/>
      <c r="G204" s="24"/>
      <c r="H204" s="77"/>
      <c r="AD204" s="595"/>
    </row>
    <row r="205" spans="1:30" s="1" customFormat="1" ht="18" customHeight="1">
      <c r="A205" s="24"/>
      <c r="B205" s="24"/>
      <c r="C205" s="24"/>
      <c r="D205" s="24"/>
      <c r="E205" s="24"/>
      <c r="F205" s="24"/>
      <c r="G205" s="24"/>
      <c r="H205" s="77"/>
      <c r="AD205" s="595"/>
    </row>
    <row r="206" spans="1:30" s="1" customFormat="1" ht="18" customHeight="1">
      <c r="A206" s="24"/>
      <c r="B206" s="24"/>
      <c r="C206" s="24"/>
      <c r="D206" s="24"/>
      <c r="E206" s="24"/>
      <c r="F206" s="24"/>
      <c r="G206" s="24"/>
      <c r="H206" s="77"/>
      <c r="AD206" s="595"/>
    </row>
    <row r="207" spans="1:30" s="137" customFormat="1" ht="18" customHeight="1">
      <c r="A207" s="24"/>
      <c r="B207" s="24"/>
      <c r="C207" s="24"/>
      <c r="D207" s="24"/>
      <c r="E207" s="24"/>
      <c r="F207" s="24"/>
      <c r="G207" s="24"/>
      <c r="H207" s="77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595"/>
    </row>
    <row r="208" spans="1:30" s="137" customFormat="1" ht="18" customHeight="1">
      <c r="A208" s="24"/>
      <c r="B208" s="24"/>
      <c r="C208" s="24"/>
      <c r="D208" s="24"/>
      <c r="E208" s="24"/>
      <c r="F208" s="24"/>
      <c r="G208" s="24"/>
      <c r="H208" s="77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595"/>
    </row>
    <row r="209" spans="1:30" s="137" customFormat="1" ht="18" customHeight="1">
      <c r="A209" s="24"/>
      <c r="B209" s="24"/>
      <c r="C209" s="24"/>
      <c r="D209" s="24"/>
      <c r="E209" s="24"/>
      <c r="F209" s="24"/>
      <c r="G209" s="24"/>
      <c r="H209" s="77"/>
      <c r="AD209" s="595"/>
    </row>
    <row r="210" spans="1:30" s="137" customFormat="1" ht="18" customHeight="1">
      <c r="A210" s="24"/>
      <c r="B210" s="24"/>
      <c r="C210" s="24"/>
      <c r="D210" s="24"/>
      <c r="E210" s="24"/>
      <c r="F210" s="24"/>
      <c r="G210" s="24"/>
      <c r="H210" s="77"/>
      <c r="AD210" s="595"/>
    </row>
    <row r="211" spans="1:30" s="137" customFormat="1" ht="18" customHeight="1">
      <c r="A211" s="24"/>
      <c r="B211" s="24"/>
      <c r="C211" s="24"/>
      <c r="D211" s="24"/>
      <c r="E211" s="24"/>
      <c r="F211" s="24"/>
      <c r="G211" s="24"/>
      <c r="H211" s="77"/>
      <c r="AD211" s="595"/>
    </row>
    <row r="212" spans="1:30" s="1" customFormat="1" ht="18" customHeight="1">
      <c r="A212" s="24"/>
      <c r="B212" s="24"/>
      <c r="C212" s="24"/>
      <c r="D212" s="24"/>
      <c r="E212" s="24"/>
      <c r="F212" s="24"/>
      <c r="G212" s="24"/>
      <c r="H212" s="77"/>
      <c r="AD212" s="595"/>
    </row>
    <row r="213" spans="1:30" s="1" customFormat="1" ht="18" customHeight="1">
      <c r="A213" s="24"/>
      <c r="B213" s="24"/>
      <c r="C213" s="24"/>
      <c r="D213" s="24"/>
      <c r="E213" s="24"/>
      <c r="F213" s="24"/>
      <c r="G213" s="24"/>
      <c r="H213" s="77"/>
      <c r="AD213" s="595"/>
    </row>
    <row r="214" spans="1:30" s="1" customFormat="1" ht="18" customHeight="1">
      <c r="A214" s="24"/>
      <c r="B214" s="24"/>
      <c r="C214" s="24"/>
      <c r="D214" s="24"/>
      <c r="E214" s="24"/>
      <c r="F214" s="24"/>
      <c r="G214" s="24"/>
      <c r="H214" s="77"/>
      <c r="AD214" s="595"/>
    </row>
    <row r="215" spans="1:30" s="1" customFormat="1" ht="18" customHeight="1">
      <c r="A215" s="24"/>
      <c r="B215" s="24"/>
      <c r="C215" s="24"/>
      <c r="D215" s="24"/>
      <c r="E215" s="24"/>
      <c r="F215" s="24"/>
      <c r="G215" s="24"/>
      <c r="H215" s="77"/>
      <c r="AD215" s="595"/>
    </row>
    <row r="216" spans="1:30" s="1" customFormat="1" ht="18" customHeight="1">
      <c r="A216" s="24"/>
      <c r="B216" s="24"/>
      <c r="C216" s="24"/>
      <c r="D216" s="24"/>
      <c r="E216" s="24"/>
      <c r="F216" s="24"/>
      <c r="G216" s="24"/>
      <c r="H216" s="77"/>
      <c r="AD216" s="595"/>
    </row>
    <row r="217" spans="1:30" s="137" customFormat="1" ht="18" customHeight="1">
      <c r="A217" s="24"/>
      <c r="B217" s="24"/>
      <c r="C217" s="24"/>
      <c r="D217" s="24"/>
      <c r="E217" s="24"/>
      <c r="F217" s="24"/>
      <c r="G217" s="24"/>
      <c r="H217" s="77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595"/>
    </row>
  </sheetData>
  <sheetProtection selectLockedCells="1" selectUnlockedCells="1"/>
  <protectedRanges>
    <protectedRange password="ECE8" sqref="O2:AC4" name="작성자만수정_1"/>
    <protectedRange password="ECE8" sqref="O5:AC9 A78:H82 I77:S199 B57:L76 A57:A72 I212:K216 I202:K206 O41:AC53 O25:AC28 O18:AC19 O37:AC39 O32:AC33" name="작성자만수정_2_1_1"/>
  </protectedRanges>
  <autoFilter ref="A3:AY56">
    <filterColumn colId="10" showButton="0"/>
    <filterColumn colId="11" showButton="0"/>
  </autoFilter>
  <mergeCells count="13">
    <mergeCell ref="N37:U37"/>
    <mergeCell ref="A4:G4"/>
    <mergeCell ref="N7:U7"/>
    <mergeCell ref="F47:G47"/>
    <mergeCell ref="F51:G51"/>
    <mergeCell ref="F25:G25"/>
    <mergeCell ref="J2:J3"/>
    <mergeCell ref="K2:M3"/>
    <mergeCell ref="A2:A3"/>
    <mergeCell ref="B2:D2"/>
    <mergeCell ref="E2:G2"/>
    <mergeCell ref="H2:H3"/>
    <mergeCell ref="I2:I3"/>
  </mergeCells>
  <phoneticPr fontId="12" type="noConversion"/>
  <conditionalFormatting sqref="J52:J53">
    <cfRule type="containsText" dxfId="1133" priority="217" operator="containsText" text="허하나로">
      <formula>NOT(ISERROR(SEARCH("허하나로",H1078)))</formula>
    </cfRule>
    <cfRule type="containsText" dxfId="1132" priority="218" operator="containsText" text="한별">
      <formula>NOT(ISERROR(SEARCH("한별",H1078)))</formula>
    </cfRule>
    <cfRule type="containsText" dxfId="1131" priority="219" operator="containsText" text="정홍조">
      <formula>NOT(ISERROR(SEARCH("정홍조",H1078)))</formula>
    </cfRule>
    <cfRule type="containsText" dxfId="1130" priority="220" operator="containsText" text="김지윤">
      <formula>NOT(ISERROR(SEARCH("김지윤",H1078)))</formula>
    </cfRule>
    <cfRule type="containsText" dxfId="1129" priority="221" operator="containsText" text="전준영">
      <formula>NOT(ISERROR(SEARCH("전준영",H1078)))</formula>
    </cfRule>
    <cfRule type="containsText" dxfId="1128" priority="222" operator="containsText" text="차재성">
      <formula>NOT(ISERROR(SEARCH("차재성",H1078)))</formula>
    </cfRule>
  </conditionalFormatting>
  <conditionalFormatting sqref="J6:J9">
    <cfRule type="containsText" dxfId="1127" priority="229" operator="containsText" text="허하나로">
      <formula>NOT(ISERROR(SEARCH("허하나로",H715)))</formula>
    </cfRule>
    <cfRule type="containsText" dxfId="1126" priority="230" operator="containsText" text="한별">
      <formula>NOT(ISERROR(SEARCH("한별",H715)))</formula>
    </cfRule>
    <cfRule type="containsText" dxfId="1125" priority="231" operator="containsText" text="정홍조">
      <formula>NOT(ISERROR(SEARCH("정홍조",H715)))</formula>
    </cfRule>
    <cfRule type="containsText" dxfId="1124" priority="232" operator="containsText" text="김지윤">
      <formula>NOT(ISERROR(SEARCH("김지윤",H715)))</formula>
    </cfRule>
    <cfRule type="containsText" dxfId="1123" priority="233" operator="containsText" text="전준영">
      <formula>NOT(ISERROR(SEARCH("전준영",H715)))</formula>
    </cfRule>
    <cfRule type="containsText" dxfId="1122" priority="234" operator="containsText" text="차재성">
      <formula>NOT(ISERROR(SEARCH("차재성",H715)))</formula>
    </cfRule>
  </conditionalFormatting>
  <conditionalFormatting sqref="J5">
    <cfRule type="containsText" dxfId="1121" priority="223" operator="containsText" text="허하나로">
      <formula>NOT(ISERROR(SEARCH("허하나로",H714)))</formula>
    </cfRule>
    <cfRule type="containsText" dxfId="1120" priority="224" operator="containsText" text="한별">
      <formula>NOT(ISERROR(SEARCH("한별",H714)))</formula>
    </cfRule>
    <cfRule type="containsText" dxfId="1119" priority="225" operator="containsText" text="정홍조">
      <formula>NOT(ISERROR(SEARCH("정홍조",H714)))</formula>
    </cfRule>
    <cfRule type="containsText" dxfId="1118" priority="226" operator="containsText" text="김지윤">
      <formula>NOT(ISERROR(SEARCH("김지윤",H714)))</formula>
    </cfRule>
    <cfRule type="containsText" dxfId="1117" priority="227" operator="containsText" text="전준영">
      <formula>NOT(ISERROR(SEARCH("전준영",H714)))</formula>
    </cfRule>
    <cfRule type="containsText" dxfId="1116" priority="228" operator="containsText" text="차재성">
      <formula>NOT(ISERROR(SEARCH("차재성",H714)))</formula>
    </cfRule>
  </conditionalFormatting>
  <conditionalFormatting sqref="J37">
    <cfRule type="containsText" dxfId="1115" priority="139" operator="containsText" text="허하나로">
      <formula>NOT(ISERROR(SEARCH("허하나로",H848)))</formula>
    </cfRule>
    <cfRule type="containsText" dxfId="1114" priority="140" operator="containsText" text="한별">
      <formula>NOT(ISERROR(SEARCH("한별",H848)))</formula>
    </cfRule>
    <cfRule type="containsText" dxfId="1113" priority="141" operator="containsText" text="정홍조">
      <formula>NOT(ISERROR(SEARCH("정홍조",H848)))</formula>
    </cfRule>
    <cfRule type="containsText" dxfId="1112" priority="142" operator="containsText" text="김지윤">
      <formula>NOT(ISERROR(SEARCH("김지윤",H848)))</formula>
    </cfRule>
    <cfRule type="containsText" dxfId="1111" priority="143" operator="containsText" text="전준영">
      <formula>NOT(ISERROR(SEARCH("전준영",H848)))</formula>
    </cfRule>
    <cfRule type="containsText" dxfId="1110" priority="144" operator="containsText" text="차재성">
      <formula>NOT(ISERROR(SEARCH("차재성",H848)))</formula>
    </cfRule>
  </conditionalFormatting>
  <conditionalFormatting sqref="J40:J41">
    <cfRule type="containsText" dxfId="1109" priority="115" operator="containsText" text="허하나로">
      <formula>NOT(ISERROR(SEARCH("허하나로",H1056)))</formula>
    </cfRule>
    <cfRule type="containsText" dxfId="1108" priority="116" operator="containsText" text="한별">
      <formula>NOT(ISERROR(SEARCH("한별",H1056)))</formula>
    </cfRule>
    <cfRule type="containsText" dxfId="1107" priority="117" operator="containsText" text="정홍조">
      <formula>NOT(ISERROR(SEARCH("정홍조",H1056)))</formula>
    </cfRule>
    <cfRule type="containsText" dxfId="1106" priority="118" operator="containsText" text="김지윤">
      <formula>NOT(ISERROR(SEARCH("김지윤",H1056)))</formula>
    </cfRule>
    <cfRule type="containsText" dxfId="1105" priority="119" operator="containsText" text="전준영">
      <formula>NOT(ISERROR(SEARCH("전준영",H1056)))</formula>
    </cfRule>
    <cfRule type="containsText" dxfId="1104" priority="120" operator="containsText" text="차재성">
      <formula>NOT(ISERROR(SEARCH("차재성",H1056)))</formula>
    </cfRule>
  </conditionalFormatting>
  <conditionalFormatting sqref="J43:J44">
    <cfRule type="containsText" dxfId="1103" priority="109" operator="containsText" text="허하나로">
      <formula>NOT(ISERROR(SEARCH("허하나로",H1052)))</formula>
    </cfRule>
    <cfRule type="containsText" dxfId="1102" priority="110" operator="containsText" text="한별">
      <formula>NOT(ISERROR(SEARCH("한별",H1052)))</formula>
    </cfRule>
    <cfRule type="containsText" dxfId="1101" priority="111" operator="containsText" text="정홍조">
      <formula>NOT(ISERROR(SEARCH("정홍조",H1052)))</formula>
    </cfRule>
    <cfRule type="containsText" dxfId="1100" priority="112" operator="containsText" text="김지윤">
      <formula>NOT(ISERROR(SEARCH("김지윤",H1052)))</formula>
    </cfRule>
    <cfRule type="containsText" dxfId="1099" priority="113" operator="containsText" text="전준영">
      <formula>NOT(ISERROR(SEARCH("전준영",H1052)))</formula>
    </cfRule>
    <cfRule type="containsText" dxfId="1098" priority="114" operator="containsText" text="차재성">
      <formula>NOT(ISERROR(SEARCH("차재성",H1052)))</formula>
    </cfRule>
  </conditionalFormatting>
  <conditionalFormatting sqref="J39">
    <cfRule type="containsText" dxfId="1097" priority="1195" operator="containsText" text="허하나로">
      <formula>NOT(ISERROR(SEARCH("허하나로",H1045)))</formula>
    </cfRule>
    <cfRule type="containsText" dxfId="1096" priority="1196" operator="containsText" text="한별">
      <formula>NOT(ISERROR(SEARCH("한별",H1045)))</formula>
    </cfRule>
    <cfRule type="containsText" dxfId="1095" priority="1197" operator="containsText" text="정홍조">
      <formula>NOT(ISERROR(SEARCH("정홍조",H1045)))</formula>
    </cfRule>
    <cfRule type="containsText" dxfId="1094" priority="1198" operator="containsText" text="김지윤">
      <formula>NOT(ISERROR(SEARCH("김지윤",H1045)))</formula>
    </cfRule>
    <cfRule type="containsText" dxfId="1093" priority="1199" operator="containsText" text="전준영">
      <formula>NOT(ISERROR(SEARCH("전준영",H1045)))</formula>
    </cfRule>
    <cfRule type="containsText" dxfId="1092" priority="1200" operator="containsText" text="차재성">
      <formula>NOT(ISERROR(SEARCH("차재성",H1045)))</formula>
    </cfRule>
  </conditionalFormatting>
  <conditionalFormatting sqref="J47:J50">
    <cfRule type="containsText" dxfId="1091" priority="1207" operator="containsText" text="허하나로">
      <formula>NOT(ISERROR(SEARCH("허하나로",H1058)))</formula>
    </cfRule>
    <cfRule type="containsText" dxfId="1090" priority="1208" operator="containsText" text="한별">
      <formula>NOT(ISERROR(SEARCH("한별",H1058)))</formula>
    </cfRule>
    <cfRule type="containsText" dxfId="1089" priority="1209" operator="containsText" text="정홍조">
      <formula>NOT(ISERROR(SEARCH("정홍조",H1058)))</formula>
    </cfRule>
    <cfRule type="containsText" dxfId="1088" priority="1210" operator="containsText" text="김지윤">
      <formula>NOT(ISERROR(SEARCH("김지윤",H1058)))</formula>
    </cfRule>
    <cfRule type="containsText" dxfId="1087" priority="1211" operator="containsText" text="전준영">
      <formula>NOT(ISERROR(SEARCH("전준영",H1058)))</formula>
    </cfRule>
    <cfRule type="containsText" dxfId="1086" priority="1212" operator="containsText" text="차재성">
      <formula>NOT(ISERROR(SEARCH("차재성",H1058)))</formula>
    </cfRule>
  </conditionalFormatting>
  <conditionalFormatting sqref="J51">
    <cfRule type="containsText" dxfId="1085" priority="97" operator="containsText" text="허하나로">
      <formula>NOT(ISERROR(SEARCH("허하나로",H1062)))</formula>
    </cfRule>
    <cfRule type="containsText" dxfId="1084" priority="98" operator="containsText" text="한별">
      <formula>NOT(ISERROR(SEARCH("한별",H1062)))</formula>
    </cfRule>
    <cfRule type="containsText" dxfId="1083" priority="99" operator="containsText" text="정홍조">
      <formula>NOT(ISERROR(SEARCH("정홍조",H1062)))</formula>
    </cfRule>
    <cfRule type="containsText" dxfId="1082" priority="100" operator="containsText" text="김지윤">
      <formula>NOT(ISERROR(SEARCH("김지윤",H1062)))</formula>
    </cfRule>
    <cfRule type="containsText" dxfId="1081" priority="101" operator="containsText" text="전준영">
      <formula>NOT(ISERROR(SEARCH("전준영",H1062)))</formula>
    </cfRule>
    <cfRule type="containsText" dxfId="1080" priority="102" operator="containsText" text="차재성">
      <formula>NOT(ISERROR(SEARCH("차재성",H1062)))</formula>
    </cfRule>
  </conditionalFormatting>
  <conditionalFormatting sqref="L48">
    <cfRule type="containsText" dxfId="1079" priority="91" operator="containsText" text="허하나로">
      <formula>NOT(ISERROR(SEARCH("허하나로",J1193)))</formula>
    </cfRule>
    <cfRule type="containsText" dxfId="1078" priority="92" operator="containsText" text="한별">
      <formula>NOT(ISERROR(SEARCH("한별",J1193)))</formula>
    </cfRule>
    <cfRule type="containsText" dxfId="1077" priority="93" operator="containsText" text="정홍조">
      <formula>NOT(ISERROR(SEARCH("정홍조",J1193)))</formula>
    </cfRule>
    <cfRule type="containsText" dxfId="1076" priority="94" operator="containsText" text="김지윤">
      <formula>NOT(ISERROR(SEARCH("김지윤",J1193)))</formula>
    </cfRule>
    <cfRule type="containsText" dxfId="1075" priority="95" operator="containsText" text="전준영">
      <formula>NOT(ISERROR(SEARCH("전준영",J1193)))</formula>
    </cfRule>
    <cfRule type="containsText" dxfId="1074" priority="96" operator="containsText" text="차재성">
      <formula>NOT(ISERROR(SEARCH("차재성",J1193)))</formula>
    </cfRule>
  </conditionalFormatting>
  <conditionalFormatting sqref="I53">
    <cfRule type="containsText" dxfId="1073" priority="85" operator="containsText" text="허하나로">
      <formula>NOT(ISERROR(SEARCH("허하나로",G1079)))</formula>
    </cfRule>
    <cfRule type="containsText" dxfId="1072" priority="86" operator="containsText" text="한별">
      <formula>NOT(ISERROR(SEARCH("한별",G1079)))</formula>
    </cfRule>
    <cfRule type="containsText" dxfId="1071" priority="87" operator="containsText" text="정홍조">
      <formula>NOT(ISERROR(SEARCH("정홍조",G1079)))</formula>
    </cfRule>
    <cfRule type="containsText" dxfId="1070" priority="88" operator="containsText" text="김지윤">
      <formula>NOT(ISERROR(SEARCH("김지윤",G1079)))</formula>
    </cfRule>
    <cfRule type="containsText" dxfId="1069" priority="89" operator="containsText" text="전준영">
      <formula>NOT(ISERROR(SEARCH("전준영",G1079)))</formula>
    </cfRule>
    <cfRule type="containsText" dxfId="1068" priority="90" operator="containsText" text="차재성">
      <formula>NOT(ISERROR(SEARCH("차재성",G1079)))</formula>
    </cfRule>
  </conditionalFormatting>
  <conditionalFormatting sqref="J45:J46">
    <cfRule type="containsText" dxfId="1067" priority="79" operator="containsText" text="허하나로">
      <formula>NOT(ISERROR(SEARCH("허하나로",H1054)))</formula>
    </cfRule>
    <cfRule type="containsText" dxfId="1066" priority="80" operator="containsText" text="한별">
      <formula>NOT(ISERROR(SEARCH("한별",H1054)))</formula>
    </cfRule>
    <cfRule type="containsText" dxfId="1065" priority="81" operator="containsText" text="정홍조">
      <formula>NOT(ISERROR(SEARCH("정홍조",H1054)))</formula>
    </cfRule>
    <cfRule type="containsText" dxfId="1064" priority="82" operator="containsText" text="김지윤">
      <formula>NOT(ISERROR(SEARCH("김지윤",H1054)))</formula>
    </cfRule>
    <cfRule type="containsText" dxfId="1063" priority="83" operator="containsText" text="전준영">
      <formula>NOT(ISERROR(SEARCH("전준영",H1054)))</formula>
    </cfRule>
    <cfRule type="containsText" dxfId="1062" priority="84" operator="containsText" text="차재성">
      <formula>NOT(ISERROR(SEARCH("차재성",H1054)))</formula>
    </cfRule>
  </conditionalFormatting>
  <conditionalFormatting sqref="J42">
    <cfRule type="containsText" dxfId="1061" priority="3673" operator="containsText" text="허하나로">
      <formula>NOT(ISERROR(SEARCH("허하나로",H1047)))</formula>
    </cfRule>
    <cfRule type="containsText" dxfId="1060" priority="3674" operator="containsText" text="한별">
      <formula>NOT(ISERROR(SEARCH("한별",H1047)))</formula>
    </cfRule>
    <cfRule type="containsText" dxfId="1059" priority="3675" operator="containsText" text="정홍조">
      <formula>NOT(ISERROR(SEARCH("정홍조",H1047)))</formula>
    </cfRule>
    <cfRule type="containsText" dxfId="1058" priority="3676" operator="containsText" text="김지윤">
      <formula>NOT(ISERROR(SEARCH("김지윤",H1047)))</formula>
    </cfRule>
    <cfRule type="containsText" dxfId="1057" priority="3677" operator="containsText" text="전준영">
      <formula>NOT(ISERROR(SEARCH("전준영",H1047)))</formula>
    </cfRule>
    <cfRule type="containsText" dxfId="1056" priority="3678" operator="containsText" text="차재성">
      <formula>NOT(ISERROR(SEARCH("차재성",H1047)))</formula>
    </cfRule>
  </conditionalFormatting>
  <conditionalFormatting sqref="J18:J19">
    <cfRule type="containsText" dxfId="1055" priority="43" operator="containsText" text="허하나로">
      <formula>NOT(ISERROR(SEARCH("허하나로",H739)))</formula>
    </cfRule>
    <cfRule type="containsText" dxfId="1054" priority="44" operator="containsText" text="한별">
      <formula>NOT(ISERROR(SEARCH("한별",H739)))</formula>
    </cfRule>
    <cfRule type="containsText" dxfId="1053" priority="45" operator="containsText" text="정홍조">
      <formula>NOT(ISERROR(SEARCH("정홍조",H739)))</formula>
    </cfRule>
    <cfRule type="containsText" dxfId="1052" priority="46" operator="containsText" text="김지윤">
      <formula>NOT(ISERROR(SEARCH("김지윤",H739)))</formula>
    </cfRule>
    <cfRule type="containsText" dxfId="1051" priority="47" operator="containsText" text="전준영">
      <formula>NOT(ISERROR(SEARCH("전준영",H739)))</formula>
    </cfRule>
    <cfRule type="containsText" dxfId="1050" priority="48" operator="containsText" text="차재성">
      <formula>NOT(ISERROR(SEARCH("차재성",H739)))</formula>
    </cfRule>
  </conditionalFormatting>
  <conditionalFormatting sqref="J28">
    <cfRule type="containsText" dxfId="1049" priority="37" operator="containsText" text="허하나로">
      <formula>NOT(ISERROR(SEARCH("허하나로",H745)))</formula>
    </cfRule>
    <cfRule type="containsText" dxfId="1048" priority="38" operator="containsText" text="한별">
      <formula>NOT(ISERROR(SEARCH("한별",H745)))</formula>
    </cfRule>
    <cfRule type="containsText" dxfId="1047" priority="39" operator="containsText" text="정홍조">
      <formula>NOT(ISERROR(SEARCH("정홍조",H745)))</formula>
    </cfRule>
    <cfRule type="containsText" dxfId="1046" priority="40" operator="containsText" text="김지윤">
      <formula>NOT(ISERROR(SEARCH("김지윤",H745)))</formula>
    </cfRule>
    <cfRule type="containsText" dxfId="1045" priority="41" operator="containsText" text="전준영">
      <formula>NOT(ISERROR(SEARCH("전준영",H745)))</formula>
    </cfRule>
    <cfRule type="containsText" dxfId="1044" priority="42" operator="containsText" text="차재성">
      <formula>NOT(ISERROR(SEARCH("차재성",H745)))</formula>
    </cfRule>
  </conditionalFormatting>
  <conditionalFormatting sqref="J2:J3">
    <cfRule type="containsText" dxfId="1043" priority="31" operator="containsText" text="허하나로">
      <formula>NOT(ISERROR(SEARCH("허하나로",H765)))</formula>
    </cfRule>
    <cfRule type="containsText" dxfId="1042" priority="32" operator="containsText" text="한별">
      <formula>NOT(ISERROR(SEARCH("한별",H765)))</formula>
    </cfRule>
    <cfRule type="containsText" dxfId="1041" priority="33" operator="containsText" text="정홍조">
      <formula>NOT(ISERROR(SEARCH("정홍조",H765)))</formula>
    </cfRule>
    <cfRule type="containsText" dxfId="1040" priority="34" operator="containsText" text="김지윤">
      <formula>NOT(ISERROR(SEARCH("김지윤",H765)))</formula>
    </cfRule>
    <cfRule type="containsText" dxfId="1039" priority="35" operator="containsText" text="전준영">
      <formula>NOT(ISERROR(SEARCH("전준영",H765)))</formula>
    </cfRule>
    <cfRule type="containsText" dxfId="1038" priority="36" operator="containsText" text="차재성">
      <formula>NOT(ISERROR(SEARCH("차재성",H765)))</formula>
    </cfRule>
  </conditionalFormatting>
  <conditionalFormatting sqref="J32:J33">
    <cfRule type="containsText" dxfId="1037" priority="13" operator="containsText" text="허하나로">
      <formula>NOT(ISERROR(SEARCH("허하나로",H767)))</formula>
    </cfRule>
    <cfRule type="containsText" dxfId="1036" priority="14" operator="containsText" text="한별">
      <formula>NOT(ISERROR(SEARCH("한별",H767)))</formula>
    </cfRule>
    <cfRule type="containsText" dxfId="1035" priority="15" operator="containsText" text="정홍조">
      <formula>NOT(ISERROR(SEARCH("정홍조",H767)))</formula>
    </cfRule>
    <cfRule type="containsText" dxfId="1034" priority="16" operator="containsText" text="김지윤">
      <formula>NOT(ISERROR(SEARCH("김지윤",H767)))</formula>
    </cfRule>
    <cfRule type="containsText" dxfId="1033" priority="17" operator="containsText" text="전준영">
      <formula>NOT(ISERROR(SEARCH("전준영",H767)))</formula>
    </cfRule>
    <cfRule type="containsText" dxfId="1032" priority="18" operator="containsText" text="차재성">
      <formula>NOT(ISERROR(SEARCH("차재성",H767)))</formula>
    </cfRule>
  </conditionalFormatting>
  <conditionalFormatting sqref="J25:J27">
    <cfRule type="containsText" dxfId="1031" priority="7" operator="containsText" text="허하나로">
      <formula>NOT(ISERROR(SEARCH("허하나로",H1036)))</formula>
    </cfRule>
    <cfRule type="containsText" dxfId="1030" priority="8" operator="containsText" text="한별">
      <formula>NOT(ISERROR(SEARCH("한별",H1036)))</formula>
    </cfRule>
    <cfRule type="containsText" dxfId="1029" priority="9" operator="containsText" text="정홍조">
      <formula>NOT(ISERROR(SEARCH("정홍조",H1036)))</formula>
    </cfRule>
    <cfRule type="containsText" dxfId="1028" priority="10" operator="containsText" text="김지윤">
      <formula>NOT(ISERROR(SEARCH("김지윤",H1036)))</formula>
    </cfRule>
    <cfRule type="containsText" dxfId="1027" priority="11" operator="containsText" text="전준영">
      <formula>NOT(ISERROR(SEARCH("전준영",H1036)))</formula>
    </cfRule>
    <cfRule type="containsText" dxfId="1026" priority="12" operator="containsText" text="차재성">
      <formula>NOT(ISERROR(SEARCH("차재성",H1036)))</formula>
    </cfRule>
  </conditionalFormatting>
  <conditionalFormatting sqref="L26">
    <cfRule type="containsText" dxfId="1025" priority="1" operator="containsText" text="허하나로">
      <formula>NOT(ISERROR(SEARCH("허하나로",J1171)))</formula>
    </cfRule>
    <cfRule type="containsText" dxfId="1024" priority="2" operator="containsText" text="한별">
      <formula>NOT(ISERROR(SEARCH("한별",J1171)))</formula>
    </cfRule>
    <cfRule type="containsText" dxfId="1023" priority="3" operator="containsText" text="정홍조">
      <formula>NOT(ISERROR(SEARCH("정홍조",J1171)))</formula>
    </cfRule>
    <cfRule type="containsText" dxfId="1022" priority="4" operator="containsText" text="김지윤">
      <formula>NOT(ISERROR(SEARCH("김지윤",J1171)))</formula>
    </cfRule>
    <cfRule type="containsText" dxfId="1021" priority="5" operator="containsText" text="전준영">
      <formula>NOT(ISERROR(SEARCH("전준영",J1171)))</formula>
    </cfRule>
    <cfRule type="containsText" dxfId="1020" priority="6" operator="containsText" text="차재성">
      <formula>NOT(ISERROR(SEARCH("차재성",J1171)))</formula>
    </cfRule>
  </conditionalFormatting>
  <pageMargins left="0.25" right="0.25" top="0.75" bottom="0.75" header="0.3" footer="0.3"/>
  <pageSetup paperSize="9" scale="74" firstPageNumber="0" fitToHeight="0" orientation="landscape" useFirstPageNumber="1" r:id="rId1"/>
  <headerFooter alignWithMargins="0">
    <oddHeader xml:space="preserve">&amp;L&amp;"돋움,굵게"
</oddHeader>
  </headerFooter>
  <rowBreaks count="1" manualBreakCount="1">
    <brk id="31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3" operator="containsText" text="허하나로" id="{79B152C1-B2E1-40E0-9E75-D7A9F76B9003}">
            <xm:f>NOT(ISERROR(SEARCH("허하나로",행정관리부!H1045)))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8FC6B557-ADFF-4EC7-A5F4-009BA2774F2C}">
            <xm:f>NOT(ISERROR(SEARCH("한별",행정관리부!H1045)))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4B8F03B6-AC04-4287-AD6B-88A50042BCD2}">
            <xm:f>NOT(ISERROR(SEARCH("정홍조",행정관리부!H1045)))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53B9FC3C-3C67-43D0-98A7-5EFFBE6CC4EC}">
            <xm:f>NOT(ISERROR(SEARCH("김지윤",행정관리부!H1045)))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CFBEE776-6AA4-4748-BCCC-D10B4A572B13}">
            <xm:f>NOT(ISERROR(SEARCH("전준영",행정관리부!H1045)))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FC84453E-808D-4BA6-AE79-F755C1A55E4A}">
            <xm:f>NOT(ISERROR(SEARCH("차재성",행정관리부!H1045)))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J56</xm:sqref>
        </x14:conditionalFormatting>
        <x14:conditionalFormatting xmlns:xm="http://schemas.microsoft.com/office/excel/2006/main">
          <x14:cfRule type="containsText" priority="67" operator="containsText" text="허하나로" id="{876F91CA-E610-40FE-81A7-44CDC5489935}">
            <xm:f>NOT(ISERROR(SEARCH("허하나로",행정관리부!H1101)))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5B556011-188D-4A3F-B13D-DC561B03F89B}">
            <xm:f>NOT(ISERROR(SEARCH("한별",행정관리부!H1101)))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ACAB305B-1D7C-4461-83B8-74D3DD016EA6}">
            <xm:f>NOT(ISERROR(SEARCH("정홍조",행정관리부!H1101)))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66FACC27-5BF4-415B-A45F-20971346D5CE}">
            <xm:f>NOT(ISERROR(SEARCH("김지윤",행정관리부!H1101)))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5FB2FFF1-D507-4E64-9BA9-BB6EF899BCB4}">
            <xm:f>NOT(ISERROR(SEARCH("전준영",행정관리부!H1101)))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89227B41-3E6A-4530-A8A2-E80A0BDFEB6D}">
            <xm:f>NOT(ISERROR(SEARCH("차재성",행정관리부!H1101)))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J54:J55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BP36"/>
  <sheetViews>
    <sheetView zoomScale="85" zoomScaleNormal="85" workbookViewId="0">
      <selection activeCell="J24" sqref="J24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" customWidth="1"/>
    <col min="10" max="10" width="14.625" customWidth="1"/>
    <col min="11" max="11" width="62.375" customWidth="1"/>
    <col min="12" max="12" width="3.875" customWidth="1"/>
    <col min="13" max="13" width="14.625" customWidth="1"/>
    <col min="14" max="14" width="9" style="595"/>
  </cols>
  <sheetData>
    <row r="1" spans="1:68" ht="17.25" thickBot="1">
      <c r="A1" s="88" t="s">
        <v>146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68" ht="16.5" customHeight="1">
      <c r="A2" s="643" t="s">
        <v>21</v>
      </c>
      <c r="B2" s="645" t="s">
        <v>22</v>
      </c>
      <c r="C2" s="646"/>
      <c r="D2" s="647"/>
      <c r="E2" s="645" t="s">
        <v>23</v>
      </c>
      <c r="F2" s="646"/>
      <c r="G2" s="647"/>
      <c r="H2" s="623" t="s">
        <v>660</v>
      </c>
      <c r="I2" s="623" t="s">
        <v>543</v>
      </c>
      <c r="J2" s="648" t="s">
        <v>468</v>
      </c>
      <c r="K2" s="634" t="s">
        <v>1</v>
      </c>
      <c r="L2" s="635"/>
      <c r="M2" s="636"/>
    </row>
    <row r="3" spans="1:68" ht="17.25" thickBot="1">
      <c r="A3" s="644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24"/>
      <c r="I3" s="624"/>
      <c r="J3" s="649"/>
      <c r="K3" s="637"/>
      <c r="L3" s="638"/>
      <c r="M3" s="639"/>
    </row>
    <row r="4" spans="1:68" ht="17.25" thickBot="1">
      <c r="A4" s="640" t="s">
        <v>30</v>
      </c>
      <c r="B4" s="641"/>
      <c r="C4" s="641"/>
      <c r="D4" s="641"/>
      <c r="E4" s="641"/>
      <c r="F4" s="641"/>
      <c r="G4" s="642"/>
      <c r="H4" s="185">
        <f>H5</f>
        <v>47440</v>
      </c>
      <c r="I4" s="185">
        <v>62518</v>
      </c>
      <c r="J4" s="120">
        <f>H4-I4</f>
        <v>-15078</v>
      </c>
      <c r="K4" s="89"/>
      <c r="L4" s="90"/>
      <c r="M4" s="121"/>
    </row>
    <row r="5" spans="1:68">
      <c r="A5" s="205" t="s">
        <v>2</v>
      </c>
      <c r="B5" s="122"/>
      <c r="C5" s="123"/>
      <c r="D5" s="123"/>
      <c r="E5" s="123"/>
      <c r="F5" s="123"/>
      <c r="G5" s="124"/>
      <c r="H5" s="94">
        <f>H6</f>
        <v>47440</v>
      </c>
      <c r="I5" s="94">
        <v>62518</v>
      </c>
      <c r="J5" s="95">
        <f t="shared" ref="J5:J22" si="0">H5-I5</f>
        <v>-15078</v>
      </c>
      <c r="K5" s="78"/>
      <c r="L5" s="79"/>
      <c r="M5" s="80"/>
    </row>
    <row r="6" spans="1:68">
      <c r="A6" s="10"/>
      <c r="B6" s="129" t="s">
        <v>252</v>
      </c>
      <c r="C6" s="129"/>
      <c r="D6" s="130"/>
      <c r="E6" s="130"/>
      <c r="F6" s="130"/>
      <c r="G6" s="131"/>
      <c r="H6" s="94">
        <f>SUM(H7,H18)</f>
        <v>47440</v>
      </c>
      <c r="I6" s="94">
        <v>62518</v>
      </c>
      <c r="J6" s="95">
        <f t="shared" si="0"/>
        <v>-15078</v>
      </c>
      <c r="K6" s="78"/>
      <c r="L6" s="79"/>
      <c r="M6" s="80"/>
    </row>
    <row r="7" spans="1:68">
      <c r="A7" s="10"/>
      <c r="B7" s="6"/>
      <c r="C7" s="179" t="s">
        <v>582</v>
      </c>
      <c r="D7" s="130"/>
      <c r="E7" s="130"/>
      <c r="F7" s="130"/>
      <c r="G7" s="131"/>
      <c r="H7" s="91">
        <f>H8</f>
        <v>26300</v>
      </c>
      <c r="I7" s="91">
        <v>0</v>
      </c>
      <c r="J7" s="92">
        <f t="shared" ref="J7:J11" si="1">H7-I7</f>
        <v>26300</v>
      </c>
      <c r="K7" s="159"/>
      <c r="L7" s="149"/>
      <c r="M7" s="150"/>
    </row>
    <row r="8" spans="1:68">
      <c r="A8" s="10"/>
      <c r="B8" s="6"/>
      <c r="C8" s="147"/>
      <c r="D8" s="129" t="s">
        <v>583</v>
      </c>
      <c r="E8" s="130"/>
      <c r="F8" s="130"/>
      <c r="G8" s="131"/>
      <c r="H8" s="132">
        <f>H9</f>
        <v>26300</v>
      </c>
      <c r="I8" s="132">
        <v>0</v>
      </c>
      <c r="J8" s="9">
        <f t="shared" si="1"/>
        <v>26300</v>
      </c>
      <c r="K8" s="148"/>
      <c r="L8" s="149"/>
      <c r="M8" s="150"/>
    </row>
    <row r="9" spans="1:68">
      <c r="A9" s="10"/>
      <c r="B9" s="6"/>
      <c r="C9" s="134"/>
      <c r="D9" s="135"/>
      <c r="E9" s="129" t="s">
        <v>33</v>
      </c>
      <c r="F9" s="130"/>
      <c r="G9" s="131"/>
      <c r="H9" s="91">
        <f>SUM(H10,H13)</f>
        <v>26300</v>
      </c>
      <c r="I9" s="91">
        <v>0</v>
      </c>
      <c r="J9" s="92">
        <f t="shared" si="1"/>
        <v>26300</v>
      </c>
      <c r="K9" s="84"/>
      <c r="L9" s="93"/>
      <c r="M9" s="82"/>
    </row>
    <row r="10" spans="1:68">
      <c r="A10" s="63"/>
      <c r="B10" s="65"/>
      <c r="C10" s="65"/>
      <c r="D10" s="65"/>
      <c r="E10" s="65"/>
      <c r="F10" s="136" t="s">
        <v>35</v>
      </c>
      <c r="G10" s="140"/>
      <c r="H10" s="72">
        <f>H11</f>
        <v>5000</v>
      </c>
      <c r="I10" s="72">
        <v>0</v>
      </c>
      <c r="J10" s="98">
        <f t="shared" si="1"/>
        <v>5000</v>
      </c>
      <c r="K10" s="144"/>
      <c r="L10" s="38"/>
      <c r="M10" s="37"/>
    </row>
    <row r="11" spans="1:68">
      <c r="A11" s="55"/>
      <c r="B11" s="57"/>
      <c r="C11" s="65"/>
      <c r="D11" s="65"/>
      <c r="E11" s="65"/>
      <c r="F11" s="192"/>
      <c r="G11" s="64" t="s">
        <v>7</v>
      </c>
      <c r="H11" s="207">
        <f>M11</f>
        <v>5000</v>
      </c>
      <c r="I11" s="207">
        <v>0</v>
      </c>
      <c r="J11" s="41">
        <f t="shared" si="1"/>
        <v>5000</v>
      </c>
      <c r="K11" s="568" t="s">
        <v>44</v>
      </c>
      <c r="L11" s="209"/>
      <c r="M11" s="219">
        <f>SUM(M12:M12)</f>
        <v>5000</v>
      </c>
    </row>
    <row r="12" spans="1:68">
      <c r="A12" s="55"/>
      <c r="B12" s="57"/>
      <c r="C12" s="65"/>
      <c r="D12" s="65"/>
      <c r="E12" s="65"/>
      <c r="F12" s="56"/>
      <c r="G12" s="56"/>
      <c r="H12" s="100"/>
      <c r="I12" s="100"/>
      <c r="J12" s="102"/>
      <c r="K12" s="217" t="s">
        <v>584</v>
      </c>
      <c r="L12" s="204" t="s">
        <v>37</v>
      </c>
      <c r="M12" s="196">
        <v>5000</v>
      </c>
    </row>
    <row r="13" spans="1:68">
      <c r="A13" s="63"/>
      <c r="B13" s="65"/>
      <c r="C13" s="65"/>
      <c r="D13" s="65"/>
      <c r="E13" s="65"/>
      <c r="F13" s="653" t="s">
        <v>40</v>
      </c>
      <c r="G13" s="654"/>
      <c r="H13" s="152">
        <f>SUM(H14,H16)</f>
        <v>21300</v>
      </c>
      <c r="I13" s="152">
        <v>0</v>
      </c>
      <c r="J13" s="153">
        <f>H13-I13</f>
        <v>21300</v>
      </c>
      <c r="K13" s="154"/>
      <c r="L13" s="58"/>
      <c r="M13" s="567"/>
    </row>
    <row r="14" spans="1:68">
      <c r="A14" s="63"/>
      <c r="B14" s="65"/>
      <c r="C14" s="65"/>
      <c r="D14" s="65"/>
      <c r="E14" s="65"/>
      <c r="F14" s="109"/>
      <c r="G14" s="199" t="s">
        <v>41</v>
      </c>
      <c r="H14" s="210">
        <f>M14</f>
        <v>3300</v>
      </c>
      <c r="I14" s="207">
        <v>0</v>
      </c>
      <c r="J14" s="202">
        <f>H14-I14</f>
        <v>3300</v>
      </c>
      <c r="K14" s="36" t="s">
        <v>50</v>
      </c>
      <c r="L14" s="212"/>
      <c r="M14" s="219">
        <f>M15</f>
        <v>3300</v>
      </c>
    </row>
    <row r="15" spans="1:68" s="137" customFormat="1" ht="18" customHeight="1">
      <c r="A15" s="63"/>
      <c r="B15" s="65"/>
      <c r="C15" s="65"/>
      <c r="D15" s="65"/>
      <c r="E15" s="65"/>
      <c r="F15" s="194"/>
      <c r="G15" s="194"/>
      <c r="H15" s="100"/>
      <c r="I15" s="104"/>
      <c r="J15" s="102"/>
      <c r="K15" s="389" t="s">
        <v>659</v>
      </c>
      <c r="L15" s="426" t="s">
        <v>0</v>
      </c>
      <c r="M15" s="381">
        <v>3300</v>
      </c>
      <c r="N15" s="595"/>
      <c r="O15" s="594"/>
      <c r="P15"/>
      <c r="Q15"/>
      <c r="R15" s="101"/>
      <c r="U15" s="54"/>
      <c r="V15" s="59"/>
      <c r="W15" s="59"/>
      <c r="X15" s="59"/>
      <c r="Y15" s="59"/>
      <c r="Z15" s="59"/>
      <c r="AA15" s="59"/>
      <c r="AB15" s="59"/>
      <c r="AC15" s="59">
        <v>9</v>
      </c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</row>
    <row r="16" spans="1:68">
      <c r="A16" s="63"/>
      <c r="B16" s="65"/>
      <c r="C16" s="65"/>
      <c r="D16" s="65"/>
      <c r="E16" s="65"/>
      <c r="F16" s="105"/>
      <c r="G16" s="199" t="s">
        <v>429</v>
      </c>
      <c r="H16" s="210">
        <f>M16</f>
        <v>18000</v>
      </c>
      <c r="I16" s="207">
        <v>0</v>
      </c>
      <c r="J16" s="202">
        <f>H16-I16</f>
        <v>18000</v>
      </c>
      <c r="K16" s="393" t="s">
        <v>51</v>
      </c>
      <c r="L16" s="425"/>
      <c r="M16" s="395">
        <f>M17</f>
        <v>18000</v>
      </c>
    </row>
    <row r="17" spans="1:68" s="137" customFormat="1" ht="18" customHeight="1">
      <c r="A17" s="63"/>
      <c r="B17" s="65"/>
      <c r="C17" s="65"/>
      <c r="D17" s="65"/>
      <c r="E17" s="65"/>
      <c r="F17" s="194"/>
      <c r="G17" s="194"/>
      <c r="H17" s="100"/>
      <c r="I17" s="104"/>
      <c r="J17" s="102"/>
      <c r="K17" s="389" t="s">
        <v>723</v>
      </c>
      <c r="L17" s="530" t="s">
        <v>0</v>
      </c>
      <c r="M17" s="381">
        <v>18000</v>
      </c>
      <c r="N17" s="595"/>
      <c r="O17" s="594"/>
      <c r="P17"/>
      <c r="Q17"/>
      <c r="R17" s="101"/>
      <c r="U17" s="54"/>
      <c r="V17" s="59"/>
      <c r="W17" s="59"/>
      <c r="X17" s="59"/>
      <c r="Y17" s="59"/>
      <c r="Z17" s="59"/>
      <c r="AA17" s="59"/>
      <c r="AB17" s="59"/>
      <c r="AC17" s="59">
        <v>9</v>
      </c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</row>
    <row r="18" spans="1:68">
      <c r="A18" s="10"/>
      <c r="B18" s="6"/>
      <c r="C18" s="179" t="s">
        <v>295</v>
      </c>
      <c r="D18" s="130"/>
      <c r="E18" s="130"/>
      <c r="F18" s="130"/>
      <c r="G18" s="131"/>
      <c r="H18" s="91">
        <f>H19</f>
        <v>21140</v>
      </c>
      <c r="I18" s="91">
        <v>62518</v>
      </c>
      <c r="J18" s="92">
        <f t="shared" si="0"/>
        <v>-41378</v>
      </c>
      <c r="K18" s="403"/>
      <c r="L18" s="397"/>
      <c r="M18" s="404"/>
    </row>
    <row r="19" spans="1:68">
      <c r="A19" s="10"/>
      <c r="B19" s="6"/>
      <c r="C19" s="147"/>
      <c r="D19" s="129" t="s">
        <v>34</v>
      </c>
      <c r="E19" s="130"/>
      <c r="F19" s="130"/>
      <c r="G19" s="131"/>
      <c r="H19" s="132">
        <f>H20</f>
        <v>21140</v>
      </c>
      <c r="I19" s="132">
        <v>62518</v>
      </c>
      <c r="J19" s="9">
        <f t="shared" si="0"/>
        <v>-41378</v>
      </c>
      <c r="K19" s="396"/>
      <c r="L19" s="397"/>
      <c r="M19" s="404"/>
    </row>
    <row r="20" spans="1:68">
      <c r="A20" s="10"/>
      <c r="B20" s="6"/>
      <c r="C20" s="134"/>
      <c r="D20" s="135"/>
      <c r="E20" s="129" t="s">
        <v>33</v>
      </c>
      <c r="F20" s="130"/>
      <c r="G20" s="131"/>
      <c r="H20" s="91">
        <f>SUM(H21,H26,H30,H34)</f>
        <v>21140</v>
      </c>
      <c r="I20" s="91">
        <v>62518</v>
      </c>
      <c r="J20" s="92">
        <f t="shared" si="0"/>
        <v>-41378</v>
      </c>
      <c r="K20" s="356"/>
      <c r="L20" s="398"/>
      <c r="M20" s="399"/>
    </row>
    <row r="21" spans="1:68">
      <c r="A21" s="63"/>
      <c r="B21" s="65"/>
      <c r="C21" s="65"/>
      <c r="D21" s="65"/>
      <c r="E21" s="65"/>
      <c r="F21" s="136" t="s">
        <v>35</v>
      </c>
      <c r="G21" s="140"/>
      <c r="H21" s="72">
        <f>SUM(H22,H24)</f>
        <v>7040</v>
      </c>
      <c r="I21" s="72">
        <v>19818</v>
      </c>
      <c r="J21" s="98">
        <f t="shared" si="0"/>
        <v>-12778</v>
      </c>
      <c r="K21" s="390"/>
      <c r="L21" s="391"/>
      <c r="M21" s="405"/>
    </row>
    <row r="22" spans="1:68">
      <c r="A22" s="55"/>
      <c r="B22" s="57"/>
      <c r="C22" s="65"/>
      <c r="D22" s="65"/>
      <c r="E22" s="65"/>
      <c r="F22" s="192"/>
      <c r="G22" s="206" t="s">
        <v>36</v>
      </c>
      <c r="H22" s="207">
        <f>M22</f>
        <v>2000</v>
      </c>
      <c r="I22" s="207">
        <v>5770</v>
      </c>
      <c r="J22" s="41">
        <f t="shared" si="0"/>
        <v>-3770</v>
      </c>
      <c r="K22" s="393" t="s">
        <v>52</v>
      </c>
      <c r="L22" s="420"/>
      <c r="M22" s="395">
        <f>SUM(M23:M23)</f>
        <v>2000</v>
      </c>
    </row>
    <row r="23" spans="1:68">
      <c r="A23" s="55"/>
      <c r="B23" s="57"/>
      <c r="C23" s="65"/>
      <c r="D23" s="65"/>
      <c r="E23" s="65"/>
      <c r="F23" s="56"/>
      <c r="G23" s="56"/>
      <c r="H23" s="100"/>
      <c r="I23" s="100"/>
      <c r="J23" s="102"/>
      <c r="K23" s="427" t="s">
        <v>585</v>
      </c>
      <c r="L23" s="385" t="s">
        <v>37</v>
      </c>
      <c r="M23" s="381">
        <v>2000</v>
      </c>
    </row>
    <row r="24" spans="1:68" s="137" customFormat="1" ht="18" customHeight="1">
      <c r="A24" s="55"/>
      <c r="B24" s="57"/>
      <c r="C24" s="65"/>
      <c r="D24" s="65"/>
      <c r="E24" s="65"/>
      <c r="F24" s="56"/>
      <c r="G24" s="206" t="s">
        <v>307</v>
      </c>
      <c r="H24" s="207">
        <f>M24</f>
        <v>5040</v>
      </c>
      <c r="I24" s="207">
        <v>6048</v>
      </c>
      <c r="J24" s="208">
        <f>H24-I24</f>
        <v>-1008</v>
      </c>
      <c r="K24" s="393" t="s">
        <v>308</v>
      </c>
      <c r="L24" s="532"/>
      <c r="M24" s="395">
        <f>SUM(M25)</f>
        <v>5040</v>
      </c>
      <c r="N24" s="595"/>
    </row>
    <row r="25" spans="1:68" s="137" customFormat="1" ht="18" customHeight="1">
      <c r="A25" s="63"/>
      <c r="B25" s="65"/>
      <c r="C25" s="65"/>
      <c r="D25" s="65"/>
      <c r="E25" s="65"/>
      <c r="F25" s="56"/>
      <c r="G25" s="56"/>
      <c r="H25" s="100"/>
      <c r="I25" s="100"/>
      <c r="J25" s="102"/>
      <c r="K25" s="387" t="s">
        <v>586</v>
      </c>
      <c r="L25" s="380" t="s">
        <v>37</v>
      </c>
      <c r="M25" s="381">
        <v>5040</v>
      </c>
      <c r="N25" s="595"/>
    </row>
    <row r="26" spans="1:68">
      <c r="A26" s="63"/>
      <c r="B26" s="65"/>
      <c r="C26" s="65"/>
      <c r="D26" s="65"/>
      <c r="E26" s="65"/>
      <c r="F26" s="653" t="s">
        <v>40</v>
      </c>
      <c r="G26" s="654"/>
      <c r="H26" s="152">
        <f>H27</f>
        <v>9000</v>
      </c>
      <c r="I26" s="152">
        <v>36600</v>
      </c>
      <c r="J26" s="153">
        <f>H26-I26</f>
        <v>-27600</v>
      </c>
      <c r="K26" s="422"/>
      <c r="L26" s="423"/>
      <c r="M26" s="424"/>
    </row>
    <row r="27" spans="1:68">
      <c r="A27" s="63"/>
      <c r="B27" s="65"/>
      <c r="C27" s="65"/>
      <c r="D27" s="65"/>
      <c r="E27" s="65"/>
      <c r="F27" s="109"/>
      <c r="G27" s="199" t="s">
        <v>41</v>
      </c>
      <c r="H27" s="210">
        <f>M27</f>
        <v>9000</v>
      </c>
      <c r="I27" s="207">
        <v>12600</v>
      </c>
      <c r="J27" s="202">
        <f>H27-I27</f>
        <v>-3600</v>
      </c>
      <c r="K27" s="393" t="s">
        <v>50</v>
      </c>
      <c r="L27" s="425"/>
      <c r="M27" s="395">
        <f>SUM(M28:M29)</f>
        <v>9000</v>
      </c>
    </row>
    <row r="28" spans="1:68" s="137" customFormat="1" ht="18" customHeight="1">
      <c r="A28" s="63"/>
      <c r="B28" s="65"/>
      <c r="C28" s="65"/>
      <c r="D28" s="65"/>
      <c r="E28" s="65"/>
      <c r="F28" s="194"/>
      <c r="G28" s="194"/>
      <c r="H28" s="100"/>
      <c r="I28" s="104"/>
      <c r="J28" s="102"/>
      <c r="K28" s="389" t="s">
        <v>724</v>
      </c>
      <c r="L28" s="426" t="s">
        <v>0</v>
      </c>
      <c r="M28" s="381">
        <v>2400</v>
      </c>
      <c r="N28" s="595"/>
      <c r="O28"/>
      <c r="P28"/>
      <c r="Q28"/>
      <c r="R28" s="101"/>
      <c r="U28" s="54"/>
      <c r="V28" s="59"/>
      <c r="W28" s="59"/>
      <c r="X28" s="59"/>
      <c r="Y28" s="59"/>
      <c r="Z28" s="59"/>
      <c r="AA28" s="59"/>
      <c r="AB28" s="59"/>
      <c r="AC28" s="59">
        <v>9</v>
      </c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</row>
    <row r="29" spans="1:68" s="137" customFormat="1" ht="18" customHeight="1">
      <c r="A29" s="63"/>
      <c r="B29" s="65"/>
      <c r="C29" s="65"/>
      <c r="D29" s="65"/>
      <c r="E29" s="65"/>
      <c r="F29" s="194"/>
      <c r="G29" s="194"/>
      <c r="H29" s="100"/>
      <c r="I29" s="104"/>
      <c r="J29" s="102"/>
      <c r="K29" s="387" t="s">
        <v>725</v>
      </c>
      <c r="L29" s="530" t="s">
        <v>0</v>
      </c>
      <c r="M29" s="381">
        <v>6600</v>
      </c>
      <c r="N29" s="595"/>
      <c r="O29"/>
      <c r="P29"/>
      <c r="Q29"/>
      <c r="R29" s="101"/>
    </row>
    <row r="30" spans="1:68">
      <c r="A30" s="63"/>
      <c r="B30" s="65"/>
      <c r="C30" s="65"/>
      <c r="D30" s="65"/>
      <c r="E30" s="65"/>
      <c r="F30" s="653" t="s">
        <v>42</v>
      </c>
      <c r="G30" s="654"/>
      <c r="H30" s="152">
        <f>H31</f>
        <v>3000</v>
      </c>
      <c r="I30" s="152">
        <v>4000</v>
      </c>
      <c r="J30" s="153">
        <f>H30-I30</f>
        <v>-1000</v>
      </c>
      <c r="K30" s="605"/>
      <c r="L30" s="423"/>
      <c r="M30" s="424"/>
    </row>
    <row r="31" spans="1:68">
      <c r="A31" s="63"/>
      <c r="B31" s="65"/>
      <c r="C31" s="65"/>
      <c r="D31" s="65"/>
      <c r="E31" s="65"/>
      <c r="F31" s="194"/>
      <c r="G31" s="109" t="s">
        <v>43</v>
      </c>
      <c r="H31" s="210">
        <f>M31</f>
        <v>3000</v>
      </c>
      <c r="I31" s="210">
        <v>4000</v>
      </c>
      <c r="J31" s="202">
        <f>H31-I31</f>
        <v>-1000</v>
      </c>
      <c r="K31" s="36" t="s">
        <v>509</v>
      </c>
      <c r="L31" s="209"/>
      <c r="M31" s="219">
        <f>SUM(M32:M33)</f>
        <v>3000</v>
      </c>
    </row>
    <row r="32" spans="1:68">
      <c r="A32" s="63"/>
      <c r="B32" s="65"/>
      <c r="C32" s="65"/>
      <c r="D32" s="65"/>
      <c r="E32" s="65"/>
      <c r="F32" s="194"/>
      <c r="G32" s="105"/>
      <c r="H32" s="106"/>
      <c r="I32" s="106"/>
      <c r="J32" s="107"/>
      <c r="K32" s="352" t="s">
        <v>587</v>
      </c>
      <c r="L32" s="96" t="s">
        <v>0</v>
      </c>
      <c r="M32" s="191">
        <v>1500</v>
      </c>
    </row>
    <row r="33" spans="1:13">
      <c r="A33" s="319"/>
      <c r="B33" s="320"/>
      <c r="C33" s="320"/>
      <c r="D33" s="320"/>
      <c r="E33" s="320"/>
      <c r="F33" s="195"/>
      <c r="G33" s="195"/>
      <c r="H33" s="103"/>
      <c r="I33" s="155"/>
      <c r="J33" s="155"/>
      <c r="K33" s="198" t="s">
        <v>588</v>
      </c>
      <c r="L33" s="211" t="s">
        <v>0</v>
      </c>
      <c r="M33" s="196">
        <v>1500</v>
      </c>
    </row>
    <row r="34" spans="1:13">
      <c r="A34" s="63"/>
      <c r="B34" s="65"/>
      <c r="C34" s="65"/>
      <c r="D34" s="65"/>
      <c r="E34" s="65"/>
      <c r="F34" s="335" t="s">
        <v>89</v>
      </c>
      <c r="G34" s="70"/>
      <c r="H34" s="71">
        <f>H35</f>
        <v>2100</v>
      </c>
      <c r="I34" s="71">
        <v>2100</v>
      </c>
      <c r="J34" s="146">
        <f>H34-I34</f>
        <v>0</v>
      </c>
      <c r="K34" s="275"/>
      <c r="L34" s="276"/>
      <c r="M34" s="336"/>
    </row>
    <row r="35" spans="1:13">
      <c r="A35" s="63"/>
      <c r="B35" s="65"/>
      <c r="C35" s="65"/>
      <c r="D35" s="65"/>
      <c r="E35" s="65"/>
      <c r="F35" s="143"/>
      <c r="G35" s="65" t="s">
        <v>93</v>
      </c>
      <c r="H35" s="75">
        <f>M35</f>
        <v>2100</v>
      </c>
      <c r="I35" s="75">
        <v>2100</v>
      </c>
      <c r="J35" s="48">
        <f>H35-I35</f>
        <v>0</v>
      </c>
      <c r="K35" s="36" t="s">
        <v>388</v>
      </c>
      <c r="L35" s="39"/>
      <c r="M35" s="219">
        <f>M36</f>
        <v>2100</v>
      </c>
    </row>
    <row r="36" spans="1:13" ht="17.25" thickBot="1">
      <c r="A36" s="291"/>
      <c r="B36" s="69"/>
      <c r="C36" s="69"/>
      <c r="D36" s="69"/>
      <c r="E36" s="69"/>
      <c r="F36" s="337"/>
      <c r="G36" s="200"/>
      <c r="H36" s="338"/>
      <c r="I36" s="339"/>
      <c r="J36" s="340"/>
      <c r="K36" s="232" t="s">
        <v>390</v>
      </c>
      <c r="L36" s="233" t="s">
        <v>0</v>
      </c>
      <c r="M36" s="243">
        <v>2100</v>
      </c>
    </row>
  </sheetData>
  <protectedRanges>
    <protectedRange password="ECE8" sqref="N24:U25" name="작성자만수정_2_1_1"/>
    <protectedRange password="ECE8" sqref="R28:AD29 R17:AD17 R15:AD15" name="작성자만수정_2_1_1_1"/>
  </protectedRanges>
  <autoFilter ref="A3:BP36">
    <filterColumn colId="10" showButton="0"/>
    <filterColumn colId="11" showButton="0"/>
  </autoFilter>
  <mergeCells count="11">
    <mergeCell ref="K2:M3"/>
    <mergeCell ref="A4:G4"/>
    <mergeCell ref="F26:G26"/>
    <mergeCell ref="F30:G30"/>
    <mergeCell ref="A2:A3"/>
    <mergeCell ref="B2:D2"/>
    <mergeCell ref="E2:G2"/>
    <mergeCell ref="H2:H3"/>
    <mergeCell ref="I2:I3"/>
    <mergeCell ref="J2:J3"/>
    <mergeCell ref="F13:G13"/>
  </mergeCells>
  <phoneticPr fontId="12" type="noConversion"/>
  <conditionalFormatting sqref="J33">
    <cfRule type="containsText" dxfId="1007" priority="253" operator="containsText" text="허하나로">
      <formula>NOT(ISERROR(SEARCH("허하나로",H1059)))</formula>
    </cfRule>
    <cfRule type="containsText" dxfId="1006" priority="254" operator="containsText" text="한별">
      <formula>NOT(ISERROR(SEARCH("한별",H1059)))</formula>
    </cfRule>
    <cfRule type="containsText" dxfId="1005" priority="255" operator="containsText" text="정홍조">
      <formula>NOT(ISERROR(SEARCH("정홍조",H1059)))</formula>
    </cfRule>
    <cfRule type="containsText" dxfId="1004" priority="256" operator="containsText" text="김지윤">
      <formula>NOT(ISERROR(SEARCH("김지윤",H1059)))</formula>
    </cfRule>
    <cfRule type="containsText" dxfId="1003" priority="257" operator="containsText" text="전준영">
      <formula>NOT(ISERROR(SEARCH("전준영",H1059)))</formula>
    </cfRule>
    <cfRule type="containsText" dxfId="1002" priority="258" operator="containsText" text="차재성">
      <formula>NOT(ISERROR(SEARCH("차재성",H1059)))</formula>
    </cfRule>
  </conditionalFormatting>
  <conditionalFormatting sqref="J6">
    <cfRule type="containsText" dxfId="1001" priority="265" operator="containsText" text="허하나로">
      <formula>NOT(ISERROR(SEARCH("허하나로",H695)))</formula>
    </cfRule>
    <cfRule type="containsText" dxfId="1000" priority="266" operator="containsText" text="한별">
      <formula>NOT(ISERROR(SEARCH("한별",H695)))</formula>
    </cfRule>
    <cfRule type="containsText" dxfId="999" priority="267" operator="containsText" text="정홍조">
      <formula>NOT(ISERROR(SEARCH("정홍조",H695)))</formula>
    </cfRule>
    <cfRule type="containsText" dxfId="998" priority="268" operator="containsText" text="김지윤">
      <formula>NOT(ISERROR(SEARCH("김지윤",H695)))</formula>
    </cfRule>
    <cfRule type="containsText" dxfId="997" priority="269" operator="containsText" text="전준영">
      <formula>NOT(ISERROR(SEARCH("전준영",H695)))</formula>
    </cfRule>
    <cfRule type="containsText" dxfId="996" priority="270" operator="containsText" text="차재성">
      <formula>NOT(ISERROR(SEARCH("차재성",H695)))</formula>
    </cfRule>
  </conditionalFormatting>
  <conditionalFormatting sqref="J5">
    <cfRule type="containsText" dxfId="995" priority="259" operator="containsText" text="허하나로">
      <formula>NOT(ISERROR(SEARCH("허하나로",H694)))</formula>
    </cfRule>
    <cfRule type="containsText" dxfId="994" priority="260" operator="containsText" text="한별">
      <formula>NOT(ISERROR(SEARCH("한별",H694)))</formula>
    </cfRule>
    <cfRule type="containsText" dxfId="993" priority="261" operator="containsText" text="정홍조">
      <formula>NOT(ISERROR(SEARCH("정홍조",H694)))</formula>
    </cfRule>
    <cfRule type="containsText" dxfId="992" priority="262" operator="containsText" text="김지윤">
      <formula>NOT(ISERROR(SEARCH("김지윤",H694)))</formula>
    </cfRule>
    <cfRule type="containsText" dxfId="991" priority="263" operator="containsText" text="전준영">
      <formula>NOT(ISERROR(SEARCH("전준영",H694)))</formula>
    </cfRule>
    <cfRule type="containsText" dxfId="990" priority="264" operator="containsText" text="차재성">
      <formula>NOT(ISERROR(SEARCH("차재성",H694)))</formula>
    </cfRule>
  </conditionalFormatting>
  <conditionalFormatting sqref="J18">
    <cfRule type="containsText" dxfId="989" priority="247" operator="containsText" text="허하나로">
      <formula>NOT(ISERROR(SEARCH("허하나로",H828)))</formula>
    </cfRule>
    <cfRule type="containsText" dxfId="988" priority="248" operator="containsText" text="한별">
      <formula>NOT(ISERROR(SEARCH("한별",H828)))</formula>
    </cfRule>
    <cfRule type="containsText" dxfId="987" priority="249" operator="containsText" text="정홍조">
      <formula>NOT(ISERROR(SEARCH("정홍조",H828)))</formula>
    </cfRule>
    <cfRule type="containsText" dxfId="986" priority="250" operator="containsText" text="김지윤">
      <formula>NOT(ISERROR(SEARCH("김지윤",H828)))</formula>
    </cfRule>
    <cfRule type="containsText" dxfId="985" priority="251" operator="containsText" text="전준영">
      <formula>NOT(ISERROR(SEARCH("전준영",H828)))</formula>
    </cfRule>
    <cfRule type="containsText" dxfId="984" priority="252" operator="containsText" text="차재성">
      <formula>NOT(ISERROR(SEARCH("차재성",H828)))</formula>
    </cfRule>
  </conditionalFormatting>
  <conditionalFormatting sqref="J21:J22">
    <cfRule type="containsText" dxfId="983" priority="241" operator="containsText" text="허하나로">
      <formula>NOT(ISERROR(SEARCH("허하나로",H1036)))</formula>
    </cfRule>
    <cfRule type="containsText" dxfId="982" priority="242" operator="containsText" text="한별">
      <formula>NOT(ISERROR(SEARCH("한별",H1036)))</formula>
    </cfRule>
    <cfRule type="containsText" dxfId="981" priority="243" operator="containsText" text="정홍조">
      <formula>NOT(ISERROR(SEARCH("정홍조",H1036)))</formula>
    </cfRule>
    <cfRule type="containsText" dxfId="980" priority="244" operator="containsText" text="김지윤">
      <formula>NOT(ISERROR(SEARCH("김지윤",H1036)))</formula>
    </cfRule>
    <cfRule type="containsText" dxfId="979" priority="245" operator="containsText" text="전준영">
      <formula>NOT(ISERROR(SEARCH("전준영",H1036)))</formula>
    </cfRule>
    <cfRule type="containsText" dxfId="978" priority="246" operator="containsText" text="차재성">
      <formula>NOT(ISERROR(SEARCH("차재성",H1036)))</formula>
    </cfRule>
  </conditionalFormatting>
  <conditionalFormatting sqref="J23">
    <cfRule type="containsText" dxfId="977" priority="235" operator="containsText" text="허하나로">
      <formula>NOT(ISERROR(SEARCH("허하나로",H1027)))</formula>
    </cfRule>
    <cfRule type="containsText" dxfId="976" priority="236" operator="containsText" text="한별">
      <formula>NOT(ISERROR(SEARCH("한별",H1027)))</formula>
    </cfRule>
    <cfRule type="containsText" dxfId="975" priority="237" operator="containsText" text="정홍조">
      <formula>NOT(ISERROR(SEARCH("정홍조",H1027)))</formula>
    </cfRule>
    <cfRule type="containsText" dxfId="974" priority="238" operator="containsText" text="김지윤">
      <formula>NOT(ISERROR(SEARCH("김지윤",H1027)))</formula>
    </cfRule>
    <cfRule type="containsText" dxfId="973" priority="239" operator="containsText" text="전준영">
      <formula>NOT(ISERROR(SEARCH("전준영",H1027)))</formula>
    </cfRule>
    <cfRule type="containsText" dxfId="972" priority="240" operator="containsText" text="차재성">
      <formula>NOT(ISERROR(SEARCH("차재성",H1027)))</formula>
    </cfRule>
  </conditionalFormatting>
  <conditionalFormatting sqref="J20">
    <cfRule type="containsText" dxfId="971" priority="289" operator="containsText" text="허하나로">
      <formula>NOT(ISERROR(SEARCH("허하나로",H1025)))</formula>
    </cfRule>
    <cfRule type="containsText" dxfId="970" priority="290" operator="containsText" text="한별">
      <formula>NOT(ISERROR(SEARCH("한별",H1025)))</formula>
    </cfRule>
    <cfRule type="containsText" dxfId="969" priority="291" operator="containsText" text="정홍조">
      <formula>NOT(ISERROR(SEARCH("정홍조",H1025)))</formula>
    </cfRule>
    <cfRule type="containsText" dxfId="968" priority="292" operator="containsText" text="김지윤">
      <formula>NOT(ISERROR(SEARCH("김지윤",H1025)))</formula>
    </cfRule>
    <cfRule type="containsText" dxfId="967" priority="293" operator="containsText" text="전준영">
      <formula>NOT(ISERROR(SEARCH("전준영",H1025)))</formula>
    </cfRule>
    <cfRule type="containsText" dxfId="966" priority="294" operator="containsText" text="차재성">
      <formula>NOT(ISERROR(SEARCH("차재성",H1025)))</formula>
    </cfRule>
  </conditionalFormatting>
  <conditionalFormatting sqref="J30">
    <cfRule type="containsText" dxfId="965" priority="229" operator="containsText" text="허하나로">
      <formula>NOT(ISERROR(SEARCH("허하나로",H1042)))</formula>
    </cfRule>
    <cfRule type="containsText" dxfId="964" priority="230" operator="containsText" text="한별">
      <formula>NOT(ISERROR(SEARCH("한별",H1042)))</formula>
    </cfRule>
    <cfRule type="containsText" dxfId="963" priority="231" operator="containsText" text="정홍조">
      <formula>NOT(ISERROR(SEARCH("정홍조",H1042)))</formula>
    </cfRule>
    <cfRule type="containsText" dxfId="962" priority="232" operator="containsText" text="김지윤">
      <formula>NOT(ISERROR(SEARCH("김지윤",H1042)))</formula>
    </cfRule>
    <cfRule type="containsText" dxfId="961" priority="233" operator="containsText" text="전준영">
      <formula>NOT(ISERROR(SEARCH("전준영",H1042)))</formula>
    </cfRule>
    <cfRule type="containsText" dxfId="960" priority="234" operator="containsText" text="차재성">
      <formula>NOT(ISERROR(SEARCH("차재성",H1042)))</formula>
    </cfRule>
  </conditionalFormatting>
  <conditionalFormatting sqref="L27">
    <cfRule type="containsText" dxfId="959" priority="223" operator="containsText" text="허하나로">
      <formula>NOT(ISERROR(SEARCH("허하나로",J1173)))</formula>
    </cfRule>
    <cfRule type="containsText" dxfId="958" priority="224" operator="containsText" text="한별">
      <formula>NOT(ISERROR(SEARCH("한별",J1173)))</formula>
    </cfRule>
    <cfRule type="containsText" dxfId="957" priority="225" operator="containsText" text="정홍조">
      <formula>NOT(ISERROR(SEARCH("정홍조",J1173)))</formula>
    </cfRule>
    <cfRule type="containsText" dxfId="956" priority="226" operator="containsText" text="김지윤">
      <formula>NOT(ISERROR(SEARCH("김지윤",J1173)))</formula>
    </cfRule>
    <cfRule type="containsText" dxfId="955" priority="227" operator="containsText" text="전준영">
      <formula>NOT(ISERROR(SEARCH("전준영",J1173)))</formula>
    </cfRule>
    <cfRule type="containsText" dxfId="954" priority="228" operator="containsText" text="차재성">
      <formula>NOT(ISERROR(SEARCH("차재성",J1173)))</formula>
    </cfRule>
  </conditionalFormatting>
  <conditionalFormatting sqref="I33">
    <cfRule type="containsText" dxfId="953" priority="217" operator="containsText" text="허하나로">
      <formula>NOT(ISERROR(SEARCH("허하나로",G1059)))</formula>
    </cfRule>
    <cfRule type="containsText" dxfId="952" priority="218" operator="containsText" text="한별">
      <formula>NOT(ISERROR(SEARCH("한별",G1059)))</formula>
    </cfRule>
    <cfRule type="containsText" dxfId="951" priority="219" operator="containsText" text="정홍조">
      <formula>NOT(ISERROR(SEARCH("정홍조",G1059)))</formula>
    </cfRule>
    <cfRule type="containsText" dxfId="950" priority="220" operator="containsText" text="김지윤">
      <formula>NOT(ISERROR(SEARCH("김지윤",G1059)))</formula>
    </cfRule>
    <cfRule type="containsText" dxfId="949" priority="221" operator="containsText" text="전준영">
      <formula>NOT(ISERROR(SEARCH("전준영",G1059)))</formula>
    </cfRule>
    <cfRule type="containsText" dxfId="948" priority="222" operator="containsText" text="차재성">
      <formula>NOT(ISERROR(SEARCH("차재성",G1059)))</formula>
    </cfRule>
  </conditionalFormatting>
  <conditionalFormatting sqref="J26:J27">
    <cfRule type="containsText" dxfId="947" priority="1399" operator="containsText" text="허하나로">
      <formula>NOT(ISERROR(SEARCH("허하나로",H1038)))</formula>
    </cfRule>
    <cfRule type="containsText" dxfId="946" priority="1400" operator="containsText" text="한별">
      <formula>NOT(ISERROR(SEARCH("한별",H1038)))</formula>
    </cfRule>
    <cfRule type="containsText" dxfId="945" priority="1401" operator="containsText" text="정홍조">
      <formula>NOT(ISERROR(SEARCH("정홍조",H1038)))</formula>
    </cfRule>
    <cfRule type="containsText" dxfId="944" priority="1402" operator="containsText" text="김지윤">
      <formula>NOT(ISERROR(SEARCH("김지윤",H1038)))</formula>
    </cfRule>
    <cfRule type="containsText" dxfId="943" priority="1403" operator="containsText" text="전준영">
      <formula>NOT(ISERROR(SEARCH("전준영",H1038)))</formula>
    </cfRule>
    <cfRule type="containsText" dxfId="942" priority="1404" operator="containsText" text="차재성">
      <formula>NOT(ISERROR(SEARCH("차재성",H1038)))</formula>
    </cfRule>
  </conditionalFormatting>
  <conditionalFormatting sqref="J31:J32">
    <cfRule type="containsText" dxfId="941" priority="4021" operator="containsText" text="허하나로">
      <formula>NOT(ISERROR(SEARCH("허하나로",H1058)))</formula>
    </cfRule>
    <cfRule type="containsText" dxfId="940" priority="4022" operator="containsText" text="한별">
      <formula>NOT(ISERROR(SEARCH("한별",H1058)))</formula>
    </cfRule>
    <cfRule type="containsText" dxfId="939" priority="4023" operator="containsText" text="정홍조">
      <formula>NOT(ISERROR(SEARCH("정홍조",H1058)))</formula>
    </cfRule>
    <cfRule type="containsText" dxfId="938" priority="4024" operator="containsText" text="김지윤">
      <formula>NOT(ISERROR(SEARCH("김지윤",H1058)))</formula>
    </cfRule>
    <cfRule type="containsText" dxfId="937" priority="4025" operator="containsText" text="전준영">
      <formula>NOT(ISERROR(SEARCH("전준영",H1058)))</formula>
    </cfRule>
    <cfRule type="containsText" dxfId="936" priority="4026" operator="containsText" text="차재성">
      <formula>NOT(ISERROR(SEARCH("차재성",H1058)))</formula>
    </cfRule>
  </conditionalFormatting>
  <conditionalFormatting sqref="J2:J3">
    <cfRule type="containsText" dxfId="935" priority="61" operator="containsText" text="허하나로">
      <formula>NOT(ISERROR(SEARCH("허하나로",H767)))</formula>
    </cfRule>
    <cfRule type="containsText" dxfId="934" priority="62" operator="containsText" text="한별">
      <formula>NOT(ISERROR(SEARCH("한별",H767)))</formula>
    </cfRule>
    <cfRule type="containsText" dxfId="933" priority="63" operator="containsText" text="정홍조">
      <formula>NOT(ISERROR(SEARCH("정홍조",H767)))</formula>
    </cfRule>
    <cfRule type="containsText" dxfId="932" priority="64" operator="containsText" text="김지윤">
      <formula>NOT(ISERROR(SEARCH("김지윤",H767)))</formula>
    </cfRule>
    <cfRule type="containsText" dxfId="931" priority="65" operator="containsText" text="전준영">
      <formula>NOT(ISERROR(SEARCH("전준영",H767)))</formula>
    </cfRule>
    <cfRule type="containsText" dxfId="930" priority="66" operator="containsText" text="차재성">
      <formula>NOT(ISERROR(SEARCH("차재성",H767)))</formula>
    </cfRule>
  </conditionalFormatting>
  <conditionalFormatting sqref="J7">
    <cfRule type="containsText" dxfId="929" priority="49" operator="containsText" text="허하나로">
      <formula>NOT(ISERROR(SEARCH("허하나로",H820)))</formula>
    </cfRule>
    <cfRule type="containsText" dxfId="928" priority="50" operator="containsText" text="한별">
      <formula>NOT(ISERROR(SEARCH("한별",H820)))</formula>
    </cfRule>
    <cfRule type="containsText" dxfId="927" priority="51" operator="containsText" text="정홍조">
      <formula>NOT(ISERROR(SEARCH("정홍조",H820)))</formula>
    </cfRule>
    <cfRule type="containsText" dxfId="926" priority="52" operator="containsText" text="김지윤">
      <formula>NOT(ISERROR(SEARCH("김지윤",H820)))</formula>
    </cfRule>
    <cfRule type="containsText" dxfId="925" priority="53" operator="containsText" text="전준영">
      <formula>NOT(ISERROR(SEARCH("전준영",H820)))</formula>
    </cfRule>
    <cfRule type="containsText" dxfId="924" priority="54" operator="containsText" text="차재성">
      <formula>NOT(ISERROR(SEARCH("차재성",H820)))</formula>
    </cfRule>
  </conditionalFormatting>
  <conditionalFormatting sqref="J10:J11">
    <cfRule type="containsText" dxfId="923" priority="43" operator="containsText" text="허하나로">
      <formula>NOT(ISERROR(SEARCH("허하나로",H1028)))</formula>
    </cfRule>
    <cfRule type="containsText" dxfId="922" priority="44" operator="containsText" text="한별">
      <formula>NOT(ISERROR(SEARCH("한별",H1028)))</formula>
    </cfRule>
    <cfRule type="containsText" dxfId="921" priority="45" operator="containsText" text="정홍조">
      <formula>NOT(ISERROR(SEARCH("정홍조",H1028)))</formula>
    </cfRule>
    <cfRule type="containsText" dxfId="920" priority="46" operator="containsText" text="김지윤">
      <formula>NOT(ISERROR(SEARCH("김지윤",H1028)))</formula>
    </cfRule>
    <cfRule type="containsText" dxfId="919" priority="47" operator="containsText" text="전준영">
      <formula>NOT(ISERROR(SEARCH("전준영",H1028)))</formula>
    </cfRule>
    <cfRule type="containsText" dxfId="918" priority="48" operator="containsText" text="차재성">
      <formula>NOT(ISERROR(SEARCH("차재성",H1028)))</formula>
    </cfRule>
  </conditionalFormatting>
  <conditionalFormatting sqref="J12">
    <cfRule type="containsText" dxfId="917" priority="37" operator="containsText" text="허하나로">
      <formula>NOT(ISERROR(SEARCH("허하나로",H1019)))</formula>
    </cfRule>
    <cfRule type="containsText" dxfId="916" priority="38" operator="containsText" text="한별">
      <formula>NOT(ISERROR(SEARCH("한별",H1019)))</formula>
    </cfRule>
    <cfRule type="containsText" dxfId="915" priority="39" operator="containsText" text="정홍조">
      <formula>NOT(ISERROR(SEARCH("정홍조",H1019)))</formula>
    </cfRule>
    <cfRule type="containsText" dxfId="914" priority="40" operator="containsText" text="김지윤">
      <formula>NOT(ISERROR(SEARCH("김지윤",H1019)))</formula>
    </cfRule>
    <cfRule type="containsText" dxfId="913" priority="41" operator="containsText" text="전준영">
      <formula>NOT(ISERROR(SEARCH("전준영",H1019)))</formula>
    </cfRule>
    <cfRule type="containsText" dxfId="912" priority="42" operator="containsText" text="차재성">
      <formula>NOT(ISERROR(SEARCH("차재성",H1019)))</formula>
    </cfRule>
  </conditionalFormatting>
  <conditionalFormatting sqref="J9">
    <cfRule type="containsText" dxfId="911" priority="55" operator="containsText" text="허하나로">
      <formula>NOT(ISERROR(SEARCH("허하나로",H1017)))</formula>
    </cfRule>
    <cfRule type="containsText" dxfId="910" priority="56" operator="containsText" text="한별">
      <formula>NOT(ISERROR(SEARCH("한별",H1017)))</formula>
    </cfRule>
    <cfRule type="containsText" dxfId="909" priority="57" operator="containsText" text="정홍조">
      <formula>NOT(ISERROR(SEARCH("정홍조",H1017)))</formula>
    </cfRule>
    <cfRule type="containsText" dxfId="908" priority="58" operator="containsText" text="김지윤">
      <formula>NOT(ISERROR(SEARCH("김지윤",H1017)))</formula>
    </cfRule>
    <cfRule type="containsText" dxfId="907" priority="59" operator="containsText" text="전준영">
      <formula>NOT(ISERROR(SEARCH("전준영",H1017)))</formula>
    </cfRule>
    <cfRule type="containsText" dxfId="906" priority="60" operator="containsText" text="차재성">
      <formula>NOT(ISERROR(SEARCH("차재성",H1017)))</formula>
    </cfRule>
  </conditionalFormatting>
  <conditionalFormatting sqref="L14">
    <cfRule type="containsText" dxfId="905" priority="25" operator="containsText" text="허하나로">
      <formula>NOT(ISERROR(SEARCH("허하나로",J1158)))</formula>
    </cfRule>
    <cfRule type="containsText" dxfId="904" priority="26" operator="containsText" text="한별">
      <formula>NOT(ISERROR(SEARCH("한별",J1158)))</formula>
    </cfRule>
    <cfRule type="containsText" dxfId="903" priority="27" operator="containsText" text="정홍조">
      <formula>NOT(ISERROR(SEARCH("정홍조",J1158)))</formula>
    </cfRule>
    <cfRule type="containsText" dxfId="902" priority="28" operator="containsText" text="김지윤">
      <formula>NOT(ISERROR(SEARCH("김지윤",J1158)))</formula>
    </cfRule>
    <cfRule type="containsText" dxfId="901" priority="29" operator="containsText" text="전준영">
      <formula>NOT(ISERROR(SEARCH("전준영",J1158)))</formula>
    </cfRule>
    <cfRule type="containsText" dxfId="900" priority="30" operator="containsText" text="차재성">
      <formula>NOT(ISERROR(SEARCH("차재성",J1158)))</formula>
    </cfRule>
  </conditionalFormatting>
  <conditionalFormatting sqref="J13:J14">
    <cfRule type="containsText" dxfId="899" priority="31" operator="containsText" text="허하나로">
      <formula>NOT(ISERROR(SEARCH("허하나로",H1023)))</formula>
    </cfRule>
    <cfRule type="containsText" dxfId="898" priority="32" operator="containsText" text="한별">
      <formula>NOT(ISERROR(SEARCH("한별",H1023)))</formula>
    </cfRule>
    <cfRule type="containsText" dxfId="897" priority="33" operator="containsText" text="정홍조">
      <formula>NOT(ISERROR(SEARCH("정홍조",H1023)))</formula>
    </cfRule>
    <cfRule type="containsText" dxfId="896" priority="34" operator="containsText" text="김지윤">
      <formula>NOT(ISERROR(SEARCH("김지윤",H1023)))</formula>
    </cfRule>
    <cfRule type="containsText" dxfId="895" priority="35" operator="containsText" text="전준영">
      <formula>NOT(ISERROR(SEARCH("전준영",H1023)))</formula>
    </cfRule>
    <cfRule type="containsText" dxfId="894" priority="36" operator="containsText" text="차재성">
      <formula>NOT(ISERROR(SEARCH("차재성",H1023)))</formula>
    </cfRule>
  </conditionalFormatting>
  <conditionalFormatting sqref="L16">
    <cfRule type="containsText" dxfId="893" priority="1" operator="containsText" text="허하나로">
      <formula>NOT(ISERROR(SEARCH("허하나로",J1158)))</formula>
    </cfRule>
    <cfRule type="containsText" dxfId="892" priority="2" operator="containsText" text="한별">
      <formula>NOT(ISERROR(SEARCH("한별",J1158)))</formula>
    </cfRule>
    <cfRule type="containsText" dxfId="891" priority="3" operator="containsText" text="정홍조">
      <formula>NOT(ISERROR(SEARCH("정홍조",J1158)))</formula>
    </cfRule>
    <cfRule type="containsText" dxfId="890" priority="4" operator="containsText" text="김지윤">
      <formula>NOT(ISERROR(SEARCH("김지윤",J1158)))</formula>
    </cfRule>
    <cfRule type="containsText" dxfId="889" priority="5" operator="containsText" text="전준영">
      <formula>NOT(ISERROR(SEARCH("전준영",J1158)))</formula>
    </cfRule>
    <cfRule type="containsText" dxfId="888" priority="6" operator="containsText" text="차재성">
      <formula>NOT(ISERROR(SEARCH("차재성",J1158)))</formula>
    </cfRule>
  </conditionalFormatting>
  <conditionalFormatting sqref="J16">
    <cfRule type="containsText" dxfId="887" priority="7" operator="containsText" text="허하나로">
      <formula>NOT(ISERROR(SEARCH("허하나로",H1024)))</formula>
    </cfRule>
    <cfRule type="containsText" dxfId="886" priority="8" operator="containsText" text="한별">
      <formula>NOT(ISERROR(SEARCH("한별",H1024)))</formula>
    </cfRule>
    <cfRule type="containsText" dxfId="885" priority="9" operator="containsText" text="정홍조">
      <formula>NOT(ISERROR(SEARCH("정홍조",H1024)))</formula>
    </cfRule>
    <cfRule type="containsText" dxfId="884" priority="10" operator="containsText" text="김지윤">
      <formula>NOT(ISERROR(SEARCH("김지윤",H1024)))</formula>
    </cfRule>
    <cfRule type="containsText" dxfId="883" priority="11" operator="containsText" text="전준영">
      <formula>NOT(ISERROR(SEARCH("전준영",H1024)))</formula>
    </cfRule>
    <cfRule type="containsText" dxfId="882" priority="12" operator="containsText" text="차재성">
      <formula>NOT(ISERROR(SEARCH("차재성",H1024)))</formula>
    </cfRule>
  </conditionalFormatting>
  <pageMargins left="0.25" right="0.25" top="0.75" bottom="0.75" header="0.3" footer="0.3"/>
  <pageSetup paperSize="9" scale="7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9" operator="containsText" text="허하나로" id="{1494A34C-D8A3-4A8C-912C-87C4FAE6F4D6}">
            <xm:f>NOT(ISERROR(SEARCH("허하나로",수익사업부!H1059)))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9A05B581-3CB0-40FA-A3D0-8C32539C02F3}">
            <xm:f>NOT(ISERROR(SEARCH("한별",수익사업부!H1059)))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5CB65F46-528F-4FA5-9C17-1E1ECFAA8C5D}">
            <xm:f>NOT(ISERROR(SEARCH("정홍조",수익사업부!H1059)))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7AD3EC3-7B9F-49D6-8946-4D398A5481FD}">
            <xm:f>NOT(ISERROR(SEARCH("김지윤",수익사업부!H1059)))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5BB14AEF-6986-4F7A-A602-93F94736D366}">
            <xm:f>NOT(ISERROR(SEARCH("전준영",수익사업부!H1059)))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6C58C232-8A4D-477E-A03B-63ABFEA63310}">
            <xm:f>NOT(ISERROR(SEARCH("차재성",수익사업부!H1059)))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J24:J25</xm:sqref>
        </x14:conditionalFormatting>
        <x14:conditionalFormatting xmlns:xm="http://schemas.microsoft.com/office/excel/2006/main">
          <x14:cfRule type="containsText" priority="103" operator="containsText" text="허하나로" id="{45A443E8-C4D8-4C0E-B9C6-937C0ABE67BC}">
            <xm:f>NOT(ISERROR(SEARCH("허하나로",행정관리부!H1057)))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6B29D7AA-BD7B-404B-B384-4E108E74B95E}">
            <xm:f>NOT(ISERROR(SEARCH("한별",행정관리부!H1057)))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E8F7FE3E-F176-4BB0-B382-DEB0465BE734}">
            <xm:f>NOT(ISERROR(SEARCH("정홍조",행정관리부!H1057)))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CA469AEE-8E90-4132-9921-9DF657DF5252}">
            <xm:f>NOT(ISERROR(SEARCH("김지윤",행정관리부!H1057)))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1334EC84-C5B8-47A1-AC4E-426C4FED141E}">
            <xm:f>NOT(ISERROR(SEARCH("전준영",행정관리부!H1057)))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F502BF71-523A-4F2B-A23D-5E33A84B616B}">
            <xm:f>NOT(ISERROR(SEARCH("차재성",행정관리부!H1057)))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ontainsText" priority="97" operator="containsText" text="허하나로" id="{683107EB-0B48-410E-BE87-36193006F129}">
            <xm:f>NOT(ISERROR(SEARCH("허하나로",행정관리부!H1113)))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FF49DDE7-374E-488B-AA43-A31F7AECA83B}">
            <xm:f>NOT(ISERROR(SEARCH("한별",행정관리부!H1113)))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4E23FB7A-C7E6-4FC1-BE14-6D722D9FA143}">
            <xm:f>NOT(ISERROR(SEARCH("정홍조",행정관리부!H1113)))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DE2B97C3-6AAE-4706-A105-7CEAFC0529CB}">
            <xm:f>NOT(ISERROR(SEARCH("김지윤",행정관리부!H1113)))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CC69DB47-5128-4DC0-932E-29D124CDF9A6}">
            <xm:f>NOT(ISERROR(SEARCH("전준영",행정관리부!H1113)))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AE3ACC82-37D8-41F2-8D5E-53099CE05503}">
            <xm:f>NOT(ISERROR(SEARCH("차재성",행정관리부!H1113)))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J34:J35</xm:sqref>
        </x14:conditionalFormatting>
        <x14:conditionalFormatting xmlns:xm="http://schemas.microsoft.com/office/excel/2006/main">
          <x14:cfRule type="containsText" priority="85" operator="containsText" text="허하나로" id="{5F8876F6-6D44-4F20-9C56-05284E2F0DA9}">
            <xm:f>NOT(ISERROR(SEARCH("허하나로",수익사업부!H1070)))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28E3B3F1-39ED-4490-BD5E-795907F76909}">
            <xm:f>NOT(ISERROR(SEARCH("한별",수익사업부!H1070)))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F2B1C16F-AC01-47A8-B3A3-25918990979B}">
            <xm:f>NOT(ISERROR(SEARCH("정홍조",수익사업부!H1070)))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3C9F8655-497D-436E-9A66-1092FDFD16A7}">
            <xm:f>NOT(ISERROR(SEARCH("김지윤",수익사업부!H1070)))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8C357196-AB86-4B1B-9B9B-EB10841D3BE8}">
            <xm:f>NOT(ISERROR(SEARCH("전준영",수익사업부!H1070)))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1F84DB7C-7797-4DF7-B703-0DACB1D12B0E}">
            <xm:f>NOT(ISERROR(SEARCH("차재성",수익사업부!H1070)))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J28:J29</xm:sqref>
        </x14:conditionalFormatting>
        <x14:conditionalFormatting xmlns:xm="http://schemas.microsoft.com/office/excel/2006/main">
          <x14:cfRule type="containsText" priority="13" operator="containsText" text="허하나로" id="{A65A90C3-2390-47FC-8B35-706DCFEF541A}">
            <xm:f>NOT(ISERROR(SEARCH("허하나로",수익사업부!H1055)))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BF74BB58-4DB3-46CC-B3BA-C13A4671CFD6}">
            <xm:f>NOT(ISERROR(SEARCH("한별",수익사업부!H1055)))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46C9588D-EDCB-4A6C-9D19-EEF31AF476E0}">
            <xm:f>NOT(ISERROR(SEARCH("정홍조",수익사업부!H1055)))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218A9970-B3A2-473C-95F5-59FFE67449EA}">
            <xm:f>NOT(ISERROR(SEARCH("김지윤",수익사업부!H1055)))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E3216A6A-E8AF-48B5-B908-7EB01C3F68DC}">
            <xm:f>NOT(ISERROR(SEARCH("전준영",수익사업부!H1055)))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E059051F-1A91-4E36-9B1F-959D217B00D0}">
            <xm:f>NOT(ISERROR(SEARCH("차재성",수익사업부!H1055)))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4615" operator="containsText" text="허하나로" id="{5F8876F6-6D44-4F20-9C56-05284E2F0DA9}">
            <xm:f>NOT(ISERROR(SEARCH("허하나로",수익사업부!H1055)))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616" operator="containsText" text="한별" id="{28E3B3F1-39ED-4490-BD5E-795907F76909}">
            <xm:f>NOT(ISERROR(SEARCH("한별",수익사업부!H1055)))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617" operator="containsText" text="정홍조" id="{F2B1C16F-AC01-47A8-B3A3-25918990979B}">
            <xm:f>NOT(ISERROR(SEARCH("정홍조",수익사업부!H1055)))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18" operator="containsText" text="김지윤" id="{3C9F8655-497D-436E-9A66-1092FDFD16A7}">
            <xm:f>NOT(ISERROR(SEARCH("김지윤",수익사업부!H1055)))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619" operator="containsText" text="전준영" id="{8C357196-AB86-4B1B-9B9B-EB10841D3BE8}">
            <xm:f>NOT(ISERROR(SEARCH("전준영",수익사업부!H1055)))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620" operator="containsText" text="차재성" id="{1F84DB7C-7797-4DF7-B703-0DACB1D12B0E}">
            <xm:f>NOT(ISERROR(SEARCH("차재성",수익사업부!H1055)))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O43"/>
  <sheetViews>
    <sheetView zoomScale="85" zoomScaleNormal="85" workbookViewId="0">
      <selection activeCell="K16" sqref="K16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9.125" customWidth="1"/>
    <col min="10" max="10" width="14.625" customWidth="1"/>
    <col min="11" max="11" width="60.625" customWidth="1"/>
    <col min="12" max="12" width="3.875" customWidth="1"/>
    <col min="13" max="13" width="10.25" bestFit="1" customWidth="1"/>
    <col min="14" max="14" width="9" style="595"/>
  </cols>
  <sheetData>
    <row r="1" spans="1:13" ht="17.25" thickBot="1">
      <c r="A1" s="88" t="s">
        <v>347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348</v>
      </c>
    </row>
    <row r="2" spans="1:13" ht="17.25" customHeight="1">
      <c r="A2" s="643" t="s">
        <v>349</v>
      </c>
      <c r="B2" s="645" t="s">
        <v>350</v>
      </c>
      <c r="C2" s="646"/>
      <c r="D2" s="647"/>
      <c r="E2" s="645" t="s">
        <v>351</v>
      </c>
      <c r="F2" s="646"/>
      <c r="G2" s="647"/>
      <c r="H2" s="623" t="s">
        <v>660</v>
      </c>
      <c r="I2" s="623" t="s">
        <v>543</v>
      </c>
      <c r="J2" s="648" t="s">
        <v>468</v>
      </c>
      <c r="K2" s="634" t="s">
        <v>1</v>
      </c>
      <c r="L2" s="635"/>
      <c r="M2" s="636"/>
    </row>
    <row r="3" spans="1:13" ht="17.25" thickBot="1">
      <c r="A3" s="644"/>
      <c r="B3" s="119" t="s">
        <v>454</v>
      </c>
      <c r="C3" s="119" t="s">
        <v>352</v>
      </c>
      <c r="D3" s="119" t="s">
        <v>353</v>
      </c>
      <c r="E3" s="119" t="s">
        <v>354</v>
      </c>
      <c r="F3" s="119" t="s">
        <v>355</v>
      </c>
      <c r="G3" s="119" t="s">
        <v>356</v>
      </c>
      <c r="H3" s="624"/>
      <c r="I3" s="624"/>
      <c r="J3" s="649"/>
      <c r="K3" s="637"/>
      <c r="L3" s="638"/>
      <c r="M3" s="639"/>
    </row>
    <row r="4" spans="1:13" ht="17.25" thickBot="1">
      <c r="A4" s="640" t="s">
        <v>357</v>
      </c>
      <c r="B4" s="641"/>
      <c r="C4" s="641"/>
      <c r="D4" s="641"/>
      <c r="E4" s="641"/>
      <c r="F4" s="641"/>
      <c r="G4" s="642"/>
      <c r="H4" s="185">
        <f>H5</f>
        <v>3686944</v>
      </c>
      <c r="I4" s="185">
        <v>358632</v>
      </c>
      <c r="J4" s="120">
        <f>H4-I4</f>
        <v>3328312</v>
      </c>
      <c r="K4" s="89"/>
      <c r="L4" s="90"/>
      <c r="M4" s="121"/>
    </row>
    <row r="5" spans="1:13">
      <c r="A5" s="205" t="s">
        <v>358</v>
      </c>
      <c r="B5" s="122"/>
      <c r="C5" s="123"/>
      <c r="D5" s="123"/>
      <c r="E5" s="123"/>
      <c r="F5" s="123"/>
      <c r="G5" s="124"/>
      <c r="H5" s="94">
        <f>H6</f>
        <v>3686944</v>
      </c>
      <c r="I5" s="94">
        <v>358632</v>
      </c>
      <c r="J5" s="95">
        <f>H5-I5</f>
        <v>3328312</v>
      </c>
      <c r="K5" s="78"/>
      <c r="L5" s="79"/>
      <c r="M5" s="80"/>
    </row>
    <row r="6" spans="1:13">
      <c r="A6" s="10"/>
      <c r="B6" s="129" t="s">
        <v>259</v>
      </c>
      <c r="C6" s="129"/>
      <c r="D6" s="130"/>
      <c r="E6" s="130"/>
      <c r="F6" s="130"/>
      <c r="G6" s="131"/>
      <c r="H6" s="94">
        <f>SUM(H7,H19)</f>
        <v>3686944</v>
      </c>
      <c r="I6" s="94">
        <v>358632</v>
      </c>
      <c r="J6" s="95">
        <f>H6-I6</f>
        <v>3328312</v>
      </c>
      <c r="K6" s="78"/>
      <c r="L6" s="79"/>
      <c r="M6" s="80"/>
    </row>
    <row r="7" spans="1:13">
      <c r="A7" s="10"/>
      <c r="B7" s="6"/>
      <c r="C7" s="179" t="s">
        <v>359</v>
      </c>
      <c r="D7" s="130"/>
      <c r="E7" s="130"/>
      <c r="F7" s="130"/>
      <c r="G7" s="131"/>
      <c r="H7" s="94">
        <f>SUM(H8)</f>
        <v>3635156</v>
      </c>
      <c r="I7" s="94">
        <v>306500</v>
      </c>
      <c r="J7" s="95">
        <f t="shared" ref="J7:J11" si="0">H7-I7</f>
        <v>3328656</v>
      </c>
      <c r="K7" s="78"/>
      <c r="L7" s="79"/>
      <c r="M7" s="80"/>
    </row>
    <row r="8" spans="1:13">
      <c r="A8" s="10"/>
      <c r="B8" s="6"/>
      <c r="C8" s="7"/>
      <c r="D8" s="129" t="s">
        <v>360</v>
      </c>
      <c r="E8" s="130"/>
      <c r="F8" s="130"/>
      <c r="G8" s="131"/>
      <c r="H8" s="132">
        <f>SUM(H9)</f>
        <v>3635156</v>
      </c>
      <c r="I8" s="132">
        <v>306500</v>
      </c>
      <c r="J8" s="95">
        <f t="shared" si="0"/>
        <v>3328656</v>
      </c>
      <c r="K8" s="81"/>
      <c r="L8" s="133"/>
      <c r="M8" s="80"/>
    </row>
    <row r="9" spans="1:13">
      <c r="A9" s="10"/>
      <c r="B9" s="6"/>
      <c r="C9" s="134"/>
      <c r="D9" s="135"/>
      <c r="E9" s="129" t="s">
        <v>361</v>
      </c>
      <c r="F9" s="130"/>
      <c r="G9" s="131"/>
      <c r="H9" s="91">
        <f>H10</f>
        <v>3635156</v>
      </c>
      <c r="I9" s="91">
        <v>306500</v>
      </c>
      <c r="J9" s="95">
        <f t="shared" si="0"/>
        <v>3328656</v>
      </c>
      <c r="K9" s="84"/>
      <c r="L9" s="93"/>
      <c r="M9" s="82"/>
    </row>
    <row r="10" spans="1:13">
      <c r="A10" s="63"/>
      <c r="B10" s="65"/>
      <c r="C10" s="186"/>
      <c r="D10" s="187"/>
      <c r="E10" s="188"/>
      <c r="F10" s="136" t="s">
        <v>60</v>
      </c>
      <c r="G10" s="189"/>
      <c r="H10" s="72">
        <f>SUM(M11,M13,M15,M17)</f>
        <v>3635156</v>
      </c>
      <c r="I10" s="72">
        <v>306500</v>
      </c>
      <c r="J10" s="72">
        <f t="shared" si="0"/>
        <v>3328656</v>
      </c>
      <c r="K10" s="573"/>
      <c r="L10" s="574"/>
      <c r="M10" s="40"/>
    </row>
    <row r="11" spans="1:13">
      <c r="A11" s="63"/>
      <c r="B11" s="65"/>
      <c r="C11" s="65"/>
      <c r="D11" s="145"/>
      <c r="E11" s="190"/>
      <c r="F11" s="190"/>
      <c r="G11" s="138" t="s">
        <v>362</v>
      </c>
      <c r="H11" s="73">
        <f>M11+M13</f>
        <v>5000</v>
      </c>
      <c r="I11" s="73">
        <v>6000</v>
      </c>
      <c r="J11" s="73">
        <f t="shared" si="0"/>
        <v>-1000</v>
      </c>
      <c r="K11" s="362" t="s">
        <v>567</v>
      </c>
      <c r="L11" s="382"/>
      <c r="M11" s="417">
        <f>SUM(M12:M12)</f>
        <v>4000</v>
      </c>
    </row>
    <row r="12" spans="1:13">
      <c r="A12" s="63"/>
      <c r="B12" s="65"/>
      <c r="C12" s="65"/>
      <c r="D12" s="145"/>
      <c r="E12" s="190"/>
      <c r="F12" s="190"/>
      <c r="G12" s="68"/>
      <c r="H12" s="74"/>
      <c r="I12" s="74"/>
      <c r="J12" s="74"/>
      <c r="K12" s="389" t="s">
        <v>750</v>
      </c>
      <c r="L12" s="382" t="s">
        <v>199</v>
      </c>
      <c r="M12" s="406">
        <v>4000</v>
      </c>
    </row>
    <row r="13" spans="1:13">
      <c r="A13" s="63"/>
      <c r="B13" s="65"/>
      <c r="C13" s="65"/>
      <c r="D13" s="145"/>
      <c r="E13" s="190"/>
      <c r="F13" s="190"/>
      <c r="G13" s="68"/>
      <c r="H13" s="74"/>
      <c r="I13" s="74"/>
      <c r="J13" s="74"/>
      <c r="K13" s="362" t="s">
        <v>615</v>
      </c>
      <c r="L13" s="382"/>
      <c r="M13" s="417">
        <f>SUM(M14:M14)</f>
        <v>1000</v>
      </c>
    </row>
    <row r="14" spans="1:13">
      <c r="A14" s="63"/>
      <c r="B14" s="65"/>
      <c r="C14" s="65"/>
      <c r="D14" s="145"/>
      <c r="E14" s="190"/>
      <c r="F14" s="190"/>
      <c r="G14" s="67"/>
      <c r="H14" s="71"/>
      <c r="I14" s="71"/>
      <c r="J14" s="71"/>
      <c r="K14" s="387" t="s">
        <v>751</v>
      </c>
      <c r="L14" s="384" t="s">
        <v>199</v>
      </c>
      <c r="M14" s="402">
        <v>1000</v>
      </c>
    </row>
    <row r="15" spans="1:13">
      <c r="A15" s="63"/>
      <c r="B15" s="65"/>
      <c r="C15" s="65"/>
      <c r="D15" s="65"/>
      <c r="E15" s="65"/>
      <c r="F15" s="143"/>
      <c r="G15" s="65" t="s">
        <v>63</v>
      </c>
      <c r="H15" s="75">
        <f>M15</f>
        <v>3628156</v>
      </c>
      <c r="I15" s="75">
        <v>300000</v>
      </c>
      <c r="J15" s="48">
        <f>H15-I15</f>
        <v>3328156</v>
      </c>
      <c r="K15" s="362" t="s">
        <v>412</v>
      </c>
      <c r="L15" s="418"/>
      <c r="M15" s="386">
        <f>M16</f>
        <v>3628156</v>
      </c>
    </row>
    <row r="16" spans="1:13" ht="36" customHeight="1">
      <c r="A16" s="63"/>
      <c r="B16" s="65"/>
      <c r="C16" s="65"/>
      <c r="D16" s="65"/>
      <c r="E16" s="65"/>
      <c r="F16" s="143"/>
      <c r="G16" s="67"/>
      <c r="H16" s="76"/>
      <c r="I16" s="76"/>
      <c r="J16" s="49"/>
      <c r="K16" s="575" t="s">
        <v>752</v>
      </c>
      <c r="L16" s="380" t="s">
        <v>0</v>
      </c>
      <c r="M16" s="388">
        <v>3628156</v>
      </c>
    </row>
    <row r="17" spans="1:15">
      <c r="A17" s="63"/>
      <c r="B17" s="65"/>
      <c r="C17" s="65"/>
      <c r="D17" s="65"/>
      <c r="E17" s="65"/>
      <c r="F17" s="143"/>
      <c r="G17" s="65" t="s">
        <v>364</v>
      </c>
      <c r="H17" s="75">
        <f>M17</f>
        <v>2000</v>
      </c>
      <c r="I17" s="75">
        <v>500</v>
      </c>
      <c r="J17" s="48">
        <f>H17-I17</f>
        <v>1500</v>
      </c>
      <c r="K17" s="362" t="s">
        <v>365</v>
      </c>
      <c r="L17" s="419"/>
      <c r="M17" s="386">
        <f>M18</f>
        <v>2000</v>
      </c>
    </row>
    <row r="18" spans="1:15">
      <c r="A18" s="63"/>
      <c r="B18" s="65"/>
      <c r="C18" s="65"/>
      <c r="D18" s="65"/>
      <c r="E18" s="65"/>
      <c r="F18" s="143"/>
      <c r="G18" s="67"/>
      <c r="H18" s="76"/>
      <c r="I18" s="76"/>
      <c r="J18" s="49"/>
      <c r="K18" s="387" t="s">
        <v>753</v>
      </c>
      <c r="L18" s="380" t="s">
        <v>0</v>
      </c>
      <c r="M18" s="381">
        <v>2000</v>
      </c>
    </row>
    <row r="19" spans="1:15">
      <c r="A19" s="10"/>
      <c r="B19" s="6"/>
      <c r="C19" s="179" t="s">
        <v>366</v>
      </c>
      <c r="D19" s="130"/>
      <c r="E19" s="130"/>
      <c r="F19" s="130"/>
      <c r="G19" s="131"/>
      <c r="H19" s="91">
        <f>H20</f>
        <v>51788</v>
      </c>
      <c r="I19" s="91">
        <v>52132</v>
      </c>
      <c r="J19" s="92">
        <f t="shared" ref="J19:J23" si="1">H19-I19</f>
        <v>-344</v>
      </c>
      <c r="K19" s="403"/>
      <c r="L19" s="397"/>
      <c r="M19" s="404"/>
    </row>
    <row r="20" spans="1:15">
      <c r="A20" s="10"/>
      <c r="B20" s="6"/>
      <c r="C20" s="147"/>
      <c r="D20" s="129" t="s">
        <v>367</v>
      </c>
      <c r="E20" s="130"/>
      <c r="F20" s="130"/>
      <c r="G20" s="131"/>
      <c r="H20" s="132">
        <f>H21</f>
        <v>51788</v>
      </c>
      <c r="I20" s="132">
        <v>52132</v>
      </c>
      <c r="J20" s="9">
        <f t="shared" si="1"/>
        <v>-344</v>
      </c>
      <c r="K20" s="396"/>
      <c r="L20" s="397"/>
      <c r="M20" s="404"/>
    </row>
    <row r="21" spans="1:15" s="137" customFormat="1" ht="18" customHeight="1">
      <c r="A21" s="10"/>
      <c r="B21" s="6"/>
      <c r="C21" s="134"/>
      <c r="D21" s="135"/>
      <c r="E21" s="129" t="s">
        <v>361</v>
      </c>
      <c r="F21" s="130"/>
      <c r="G21" s="131"/>
      <c r="H21" s="91">
        <f>SUM(H22,H29,H33,H39)</f>
        <v>51788</v>
      </c>
      <c r="I21" s="91">
        <v>52132</v>
      </c>
      <c r="J21" s="92">
        <f t="shared" si="1"/>
        <v>-344</v>
      </c>
      <c r="K21" s="356"/>
      <c r="L21" s="398"/>
      <c r="M21" s="399"/>
      <c r="N21" s="595"/>
    </row>
    <row r="22" spans="1:15" s="137" customFormat="1" ht="18" customHeight="1">
      <c r="A22" s="63"/>
      <c r="B22" s="65"/>
      <c r="C22" s="65"/>
      <c r="D22" s="65"/>
      <c r="E22" s="65"/>
      <c r="F22" s="136" t="s">
        <v>368</v>
      </c>
      <c r="G22" s="140"/>
      <c r="H22" s="72">
        <f>SUM(H23,H27)</f>
        <v>25128</v>
      </c>
      <c r="I22" s="72">
        <v>19912</v>
      </c>
      <c r="J22" s="98">
        <f t="shared" si="1"/>
        <v>5216</v>
      </c>
      <c r="K22" s="390"/>
      <c r="L22" s="391"/>
      <c r="M22" s="405"/>
      <c r="N22" s="595"/>
    </row>
    <row r="23" spans="1:15">
      <c r="A23" s="55"/>
      <c r="B23" s="57"/>
      <c r="C23" s="65"/>
      <c r="D23" s="65"/>
      <c r="E23" s="65"/>
      <c r="F23" s="192"/>
      <c r="G23" s="206" t="s">
        <v>362</v>
      </c>
      <c r="H23" s="207">
        <f>M23</f>
        <v>18000</v>
      </c>
      <c r="I23" s="73">
        <v>13000</v>
      </c>
      <c r="J23" s="41">
        <f t="shared" si="1"/>
        <v>5000</v>
      </c>
      <c r="K23" s="393" t="s">
        <v>73</v>
      </c>
      <c r="L23" s="420"/>
      <c r="M23" s="395">
        <f>SUM(M24:M26)</f>
        <v>18000</v>
      </c>
    </row>
    <row r="24" spans="1:15">
      <c r="A24" s="55"/>
      <c r="B24" s="57"/>
      <c r="C24" s="65"/>
      <c r="D24" s="65"/>
      <c r="E24" s="65"/>
      <c r="F24" s="223"/>
      <c r="G24" s="56"/>
      <c r="H24" s="100"/>
      <c r="I24" s="100"/>
      <c r="J24" s="50"/>
      <c r="K24" s="389" t="s">
        <v>754</v>
      </c>
      <c r="L24" s="385" t="s">
        <v>0</v>
      </c>
      <c r="M24" s="381">
        <v>6000</v>
      </c>
    </row>
    <row r="25" spans="1:15">
      <c r="A25" s="55"/>
      <c r="B25" s="57"/>
      <c r="C25" s="65"/>
      <c r="D25" s="65"/>
      <c r="E25" s="65"/>
      <c r="F25" s="223"/>
      <c r="G25" s="56"/>
      <c r="H25" s="100"/>
      <c r="I25" s="100"/>
      <c r="J25" s="50"/>
      <c r="K25" s="389" t="s">
        <v>755</v>
      </c>
      <c r="L25" s="385" t="s">
        <v>0</v>
      </c>
      <c r="M25" s="381">
        <v>7000</v>
      </c>
      <c r="O25" s="594"/>
    </row>
    <row r="26" spans="1:15">
      <c r="A26" s="55"/>
      <c r="B26" s="57"/>
      <c r="C26" s="65"/>
      <c r="D26" s="65"/>
      <c r="E26" s="65"/>
      <c r="F26" s="223"/>
      <c r="G26" s="56"/>
      <c r="H26" s="100"/>
      <c r="I26" s="100"/>
      <c r="J26" s="50"/>
      <c r="K26" s="389" t="s">
        <v>756</v>
      </c>
      <c r="L26" s="385" t="s">
        <v>0</v>
      </c>
      <c r="M26" s="381">
        <v>5000</v>
      </c>
    </row>
    <row r="27" spans="1:15">
      <c r="A27" s="63"/>
      <c r="B27" s="65"/>
      <c r="C27" s="65"/>
      <c r="D27" s="65"/>
      <c r="E27" s="65"/>
      <c r="F27" s="105"/>
      <c r="G27" s="334" t="s">
        <v>369</v>
      </c>
      <c r="H27" s="106">
        <f>M28</f>
        <v>7128</v>
      </c>
      <c r="I27" s="224">
        <v>6912</v>
      </c>
      <c r="J27" s="107">
        <f>H27-I27</f>
        <v>216</v>
      </c>
      <c r="K27" s="421" t="s">
        <v>370</v>
      </c>
      <c r="L27" s="385"/>
      <c r="M27" s="386">
        <f>M28</f>
        <v>7128</v>
      </c>
    </row>
    <row r="28" spans="1:15">
      <c r="A28" s="63"/>
      <c r="B28" s="65"/>
      <c r="C28" s="65"/>
      <c r="D28" s="65"/>
      <c r="E28" s="65"/>
      <c r="F28" s="225"/>
      <c r="G28" s="197"/>
      <c r="H28" s="106"/>
      <c r="I28" s="224"/>
      <c r="J28" s="107"/>
      <c r="K28" s="387" t="s">
        <v>757</v>
      </c>
      <c r="L28" s="380" t="s">
        <v>0</v>
      </c>
      <c r="M28" s="381">
        <v>7128</v>
      </c>
      <c r="O28" s="594"/>
    </row>
    <row r="29" spans="1:15">
      <c r="A29" s="63"/>
      <c r="B29" s="65"/>
      <c r="C29" s="65"/>
      <c r="D29" s="65"/>
      <c r="E29" s="65"/>
      <c r="F29" s="653" t="s">
        <v>53</v>
      </c>
      <c r="G29" s="654"/>
      <c r="H29" s="152">
        <f>H30</f>
        <v>10060</v>
      </c>
      <c r="I29" s="152">
        <v>14400</v>
      </c>
      <c r="J29" s="153">
        <f>H29-I29</f>
        <v>-4340</v>
      </c>
      <c r="K29" s="422"/>
      <c r="L29" s="423"/>
      <c r="M29" s="424"/>
    </row>
    <row r="30" spans="1:15">
      <c r="A30" s="63"/>
      <c r="B30" s="65"/>
      <c r="C30" s="65"/>
      <c r="D30" s="65"/>
      <c r="E30" s="65"/>
      <c r="F30" s="109"/>
      <c r="G30" s="199" t="s">
        <v>371</v>
      </c>
      <c r="H30" s="210">
        <f>M30</f>
        <v>10060</v>
      </c>
      <c r="I30" s="73">
        <v>14400</v>
      </c>
      <c r="J30" s="202">
        <f>H30-I30</f>
        <v>-4340</v>
      </c>
      <c r="K30" s="393" t="s">
        <v>372</v>
      </c>
      <c r="L30" s="425"/>
      <c r="M30" s="395">
        <f>SUM(M31:M32)</f>
        <v>10060</v>
      </c>
    </row>
    <row r="31" spans="1:15">
      <c r="A31" s="63"/>
      <c r="B31" s="65"/>
      <c r="C31" s="65"/>
      <c r="D31" s="65"/>
      <c r="E31" s="65"/>
      <c r="F31" s="105"/>
      <c r="G31" s="194"/>
      <c r="H31" s="106"/>
      <c r="I31" s="100"/>
      <c r="J31" s="107"/>
      <c r="K31" s="389" t="s">
        <v>618</v>
      </c>
      <c r="L31" s="426" t="s">
        <v>0</v>
      </c>
      <c r="M31" s="381">
        <v>2800</v>
      </c>
      <c r="O31" s="594"/>
    </row>
    <row r="32" spans="1:15">
      <c r="A32" s="63"/>
      <c r="B32" s="65"/>
      <c r="C32" s="65"/>
      <c r="D32" s="65"/>
      <c r="E32" s="65"/>
      <c r="F32" s="194"/>
      <c r="G32" s="194"/>
      <c r="H32" s="100"/>
      <c r="I32" s="104"/>
      <c r="J32" s="102"/>
      <c r="K32" s="389" t="s">
        <v>617</v>
      </c>
      <c r="L32" s="426" t="s">
        <v>0</v>
      </c>
      <c r="M32" s="381">
        <v>7260</v>
      </c>
      <c r="O32" s="594"/>
    </row>
    <row r="33" spans="1:15">
      <c r="A33" s="63"/>
      <c r="B33" s="65"/>
      <c r="C33" s="65"/>
      <c r="D33" s="65"/>
      <c r="E33" s="65"/>
      <c r="F33" s="136" t="s">
        <v>373</v>
      </c>
      <c r="G33" s="140"/>
      <c r="H33" s="72">
        <f>H34</f>
        <v>12100</v>
      </c>
      <c r="I33" s="72">
        <v>13400</v>
      </c>
      <c r="J33" s="98">
        <f>H33-I33</f>
        <v>-1300</v>
      </c>
      <c r="K33" s="390"/>
      <c r="L33" s="391"/>
      <c r="M33" s="392"/>
    </row>
    <row r="34" spans="1:15">
      <c r="A34" s="63"/>
      <c r="B34" s="65"/>
      <c r="C34" s="65"/>
      <c r="D34" s="65"/>
      <c r="E34" s="65"/>
      <c r="F34" s="143"/>
      <c r="G34" s="65" t="s">
        <v>374</v>
      </c>
      <c r="H34" s="75">
        <f>SUM(M34,M36)</f>
        <v>12100</v>
      </c>
      <c r="I34" s="75">
        <v>13400</v>
      </c>
      <c r="J34" s="48">
        <f>H34-I34</f>
        <v>-1300</v>
      </c>
      <c r="K34" s="393" t="s">
        <v>375</v>
      </c>
      <c r="L34" s="419"/>
      <c r="M34" s="395">
        <f>SUM(M35:M35)</f>
        <v>6600</v>
      </c>
    </row>
    <row r="35" spans="1:15">
      <c r="A35" s="63"/>
      <c r="B35" s="65"/>
      <c r="C35" s="65"/>
      <c r="D35" s="65"/>
      <c r="E35" s="65"/>
      <c r="F35" s="105"/>
      <c r="G35" s="197"/>
      <c r="H35" s="106"/>
      <c r="I35" s="224"/>
      <c r="J35" s="107"/>
      <c r="K35" s="389" t="s">
        <v>376</v>
      </c>
      <c r="L35" s="385" t="s">
        <v>0</v>
      </c>
      <c r="M35" s="381">
        <v>6600</v>
      </c>
    </row>
    <row r="36" spans="1:15">
      <c r="A36" s="63"/>
      <c r="B36" s="65"/>
      <c r="C36" s="65"/>
      <c r="D36" s="65"/>
      <c r="E36" s="65"/>
      <c r="F36" s="105"/>
      <c r="G36" s="197"/>
      <c r="H36" s="106"/>
      <c r="I36" s="224"/>
      <c r="J36" s="107"/>
      <c r="K36" s="362" t="s">
        <v>83</v>
      </c>
      <c r="L36" s="408"/>
      <c r="M36" s="386">
        <f>SUM(M37:M38)</f>
        <v>5500</v>
      </c>
    </row>
    <row r="37" spans="1:15">
      <c r="A37" s="63"/>
      <c r="B37" s="65"/>
      <c r="C37" s="65"/>
      <c r="D37" s="65"/>
      <c r="E37" s="65"/>
      <c r="F37" s="105"/>
      <c r="G37" s="197"/>
      <c r="H37" s="106"/>
      <c r="I37" s="224"/>
      <c r="J37" s="107"/>
      <c r="K37" s="389" t="s">
        <v>726</v>
      </c>
      <c r="L37" s="385" t="s">
        <v>0</v>
      </c>
      <c r="M37" s="381">
        <v>4000</v>
      </c>
      <c r="O37" s="594"/>
    </row>
    <row r="38" spans="1:15">
      <c r="A38" s="63"/>
      <c r="B38" s="65"/>
      <c r="C38" s="186"/>
      <c r="D38" s="187"/>
      <c r="E38" s="220"/>
      <c r="F38" s="145"/>
      <c r="G38" s="222"/>
      <c r="H38" s="74"/>
      <c r="I38" s="74"/>
      <c r="J38" s="74"/>
      <c r="K38" s="389" t="s">
        <v>727</v>
      </c>
      <c r="L38" s="382" t="s">
        <v>0</v>
      </c>
      <c r="M38" s="381">
        <v>1500</v>
      </c>
      <c r="O38" s="594"/>
    </row>
    <row r="39" spans="1:15">
      <c r="A39" s="63"/>
      <c r="B39" s="65"/>
      <c r="C39" s="65"/>
      <c r="D39" s="65"/>
      <c r="E39" s="65"/>
      <c r="F39" s="136" t="s">
        <v>377</v>
      </c>
      <c r="G39" s="140"/>
      <c r="H39" s="72">
        <f>SUM(M40,M42)</f>
        <v>4500</v>
      </c>
      <c r="I39" s="72">
        <v>4420</v>
      </c>
      <c r="J39" s="98">
        <f>H39-I39</f>
        <v>80</v>
      </c>
      <c r="K39" s="390"/>
      <c r="L39" s="391"/>
      <c r="M39" s="392"/>
    </row>
    <row r="40" spans="1:15">
      <c r="A40" s="63"/>
      <c r="B40" s="65"/>
      <c r="C40" s="65"/>
      <c r="D40" s="65"/>
      <c r="E40" s="65"/>
      <c r="F40" s="143"/>
      <c r="G40" s="65" t="s">
        <v>90</v>
      </c>
      <c r="H40" s="75">
        <f>M40</f>
        <v>2400</v>
      </c>
      <c r="I40" s="75">
        <v>2320</v>
      </c>
      <c r="J40" s="48">
        <f>H40-I40</f>
        <v>80</v>
      </c>
      <c r="K40" s="393" t="s">
        <v>378</v>
      </c>
      <c r="L40" s="419"/>
      <c r="M40" s="395">
        <f>M41</f>
        <v>2400</v>
      </c>
    </row>
    <row r="41" spans="1:15">
      <c r="A41" s="63"/>
      <c r="B41" s="65"/>
      <c r="C41" s="65"/>
      <c r="D41" s="65"/>
      <c r="E41" s="65"/>
      <c r="F41" s="105"/>
      <c r="G41" s="195"/>
      <c r="H41" s="108"/>
      <c r="I41" s="226"/>
      <c r="J41" s="156"/>
      <c r="K41" s="387" t="s">
        <v>619</v>
      </c>
      <c r="L41" s="380" t="s">
        <v>0</v>
      </c>
      <c r="M41" s="388">
        <v>2400</v>
      </c>
    </row>
    <row r="42" spans="1:15">
      <c r="A42" s="63"/>
      <c r="B42" s="65"/>
      <c r="C42" s="65"/>
      <c r="D42" s="65"/>
      <c r="E42" s="65"/>
      <c r="F42" s="105"/>
      <c r="G42" s="334" t="s">
        <v>379</v>
      </c>
      <c r="H42" s="106">
        <f>M42</f>
        <v>2100</v>
      </c>
      <c r="I42" s="73">
        <v>2100</v>
      </c>
      <c r="J42" s="107">
        <f>H42-I42</f>
        <v>0</v>
      </c>
      <c r="K42" s="215" t="s">
        <v>94</v>
      </c>
      <c r="L42" s="218"/>
      <c r="M42" s="193">
        <f>M43</f>
        <v>2100</v>
      </c>
    </row>
    <row r="43" spans="1:15" ht="17.25" thickBot="1">
      <c r="A43" s="291"/>
      <c r="B43" s="69"/>
      <c r="C43" s="69"/>
      <c r="D43" s="69"/>
      <c r="E43" s="69"/>
      <c r="F43" s="337"/>
      <c r="G43" s="341"/>
      <c r="H43" s="338"/>
      <c r="I43" s="339"/>
      <c r="J43" s="340"/>
      <c r="K43" s="232" t="s">
        <v>394</v>
      </c>
      <c r="L43" s="233" t="s">
        <v>0</v>
      </c>
      <c r="M43" s="243">
        <v>2100</v>
      </c>
    </row>
  </sheetData>
  <autoFilter ref="A3:M43">
    <filterColumn colId="10" showButton="0"/>
    <filterColumn colId="11" showButton="0"/>
  </autoFilter>
  <mergeCells count="9">
    <mergeCell ref="F29:G29"/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6:J9">
    <cfRule type="containsText" dxfId="845" priority="151" operator="containsText" text="허하나로">
      <formula>NOT(ISERROR(SEARCH("허하나로",H699)))</formula>
    </cfRule>
    <cfRule type="containsText" dxfId="844" priority="152" operator="containsText" text="한별">
      <formula>NOT(ISERROR(SEARCH("한별",H699)))</formula>
    </cfRule>
    <cfRule type="containsText" dxfId="843" priority="153" operator="containsText" text="정홍조">
      <formula>NOT(ISERROR(SEARCH("정홍조",H699)))</formula>
    </cfRule>
    <cfRule type="containsText" dxfId="842" priority="154" operator="containsText" text="김지윤">
      <formula>NOT(ISERROR(SEARCH("김지윤",H699)))</formula>
    </cfRule>
    <cfRule type="containsText" dxfId="841" priority="155" operator="containsText" text="전준영">
      <formula>NOT(ISERROR(SEARCH("전준영",H699)))</formula>
    </cfRule>
    <cfRule type="containsText" dxfId="840" priority="156" operator="containsText" text="차재성">
      <formula>NOT(ISERROR(SEARCH("차재성",H699)))</formula>
    </cfRule>
  </conditionalFormatting>
  <conditionalFormatting sqref="J5">
    <cfRule type="containsText" dxfId="839" priority="145" operator="containsText" text="허하나로">
      <formula>NOT(ISERROR(SEARCH("허하나로",H698)))</formula>
    </cfRule>
    <cfRule type="containsText" dxfId="838" priority="146" operator="containsText" text="한별">
      <formula>NOT(ISERROR(SEARCH("한별",H698)))</formula>
    </cfRule>
    <cfRule type="containsText" dxfId="837" priority="147" operator="containsText" text="정홍조">
      <formula>NOT(ISERROR(SEARCH("정홍조",H698)))</formula>
    </cfRule>
    <cfRule type="containsText" dxfId="836" priority="148" operator="containsText" text="김지윤">
      <formula>NOT(ISERROR(SEARCH("김지윤",H698)))</formula>
    </cfRule>
    <cfRule type="containsText" dxfId="835" priority="149" operator="containsText" text="전준영">
      <formula>NOT(ISERROR(SEARCH("전준영",H698)))</formula>
    </cfRule>
    <cfRule type="containsText" dxfId="834" priority="150" operator="containsText" text="차재성">
      <formula>NOT(ISERROR(SEARCH("차재성",H698)))</formula>
    </cfRule>
  </conditionalFormatting>
  <conditionalFormatting sqref="J19">
    <cfRule type="containsText" dxfId="833" priority="139" operator="containsText" text="허하나로">
      <formula>NOT(ISERROR(SEARCH("허하나로",H832)))</formula>
    </cfRule>
    <cfRule type="containsText" dxfId="832" priority="140" operator="containsText" text="한별">
      <formula>NOT(ISERROR(SEARCH("한별",H832)))</formula>
    </cfRule>
    <cfRule type="containsText" dxfId="831" priority="141" operator="containsText" text="정홍조">
      <formula>NOT(ISERROR(SEARCH("정홍조",H832)))</formula>
    </cfRule>
    <cfRule type="containsText" dxfId="830" priority="142" operator="containsText" text="김지윤">
      <formula>NOT(ISERROR(SEARCH("김지윤",H832)))</formula>
    </cfRule>
    <cfRule type="containsText" dxfId="829" priority="143" operator="containsText" text="전준영">
      <formula>NOT(ISERROR(SEARCH("전준영",H832)))</formula>
    </cfRule>
    <cfRule type="containsText" dxfId="828" priority="144" operator="containsText" text="차재성">
      <formula>NOT(ISERROR(SEARCH("차재성",H832)))</formula>
    </cfRule>
  </conditionalFormatting>
  <conditionalFormatting sqref="J21">
    <cfRule type="containsText" dxfId="827" priority="163" operator="containsText" text="허하나로">
      <formula>NOT(ISERROR(SEARCH("허하나로",H1029)))</formula>
    </cfRule>
    <cfRule type="containsText" dxfId="826" priority="164" operator="containsText" text="한별">
      <formula>NOT(ISERROR(SEARCH("한별",H1029)))</formula>
    </cfRule>
    <cfRule type="containsText" dxfId="825" priority="165" operator="containsText" text="정홍조">
      <formula>NOT(ISERROR(SEARCH("정홍조",H1029)))</formula>
    </cfRule>
    <cfRule type="containsText" dxfId="824" priority="166" operator="containsText" text="김지윤">
      <formula>NOT(ISERROR(SEARCH("김지윤",H1029)))</formula>
    </cfRule>
    <cfRule type="containsText" dxfId="823" priority="167" operator="containsText" text="전준영">
      <formula>NOT(ISERROR(SEARCH("전준영",H1029)))</formula>
    </cfRule>
    <cfRule type="containsText" dxfId="822" priority="168" operator="containsText" text="차재성">
      <formula>NOT(ISERROR(SEARCH("차재성",H1029)))</formula>
    </cfRule>
  </conditionalFormatting>
  <conditionalFormatting sqref="J32">
    <cfRule type="containsText" dxfId="821" priority="169" operator="containsText" text="허하나로">
      <formula>NOT(ISERROR(SEARCH("허하나로",H1044)))</formula>
    </cfRule>
    <cfRule type="containsText" dxfId="820" priority="170" operator="containsText" text="한별">
      <formula>NOT(ISERROR(SEARCH("한별",H1044)))</formula>
    </cfRule>
    <cfRule type="containsText" dxfId="819" priority="171" operator="containsText" text="정홍조">
      <formula>NOT(ISERROR(SEARCH("정홍조",H1044)))</formula>
    </cfRule>
    <cfRule type="containsText" dxfId="818" priority="172" operator="containsText" text="김지윤">
      <formula>NOT(ISERROR(SEARCH("김지윤",H1044)))</formula>
    </cfRule>
    <cfRule type="containsText" dxfId="817" priority="173" operator="containsText" text="전준영">
      <formula>NOT(ISERROR(SEARCH("전준영",H1044)))</formula>
    </cfRule>
    <cfRule type="containsText" dxfId="816" priority="174" operator="containsText" text="차재성">
      <formula>NOT(ISERROR(SEARCH("차재성",H1044)))</formula>
    </cfRule>
  </conditionalFormatting>
  <conditionalFormatting sqref="L30">
    <cfRule type="containsText" dxfId="815" priority="133" operator="containsText" text="허하나로">
      <formula>NOT(ISERROR(SEARCH("허하나로",J1177)))</formula>
    </cfRule>
    <cfRule type="containsText" dxfId="814" priority="134" operator="containsText" text="한별">
      <formula>NOT(ISERROR(SEARCH("한별",J1177)))</formula>
    </cfRule>
    <cfRule type="containsText" dxfId="813" priority="135" operator="containsText" text="정홍조">
      <formula>NOT(ISERROR(SEARCH("정홍조",J1177)))</formula>
    </cfRule>
    <cfRule type="containsText" dxfId="812" priority="136" operator="containsText" text="김지윤">
      <formula>NOT(ISERROR(SEARCH("김지윤",J1177)))</formula>
    </cfRule>
    <cfRule type="containsText" dxfId="811" priority="137" operator="containsText" text="전준영">
      <formula>NOT(ISERROR(SEARCH("전준영",J1177)))</formula>
    </cfRule>
    <cfRule type="containsText" dxfId="810" priority="138" operator="containsText" text="차재성">
      <formula>NOT(ISERROR(SEARCH("차재성",J1177)))</formula>
    </cfRule>
  </conditionalFormatting>
  <conditionalFormatting sqref="J22:J23">
    <cfRule type="containsText" dxfId="809" priority="127" operator="containsText" text="허하나로">
      <formula>NOT(ISERROR(SEARCH("허하나로",H1036)))</formula>
    </cfRule>
    <cfRule type="containsText" dxfId="808" priority="128" operator="containsText" text="한별">
      <formula>NOT(ISERROR(SEARCH("한별",H1036)))</formula>
    </cfRule>
    <cfRule type="containsText" dxfId="807" priority="129" operator="containsText" text="정홍조">
      <formula>NOT(ISERROR(SEARCH("정홍조",H1036)))</formula>
    </cfRule>
    <cfRule type="containsText" dxfId="806" priority="130" operator="containsText" text="김지윤">
      <formula>NOT(ISERROR(SEARCH("김지윤",H1036)))</formula>
    </cfRule>
    <cfRule type="containsText" dxfId="805" priority="131" operator="containsText" text="전준영">
      <formula>NOT(ISERROR(SEARCH("전준영",H1036)))</formula>
    </cfRule>
    <cfRule type="containsText" dxfId="804" priority="132" operator="containsText" text="차재성">
      <formula>NOT(ISERROR(SEARCH("차재성",H1036)))</formula>
    </cfRule>
  </conditionalFormatting>
  <conditionalFormatting sqref="J17">
    <cfRule type="containsText" dxfId="803" priority="115" operator="containsText" text="허하나로">
      <formula>NOT(ISERROR(SEARCH("허하나로",H1102)))</formula>
    </cfRule>
    <cfRule type="containsText" dxfId="802" priority="116" operator="containsText" text="한별">
      <formula>NOT(ISERROR(SEARCH("한별",H1102)))</formula>
    </cfRule>
    <cfRule type="containsText" dxfId="801" priority="117" operator="containsText" text="정홍조">
      <formula>NOT(ISERROR(SEARCH("정홍조",H1102)))</formula>
    </cfRule>
    <cfRule type="containsText" dxfId="800" priority="118" operator="containsText" text="김지윤">
      <formula>NOT(ISERROR(SEARCH("김지윤",H1102)))</formula>
    </cfRule>
    <cfRule type="containsText" dxfId="799" priority="119" operator="containsText" text="전준영">
      <formula>NOT(ISERROR(SEARCH("전준영",H1102)))</formula>
    </cfRule>
    <cfRule type="containsText" dxfId="798" priority="120" operator="containsText" text="차재성">
      <formula>NOT(ISERROR(SEARCH("차재성",H1102)))</formula>
    </cfRule>
  </conditionalFormatting>
  <conditionalFormatting sqref="J18">
    <cfRule type="containsText" dxfId="797" priority="121" operator="containsText" text="허하나로">
      <formula>NOT(ISERROR(SEARCH("허하나로",H1102)))</formula>
    </cfRule>
    <cfRule type="containsText" dxfId="796" priority="122" operator="containsText" text="한별">
      <formula>NOT(ISERROR(SEARCH("한별",H1102)))</formula>
    </cfRule>
    <cfRule type="containsText" dxfId="795" priority="123" operator="containsText" text="정홍조">
      <formula>NOT(ISERROR(SEARCH("정홍조",H1102)))</formula>
    </cfRule>
    <cfRule type="containsText" dxfId="794" priority="124" operator="containsText" text="김지윤">
      <formula>NOT(ISERROR(SEARCH("김지윤",H1102)))</formula>
    </cfRule>
    <cfRule type="containsText" dxfId="793" priority="125" operator="containsText" text="전준영">
      <formula>NOT(ISERROR(SEARCH("전준영",H1102)))</formula>
    </cfRule>
    <cfRule type="containsText" dxfId="792" priority="126" operator="containsText" text="차재성">
      <formula>NOT(ISERROR(SEARCH("차재성",H1102)))</formula>
    </cfRule>
  </conditionalFormatting>
  <conditionalFormatting sqref="J15">
    <cfRule type="containsText" dxfId="791" priority="103" operator="containsText" text="허하나로">
      <formula>NOT(ISERROR(SEARCH("허하나로",H1100)))</formula>
    </cfRule>
    <cfRule type="containsText" dxfId="790" priority="104" operator="containsText" text="한별">
      <formula>NOT(ISERROR(SEARCH("한별",H1100)))</formula>
    </cfRule>
    <cfRule type="containsText" dxfId="789" priority="105" operator="containsText" text="정홍조">
      <formula>NOT(ISERROR(SEARCH("정홍조",H1100)))</formula>
    </cfRule>
    <cfRule type="containsText" dxfId="788" priority="106" operator="containsText" text="김지윤">
      <formula>NOT(ISERROR(SEARCH("김지윤",H1100)))</formula>
    </cfRule>
    <cfRule type="containsText" dxfId="787" priority="107" operator="containsText" text="전준영">
      <formula>NOT(ISERROR(SEARCH("전준영",H1100)))</formula>
    </cfRule>
    <cfRule type="containsText" dxfId="786" priority="108" operator="containsText" text="차재성">
      <formula>NOT(ISERROR(SEARCH("차재성",H1100)))</formula>
    </cfRule>
  </conditionalFormatting>
  <conditionalFormatting sqref="J16">
    <cfRule type="containsText" dxfId="785" priority="109" operator="containsText" text="허하나로">
      <formula>NOT(ISERROR(SEARCH("허하나로",H1100)))</formula>
    </cfRule>
    <cfRule type="containsText" dxfId="784" priority="110" operator="containsText" text="한별">
      <formula>NOT(ISERROR(SEARCH("한별",H1100)))</formula>
    </cfRule>
    <cfRule type="containsText" dxfId="783" priority="111" operator="containsText" text="정홍조">
      <formula>NOT(ISERROR(SEARCH("정홍조",H1100)))</formula>
    </cfRule>
    <cfRule type="containsText" dxfId="782" priority="112" operator="containsText" text="김지윤">
      <formula>NOT(ISERROR(SEARCH("김지윤",H1100)))</formula>
    </cfRule>
    <cfRule type="containsText" dxfId="781" priority="113" operator="containsText" text="전준영">
      <formula>NOT(ISERROR(SEARCH("전준영",H1100)))</formula>
    </cfRule>
    <cfRule type="containsText" dxfId="780" priority="114" operator="containsText" text="차재성">
      <formula>NOT(ISERROR(SEARCH("차재성",H1100)))</formula>
    </cfRule>
  </conditionalFormatting>
  <conditionalFormatting sqref="J35">
    <cfRule type="containsText" dxfId="779" priority="85" operator="containsText" text="허하나로">
      <formula>NOT(ISERROR(SEARCH("허하나로",H1069)))</formula>
    </cfRule>
    <cfRule type="containsText" dxfId="778" priority="86" operator="containsText" text="한별">
      <formula>NOT(ISERROR(SEARCH("한별",H1069)))</formula>
    </cfRule>
    <cfRule type="containsText" dxfId="777" priority="87" operator="containsText" text="정홍조">
      <formula>NOT(ISERROR(SEARCH("정홍조",H1069)))</formula>
    </cfRule>
    <cfRule type="containsText" dxfId="776" priority="88" operator="containsText" text="김지윤">
      <formula>NOT(ISERROR(SEARCH("김지윤",H1069)))</formula>
    </cfRule>
    <cfRule type="containsText" dxfId="775" priority="89" operator="containsText" text="전준영">
      <formula>NOT(ISERROR(SEARCH("전준영",H1069)))</formula>
    </cfRule>
    <cfRule type="containsText" dxfId="774" priority="90" operator="containsText" text="차재성">
      <formula>NOT(ISERROR(SEARCH("차재성",H1069)))</formula>
    </cfRule>
  </conditionalFormatting>
  <conditionalFormatting sqref="J33">
    <cfRule type="containsText" dxfId="773" priority="79" operator="containsText" text="허하나로">
      <formula>NOT(ISERROR(SEARCH("허하나로",H1115)))</formula>
    </cfRule>
    <cfRule type="containsText" dxfId="772" priority="80" operator="containsText" text="한별">
      <formula>NOT(ISERROR(SEARCH("한별",H1115)))</formula>
    </cfRule>
    <cfRule type="containsText" dxfId="771" priority="81" operator="containsText" text="정홍조">
      <formula>NOT(ISERROR(SEARCH("정홍조",H1115)))</formula>
    </cfRule>
    <cfRule type="containsText" dxfId="770" priority="82" operator="containsText" text="김지윤">
      <formula>NOT(ISERROR(SEARCH("김지윤",H1115)))</formula>
    </cfRule>
    <cfRule type="containsText" dxfId="769" priority="83" operator="containsText" text="전준영">
      <formula>NOT(ISERROR(SEARCH("전준영",H1115)))</formula>
    </cfRule>
    <cfRule type="containsText" dxfId="768" priority="84" operator="containsText" text="차재성">
      <formula>NOT(ISERROR(SEARCH("차재성",H1115)))</formula>
    </cfRule>
  </conditionalFormatting>
  <conditionalFormatting sqref="J34">
    <cfRule type="containsText" dxfId="767" priority="73" operator="containsText" text="허하나로">
      <formula>NOT(ISERROR(SEARCH("허하나로",H1116)))</formula>
    </cfRule>
    <cfRule type="containsText" dxfId="766" priority="74" operator="containsText" text="한별">
      <formula>NOT(ISERROR(SEARCH("한별",H1116)))</formula>
    </cfRule>
    <cfRule type="containsText" dxfId="765" priority="75" operator="containsText" text="정홍조">
      <formula>NOT(ISERROR(SEARCH("정홍조",H1116)))</formula>
    </cfRule>
    <cfRule type="containsText" dxfId="764" priority="76" operator="containsText" text="김지윤">
      <formula>NOT(ISERROR(SEARCH("김지윤",H1116)))</formula>
    </cfRule>
    <cfRule type="containsText" dxfId="763" priority="77" operator="containsText" text="전준영">
      <formula>NOT(ISERROR(SEARCH("전준영",H1116)))</formula>
    </cfRule>
    <cfRule type="containsText" dxfId="762" priority="78" operator="containsText" text="차재성">
      <formula>NOT(ISERROR(SEARCH("차재성",H1116)))</formula>
    </cfRule>
  </conditionalFormatting>
  <conditionalFormatting sqref="J28">
    <cfRule type="containsText" dxfId="761" priority="61" operator="containsText" text="허하나로">
      <formula>NOT(ISERROR(SEARCH("허하나로",H1070)))</formula>
    </cfRule>
    <cfRule type="containsText" dxfId="760" priority="62" operator="containsText" text="한별">
      <formula>NOT(ISERROR(SEARCH("한별",H1070)))</formula>
    </cfRule>
    <cfRule type="containsText" dxfId="759" priority="63" operator="containsText" text="정홍조">
      <formula>NOT(ISERROR(SEARCH("정홍조",H1070)))</formula>
    </cfRule>
    <cfRule type="containsText" dxfId="758" priority="64" operator="containsText" text="김지윤">
      <formula>NOT(ISERROR(SEARCH("김지윤",H1070)))</formula>
    </cfRule>
    <cfRule type="containsText" dxfId="757" priority="65" operator="containsText" text="전준영">
      <formula>NOT(ISERROR(SEARCH("전준영",H1070)))</formula>
    </cfRule>
    <cfRule type="containsText" dxfId="756" priority="66" operator="containsText" text="차재성">
      <formula>NOT(ISERROR(SEARCH("차재성",H1070)))</formula>
    </cfRule>
  </conditionalFormatting>
  <conditionalFormatting sqref="J27">
    <cfRule type="containsText" dxfId="755" priority="67" operator="containsText" text="허하나로">
      <formula>NOT(ISERROR(SEARCH("허하나로",H1070)))</formula>
    </cfRule>
    <cfRule type="containsText" dxfId="754" priority="68" operator="containsText" text="한별">
      <formula>NOT(ISERROR(SEARCH("한별",H1070)))</formula>
    </cfRule>
    <cfRule type="containsText" dxfId="753" priority="69" operator="containsText" text="정홍조">
      <formula>NOT(ISERROR(SEARCH("정홍조",H1070)))</formula>
    </cfRule>
    <cfRule type="containsText" dxfId="752" priority="70" operator="containsText" text="김지윤">
      <formula>NOT(ISERROR(SEARCH("김지윤",H1070)))</formula>
    </cfRule>
    <cfRule type="containsText" dxfId="751" priority="71" operator="containsText" text="전준영">
      <formula>NOT(ISERROR(SEARCH("전준영",H1070)))</formula>
    </cfRule>
    <cfRule type="containsText" dxfId="750" priority="72" operator="containsText" text="차재성">
      <formula>NOT(ISERROR(SEARCH("차재성",H1070)))</formula>
    </cfRule>
  </conditionalFormatting>
  <conditionalFormatting sqref="J43">
    <cfRule type="containsText" dxfId="749" priority="49" operator="containsText" text="허하나로">
      <formula>NOT(ISERROR(SEARCH("허하나로",H1058)))</formula>
    </cfRule>
    <cfRule type="containsText" dxfId="748" priority="50" operator="containsText" text="한별">
      <formula>NOT(ISERROR(SEARCH("한별",H1058)))</formula>
    </cfRule>
    <cfRule type="containsText" dxfId="747" priority="51" operator="containsText" text="정홍조">
      <formula>NOT(ISERROR(SEARCH("정홍조",H1058)))</formula>
    </cfRule>
    <cfRule type="containsText" dxfId="746" priority="52" operator="containsText" text="김지윤">
      <formula>NOT(ISERROR(SEARCH("김지윤",H1058)))</formula>
    </cfRule>
    <cfRule type="containsText" dxfId="745" priority="53" operator="containsText" text="전준영">
      <formula>NOT(ISERROR(SEARCH("전준영",H1058)))</formula>
    </cfRule>
    <cfRule type="containsText" dxfId="744" priority="54" operator="containsText" text="차재성">
      <formula>NOT(ISERROR(SEARCH("차재성",H1058)))</formula>
    </cfRule>
  </conditionalFormatting>
  <conditionalFormatting sqref="J42">
    <cfRule type="containsText" dxfId="743" priority="55" operator="containsText" text="허하나로">
      <formula>NOT(ISERROR(SEARCH("허하나로",H1058)))</formula>
    </cfRule>
    <cfRule type="containsText" dxfId="742" priority="56" operator="containsText" text="한별">
      <formula>NOT(ISERROR(SEARCH("한별",H1058)))</formula>
    </cfRule>
    <cfRule type="containsText" dxfId="741" priority="57" operator="containsText" text="정홍조">
      <formula>NOT(ISERROR(SEARCH("정홍조",H1058)))</formula>
    </cfRule>
    <cfRule type="containsText" dxfId="740" priority="58" operator="containsText" text="김지윤">
      <formula>NOT(ISERROR(SEARCH("김지윤",H1058)))</formula>
    </cfRule>
    <cfRule type="containsText" dxfId="739" priority="59" operator="containsText" text="전준영">
      <formula>NOT(ISERROR(SEARCH("전준영",H1058)))</formula>
    </cfRule>
    <cfRule type="containsText" dxfId="738" priority="60" operator="containsText" text="차재성">
      <formula>NOT(ISERROR(SEARCH("차재성",H1058)))</formula>
    </cfRule>
  </conditionalFormatting>
  <conditionalFormatting sqref="J41">
    <cfRule type="containsText" dxfId="737" priority="43" operator="containsText" text="허하나로">
      <formula>NOT(ISERROR(SEARCH("허하나로",H1064)))</formula>
    </cfRule>
    <cfRule type="containsText" dxfId="736" priority="44" operator="containsText" text="한별">
      <formula>NOT(ISERROR(SEARCH("한별",H1064)))</formula>
    </cfRule>
    <cfRule type="containsText" dxfId="735" priority="45" operator="containsText" text="정홍조">
      <formula>NOT(ISERROR(SEARCH("정홍조",H1064)))</formula>
    </cfRule>
    <cfRule type="containsText" dxfId="734" priority="46" operator="containsText" text="김지윤">
      <formula>NOT(ISERROR(SEARCH("김지윤",H1064)))</formula>
    </cfRule>
    <cfRule type="containsText" dxfId="733" priority="47" operator="containsText" text="전준영">
      <formula>NOT(ISERROR(SEARCH("전준영",H1064)))</formula>
    </cfRule>
    <cfRule type="containsText" dxfId="732" priority="48" operator="containsText" text="차재성">
      <formula>NOT(ISERROR(SEARCH("차재성",H1064)))</formula>
    </cfRule>
  </conditionalFormatting>
  <conditionalFormatting sqref="J39">
    <cfRule type="containsText" dxfId="731" priority="37" operator="containsText" text="허하나로">
      <formula>NOT(ISERROR(SEARCH("허하나로",H1120)))</formula>
    </cfRule>
    <cfRule type="containsText" dxfId="730" priority="38" operator="containsText" text="한별">
      <formula>NOT(ISERROR(SEARCH("한별",H1120)))</formula>
    </cfRule>
    <cfRule type="containsText" dxfId="729" priority="39" operator="containsText" text="정홍조">
      <formula>NOT(ISERROR(SEARCH("정홍조",H1120)))</formula>
    </cfRule>
    <cfRule type="containsText" dxfId="728" priority="40" operator="containsText" text="김지윤">
      <formula>NOT(ISERROR(SEARCH("김지윤",H1120)))</formula>
    </cfRule>
    <cfRule type="containsText" dxfId="727" priority="41" operator="containsText" text="전준영">
      <formula>NOT(ISERROR(SEARCH("전준영",H1120)))</formula>
    </cfRule>
    <cfRule type="containsText" dxfId="726" priority="42" operator="containsText" text="차재성">
      <formula>NOT(ISERROR(SEARCH("차재성",H1120)))</formula>
    </cfRule>
  </conditionalFormatting>
  <conditionalFormatting sqref="J40">
    <cfRule type="containsText" dxfId="725" priority="31" operator="containsText" text="허하나로">
      <formula>NOT(ISERROR(SEARCH("허하나로",H1121)))</formula>
    </cfRule>
    <cfRule type="containsText" dxfId="724" priority="32" operator="containsText" text="한별">
      <formula>NOT(ISERROR(SEARCH("한별",H1121)))</formula>
    </cfRule>
    <cfRule type="containsText" dxfId="723" priority="33" operator="containsText" text="정홍조">
      <formula>NOT(ISERROR(SEARCH("정홍조",H1121)))</formula>
    </cfRule>
    <cfRule type="containsText" dxfId="722" priority="34" operator="containsText" text="김지윤">
      <formula>NOT(ISERROR(SEARCH("김지윤",H1121)))</formula>
    </cfRule>
    <cfRule type="containsText" dxfId="721" priority="35" operator="containsText" text="전준영">
      <formula>NOT(ISERROR(SEARCH("전준영",H1121)))</formula>
    </cfRule>
    <cfRule type="containsText" dxfId="720" priority="36" operator="containsText" text="차재성">
      <formula>NOT(ISERROR(SEARCH("차재성",H1121)))</formula>
    </cfRule>
  </conditionalFormatting>
  <conditionalFormatting sqref="J29:J31">
    <cfRule type="containsText" dxfId="719" priority="3553" operator="containsText" text="허하나로">
      <formula>NOT(ISERROR(SEARCH("허하나로",H1042)))</formula>
    </cfRule>
    <cfRule type="containsText" dxfId="718" priority="3554" operator="containsText" text="한별">
      <formula>NOT(ISERROR(SEARCH("한별",H1042)))</formula>
    </cfRule>
    <cfRule type="containsText" dxfId="717" priority="3555" operator="containsText" text="정홍조">
      <formula>NOT(ISERROR(SEARCH("정홍조",H1042)))</formula>
    </cfRule>
    <cfRule type="containsText" dxfId="716" priority="3556" operator="containsText" text="김지윤">
      <formula>NOT(ISERROR(SEARCH("김지윤",H1042)))</formula>
    </cfRule>
    <cfRule type="containsText" dxfId="715" priority="3557" operator="containsText" text="전준영">
      <formula>NOT(ISERROR(SEARCH("전준영",H1042)))</formula>
    </cfRule>
    <cfRule type="containsText" dxfId="714" priority="3558" operator="containsText" text="차재성">
      <formula>NOT(ISERROR(SEARCH("차재성",H1042)))</formula>
    </cfRule>
  </conditionalFormatting>
  <conditionalFormatting sqref="J2:J3">
    <cfRule type="containsText" dxfId="713" priority="13" operator="containsText" text="허하나로">
      <formula>NOT(ISERROR(SEARCH("허하나로",H763)))</formula>
    </cfRule>
    <cfRule type="containsText" dxfId="712" priority="14" operator="containsText" text="한별">
      <formula>NOT(ISERROR(SEARCH("한별",H763)))</formula>
    </cfRule>
    <cfRule type="containsText" dxfId="711" priority="15" operator="containsText" text="정홍조">
      <formula>NOT(ISERROR(SEARCH("정홍조",H763)))</formula>
    </cfRule>
    <cfRule type="containsText" dxfId="710" priority="16" operator="containsText" text="김지윤">
      <formula>NOT(ISERROR(SEARCH("김지윤",H763)))</formula>
    </cfRule>
    <cfRule type="containsText" dxfId="709" priority="17" operator="containsText" text="전준영">
      <formula>NOT(ISERROR(SEARCH("전준영",H763)))</formula>
    </cfRule>
    <cfRule type="containsText" dxfId="708" priority="18" operator="containsText" text="차재성">
      <formula>NOT(ISERROR(SEARCH("차재성",H763)))</formula>
    </cfRule>
  </conditionalFormatting>
  <pageMargins left="0.25" right="0.25" top="0.75" bottom="0.75" header="0.3" footer="0.3"/>
  <pageSetup paperSize="9" scale="73" fitToHeight="0" orientation="landscape" r:id="rId1"/>
  <rowBreaks count="1" manualBreakCount="1">
    <brk id="32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" operator="containsText" text="허하나로" id="{C294F580-39A9-4097-98FA-8F17556D2A41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E7D6554B-9C46-4666-A85D-C58AD45BA43E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7C07EAAA-F9A7-4E58-83CC-2C49472B8520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1AF6A9A8-B2DD-42B6-81DF-A708F725FAEE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2DC022A8-EE30-4726-8784-39BFC158A152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F9BAE3D1-2C60-4D14-9EA3-DA93C37C3B1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J26</xm:sqref>
        </x14:conditionalFormatting>
        <x14:conditionalFormatting xmlns:xm="http://schemas.microsoft.com/office/excel/2006/main">
          <x14:cfRule type="containsText" priority="97" operator="containsText" text="허하나로" id="{D420B4E7-1BEB-4CD1-A9C9-65CC61F04197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90F099D4-7C37-4BDB-901B-04D78DC2D524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21538F85-3204-4525-8782-CBF07A523A8D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8529A7A3-9362-4706-81B8-C7F4319C3C58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800EB218-3CD1-4F18-A482-DB1E0FE67E65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101D2B35-E144-4998-A601-0B57C844CF6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J24:J25</xm:sqref>
        </x14:conditionalFormatting>
        <x14:conditionalFormatting xmlns:xm="http://schemas.microsoft.com/office/excel/2006/main">
          <x14:cfRule type="containsText" priority="25" operator="containsText" text="허하나로" id="{D43E79B1-EE6A-4EA3-B52C-6BD7978B8DEE}">
            <xm:f>NOT(ISERROR(SEARCH("허하나로",행정관리부!H1052)))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9A4F73E9-1D7E-4266-B557-5ACD8AA5E762}">
            <xm:f>NOT(ISERROR(SEARCH("한별",행정관리부!H1052)))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32804C67-EC96-4BA9-ACCB-ECCFBC9E3A3A}">
            <xm:f>NOT(ISERROR(SEARCH("정홍조",행정관리부!H1052)))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C38D4C6C-F422-410A-8EBD-B53F54AD5EEC}">
            <xm:f>NOT(ISERROR(SEARCH("김지윤",행정관리부!H1052)))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C76CB348-C024-4FC3-907D-DF0066147DB2}">
            <xm:f>NOT(ISERROR(SEARCH("전준영",행정관리부!H1052)))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8B876EBE-049B-4999-A9C7-262844F64215}">
            <xm:f>NOT(ISERROR(SEARCH("차재성",행정관리부!H1052)))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ontainsText" priority="19" operator="containsText" text="허하나로" id="{08CD5C75-19D4-4A24-ADA7-CFB6DC3C4BA0}">
            <xm:f>NOT(ISERROR(SEARCH("허하나로",행정관리부!H1051)))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99960472-C61B-40D2-A3BC-3BA232C4FDED}">
            <xm:f>NOT(ISERROR(SEARCH("한별",행정관리부!H1051)))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20CEEC82-27B8-4AD0-B37E-2F4091C6F9BD}">
            <xm:f>NOT(ISERROR(SEARCH("정홍조",행정관리부!H1051)))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5D7B9C1E-0A64-49F9-A95C-24667468298A}">
            <xm:f>NOT(ISERROR(SEARCH("김지윤",행정관리부!H1051)))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E193CF20-FF69-48C7-84C2-19442BB48DEB}">
            <xm:f>NOT(ISERROR(SEARCH("전준영",행정관리부!H1051)))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515AFE08-532C-4B52-BA37-2D16F4065E65}">
            <xm:f>NOT(ISERROR(SEARCH("차재성",행정관리부!H1051)))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P25"/>
  <sheetViews>
    <sheetView zoomScale="85" zoomScaleNormal="85" workbookViewId="0"/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9.875" style="595" bestFit="1" customWidth="1"/>
  </cols>
  <sheetData>
    <row r="1" spans="1:13" ht="17.25" thickBot="1">
      <c r="A1" s="88" t="s">
        <v>173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3" ht="16.5" customHeight="1">
      <c r="A2" s="643" t="s">
        <v>21</v>
      </c>
      <c r="B2" s="645" t="s">
        <v>22</v>
      </c>
      <c r="C2" s="646"/>
      <c r="D2" s="647"/>
      <c r="E2" s="645" t="s">
        <v>23</v>
      </c>
      <c r="F2" s="646"/>
      <c r="G2" s="647"/>
      <c r="H2" s="623" t="s">
        <v>660</v>
      </c>
      <c r="I2" s="623" t="s">
        <v>543</v>
      </c>
      <c r="J2" s="648" t="s">
        <v>468</v>
      </c>
      <c r="K2" s="634" t="s">
        <v>1</v>
      </c>
      <c r="L2" s="635"/>
      <c r="M2" s="636"/>
    </row>
    <row r="3" spans="1:13" ht="17.25" thickBot="1">
      <c r="A3" s="644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24"/>
      <c r="I3" s="624"/>
      <c r="J3" s="649"/>
      <c r="K3" s="637"/>
      <c r="L3" s="638"/>
      <c r="M3" s="639"/>
    </row>
    <row r="4" spans="1:13" ht="17.25" thickBot="1">
      <c r="A4" s="640" t="s">
        <v>30</v>
      </c>
      <c r="B4" s="641"/>
      <c r="C4" s="641"/>
      <c r="D4" s="641"/>
      <c r="E4" s="641"/>
      <c r="F4" s="641"/>
      <c r="G4" s="642"/>
      <c r="H4" s="185">
        <f>H5</f>
        <v>20648</v>
      </c>
      <c r="I4" s="185">
        <v>25268</v>
      </c>
      <c r="J4" s="120">
        <f t="shared" ref="J4:J11" si="0">H4-I4</f>
        <v>-4620</v>
      </c>
      <c r="K4" s="89"/>
      <c r="L4" s="90"/>
      <c r="M4" s="121"/>
    </row>
    <row r="5" spans="1:13">
      <c r="A5" s="205" t="s">
        <v>2</v>
      </c>
      <c r="B5" s="122"/>
      <c r="C5" s="123"/>
      <c r="D5" s="123"/>
      <c r="E5" s="123"/>
      <c r="F5" s="123"/>
      <c r="G5" s="124"/>
      <c r="H5" s="94">
        <f>H6</f>
        <v>20648</v>
      </c>
      <c r="I5" s="94">
        <v>25268</v>
      </c>
      <c r="J5" s="95">
        <f t="shared" si="0"/>
        <v>-4620</v>
      </c>
      <c r="K5" s="78"/>
      <c r="L5" s="79"/>
      <c r="M5" s="80"/>
    </row>
    <row r="6" spans="1:13">
      <c r="A6" s="10"/>
      <c r="B6" s="129" t="s">
        <v>290</v>
      </c>
      <c r="C6" s="129"/>
      <c r="D6" s="130"/>
      <c r="E6" s="130"/>
      <c r="F6" s="130"/>
      <c r="G6" s="131"/>
      <c r="H6" s="94">
        <f>H7</f>
        <v>20648</v>
      </c>
      <c r="I6" s="94">
        <v>25268</v>
      </c>
      <c r="J6" s="95">
        <f t="shared" si="0"/>
        <v>-4620</v>
      </c>
      <c r="K6" s="78"/>
      <c r="L6" s="79"/>
      <c r="M6" s="80"/>
    </row>
    <row r="7" spans="1:13">
      <c r="A7" s="10"/>
      <c r="B7" s="6"/>
      <c r="C7" s="179" t="s">
        <v>242</v>
      </c>
      <c r="D7" s="130"/>
      <c r="E7" s="130"/>
      <c r="F7" s="130"/>
      <c r="G7" s="131"/>
      <c r="H7" s="91">
        <f>H8</f>
        <v>20648</v>
      </c>
      <c r="I7" s="91">
        <v>25268</v>
      </c>
      <c r="J7" s="92">
        <f t="shared" si="0"/>
        <v>-4620</v>
      </c>
      <c r="K7" s="159"/>
      <c r="L7" s="149"/>
      <c r="M7" s="150"/>
    </row>
    <row r="8" spans="1:13">
      <c r="A8" s="10"/>
      <c r="B8" s="6"/>
      <c r="C8" s="147"/>
      <c r="D8" s="129" t="s">
        <v>34</v>
      </c>
      <c r="E8" s="130"/>
      <c r="F8" s="130"/>
      <c r="G8" s="131"/>
      <c r="H8" s="132">
        <f>H9</f>
        <v>20648</v>
      </c>
      <c r="I8" s="132">
        <v>25268</v>
      </c>
      <c r="J8" s="9">
        <f t="shared" si="0"/>
        <v>-4620</v>
      </c>
      <c r="K8" s="148"/>
      <c r="L8" s="149"/>
      <c r="M8" s="150"/>
    </row>
    <row r="9" spans="1:13">
      <c r="A9" s="10"/>
      <c r="B9" s="6"/>
      <c r="C9" s="134"/>
      <c r="D9" s="135"/>
      <c r="E9" s="129" t="s">
        <v>31</v>
      </c>
      <c r="F9" s="130"/>
      <c r="G9" s="131"/>
      <c r="H9" s="91">
        <f>SUM(H10,H15,H19,H22)</f>
        <v>20648</v>
      </c>
      <c r="I9" s="91">
        <v>25268</v>
      </c>
      <c r="J9" s="92">
        <f t="shared" si="0"/>
        <v>-4620</v>
      </c>
      <c r="K9" s="84"/>
      <c r="L9" s="93"/>
      <c r="M9" s="82"/>
    </row>
    <row r="10" spans="1:13">
      <c r="A10" s="63"/>
      <c r="B10" s="65"/>
      <c r="C10" s="65"/>
      <c r="D10" s="65"/>
      <c r="E10" s="65"/>
      <c r="F10" s="136" t="s">
        <v>35</v>
      </c>
      <c r="G10" s="140"/>
      <c r="H10" s="72">
        <f>SUM(H11,H13)</f>
        <v>8048</v>
      </c>
      <c r="I10" s="72">
        <v>8568</v>
      </c>
      <c r="J10" s="98">
        <f t="shared" si="0"/>
        <v>-520</v>
      </c>
      <c r="K10" s="390"/>
      <c r="L10" s="391"/>
      <c r="M10" s="405"/>
    </row>
    <row r="11" spans="1:13">
      <c r="A11" s="55"/>
      <c r="B11" s="57"/>
      <c r="C11" s="65"/>
      <c r="D11" s="65"/>
      <c r="E11" s="65"/>
      <c r="F11" s="192"/>
      <c r="G11" s="206" t="s">
        <v>36</v>
      </c>
      <c r="H11" s="207">
        <f>M11</f>
        <v>2000</v>
      </c>
      <c r="I11" s="207">
        <v>2520</v>
      </c>
      <c r="J11" s="41">
        <f t="shared" si="0"/>
        <v>-520</v>
      </c>
      <c r="K11" s="393" t="s">
        <v>47</v>
      </c>
      <c r="L11" s="420"/>
      <c r="M11" s="395">
        <f>SUM(M12:M12)</f>
        <v>2000</v>
      </c>
    </row>
    <row r="12" spans="1:13">
      <c r="A12" s="55"/>
      <c r="B12" s="57"/>
      <c r="C12" s="65"/>
      <c r="D12" s="65"/>
      <c r="E12" s="65"/>
      <c r="F12" s="56"/>
      <c r="G12" s="56"/>
      <c r="H12" s="100"/>
      <c r="I12" s="100"/>
      <c r="J12" s="102"/>
      <c r="K12" s="606" t="s">
        <v>620</v>
      </c>
      <c r="L12" s="385" t="s">
        <v>37</v>
      </c>
      <c r="M12" s="381">
        <v>2000</v>
      </c>
    </row>
    <row r="13" spans="1:13">
      <c r="A13" s="55"/>
      <c r="B13" s="57"/>
      <c r="C13" s="65"/>
      <c r="D13" s="65"/>
      <c r="E13" s="65"/>
      <c r="F13" s="56"/>
      <c r="G13" s="206" t="s">
        <v>310</v>
      </c>
      <c r="H13" s="207">
        <f>M13</f>
        <v>6048</v>
      </c>
      <c r="I13" s="207">
        <v>6048</v>
      </c>
      <c r="J13" s="208">
        <f>H13-I13</f>
        <v>0</v>
      </c>
      <c r="K13" s="393" t="s">
        <v>311</v>
      </c>
      <c r="L13" s="532"/>
      <c r="M13" s="395">
        <f>SUM(M14)</f>
        <v>6048</v>
      </c>
    </row>
    <row r="14" spans="1:13">
      <c r="A14" s="63"/>
      <c r="B14" s="65"/>
      <c r="C14" s="65"/>
      <c r="D14" s="65"/>
      <c r="E14" s="65"/>
      <c r="F14" s="56"/>
      <c r="G14" s="56"/>
      <c r="H14" s="100"/>
      <c r="I14" s="100"/>
      <c r="J14" s="102"/>
      <c r="K14" s="387" t="s">
        <v>622</v>
      </c>
      <c r="L14" s="380" t="s">
        <v>37</v>
      </c>
      <c r="M14" s="381">
        <v>6048</v>
      </c>
    </row>
    <row r="15" spans="1:13">
      <c r="A15" s="63"/>
      <c r="B15" s="65"/>
      <c r="C15" s="65"/>
      <c r="D15" s="65"/>
      <c r="E15" s="65"/>
      <c r="F15" s="653" t="s">
        <v>40</v>
      </c>
      <c r="G15" s="654"/>
      <c r="H15" s="152">
        <f>H16</f>
        <v>9000</v>
      </c>
      <c r="I15" s="152">
        <v>12600</v>
      </c>
      <c r="J15" s="153">
        <f>H15-I15</f>
        <v>-3600</v>
      </c>
      <c r="K15" s="607"/>
      <c r="L15" s="608"/>
      <c r="M15" s="392"/>
    </row>
    <row r="16" spans="1:13">
      <c r="A16" s="63"/>
      <c r="B16" s="65"/>
      <c r="C16" s="65"/>
      <c r="D16" s="65"/>
      <c r="E16" s="65"/>
      <c r="F16" s="109"/>
      <c r="G16" s="199" t="s">
        <v>41</v>
      </c>
      <c r="H16" s="210">
        <f>M16</f>
        <v>9000</v>
      </c>
      <c r="I16" s="207">
        <v>12600</v>
      </c>
      <c r="J16" s="202">
        <f>H16-I16</f>
        <v>-3600</v>
      </c>
      <c r="K16" s="393" t="s">
        <v>49</v>
      </c>
      <c r="L16" s="609"/>
      <c r="M16" s="395">
        <f>SUM(M17:M18)</f>
        <v>9000</v>
      </c>
    </row>
    <row r="17" spans="1:16">
      <c r="A17" s="63"/>
      <c r="B17" s="65"/>
      <c r="C17" s="65"/>
      <c r="D17" s="65"/>
      <c r="E17" s="65"/>
      <c r="F17" s="194"/>
      <c r="G17" s="194"/>
      <c r="H17" s="100"/>
      <c r="I17" s="104"/>
      <c r="J17" s="102"/>
      <c r="K17" s="389" t="s">
        <v>728</v>
      </c>
      <c r="L17" s="426" t="s">
        <v>0</v>
      </c>
      <c r="M17" s="381">
        <v>2400</v>
      </c>
      <c r="P17" s="594"/>
    </row>
    <row r="18" spans="1:16">
      <c r="A18" s="63"/>
      <c r="B18" s="65"/>
      <c r="C18" s="65"/>
      <c r="D18" s="65"/>
      <c r="E18" s="65"/>
      <c r="F18" s="194"/>
      <c r="G18" s="194"/>
      <c r="H18" s="100"/>
      <c r="I18" s="104"/>
      <c r="J18" s="102"/>
      <c r="K18" s="387" t="s">
        <v>729</v>
      </c>
      <c r="L18" s="530" t="s">
        <v>0</v>
      </c>
      <c r="M18" s="381">
        <v>6600</v>
      </c>
      <c r="P18" s="594"/>
    </row>
    <row r="19" spans="1:16">
      <c r="A19" s="63"/>
      <c r="B19" s="65"/>
      <c r="C19" s="65"/>
      <c r="D19" s="65"/>
      <c r="E19" s="65"/>
      <c r="F19" s="653" t="s">
        <v>42</v>
      </c>
      <c r="G19" s="654"/>
      <c r="H19" s="152">
        <f>H20</f>
        <v>1500</v>
      </c>
      <c r="I19" s="152">
        <v>2000</v>
      </c>
      <c r="J19" s="153">
        <f>H19-I19</f>
        <v>-500</v>
      </c>
      <c r="K19" s="607"/>
      <c r="L19" s="608"/>
      <c r="M19" s="392"/>
    </row>
    <row r="20" spans="1:16">
      <c r="A20" s="63"/>
      <c r="B20" s="65"/>
      <c r="C20" s="65"/>
      <c r="D20" s="65"/>
      <c r="E20" s="65"/>
      <c r="F20" s="194"/>
      <c r="G20" s="109" t="s">
        <v>43</v>
      </c>
      <c r="H20" s="210">
        <f>M20</f>
        <v>1500</v>
      </c>
      <c r="I20" s="210">
        <v>2000</v>
      </c>
      <c r="J20" s="202">
        <f>H20-I20</f>
        <v>-500</v>
      </c>
      <c r="K20" s="393" t="s">
        <v>509</v>
      </c>
      <c r="L20" s="420"/>
      <c r="M20" s="395">
        <f>SUM(M21)</f>
        <v>1500</v>
      </c>
    </row>
    <row r="21" spans="1:16">
      <c r="A21" s="319"/>
      <c r="B21" s="320"/>
      <c r="C21" s="320"/>
      <c r="D21" s="320"/>
      <c r="E21" s="320"/>
      <c r="F21" s="195"/>
      <c r="G21" s="195"/>
      <c r="H21" s="103"/>
      <c r="I21" s="155"/>
      <c r="J21" s="155"/>
      <c r="K21" s="529" t="s">
        <v>621</v>
      </c>
      <c r="L21" s="530" t="s">
        <v>0</v>
      </c>
      <c r="M21" s="381">
        <v>1500</v>
      </c>
    </row>
    <row r="22" spans="1:16">
      <c r="A22" s="63"/>
      <c r="B22" s="65"/>
      <c r="C22" s="65"/>
      <c r="D22" s="65"/>
      <c r="E22" s="65"/>
      <c r="F22" s="335" t="s">
        <v>89</v>
      </c>
      <c r="G22" s="70"/>
      <c r="H22" s="71">
        <f>H23</f>
        <v>2100</v>
      </c>
      <c r="I22" s="71">
        <v>2100</v>
      </c>
      <c r="J22" s="146">
        <f>H22-I22</f>
        <v>0</v>
      </c>
      <c r="K22" s="537"/>
      <c r="L22" s="538"/>
      <c r="M22" s="392"/>
    </row>
    <row r="23" spans="1:16">
      <c r="A23" s="63"/>
      <c r="B23" s="65"/>
      <c r="C23" s="65"/>
      <c r="D23" s="65"/>
      <c r="E23" s="65"/>
      <c r="F23" s="143"/>
      <c r="G23" s="65" t="s">
        <v>93</v>
      </c>
      <c r="H23" s="75">
        <f>M23</f>
        <v>2100</v>
      </c>
      <c r="I23" s="75">
        <v>2100</v>
      </c>
      <c r="J23" s="48">
        <f>H23-I23</f>
        <v>0</v>
      </c>
      <c r="K23" s="393" t="s">
        <v>388</v>
      </c>
      <c r="L23" s="419"/>
      <c r="M23" s="395">
        <f>M24</f>
        <v>2100</v>
      </c>
    </row>
    <row r="24" spans="1:16" ht="17.25" thickBot="1">
      <c r="A24" s="291"/>
      <c r="B24" s="69"/>
      <c r="C24" s="69"/>
      <c r="D24" s="69"/>
      <c r="E24" s="69"/>
      <c r="F24" s="337"/>
      <c r="G24" s="200"/>
      <c r="H24" s="338"/>
      <c r="I24" s="339"/>
      <c r="J24" s="340"/>
      <c r="K24" s="232" t="s">
        <v>391</v>
      </c>
      <c r="L24" s="233" t="s">
        <v>0</v>
      </c>
      <c r="M24" s="243">
        <v>2100</v>
      </c>
      <c r="P24" s="594"/>
    </row>
    <row r="25" spans="1:16">
      <c r="O25" s="253"/>
      <c r="P25" s="594"/>
    </row>
  </sheetData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683" priority="61" operator="containsText" text="허하나로">
      <formula>NOT(ISERROR(SEARCH("허하나로",H1046)))</formula>
    </cfRule>
    <cfRule type="containsText" dxfId="682" priority="62" operator="containsText" text="한별">
      <formula>NOT(ISERROR(SEARCH("한별",H1046)))</formula>
    </cfRule>
    <cfRule type="containsText" dxfId="681" priority="63" operator="containsText" text="정홍조">
      <formula>NOT(ISERROR(SEARCH("정홍조",H1046)))</formula>
    </cfRule>
    <cfRule type="containsText" dxfId="680" priority="64" operator="containsText" text="김지윤">
      <formula>NOT(ISERROR(SEARCH("김지윤",H1046)))</formula>
    </cfRule>
    <cfRule type="containsText" dxfId="679" priority="65" operator="containsText" text="전준영">
      <formula>NOT(ISERROR(SEARCH("전준영",H1046)))</formula>
    </cfRule>
    <cfRule type="containsText" dxfId="678" priority="66" operator="containsText" text="차재성">
      <formula>NOT(ISERROR(SEARCH("차재성",H1046)))</formula>
    </cfRule>
  </conditionalFormatting>
  <conditionalFormatting sqref="J6">
    <cfRule type="containsText" dxfId="677" priority="73" operator="containsText" text="허하나로">
      <formula>NOT(ISERROR(SEARCH("허하나로",H683)))</formula>
    </cfRule>
    <cfRule type="containsText" dxfId="676" priority="74" operator="containsText" text="한별">
      <formula>NOT(ISERROR(SEARCH("한별",H683)))</formula>
    </cfRule>
    <cfRule type="containsText" dxfId="675" priority="75" operator="containsText" text="정홍조">
      <formula>NOT(ISERROR(SEARCH("정홍조",H683)))</formula>
    </cfRule>
    <cfRule type="containsText" dxfId="674" priority="76" operator="containsText" text="김지윤">
      <formula>NOT(ISERROR(SEARCH("김지윤",H683)))</formula>
    </cfRule>
    <cfRule type="containsText" dxfId="673" priority="77" operator="containsText" text="전준영">
      <formula>NOT(ISERROR(SEARCH("전준영",H683)))</formula>
    </cfRule>
    <cfRule type="containsText" dxfId="672" priority="78" operator="containsText" text="차재성">
      <formula>NOT(ISERROR(SEARCH("차재성",H683)))</formula>
    </cfRule>
  </conditionalFormatting>
  <conditionalFormatting sqref="J5">
    <cfRule type="containsText" dxfId="671" priority="67" operator="containsText" text="허하나로">
      <formula>NOT(ISERROR(SEARCH("허하나로",H682)))</formula>
    </cfRule>
    <cfRule type="containsText" dxfId="670" priority="68" operator="containsText" text="한별">
      <formula>NOT(ISERROR(SEARCH("한별",H682)))</formula>
    </cfRule>
    <cfRule type="containsText" dxfId="669" priority="69" operator="containsText" text="정홍조">
      <formula>NOT(ISERROR(SEARCH("정홍조",H682)))</formula>
    </cfRule>
    <cfRule type="containsText" dxfId="668" priority="70" operator="containsText" text="김지윤">
      <formula>NOT(ISERROR(SEARCH("김지윤",H682)))</formula>
    </cfRule>
    <cfRule type="containsText" dxfId="667" priority="71" operator="containsText" text="전준영">
      <formula>NOT(ISERROR(SEARCH("전준영",H682)))</formula>
    </cfRule>
    <cfRule type="containsText" dxfId="666" priority="72" operator="containsText" text="차재성">
      <formula>NOT(ISERROR(SEARCH("차재성",H682)))</formula>
    </cfRule>
  </conditionalFormatting>
  <conditionalFormatting sqref="J7">
    <cfRule type="containsText" dxfId="665" priority="55" operator="containsText" text="허하나로">
      <formula>NOT(ISERROR(SEARCH("허하나로",H816)))</formula>
    </cfRule>
    <cfRule type="containsText" dxfId="664" priority="56" operator="containsText" text="한별">
      <formula>NOT(ISERROR(SEARCH("한별",H816)))</formula>
    </cfRule>
    <cfRule type="containsText" dxfId="663" priority="57" operator="containsText" text="정홍조">
      <formula>NOT(ISERROR(SEARCH("정홍조",H816)))</formula>
    </cfRule>
    <cfRule type="containsText" dxfId="662" priority="58" operator="containsText" text="김지윤">
      <formula>NOT(ISERROR(SEARCH("김지윤",H816)))</formula>
    </cfRule>
    <cfRule type="containsText" dxfId="661" priority="59" operator="containsText" text="전준영">
      <formula>NOT(ISERROR(SEARCH("전준영",H816)))</formula>
    </cfRule>
    <cfRule type="containsText" dxfId="660" priority="60" operator="containsText" text="차재성">
      <formula>NOT(ISERROR(SEARCH("차재성",H816)))</formula>
    </cfRule>
  </conditionalFormatting>
  <conditionalFormatting sqref="J10:J11">
    <cfRule type="containsText" dxfId="659" priority="49" operator="containsText" text="허하나로">
      <formula>NOT(ISERROR(SEARCH("허하나로",H1024)))</formula>
    </cfRule>
    <cfRule type="containsText" dxfId="658" priority="50" operator="containsText" text="한별">
      <formula>NOT(ISERROR(SEARCH("한별",H1024)))</formula>
    </cfRule>
    <cfRule type="containsText" dxfId="657" priority="51" operator="containsText" text="정홍조">
      <formula>NOT(ISERROR(SEARCH("정홍조",H1024)))</formula>
    </cfRule>
    <cfRule type="containsText" dxfId="656" priority="52" operator="containsText" text="김지윤">
      <formula>NOT(ISERROR(SEARCH("김지윤",H1024)))</formula>
    </cfRule>
    <cfRule type="containsText" dxfId="655" priority="53" operator="containsText" text="전준영">
      <formula>NOT(ISERROR(SEARCH("전준영",H1024)))</formula>
    </cfRule>
    <cfRule type="containsText" dxfId="654" priority="54" operator="containsText" text="차재성">
      <formula>NOT(ISERROR(SEARCH("차재성",H1024)))</formula>
    </cfRule>
  </conditionalFormatting>
  <conditionalFormatting sqref="J9">
    <cfRule type="containsText" dxfId="653" priority="91" operator="containsText" text="허하나로">
      <formula>NOT(ISERROR(SEARCH("허하나로",H1013)))</formula>
    </cfRule>
    <cfRule type="containsText" dxfId="652" priority="92" operator="containsText" text="한별">
      <formula>NOT(ISERROR(SEARCH("한별",H1013)))</formula>
    </cfRule>
    <cfRule type="containsText" dxfId="651" priority="93" operator="containsText" text="정홍조">
      <formula>NOT(ISERROR(SEARCH("정홍조",H1013)))</formula>
    </cfRule>
    <cfRule type="containsText" dxfId="650" priority="94" operator="containsText" text="김지윤">
      <formula>NOT(ISERROR(SEARCH("김지윤",H1013)))</formula>
    </cfRule>
    <cfRule type="containsText" dxfId="649" priority="95" operator="containsText" text="전준영">
      <formula>NOT(ISERROR(SEARCH("전준영",H1013)))</formula>
    </cfRule>
    <cfRule type="containsText" dxfId="648" priority="96" operator="containsText" text="차재성">
      <formula>NOT(ISERROR(SEARCH("차재성",H1013)))</formula>
    </cfRule>
  </conditionalFormatting>
  <conditionalFormatting sqref="J15:J18">
    <cfRule type="containsText" dxfId="647" priority="97" operator="containsText" text="허하나로">
      <formula>NOT(ISERROR(SEARCH("허하나로",H1026)))</formula>
    </cfRule>
    <cfRule type="containsText" dxfId="646" priority="98" operator="containsText" text="한별">
      <formula>NOT(ISERROR(SEARCH("한별",H1026)))</formula>
    </cfRule>
    <cfRule type="containsText" dxfId="645" priority="99" operator="containsText" text="정홍조">
      <formula>NOT(ISERROR(SEARCH("정홍조",H1026)))</formula>
    </cfRule>
    <cfRule type="containsText" dxfId="644" priority="100" operator="containsText" text="김지윤">
      <formula>NOT(ISERROR(SEARCH("김지윤",H1026)))</formula>
    </cfRule>
    <cfRule type="containsText" dxfId="643" priority="101" operator="containsText" text="전준영">
      <formula>NOT(ISERROR(SEARCH("전준영",H1026)))</formula>
    </cfRule>
    <cfRule type="containsText" dxfId="642" priority="102" operator="containsText" text="차재성">
      <formula>NOT(ISERROR(SEARCH("차재성",H1026)))</formula>
    </cfRule>
  </conditionalFormatting>
  <conditionalFormatting sqref="J19">
    <cfRule type="containsText" dxfId="641" priority="37" operator="containsText" text="허하나로">
      <formula>NOT(ISERROR(SEARCH("허하나로",H1030)))</formula>
    </cfRule>
    <cfRule type="containsText" dxfId="640" priority="38" operator="containsText" text="한별">
      <formula>NOT(ISERROR(SEARCH("한별",H1030)))</formula>
    </cfRule>
    <cfRule type="containsText" dxfId="639" priority="39" operator="containsText" text="정홍조">
      <formula>NOT(ISERROR(SEARCH("정홍조",H1030)))</formula>
    </cfRule>
    <cfRule type="containsText" dxfId="638" priority="40" operator="containsText" text="김지윤">
      <formula>NOT(ISERROR(SEARCH("김지윤",H1030)))</formula>
    </cfRule>
    <cfRule type="containsText" dxfId="637" priority="41" operator="containsText" text="전준영">
      <formula>NOT(ISERROR(SEARCH("전준영",H1030)))</formula>
    </cfRule>
    <cfRule type="containsText" dxfId="636" priority="42" operator="containsText" text="차재성">
      <formula>NOT(ISERROR(SEARCH("차재성",H1030)))</formula>
    </cfRule>
  </conditionalFormatting>
  <conditionalFormatting sqref="L16">
    <cfRule type="containsText" dxfId="635" priority="31" operator="containsText" text="허하나로">
      <formula>NOT(ISERROR(SEARCH("허하나로",J1161)))</formula>
    </cfRule>
    <cfRule type="containsText" dxfId="634" priority="32" operator="containsText" text="한별">
      <formula>NOT(ISERROR(SEARCH("한별",J1161)))</formula>
    </cfRule>
    <cfRule type="containsText" dxfId="633" priority="33" operator="containsText" text="정홍조">
      <formula>NOT(ISERROR(SEARCH("정홍조",J1161)))</formula>
    </cfRule>
    <cfRule type="containsText" dxfId="632" priority="34" operator="containsText" text="김지윤">
      <formula>NOT(ISERROR(SEARCH("김지윤",J1161)))</formula>
    </cfRule>
    <cfRule type="containsText" dxfId="631" priority="35" operator="containsText" text="전준영">
      <formula>NOT(ISERROR(SEARCH("전준영",J1161)))</formula>
    </cfRule>
    <cfRule type="containsText" dxfId="630" priority="36" operator="containsText" text="차재성">
      <formula>NOT(ISERROR(SEARCH("차재성",J1161)))</formula>
    </cfRule>
  </conditionalFormatting>
  <conditionalFormatting sqref="I21">
    <cfRule type="containsText" dxfId="629" priority="25" operator="containsText" text="허하나로">
      <formula>NOT(ISERROR(SEARCH("허하나로",G1047)))</formula>
    </cfRule>
    <cfRule type="containsText" dxfId="628" priority="26" operator="containsText" text="한별">
      <formula>NOT(ISERROR(SEARCH("한별",G1047)))</formula>
    </cfRule>
    <cfRule type="containsText" dxfId="627" priority="27" operator="containsText" text="정홍조">
      <formula>NOT(ISERROR(SEARCH("정홍조",G1047)))</formula>
    </cfRule>
    <cfRule type="containsText" dxfId="626" priority="28" operator="containsText" text="김지윤">
      <formula>NOT(ISERROR(SEARCH("김지윤",G1047)))</formula>
    </cfRule>
    <cfRule type="containsText" dxfId="625" priority="29" operator="containsText" text="전준영">
      <formula>NOT(ISERROR(SEARCH("전준영",G1047)))</formula>
    </cfRule>
    <cfRule type="containsText" dxfId="624" priority="30" operator="containsText" text="차재성">
      <formula>NOT(ISERROR(SEARCH("차재성",G1047)))</formula>
    </cfRule>
  </conditionalFormatting>
  <conditionalFormatting sqref="J13:J14">
    <cfRule type="containsText" dxfId="623" priority="19" operator="containsText" text="허하나로">
      <formula>NOT(ISERROR(SEARCH("허하나로",H1022)))</formula>
    </cfRule>
    <cfRule type="containsText" dxfId="622" priority="20" operator="containsText" text="한별">
      <formula>NOT(ISERROR(SEARCH("한별",H1022)))</formula>
    </cfRule>
    <cfRule type="containsText" dxfId="621" priority="21" operator="containsText" text="정홍조">
      <formula>NOT(ISERROR(SEARCH("정홍조",H1022)))</formula>
    </cfRule>
    <cfRule type="containsText" dxfId="620" priority="22" operator="containsText" text="김지윤">
      <formula>NOT(ISERROR(SEARCH("김지윤",H1022)))</formula>
    </cfRule>
    <cfRule type="containsText" dxfId="619" priority="23" operator="containsText" text="전준영">
      <formula>NOT(ISERROR(SEARCH("전준영",H1022)))</formula>
    </cfRule>
    <cfRule type="containsText" dxfId="618" priority="24" operator="containsText" text="차재성">
      <formula>NOT(ISERROR(SEARCH("차재성",H1022)))</formula>
    </cfRule>
  </conditionalFormatting>
  <conditionalFormatting sqref="J12">
    <cfRule type="containsText" dxfId="617" priority="3451" operator="containsText" text="허하나로">
      <formula>NOT(ISERROR(SEARCH("허하나로",H1015)))</formula>
    </cfRule>
    <cfRule type="containsText" dxfId="616" priority="3452" operator="containsText" text="한별">
      <formula>NOT(ISERROR(SEARCH("한별",H1015)))</formula>
    </cfRule>
    <cfRule type="containsText" dxfId="615" priority="3453" operator="containsText" text="정홍조">
      <formula>NOT(ISERROR(SEARCH("정홍조",H1015)))</formula>
    </cfRule>
    <cfRule type="containsText" dxfId="614" priority="3454" operator="containsText" text="김지윤">
      <formula>NOT(ISERROR(SEARCH("김지윤",H1015)))</formula>
    </cfRule>
    <cfRule type="containsText" dxfId="613" priority="3455" operator="containsText" text="전준영">
      <formula>NOT(ISERROR(SEARCH("전준영",H1015)))</formula>
    </cfRule>
    <cfRule type="containsText" dxfId="612" priority="3456" operator="containsText" text="차재성">
      <formula>NOT(ISERROR(SEARCH("차재성",H1015)))</formula>
    </cfRule>
  </conditionalFormatting>
  <conditionalFormatting sqref="J2:J3">
    <cfRule type="containsText" dxfId="611" priority="1" operator="containsText" text="허하나로">
      <formula>NOT(ISERROR(SEARCH("허하나로",H762)))</formula>
    </cfRule>
    <cfRule type="containsText" dxfId="610" priority="2" operator="containsText" text="한별">
      <formula>NOT(ISERROR(SEARCH("한별",H762)))</formula>
    </cfRule>
    <cfRule type="containsText" dxfId="609" priority="3" operator="containsText" text="정홍조">
      <formula>NOT(ISERROR(SEARCH("정홍조",H762)))</formula>
    </cfRule>
    <cfRule type="containsText" dxfId="608" priority="4" operator="containsText" text="김지윤">
      <formula>NOT(ISERROR(SEARCH("김지윤",H762)))</formula>
    </cfRule>
    <cfRule type="containsText" dxfId="607" priority="5" operator="containsText" text="전준영">
      <formula>NOT(ISERROR(SEARCH("전준영",H762)))</formula>
    </cfRule>
    <cfRule type="containsText" dxfId="606" priority="6" operator="containsText" text="차재성">
      <formula>NOT(ISERROR(SEARCH("차재성",H762)))</formula>
    </cfRule>
  </conditionalFormatting>
  <pageMargins left="0.25" right="0.25" top="0.75" bottom="0.75" header="0.3" footer="0.3"/>
  <pageSetup paperSize="9" scale="7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text="허하나로" id="{774F1957-6F7E-47F0-83F6-DDCC9E32F87C}">
            <xm:f>NOT(ISERROR(SEARCH("허하나로",행정관리부!H1030)))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5BA179BA-92F8-4DA7-8572-8DD8D06767D6}">
            <xm:f>NOT(ISERROR(SEARCH("한별",행정관리부!H1030)))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C9A7CB98-1908-4097-B954-21561F3ED660}">
            <xm:f>NOT(ISERROR(SEARCH("정홍조",행정관리부!H1030)))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F42696BF-6191-453B-91F0-A4C50C1E5F51}">
            <xm:f>NOT(ISERROR(SEARCH("김지윤",행정관리부!H1030)))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F6BE78ED-6A1A-4876-B007-2C5A7559D9E8}">
            <xm:f>NOT(ISERROR(SEARCH("전준영",행정관리부!H1030)))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DC424755-C126-42D9-900C-CDA0AA09D931}">
            <xm:f>NOT(ISERROR(SEARCH("차재성",행정관리부!H1030)))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7" operator="containsText" text="허하나로" id="{D86B4523-9939-4486-9282-D4DDFE713595}">
            <xm:f>NOT(ISERROR(SEARCH("허하나로",행정관리부!H1086)))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0C3EB3C8-FCE3-46D8-9153-BE59AF7908E1}">
            <xm:f>NOT(ISERROR(SEARCH("한별",행정관리부!H1086)))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F55C4DC4-1262-47FA-8412-8512C9DB54EC}">
            <xm:f>NOT(ISERROR(SEARCH("정홍조",행정관리부!H1086)))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E5306826-E6C4-4F06-8750-02736BA2C452}">
            <xm:f>NOT(ISERROR(SEARCH("김지윤",행정관리부!H1086)))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980CAFB1-FB54-401A-ABE4-71AF55BB55BA}">
            <xm:f>NOT(ISERROR(SEARCH("전준영",행정관리부!H1086)))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483E4931-8C71-4D92-A93D-6BB4D2EF8801}">
            <xm:f>NOT(ISERROR(SEARCH("차재성",행정관리부!H1086)))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R53"/>
  <sheetViews>
    <sheetView topLeftCell="A31" zoomScale="85" zoomScaleNormal="85" workbookViewId="0">
      <selection activeCell="K27" sqref="K27:K32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11.5" style="595" bestFit="1" customWidth="1"/>
    <col min="15" max="15" width="22.25" style="595" customWidth="1"/>
    <col min="16" max="16" width="11.5" style="595" bestFit="1" customWidth="1"/>
    <col min="17" max="18" width="9" style="595"/>
  </cols>
  <sheetData>
    <row r="1" spans="1:13" ht="17.25" thickBot="1">
      <c r="A1" s="88" t="s">
        <v>174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3" ht="16.5" customHeight="1">
      <c r="A2" s="643" t="s">
        <v>21</v>
      </c>
      <c r="B2" s="645" t="s">
        <v>22</v>
      </c>
      <c r="C2" s="646"/>
      <c r="D2" s="647"/>
      <c r="E2" s="645" t="s">
        <v>23</v>
      </c>
      <c r="F2" s="646"/>
      <c r="G2" s="647"/>
      <c r="H2" s="623" t="s">
        <v>660</v>
      </c>
      <c r="I2" s="623" t="s">
        <v>543</v>
      </c>
      <c r="J2" s="648" t="s">
        <v>468</v>
      </c>
      <c r="K2" s="634" t="s">
        <v>1</v>
      </c>
      <c r="L2" s="635"/>
      <c r="M2" s="636"/>
    </row>
    <row r="3" spans="1:13" ht="17.25" thickBot="1">
      <c r="A3" s="644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24"/>
      <c r="I3" s="624"/>
      <c r="J3" s="649"/>
      <c r="K3" s="637"/>
      <c r="L3" s="638"/>
      <c r="M3" s="639"/>
    </row>
    <row r="4" spans="1:13" ht="17.25" thickBot="1">
      <c r="A4" s="640" t="s">
        <v>30</v>
      </c>
      <c r="B4" s="641"/>
      <c r="C4" s="641"/>
      <c r="D4" s="641"/>
      <c r="E4" s="641"/>
      <c r="F4" s="641"/>
      <c r="G4" s="642"/>
      <c r="H4" s="185">
        <f>H5+H31</f>
        <v>7998648</v>
      </c>
      <c r="I4" s="185">
        <v>25268</v>
      </c>
      <c r="J4" s="120">
        <f>H4-I4</f>
        <v>7973380</v>
      </c>
      <c r="K4" s="89"/>
      <c r="L4" s="90"/>
      <c r="M4" s="121"/>
    </row>
    <row r="5" spans="1:13">
      <c r="A5" s="205" t="s">
        <v>2</v>
      </c>
      <c r="B5" s="122"/>
      <c r="C5" s="123"/>
      <c r="D5" s="123"/>
      <c r="E5" s="123"/>
      <c r="F5" s="123"/>
      <c r="G5" s="124"/>
      <c r="H5" s="94">
        <f>H6</f>
        <v>1765648</v>
      </c>
      <c r="I5" s="94">
        <v>25268</v>
      </c>
      <c r="J5" s="95">
        <f t="shared" ref="J5:J11" si="0">H5-I5</f>
        <v>1740380</v>
      </c>
      <c r="K5" s="78"/>
      <c r="L5" s="79"/>
      <c r="M5" s="80"/>
    </row>
    <row r="6" spans="1:13">
      <c r="A6" s="10"/>
      <c r="B6" s="129" t="s">
        <v>289</v>
      </c>
      <c r="C6" s="129"/>
      <c r="D6" s="130"/>
      <c r="E6" s="130"/>
      <c r="F6" s="130"/>
      <c r="G6" s="131"/>
      <c r="H6" s="94">
        <f>SUM(H7,H25)</f>
        <v>1765648</v>
      </c>
      <c r="I6" s="94">
        <v>25268</v>
      </c>
      <c r="J6" s="95">
        <f t="shared" si="0"/>
        <v>1740380</v>
      </c>
      <c r="K6" s="78"/>
      <c r="L6" s="79"/>
      <c r="M6" s="80"/>
    </row>
    <row r="7" spans="1:13">
      <c r="A7" s="10"/>
      <c r="B7" s="6"/>
      <c r="C7" s="179" t="s">
        <v>243</v>
      </c>
      <c r="D7" s="130"/>
      <c r="E7" s="130"/>
      <c r="F7" s="130"/>
      <c r="G7" s="131"/>
      <c r="H7" s="91">
        <f>H8</f>
        <v>20648</v>
      </c>
      <c r="I7" s="91">
        <v>25268</v>
      </c>
      <c r="J7" s="92">
        <f t="shared" si="0"/>
        <v>-4620</v>
      </c>
      <c r="K7" s="159"/>
      <c r="L7" s="149"/>
      <c r="M7" s="150"/>
    </row>
    <row r="8" spans="1:13">
      <c r="A8" s="10"/>
      <c r="B8" s="6"/>
      <c r="C8" s="147"/>
      <c r="D8" s="129" t="s">
        <v>34</v>
      </c>
      <c r="E8" s="130"/>
      <c r="F8" s="130"/>
      <c r="G8" s="131"/>
      <c r="H8" s="132">
        <f>H9</f>
        <v>20648</v>
      </c>
      <c r="I8" s="132">
        <v>25268</v>
      </c>
      <c r="J8" s="9">
        <f t="shared" si="0"/>
        <v>-4620</v>
      </c>
      <c r="K8" s="148"/>
      <c r="L8" s="149"/>
      <c r="M8" s="150"/>
    </row>
    <row r="9" spans="1:13">
      <c r="A9" s="10"/>
      <c r="B9" s="6"/>
      <c r="C9" s="134"/>
      <c r="D9" s="135"/>
      <c r="E9" s="129" t="s">
        <v>31</v>
      </c>
      <c r="F9" s="130"/>
      <c r="G9" s="131"/>
      <c r="H9" s="91">
        <f>SUM(H10,H15,H19,H22)</f>
        <v>20648</v>
      </c>
      <c r="I9" s="91">
        <v>25268</v>
      </c>
      <c r="J9" s="92">
        <f t="shared" si="0"/>
        <v>-4620</v>
      </c>
      <c r="K9" s="356"/>
      <c r="L9" s="398"/>
      <c r="M9" s="399"/>
    </row>
    <row r="10" spans="1:13">
      <c r="A10" s="63"/>
      <c r="B10" s="65"/>
      <c r="C10" s="65"/>
      <c r="D10" s="65"/>
      <c r="E10" s="65"/>
      <c r="F10" s="136" t="s">
        <v>35</v>
      </c>
      <c r="G10" s="140"/>
      <c r="H10" s="72">
        <f>SUM(H11,H13)</f>
        <v>8048</v>
      </c>
      <c r="I10" s="72">
        <v>8568</v>
      </c>
      <c r="J10" s="98">
        <f t="shared" si="0"/>
        <v>-520</v>
      </c>
      <c r="K10" s="390"/>
      <c r="L10" s="391"/>
      <c r="M10" s="405"/>
    </row>
    <row r="11" spans="1:13">
      <c r="A11" s="55"/>
      <c r="B11" s="57"/>
      <c r="C11" s="65"/>
      <c r="D11" s="65"/>
      <c r="E11" s="65"/>
      <c r="F11" s="192"/>
      <c r="G11" s="206" t="s">
        <v>36</v>
      </c>
      <c r="H11" s="207">
        <f>M11</f>
        <v>2000</v>
      </c>
      <c r="I11" s="207">
        <v>2520</v>
      </c>
      <c r="J11" s="41">
        <f t="shared" si="0"/>
        <v>-520</v>
      </c>
      <c r="K11" s="393" t="s">
        <v>47</v>
      </c>
      <c r="L11" s="420"/>
      <c r="M11" s="395">
        <f>SUM(M12:M12)</f>
        <v>2000</v>
      </c>
    </row>
    <row r="12" spans="1:13">
      <c r="A12" s="55"/>
      <c r="B12" s="57"/>
      <c r="C12" s="65"/>
      <c r="D12" s="65"/>
      <c r="E12" s="65"/>
      <c r="F12" s="56"/>
      <c r="G12" s="56"/>
      <c r="H12" s="100"/>
      <c r="I12" s="100"/>
      <c r="J12" s="102"/>
      <c r="K12" s="606" t="s">
        <v>623</v>
      </c>
      <c r="L12" s="385" t="s">
        <v>37</v>
      </c>
      <c r="M12" s="381">
        <v>2000</v>
      </c>
    </row>
    <row r="13" spans="1:13">
      <c r="A13" s="55"/>
      <c r="B13" s="57"/>
      <c r="C13" s="65"/>
      <c r="D13" s="65"/>
      <c r="E13" s="65"/>
      <c r="F13" s="56"/>
      <c r="G13" s="206" t="s">
        <v>310</v>
      </c>
      <c r="H13" s="207">
        <f>M13</f>
        <v>6048</v>
      </c>
      <c r="I13" s="207">
        <v>6048</v>
      </c>
      <c r="J13" s="208">
        <f>H13-I13</f>
        <v>0</v>
      </c>
      <c r="K13" s="393" t="s">
        <v>311</v>
      </c>
      <c r="L13" s="532"/>
      <c r="M13" s="395">
        <f>M14</f>
        <v>6048</v>
      </c>
    </row>
    <row r="14" spans="1:13">
      <c r="A14" s="63"/>
      <c r="B14" s="65"/>
      <c r="C14" s="65"/>
      <c r="D14" s="65"/>
      <c r="E14" s="65"/>
      <c r="F14" s="56"/>
      <c r="G14" s="56"/>
      <c r="H14" s="100"/>
      <c r="I14" s="100"/>
      <c r="J14" s="102"/>
      <c r="K14" s="387" t="s">
        <v>387</v>
      </c>
      <c r="L14" s="380" t="s">
        <v>37</v>
      </c>
      <c r="M14" s="381">
        <v>6048</v>
      </c>
    </row>
    <row r="15" spans="1:13">
      <c r="A15" s="63"/>
      <c r="B15" s="65"/>
      <c r="C15" s="65"/>
      <c r="D15" s="65"/>
      <c r="E15" s="65"/>
      <c r="F15" s="653" t="s">
        <v>40</v>
      </c>
      <c r="G15" s="654"/>
      <c r="H15" s="152">
        <f>H16</f>
        <v>9000</v>
      </c>
      <c r="I15" s="152">
        <v>12600</v>
      </c>
      <c r="J15" s="153">
        <f>H15-I15</f>
        <v>-3600</v>
      </c>
      <c r="K15" s="607"/>
      <c r="L15" s="608"/>
      <c r="M15" s="392"/>
    </row>
    <row r="16" spans="1:13">
      <c r="A16" s="63"/>
      <c r="B16" s="65"/>
      <c r="C16" s="65"/>
      <c r="D16" s="65"/>
      <c r="E16" s="65"/>
      <c r="F16" s="109"/>
      <c r="G16" s="199" t="s">
        <v>41</v>
      </c>
      <c r="H16" s="210">
        <f>M16</f>
        <v>9000</v>
      </c>
      <c r="I16" s="207">
        <v>12600</v>
      </c>
      <c r="J16" s="202">
        <f>H16-I16</f>
        <v>-3600</v>
      </c>
      <c r="K16" s="393" t="s">
        <v>49</v>
      </c>
      <c r="L16" s="609"/>
      <c r="M16" s="395">
        <f>SUM(M17:M18)</f>
        <v>9000</v>
      </c>
    </row>
    <row r="17" spans="1:18">
      <c r="A17" s="63"/>
      <c r="B17" s="65"/>
      <c r="C17" s="65"/>
      <c r="D17" s="65"/>
      <c r="E17" s="65"/>
      <c r="F17" s="194"/>
      <c r="G17" s="194"/>
      <c r="H17" s="100"/>
      <c r="I17" s="104"/>
      <c r="J17" s="102"/>
      <c r="K17" s="389" t="s">
        <v>730</v>
      </c>
      <c r="L17" s="426" t="s">
        <v>0</v>
      </c>
      <c r="M17" s="381">
        <v>2400</v>
      </c>
    </row>
    <row r="18" spans="1:18">
      <c r="A18" s="63"/>
      <c r="B18" s="65"/>
      <c r="C18" s="65"/>
      <c r="D18" s="65"/>
      <c r="E18" s="65"/>
      <c r="F18" s="194"/>
      <c r="G18" s="194"/>
      <c r="H18" s="100"/>
      <c r="I18" s="104"/>
      <c r="J18" s="102"/>
      <c r="K18" s="529" t="s">
        <v>731</v>
      </c>
      <c r="L18" s="530" t="s">
        <v>0</v>
      </c>
      <c r="M18" s="381">
        <v>6600</v>
      </c>
    </row>
    <row r="19" spans="1:18">
      <c r="A19" s="63"/>
      <c r="B19" s="65"/>
      <c r="C19" s="65"/>
      <c r="D19" s="65"/>
      <c r="E19" s="65"/>
      <c r="F19" s="653" t="s">
        <v>42</v>
      </c>
      <c r="G19" s="654"/>
      <c r="H19" s="152">
        <f>H20</f>
        <v>1500</v>
      </c>
      <c r="I19" s="152">
        <v>2000</v>
      </c>
      <c r="J19" s="153">
        <f>H19-I19</f>
        <v>-500</v>
      </c>
      <c r="K19" s="607"/>
      <c r="L19" s="608"/>
      <c r="M19" s="392"/>
    </row>
    <row r="20" spans="1:18">
      <c r="A20" s="63"/>
      <c r="B20" s="65"/>
      <c r="C20" s="65"/>
      <c r="D20" s="65"/>
      <c r="E20" s="65"/>
      <c r="F20" s="194"/>
      <c r="G20" s="109" t="s">
        <v>43</v>
      </c>
      <c r="H20" s="210">
        <f>M20</f>
        <v>1500</v>
      </c>
      <c r="I20" s="210">
        <v>2000</v>
      </c>
      <c r="J20" s="202">
        <f>H20-I20</f>
        <v>-500</v>
      </c>
      <c r="K20" s="393" t="s">
        <v>509</v>
      </c>
      <c r="L20" s="420"/>
      <c r="M20" s="395">
        <f>SUM(M21)</f>
        <v>1500</v>
      </c>
    </row>
    <row r="21" spans="1:18">
      <c r="A21" s="319"/>
      <c r="B21" s="526"/>
      <c r="C21" s="526"/>
      <c r="D21" s="526"/>
      <c r="E21" s="526"/>
      <c r="F21" s="502"/>
      <c r="G21" s="502"/>
      <c r="H21" s="527"/>
      <c r="I21" s="528"/>
      <c r="J21" s="528"/>
      <c r="K21" s="529" t="s">
        <v>732</v>
      </c>
      <c r="L21" s="530" t="s">
        <v>0</v>
      </c>
      <c r="M21" s="388">
        <v>1500</v>
      </c>
    </row>
    <row r="22" spans="1:18">
      <c r="A22" s="63"/>
      <c r="B22" s="364"/>
      <c r="C22" s="364"/>
      <c r="D22" s="364"/>
      <c r="E22" s="364"/>
      <c r="F22" s="521" t="s">
        <v>89</v>
      </c>
      <c r="G22" s="536"/>
      <c r="H22" s="146">
        <f>H23</f>
        <v>2100</v>
      </c>
      <c r="I22" s="146">
        <v>2100</v>
      </c>
      <c r="J22" s="146">
        <f>H22-I22</f>
        <v>0</v>
      </c>
      <c r="K22" s="537"/>
      <c r="L22" s="538"/>
      <c r="M22" s="539"/>
    </row>
    <row r="23" spans="1:18">
      <c r="A23" s="63"/>
      <c r="B23" s="364"/>
      <c r="C23" s="364"/>
      <c r="D23" s="364"/>
      <c r="E23" s="364"/>
      <c r="F23" s="476"/>
      <c r="G23" s="364" t="s">
        <v>93</v>
      </c>
      <c r="H23" s="477">
        <f>M23</f>
        <v>2100</v>
      </c>
      <c r="I23" s="477">
        <v>2100</v>
      </c>
      <c r="J23" s="50">
        <f>H23-I23</f>
        <v>0</v>
      </c>
      <c r="K23" s="393" t="s">
        <v>388</v>
      </c>
      <c r="L23" s="419"/>
      <c r="M23" s="395">
        <f>M24</f>
        <v>2100</v>
      </c>
    </row>
    <row r="24" spans="1:18">
      <c r="A24" s="63"/>
      <c r="B24" s="364"/>
      <c r="C24" s="478"/>
      <c r="D24" s="478"/>
      <c r="E24" s="478"/>
      <c r="F24" s="507"/>
      <c r="G24" s="502"/>
      <c r="H24" s="503"/>
      <c r="I24" s="504"/>
      <c r="J24" s="505"/>
      <c r="K24" s="387" t="s">
        <v>392</v>
      </c>
      <c r="L24" s="380" t="s">
        <v>0</v>
      </c>
      <c r="M24" s="388">
        <v>2100</v>
      </c>
    </row>
    <row r="25" spans="1:18" s="1" customFormat="1" ht="18" customHeight="1">
      <c r="A25" s="10"/>
      <c r="B25" s="464"/>
      <c r="C25" s="179" t="s">
        <v>624</v>
      </c>
      <c r="D25" s="462"/>
      <c r="E25" s="462"/>
      <c r="F25" s="462"/>
      <c r="G25" s="463"/>
      <c r="H25" s="95">
        <f>SUM(H26)</f>
        <v>1745000</v>
      </c>
      <c r="I25" s="95">
        <v>0</v>
      </c>
      <c r="J25" s="95">
        <f t="shared" ref="J25" si="1">H25-I25</f>
        <v>1745000</v>
      </c>
      <c r="K25" s="409"/>
      <c r="L25" s="410"/>
      <c r="M25" s="411"/>
      <c r="N25" s="597"/>
      <c r="O25" s="597"/>
      <c r="P25" s="597"/>
      <c r="Q25" s="597"/>
      <c r="R25" s="597"/>
    </row>
    <row r="26" spans="1:18" s="1" customFormat="1" ht="18" customHeight="1">
      <c r="A26" s="10"/>
      <c r="B26" s="464"/>
      <c r="C26" s="464"/>
      <c r="D26" s="354" t="s">
        <v>626</v>
      </c>
      <c r="E26" s="462"/>
      <c r="F26" s="462"/>
      <c r="G26" s="463"/>
      <c r="H26" s="465">
        <f>H27</f>
        <v>1745000</v>
      </c>
      <c r="I26" s="465">
        <v>0</v>
      </c>
      <c r="J26" s="92">
        <f>H26-I26</f>
        <v>1745000</v>
      </c>
      <c r="K26" s="355"/>
      <c r="L26" s="412"/>
      <c r="M26" s="411"/>
      <c r="N26" s="595"/>
      <c r="O26" s="595"/>
      <c r="P26" s="595"/>
      <c r="Q26" s="595"/>
      <c r="R26" s="595"/>
    </row>
    <row r="27" spans="1:18" s="1" customFormat="1" ht="18" customHeight="1">
      <c r="A27" s="10"/>
      <c r="B27" s="464"/>
      <c r="C27" s="466"/>
      <c r="D27" s="467"/>
      <c r="E27" s="354" t="s">
        <v>616</v>
      </c>
      <c r="F27" s="462"/>
      <c r="G27" s="463"/>
      <c r="H27" s="92">
        <f>H28</f>
        <v>1745000</v>
      </c>
      <c r="I27" s="92">
        <v>0</v>
      </c>
      <c r="J27" s="92">
        <f>H27-I27</f>
        <v>1745000</v>
      </c>
      <c r="K27" s="356"/>
      <c r="L27" s="398"/>
      <c r="M27" s="413"/>
      <c r="N27" s="595"/>
      <c r="O27" s="595"/>
      <c r="P27" s="595"/>
      <c r="Q27" s="595"/>
      <c r="R27" s="595"/>
    </row>
    <row r="28" spans="1:18" s="61" customFormat="1" ht="18" customHeight="1">
      <c r="A28" s="63"/>
      <c r="B28" s="364"/>
      <c r="C28" s="469"/>
      <c r="D28" s="470"/>
      <c r="E28" s="471"/>
      <c r="F28" s="472" t="s">
        <v>368</v>
      </c>
      <c r="G28" s="473"/>
      <c r="H28" s="98">
        <f>H29</f>
        <v>1745000</v>
      </c>
      <c r="I28" s="98">
        <v>0</v>
      </c>
      <c r="J28" s="98">
        <f t="shared" ref="J28:J29" si="2">H28-I28</f>
        <v>1745000</v>
      </c>
      <c r="K28" s="400"/>
      <c r="L28" s="357"/>
      <c r="M28" s="414"/>
      <c r="N28" s="595"/>
      <c r="O28" s="595"/>
      <c r="P28" s="595"/>
      <c r="Q28" s="595"/>
      <c r="R28" s="595"/>
    </row>
    <row r="29" spans="1:18" s="61" customFormat="1" ht="18" customHeight="1">
      <c r="A29" s="63"/>
      <c r="B29" s="364"/>
      <c r="C29" s="364"/>
      <c r="D29" s="365"/>
      <c r="E29" s="366"/>
      <c r="F29" s="366"/>
      <c r="G29" s="474" t="s">
        <v>614</v>
      </c>
      <c r="H29" s="41">
        <f>M29</f>
        <v>1745000</v>
      </c>
      <c r="I29" s="41">
        <v>0</v>
      </c>
      <c r="J29" s="41">
        <f t="shared" si="2"/>
        <v>1745000</v>
      </c>
      <c r="K29" s="393" t="s">
        <v>627</v>
      </c>
      <c r="L29" s="394"/>
      <c r="M29" s="415">
        <f>M30</f>
        <v>1745000</v>
      </c>
      <c r="N29" s="595"/>
      <c r="O29" s="595"/>
      <c r="P29" s="595"/>
      <c r="Q29" s="595"/>
      <c r="R29" s="595"/>
    </row>
    <row r="30" spans="1:18" s="61" customFormat="1" ht="31.5" customHeight="1" thickBot="1">
      <c r="A30" s="291"/>
      <c r="B30" s="515"/>
      <c r="C30" s="515"/>
      <c r="D30" s="541"/>
      <c r="E30" s="542"/>
      <c r="F30" s="542"/>
      <c r="G30" s="542" t="s">
        <v>690</v>
      </c>
      <c r="H30" s="231"/>
      <c r="I30" s="231"/>
      <c r="J30" s="231"/>
      <c r="K30" s="589" t="s">
        <v>758</v>
      </c>
      <c r="L30" s="416" t="s">
        <v>0</v>
      </c>
      <c r="M30" s="543">
        <v>1745000</v>
      </c>
      <c r="N30" s="595"/>
      <c r="O30" s="595"/>
      <c r="P30" s="595"/>
      <c r="Q30" s="595"/>
      <c r="R30" s="595"/>
    </row>
    <row r="31" spans="1:18">
      <c r="A31" s="205" t="s">
        <v>493</v>
      </c>
      <c r="B31" s="458"/>
      <c r="C31" s="459"/>
      <c r="D31" s="459"/>
      <c r="E31" s="459"/>
      <c r="F31" s="459"/>
      <c r="G31" s="460"/>
      <c r="H31" s="285">
        <f>SUM(H32,H39,H46)</f>
        <v>6233000</v>
      </c>
      <c r="I31" s="285">
        <v>0</v>
      </c>
      <c r="J31" s="285">
        <f t="shared" ref="J31" si="3">H31-I31</f>
        <v>6233000</v>
      </c>
      <c r="K31" s="585"/>
      <c r="L31" s="586"/>
      <c r="M31" s="587"/>
    </row>
    <row r="32" spans="1:18" s="1" customFormat="1" ht="18" customHeight="1">
      <c r="A32" s="10"/>
      <c r="B32" s="354" t="s">
        <v>499</v>
      </c>
      <c r="C32" s="354"/>
      <c r="D32" s="462"/>
      <c r="E32" s="462"/>
      <c r="F32" s="462"/>
      <c r="G32" s="463"/>
      <c r="H32" s="95">
        <f>SUM(H33,H53)</f>
        <v>3233000</v>
      </c>
      <c r="I32" s="95">
        <v>0</v>
      </c>
      <c r="J32" s="95">
        <f>H32-I32</f>
        <v>3233000</v>
      </c>
      <c r="K32" s="409"/>
      <c r="L32" s="410"/>
      <c r="M32" s="411"/>
      <c r="N32" s="595"/>
      <c r="O32" s="595"/>
      <c r="P32" s="595"/>
      <c r="Q32" s="595"/>
      <c r="R32" s="595"/>
    </row>
    <row r="33" spans="1:18" s="1" customFormat="1" ht="18" customHeight="1">
      <c r="A33" s="10"/>
      <c r="B33" s="464"/>
      <c r="C33" s="179" t="s">
        <v>487</v>
      </c>
      <c r="D33" s="462"/>
      <c r="E33" s="462"/>
      <c r="F33" s="462"/>
      <c r="G33" s="463"/>
      <c r="H33" s="95">
        <f>SUM(H34)</f>
        <v>3233000</v>
      </c>
      <c r="I33" s="95">
        <v>0</v>
      </c>
      <c r="J33" s="95">
        <f t="shared" ref="J33" si="4">H33-I33</f>
        <v>3233000</v>
      </c>
      <c r="K33" s="409"/>
      <c r="L33" s="410"/>
      <c r="M33" s="411"/>
      <c r="N33" s="655"/>
      <c r="O33" s="655"/>
      <c r="P33" s="655"/>
      <c r="Q33" s="655"/>
      <c r="R33" s="655"/>
    </row>
    <row r="34" spans="1:18" s="1" customFormat="1" ht="18" customHeight="1">
      <c r="A34" s="10"/>
      <c r="B34" s="464"/>
      <c r="C34" s="464"/>
      <c r="D34" s="354" t="s">
        <v>488</v>
      </c>
      <c r="E34" s="462"/>
      <c r="F34" s="462"/>
      <c r="G34" s="463"/>
      <c r="H34" s="465">
        <f>H35</f>
        <v>3233000</v>
      </c>
      <c r="I34" s="465">
        <v>0</v>
      </c>
      <c r="J34" s="92">
        <f>H34-I34</f>
        <v>3233000</v>
      </c>
      <c r="K34" s="355"/>
      <c r="L34" s="412"/>
      <c r="M34" s="411"/>
      <c r="N34" s="595"/>
      <c r="O34" s="595"/>
      <c r="P34" s="595"/>
      <c r="Q34" s="595"/>
      <c r="R34" s="595"/>
    </row>
    <row r="35" spans="1:18" s="1" customFormat="1" ht="18" customHeight="1">
      <c r="A35" s="10"/>
      <c r="B35" s="464"/>
      <c r="C35" s="466"/>
      <c r="D35" s="467"/>
      <c r="E35" s="354" t="s">
        <v>489</v>
      </c>
      <c r="F35" s="462"/>
      <c r="G35" s="463"/>
      <c r="H35" s="92">
        <f>H36</f>
        <v>3233000</v>
      </c>
      <c r="I35" s="92">
        <v>0</v>
      </c>
      <c r="J35" s="92">
        <f>H35-I35</f>
        <v>3233000</v>
      </c>
      <c r="K35" s="356"/>
      <c r="L35" s="398"/>
      <c r="M35" s="413"/>
      <c r="N35" s="595"/>
      <c r="O35" s="595"/>
      <c r="P35" s="595"/>
      <c r="Q35" s="595"/>
      <c r="R35" s="595"/>
    </row>
    <row r="36" spans="1:18" s="61" customFormat="1" ht="18" customHeight="1">
      <c r="A36" s="63"/>
      <c r="B36" s="364"/>
      <c r="C36" s="469"/>
      <c r="D36" s="470"/>
      <c r="E36" s="471"/>
      <c r="F36" s="472" t="s">
        <v>490</v>
      </c>
      <c r="G36" s="473"/>
      <c r="H36" s="98">
        <f>H37</f>
        <v>3233000</v>
      </c>
      <c r="I36" s="98">
        <v>0</v>
      </c>
      <c r="J36" s="98">
        <f t="shared" ref="J36:J37" si="5">H36-I36</f>
        <v>3233000</v>
      </c>
      <c r="K36" s="400"/>
      <c r="L36" s="357"/>
      <c r="M36" s="414"/>
      <c r="N36" s="595"/>
      <c r="O36" s="595"/>
      <c r="P36" s="595"/>
      <c r="Q36" s="595"/>
      <c r="R36" s="595"/>
    </row>
    <row r="37" spans="1:18" s="61" customFormat="1" ht="18" customHeight="1">
      <c r="A37" s="63"/>
      <c r="B37" s="364"/>
      <c r="C37" s="364"/>
      <c r="D37" s="365"/>
      <c r="E37" s="366"/>
      <c r="F37" s="366"/>
      <c r="G37" s="474" t="s">
        <v>491</v>
      </c>
      <c r="H37" s="41">
        <f>M37</f>
        <v>3233000</v>
      </c>
      <c r="I37" s="41">
        <v>0</v>
      </c>
      <c r="J37" s="41">
        <f t="shared" si="5"/>
        <v>3233000</v>
      </c>
      <c r="K37" s="393" t="s">
        <v>492</v>
      </c>
      <c r="L37" s="394"/>
      <c r="M37" s="415">
        <f>M38</f>
        <v>3233000</v>
      </c>
      <c r="N37" s="595"/>
      <c r="O37" s="595"/>
      <c r="P37" s="595"/>
      <c r="Q37" s="595"/>
      <c r="R37" s="595"/>
    </row>
    <row r="38" spans="1:18" s="61" customFormat="1" ht="30.75" customHeight="1">
      <c r="A38" s="63"/>
      <c r="B38" s="478"/>
      <c r="C38" s="478"/>
      <c r="D38" s="509"/>
      <c r="E38" s="550"/>
      <c r="F38" s="550"/>
      <c r="G38" s="550" t="s">
        <v>689</v>
      </c>
      <c r="H38" s="146"/>
      <c r="I38" s="146"/>
      <c r="J38" s="146"/>
      <c r="K38" s="575" t="s">
        <v>625</v>
      </c>
      <c r="L38" s="384" t="s">
        <v>0</v>
      </c>
      <c r="M38" s="540">
        <v>3233000</v>
      </c>
      <c r="N38" s="595"/>
      <c r="O38" s="595"/>
      <c r="P38" s="595"/>
      <c r="Q38" s="595"/>
      <c r="R38" s="595"/>
    </row>
    <row r="39" spans="1:18" s="1" customFormat="1" ht="18" customHeight="1">
      <c r="A39" s="10"/>
      <c r="B39" s="548" t="s">
        <v>633</v>
      </c>
      <c r="C39" s="548"/>
      <c r="D39" s="551"/>
      <c r="E39" s="551"/>
      <c r="F39" s="551"/>
      <c r="G39" s="552"/>
      <c r="H39" s="95">
        <f>SUM(H40,H53)</f>
        <v>1000000</v>
      </c>
      <c r="I39" s="95">
        <v>0</v>
      </c>
      <c r="J39" s="95">
        <f>H39-I39</f>
        <v>1000000</v>
      </c>
      <c r="K39" s="409"/>
      <c r="L39" s="410"/>
      <c r="M39" s="411"/>
      <c r="N39" s="595"/>
      <c r="O39" s="595"/>
      <c r="P39" s="595"/>
      <c r="Q39" s="595"/>
      <c r="R39" s="595"/>
    </row>
    <row r="40" spans="1:18" s="1" customFormat="1" ht="18" customHeight="1">
      <c r="A40" s="10"/>
      <c r="B40" s="464"/>
      <c r="C40" s="179" t="s">
        <v>629</v>
      </c>
      <c r="D40" s="462"/>
      <c r="E40" s="462"/>
      <c r="F40" s="462"/>
      <c r="G40" s="463"/>
      <c r="H40" s="95">
        <f>SUM(H41)</f>
        <v>1000000</v>
      </c>
      <c r="I40" s="95">
        <v>0</v>
      </c>
      <c r="J40" s="95">
        <f t="shared" ref="J40" si="6">H40-I40</f>
        <v>1000000</v>
      </c>
      <c r="K40" s="409"/>
      <c r="L40" s="410"/>
      <c r="M40" s="411"/>
      <c r="N40" s="655"/>
      <c r="O40" s="655"/>
      <c r="P40" s="655"/>
      <c r="Q40" s="655"/>
      <c r="R40" s="655"/>
    </row>
    <row r="41" spans="1:18" s="1" customFormat="1" ht="18" customHeight="1">
      <c r="A41" s="10"/>
      <c r="B41" s="464"/>
      <c r="C41" s="464"/>
      <c r="D41" s="354" t="s">
        <v>630</v>
      </c>
      <c r="E41" s="462"/>
      <c r="F41" s="462"/>
      <c r="G41" s="463"/>
      <c r="H41" s="465">
        <f>H42</f>
        <v>1000000</v>
      </c>
      <c r="I41" s="465">
        <v>0</v>
      </c>
      <c r="J41" s="92">
        <f>H41-I41</f>
        <v>1000000</v>
      </c>
      <c r="K41" s="355"/>
      <c r="L41" s="412"/>
      <c r="M41" s="411"/>
      <c r="N41" s="595"/>
      <c r="O41" s="595"/>
      <c r="P41" s="595"/>
      <c r="Q41" s="595"/>
      <c r="R41" s="595"/>
    </row>
    <row r="42" spans="1:18" s="1" customFormat="1" ht="18" customHeight="1">
      <c r="A42" s="10"/>
      <c r="B42" s="464"/>
      <c r="C42" s="466"/>
      <c r="D42" s="467"/>
      <c r="E42" s="354" t="s">
        <v>489</v>
      </c>
      <c r="F42" s="462"/>
      <c r="G42" s="463"/>
      <c r="H42" s="92">
        <f>H43</f>
        <v>1000000</v>
      </c>
      <c r="I42" s="92">
        <v>0</v>
      </c>
      <c r="J42" s="92">
        <f>H42-I42</f>
        <v>1000000</v>
      </c>
      <c r="K42" s="356"/>
      <c r="L42" s="398"/>
      <c r="M42" s="413"/>
      <c r="N42" s="595"/>
      <c r="O42" s="595"/>
      <c r="P42" s="595"/>
      <c r="Q42" s="595"/>
      <c r="R42" s="595"/>
    </row>
    <row r="43" spans="1:18" s="61" customFormat="1" ht="18" customHeight="1">
      <c r="A43" s="63"/>
      <c r="B43" s="364"/>
      <c r="C43" s="469"/>
      <c r="D43" s="470"/>
      <c r="E43" s="471"/>
      <c r="F43" s="472" t="s">
        <v>490</v>
      </c>
      <c r="G43" s="473"/>
      <c r="H43" s="98">
        <f>H44</f>
        <v>1000000</v>
      </c>
      <c r="I43" s="98">
        <v>0</v>
      </c>
      <c r="J43" s="98">
        <f t="shared" ref="J43:J44" si="7">H43-I43</f>
        <v>1000000</v>
      </c>
      <c r="K43" s="400"/>
      <c r="L43" s="357"/>
      <c r="M43" s="414"/>
      <c r="N43" s="595"/>
      <c r="O43" s="595"/>
      <c r="P43" s="595"/>
      <c r="Q43" s="595"/>
      <c r="R43" s="595"/>
    </row>
    <row r="44" spans="1:18" s="61" customFormat="1" ht="18" customHeight="1">
      <c r="A44" s="63"/>
      <c r="B44" s="364"/>
      <c r="C44" s="364"/>
      <c r="D44" s="365"/>
      <c r="E44" s="366"/>
      <c r="F44" s="366"/>
      <c r="G44" s="474" t="s">
        <v>491</v>
      </c>
      <c r="H44" s="41">
        <f>M44</f>
        <v>1000000</v>
      </c>
      <c r="I44" s="41">
        <v>0</v>
      </c>
      <c r="J44" s="41">
        <f t="shared" si="7"/>
        <v>1000000</v>
      </c>
      <c r="K44" s="393" t="s">
        <v>492</v>
      </c>
      <c r="L44" s="394"/>
      <c r="M44" s="415">
        <f>M45</f>
        <v>1000000</v>
      </c>
      <c r="N44" s="595"/>
      <c r="O44" s="595"/>
      <c r="P44" s="595"/>
      <c r="Q44" s="595"/>
      <c r="R44" s="595"/>
    </row>
    <row r="45" spans="1:18" s="61" customFormat="1" ht="30.75" customHeight="1">
      <c r="A45" s="63"/>
      <c r="B45" s="478"/>
      <c r="C45" s="478"/>
      <c r="D45" s="509"/>
      <c r="E45" s="550"/>
      <c r="F45" s="550"/>
      <c r="G45" s="550" t="s">
        <v>686</v>
      </c>
      <c r="H45" s="146"/>
      <c r="I45" s="146"/>
      <c r="J45" s="146"/>
      <c r="K45" s="575" t="s">
        <v>685</v>
      </c>
      <c r="L45" s="384" t="s">
        <v>0</v>
      </c>
      <c r="M45" s="540">
        <v>1000000</v>
      </c>
      <c r="N45" s="595"/>
      <c r="O45" s="595"/>
      <c r="P45" s="595"/>
      <c r="Q45" s="595"/>
      <c r="R45" s="595"/>
    </row>
    <row r="46" spans="1:18" s="1" customFormat="1" ht="18" customHeight="1">
      <c r="A46" s="10"/>
      <c r="B46" s="548" t="s">
        <v>631</v>
      </c>
      <c r="C46" s="548"/>
      <c r="D46" s="551"/>
      <c r="E46" s="551"/>
      <c r="F46" s="551"/>
      <c r="G46" s="552"/>
      <c r="H46" s="95">
        <f>SUM(H47,H60)</f>
        <v>2000000</v>
      </c>
      <c r="I46" s="95">
        <v>0</v>
      </c>
      <c r="J46" s="95">
        <f>H46-I46</f>
        <v>2000000</v>
      </c>
      <c r="K46" s="409"/>
      <c r="L46" s="410"/>
      <c r="M46" s="411"/>
      <c r="N46" s="595"/>
      <c r="O46" s="595"/>
      <c r="P46" s="595"/>
      <c r="Q46" s="595"/>
      <c r="R46" s="595"/>
    </row>
    <row r="47" spans="1:18" s="1" customFormat="1" ht="18" customHeight="1">
      <c r="A47" s="10"/>
      <c r="B47" s="464"/>
      <c r="C47" s="179" t="s">
        <v>632</v>
      </c>
      <c r="D47" s="462"/>
      <c r="E47" s="462"/>
      <c r="F47" s="462"/>
      <c r="G47" s="463"/>
      <c r="H47" s="95">
        <f>SUM(H48)</f>
        <v>2000000</v>
      </c>
      <c r="I47" s="95">
        <v>0</v>
      </c>
      <c r="J47" s="95">
        <f t="shared" ref="J47" si="8">H47-I47</f>
        <v>2000000</v>
      </c>
      <c r="K47" s="409"/>
      <c r="L47" s="410"/>
      <c r="M47" s="411"/>
      <c r="N47" s="655"/>
      <c r="O47" s="655"/>
      <c r="P47" s="655"/>
      <c r="Q47" s="655"/>
      <c r="R47" s="655"/>
    </row>
    <row r="48" spans="1:18" s="1" customFormat="1" ht="18" customHeight="1">
      <c r="A48" s="10"/>
      <c r="B48" s="464"/>
      <c r="C48" s="464"/>
      <c r="D48" s="179" t="s">
        <v>632</v>
      </c>
      <c r="E48" s="462"/>
      <c r="F48" s="462"/>
      <c r="G48" s="463"/>
      <c r="H48" s="465">
        <f>H49</f>
        <v>2000000</v>
      </c>
      <c r="I48" s="465">
        <v>0</v>
      </c>
      <c r="J48" s="92">
        <f>H48-I48</f>
        <v>2000000</v>
      </c>
      <c r="K48" s="355"/>
      <c r="L48" s="412"/>
      <c r="M48" s="411"/>
      <c r="N48" s="595"/>
      <c r="O48" s="595"/>
      <c r="P48" s="595"/>
      <c r="Q48" s="595"/>
      <c r="R48" s="595"/>
    </row>
    <row r="49" spans="1:18" s="1" customFormat="1" ht="18" customHeight="1">
      <c r="A49" s="10"/>
      <c r="B49" s="464"/>
      <c r="C49" s="466"/>
      <c r="D49" s="467"/>
      <c r="E49" s="354" t="s">
        <v>489</v>
      </c>
      <c r="F49" s="462"/>
      <c r="G49" s="463"/>
      <c r="H49" s="92">
        <f>H50</f>
        <v>2000000</v>
      </c>
      <c r="I49" s="92">
        <v>0</v>
      </c>
      <c r="J49" s="92">
        <f>H49-I49</f>
        <v>2000000</v>
      </c>
      <c r="K49" s="356"/>
      <c r="L49" s="398"/>
      <c r="M49" s="413"/>
      <c r="N49" s="595"/>
      <c r="O49" s="595"/>
      <c r="P49" s="595"/>
      <c r="Q49" s="595"/>
      <c r="R49" s="595"/>
    </row>
    <row r="50" spans="1:18" s="61" customFormat="1" ht="18" customHeight="1">
      <c r="A50" s="63"/>
      <c r="B50" s="364"/>
      <c r="C50" s="469"/>
      <c r="D50" s="470"/>
      <c r="E50" s="471"/>
      <c r="F50" s="472" t="s">
        <v>490</v>
      </c>
      <c r="G50" s="473"/>
      <c r="H50" s="98">
        <f>H51</f>
        <v>2000000</v>
      </c>
      <c r="I50" s="98">
        <v>0</v>
      </c>
      <c r="J50" s="98">
        <f t="shared" ref="J50:J51" si="9">H50-I50</f>
        <v>2000000</v>
      </c>
      <c r="K50" s="400"/>
      <c r="L50" s="357"/>
      <c r="M50" s="414"/>
      <c r="N50" s="595"/>
      <c r="O50" s="595"/>
      <c r="P50" s="595"/>
      <c r="Q50" s="595"/>
      <c r="R50" s="595"/>
    </row>
    <row r="51" spans="1:18" s="61" customFormat="1" ht="18" customHeight="1">
      <c r="A51" s="63"/>
      <c r="B51" s="364"/>
      <c r="C51" s="364"/>
      <c r="D51" s="365"/>
      <c r="E51" s="366"/>
      <c r="F51" s="366"/>
      <c r="G51" s="474" t="s">
        <v>491</v>
      </c>
      <c r="H51" s="41">
        <f>M51</f>
        <v>2000000</v>
      </c>
      <c r="I51" s="41">
        <v>0</v>
      </c>
      <c r="J51" s="41">
        <f t="shared" si="9"/>
        <v>2000000</v>
      </c>
      <c r="K51" s="393" t="s">
        <v>492</v>
      </c>
      <c r="L51" s="394"/>
      <c r="M51" s="415">
        <f>M52</f>
        <v>2000000</v>
      </c>
      <c r="N51" s="595"/>
      <c r="O51" s="595"/>
      <c r="P51" s="595"/>
      <c r="Q51" s="595"/>
      <c r="R51" s="595"/>
    </row>
    <row r="52" spans="1:18" s="61" customFormat="1" ht="30.75" customHeight="1" thickBot="1">
      <c r="A52" s="291"/>
      <c r="B52" s="515"/>
      <c r="C52" s="515"/>
      <c r="D52" s="541"/>
      <c r="E52" s="542"/>
      <c r="F52" s="542"/>
      <c r="G52" s="542" t="s">
        <v>688</v>
      </c>
      <c r="H52" s="231"/>
      <c r="I52" s="231"/>
      <c r="J52" s="231"/>
      <c r="K52" s="589" t="s">
        <v>687</v>
      </c>
      <c r="L52" s="416" t="s">
        <v>0</v>
      </c>
      <c r="M52" s="543">
        <v>2000000</v>
      </c>
      <c r="N52" s="595"/>
      <c r="O52" s="595"/>
      <c r="P52" s="595"/>
      <c r="Q52" s="595"/>
      <c r="R52" s="595"/>
    </row>
    <row r="53" spans="1:18">
      <c r="B53" s="368"/>
      <c r="C53" s="368"/>
      <c r="D53" s="368"/>
      <c r="E53" s="368"/>
      <c r="F53" s="368"/>
      <c r="G53" s="368"/>
    </row>
  </sheetData>
  <protectedRanges>
    <protectedRange password="ECE8" sqref="N32:Z35 N25:Z27 N46:Z49 N39:Z42" name="작성자만수정_2_1_1"/>
  </protectedRanges>
  <autoFilter ref="A3:M24">
    <filterColumn colId="10" showButton="0"/>
    <filterColumn colId="11" showButton="0"/>
  </autoFilter>
  <mergeCells count="13">
    <mergeCell ref="N47:R47"/>
    <mergeCell ref="N40:R40"/>
    <mergeCell ref="N33:R33"/>
    <mergeCell ref="K2:M3"/>
    <mergeCell ref="F19:G19"/>
    <mergeCell ref="J2:J3"/>
    <mergeCell ref="A4:G4"/>
    <mergeCell ref="F15:G15"/>
    <mergeCell ref="A2:A3"/>
    <mergeCell ref="B2:D2"/>
    <mergeCell ref="E2:G2"/>
    <mergeCell ref="H2:H3"/>
    <mergeCell ref="I2:I3"/>
  </mergeCells>
  <phoneticPr fontId="12" type="noConversion"/>
  <conditionalFormatting sqref="J20:J21">
    <cfRule type="containsText" dxfId="593" priority="133" operator="containsText" text="허하나로">
      <formula>NOT(ISERROR(SEARCH("허하나로",H1066)))</formula>
    </cfRule>
    <cfRule type="containsText" dxfId="592" priority="134" operator="containsText" text="한별">
      <formula>NOT(ISERROR(SEARCH("한별",H1066)))</formula>
    </cfRule>
    <cfRule type="containsText" dxfId="591" priority="135" operator="containsText" text="정홍조">
      <formula>NOT(ISERROR(SEARCH("정홍조",H1066)))</formula>
    </cfRule>
    <cfRule type="containsText" dxfId="590" priority="136" operator="containsText" text="김지윤">
      <formula>NOT(ISERROR(SEARCH("김지윤",H1066)))</formula>
    </cfRule>
    <cfRule type="containsText" dxfId="589" priority="137" operator="containsText" text="전준영">
      <formula>NOT(ISERROR(SEARCH("전준영",H1066)))</formula>
    </cfRule>
    <cfRule type="containsText" dxfId="588" priority="138" operator="containsText" text="차재성">
      <formula>NOT(ISERROR(SEARCH("차재성",H1066)))</formula>
    </cfRule>
  </conditionalFormatting>
  <conditionalFormatting sqref="J6">
    <cfRule type="containsText" dxfId="587" priority="145" operator="containsText" text="허하나로">
      <formula>NOT(ISERROR(SEARCH("허하나로",H703)))</formula>
    </cfRule>
    <cfRule type="containsText" dxfId="586" priority="146" operator="containsText" text="한별">
      <formula>NOT(ISERROR(SEARCH("한별",H703)))</formula>
    </cfRule>
    <cfRule type="containsText" dxfId="585" priority="147" operator="containsText" text="정홍조">
      <formula>NOT(ISERROR(SEARCH("정홍조",H703)))</formula>
    </cfRule>
    <cfRule type="containsText" dxfId="584" priority="148" operator="containsText" text="김지윤">
      <formula>NOT(ISERROR(SEARCH("김지윤",H703)))</formula>
    </cfRule>
    <cfRule type="containsText" dxfId="583" priority="149" operator="containsText" text="전준영">
      <formula>NOT(ISERROR(SEARCH("전준영",H703)))</formula>
    </cfRule>
    <cfRule type="containsText" dxfId="582" priority="150" operator="containsText" text="차재성">
      <formula>NOT(ISERROR(SEARCH("차재성",H703)))</formula>
    </cfRule>
  </conditionalFormatting>
  <conditionalFormatting sqref="J7">
    <cfRule type="containsText" dxfId="581" priority="127" operator="containsText" text="허하나로">
      <formula>NOT(ISERROR(SEARCH("허하나로",H836)))</formula>
    </cfRule>
    <cfRule type="containsText" dxfId="580" priority="128" operator="containsText" text="한별">
      <formula>NOT(ISERROR(SEARCH("한별",H836)))</formula>
    </cfRule>
    <cfRule type="containsText" dxfId="579" priority="129" operator="containsText" text="정홍조">
      <formula>NOT(ISERROR(SEARCH("정홍조",H836)))</formula>
    </cfRule>
    <cfRule type="containsText" dxfId="578" priority="130" operator="containsText" text="김지윤">
      <formula>NOT(ISERROR(SEARCH("김지윤",H836)))</formula>
    </cfRule>
    <cfRule type="containsText" dxfId="577" priority="131" operator="containsText" text="전준영">
      <formula>NOT(ISERROR(SEARCH("전준영",H836)))</formula>
    </cfRule>
    <cfRule type="containsText" dxfId="576" priority="132" operator="containsText" text="차재성">
      <formula>NOT(ISERROR(SEARCH("차재성",H836)))</formula>
    </cfRule>
  </conditionalFormatting>
  <conditionalFormatting sqref="J10:J11">
    <cfRule type="containsText" dxfId="575" priority="121" operator="containsText" text="허하나로">
      <formula>NOT(ISERROR(SEARCH("허하나로",H1044)))</formula>
    </cfRule>
    <cfRule type="containsText" dxfId="574" priority="122" operator="containsText" text="한별">
      <formula>NOT(ISERROR(SEARCH("한별",H1044)))</formula>
    </cfRule>
    <cfRule type="containsText" dxfId="573" priority="123" operator="containsText" text="정홍조">
      <formula>NOT(ISERROR(SEARCH("정홍조",H1044)))</formula>
    </cfRule>
    <cfRule type="containsText" dxfId="572" priority="124" operator="containsText" text="김지윤">
      <formula>NOT(ISERROR(SEARCH("김지윤",H1044)))</formula>
    </cfRule>
    <cfRule type="containsText" dxfId="571" priority="125" operator="containsText" text="전준영">
      <formula>NOT(ISERROR(SEARCH("전준영",H1044)))</formula>
    </cfRule>
    <cfRule type="containsText" dxfId="570" priority="126" operator="containsText" text="차재성">
      <formula>NOT(ISERROR(SEARCH("차재성",H1044)))</formula>
    </cfRule>
  </conditionalFormatting>
  <conditionalFormatting sqref="J9">
    <cfRule type="containsText" dxfId="569" priority="163" operator="containsText" text="허하나로">
      <formula>NOT(ISERROR(SEARCH("허하나로",H1033)))</formula>
    </cfRule>
    <cfRule type="containsText" dxfId="568" priority="164" operator="containsText" text="한별">
      <formula>NOT(ISERROR(SEARCH("한별",H1033)))</formula>
    </cfRule>
    <cfRule type="containsText" dxfId="567" priority="165" operator="containsText" text="정홍조">
      <formula>NOT(ISERROR(SEARCH("정홍조",H1033)))</formula>
    </cfRule>
    <cfRule type="containsText" dxfId="566" priority="166" operator="containsText" text="김지윤">
      <formula>NOT(ISERROR(SEARCH("김지윤",H1033)))</formula>
    </cfRule>
    <cfRule type="containsText" dxfId="565" priority="167" operator="containsText" text="전준영">
      <formula>NOT(ISERROR(SEARCH("전준영",H1033)))</formula>
    </cfRule>
    <cfRule type="containsText" dxfId="564" priority="168" operator="containsText" text="차재성">
      <formula>NOT(ISERROR(SEARCH("차재성",H1033)))</formula>
    </cfRule>
  </conditionalFormatting>
  <conditionalFormatting sqref="J15:J18">
    <cfRule type="containsText" dxfId="563" priority="169" operator="containsText" text="허하나로">
      <formula>NOT(ISERROR(SEARCH("허하나로",H1046)))</formula>
    </cfRule>
    <cfRule type="containsText" dxfId="562" priority="170" operator="containsText" text="한별">
      <formula>NOT(ISERROR(SEARCH("한별",H1046)))</formula>
    </cfRule>
    <cfRule type="containsText" dxfId="561" priority="171" operator="containsText" text="정홍조">
      <formula>NOT(ISERROR(SEARCH("정홍조",H1046)))</formula>
    </cfRule>
    <cfRule type="containsText" dxfId="560" priority="172" operator="containsText" text="김지윤">
      <formula>NOT(ISERROR(SEARCH("김지윤",H1046)))</formula>
    </cfRule>
    <cfRule type="containsText" dxfId="559" priority="173" operator="containsText" text="전준영">
      <formula>NOT(ISERROR(SEARCH("전준영",H1046)))</formula>
    </cfRule>
    <cfRule type="containsText" dxfId="558" priority="174" operator="containsText" text="차재성">
      <formula>NOT(ISERROR(SEARCH("차재성",H1046)))</formula>
    </cfRule>
  </conditionalFormatting>
  <conditionalFormatting sqref="J19">
    <cfRule type="containsText" dxfId="557" priority="109" operator="containsText" text="허하나로">
      <formula>NOT(ISERROR(SEARCH("허하나로",H1050)))</formula>
    </cfRule>
    <cfRule type="containsText" dxfId="556" priority="110" operator="containsText" text="한별">
      <formula>NOT(ISERROR(SEARCH("한별",H1050)))</formula>
    </cfRule>
    <cfRule type="containsText" dxfId="555" priority="111" operator="containsText" text="정홍조">
      <formula>NOT(ISERROR(SEARCH("정홍조",H1050)))</formula>
    </cfRule>
    <cfRule type="containsText" dxfId="554" priority="112" operator="containsText" text="김지윤">
      <formula>NOT(ISERROR(SEARCH("김지윤",H1050)))</formula>
    </cfRule>
    <cfRule type="containsText" dxfId="553" priority="113" operator="containsText" text="전준영">
      <formula>NOT(ISERROR(SEARCH("전준영",H1050)))</formula>
    </cfRule>
    <cfRule type="containsText" dxfId="552" priority="114" operator="containsText" text="차재성">
      <formula>NOT(ISERROR(SEARCH("차재성",H1050)))</formula>
    </cfRule>
  </conditionalFormatting>
  <conditionalFormatting sqref="L16">
    <cfRule type="containsText" dxfId="551" priority="103" operator="containsText" text="허하나로">
      <formula>NOT(ISERROR(SEARCH("허하나로",J1181)))</formula>
    </cfRule>
    <cfRule type="containsText" dxfId="550" priority="104" operator="containsText" text="한별">
      <formula>NOT(ISERROR(SEARCH("한별",J1181)))</formula>
    </cfRule>
    <cfRule type="containsText" dxfId="549" priority="105" operator="containsText" text="정홍조">
      <formula>NOT(ISERROR(SEARCH("정홍조",J1181)))</formula>
    </cfRule>
    <cfRule type="containsText" dxfId="548" priority="106" operator="containsText" text="김지윤">
      <formula>NOT(ISERROR(SEARCH("김지윤",J1181)))</formula>
    </cfRule>
    <cfRule type="containsText" dxfId="547" priority="107" operator="containsText" text="전준영">
      <formula>NOT(ISERROR(SEARCH("전준영",J1181)))</formula>
    </cfRule>
    <cfRule type="containsText" dxfId="546" priority="108" operator="containsText" text="차재성">
      <formula>NOT(ISERROR(SEARCH("차재성",J1181)))</formula>
    </cfRule>
  </conditionalFormatting>
  <conditionalFormatting sqref="I21">
    <cfRule type="containsText" dxfId="545" priority="97" operator="containsText" text="허하나로">
      <formula>NOT(ISERROR(SEARCH("허하나로",G1067)))</formula>
    </cfRule>
    <cfRule type="containsText" dxfId="544" priority="98" operator="containsText" text="한별">
      <formula>NOT(ISERROR(SEARCH("한별",G1067)))</formula>
    </cfRule>
    <cfRule type="containsText" dxfId="543" priority="99" operator="containsText" text="정홍조">
      <formula>NOT(ISERROR(SEARCH("정홍조",G1067)))</formula>
    </cfRule>
    <cfRule type="containsText" dxfId="542" priority="100" operator="containsText" text="김지윤">
      <formula>NOT(ISERROR(SEARCH("김지윤",G1067)))</formula>
    </cfRule>
    <cfRule type="containsText" dxfId="541" priority="101" operator="containsText" text="전준영">
      <formula>NOT(ISERROR(SEARCH("전준영",G1067)))</formula>
    </cfRule>
    <cfRule type="containsText" dxfId="540" priority="102" operator="containsText" text="차재성">
      <formula>NOT(ISERROR(SEARCH("차재성",G1067)))</formula>
    </cfRule>
  </conditionalFormatting>
  <conditionalFormatting sqref="J12">
    <cfRule type="containsText" dxfId="539" priority="3811" operator="containsText" text="허하나로">
      <formula>NOT(ISERROR(SEARCH("허하나로",H1035)))</formula>
    </cfRule>
    <cfRule type="containsText" dxfId="538" priority="3812" operator="containsText" text="한별">
      <formula>NOT(ISERROR(SEARCH("한별",H1035)))</formula>
    </cfRule>
    <cfRule type="containsText" dxfId="537" priority="3813" operator="containsText" text="정홍조">
      <formula>NOT(ISERROR(SEARCH("정홍조",H1035)))</formula>
    </cfRule>
    <cfRule type="containsText" dxfId="536" priority="3814" operator="containsText" text="김지윤">
      <formula>NOT(ISERROR(SEARCH("김지윤",H1035)))</formula>
    </cfRule>
    <cfRule type="containsText" dxfId="535" priority="3815" operator="containsText" text="전준영">
      <formula>NOT(ISERROR(SEARCH("전준영",H1035)))</formula>
    </cfRule>
    <cfRule type="containsText" dxfId="534" priority="3816" operator="containsText" text="차재성">
      <formula>NOT(ISERROR(SEARCH("차재성",H1035)))</formula>
    </cfRule>
  </conditionalFormatting>
  <conditionalFormatting sqref="J2:J3">
    <cfRule type="containsText" dxfId="533" priority="61" operator="containsText" text="허하나로">
      <formula>NOT(ISERROR(SEARCH("허하나로",H790)))</formula>
    </cfRule>
    <cfRule type="containsText" dxfId="532" priority="62" operator="containsText" text="한별">
      <formula>NOT(ISERROR(SEARCH("한별",H790)))</formula>
    </cfRule>
    <cfRule type="containsText" dxfId="531" priority="63" operator="containsText" text="정홍조">
      <formula>NOT(ISERROR(SEARCH("정홍조",H790)))</formula>
    </cfRule>
    <cfRule type="containsText" dxfId="530" priority="64" operator="containsText" text="김지윤">
      <formula>NOT(ISERROR(SEARCH("김지윤",H790)))</formula>
    </cfRule>
    <cfRule type="containsText" dxfId="529" priority="65" operator="containsText" text="전준영">
      <formula>NOT(ISERROR(SEARCH("전준영",H790)))</formula>
    </cfRule>
    <cfRule type="containsText" dxfId="528" priority="66" operator="containsText" text="차재성">
      <formula>NOT(ISERROR(SEARCH("차재성",H790)))</formula>
    </cfRule>
  </conditionalFormatting>
  <conditionalFormatting sqref="J34:J35">
    <cfRule type="containsText" dxfId="527" priority="55" operator="containsText" text="허하나로">
      <formula>NOT(ISERROR(SEARCH("허하나로",H1049)))</formula>
    </cfRule>
    <cfRule type="containsText" dxfId="526" priority="56" operator="containsText" text="한별">
      <formula>NOT(ISERROR(SEARCH("한별",H1049)))</formula>
    </cfRule>
    <cfRule type="containsText" dxfId="525" priority="57" operator="containsText" text="정홍조">
      <formula>NOT(ISERROR(SEARCH("정홍조",H1049)))</formula>
    </cfRule>
    <cfRule type="containsText" dxfId="524" priority="58" operator="containsText" text="김지윤">
      <formula>NOT(ISERROR(SEARCH("김지윤",H1049)))</formula>
    </cfRule>
    <cfRule type="containsText" dxfId="523" priority="59" operator="containsText" text="전준영">
      <formula>NOT(ISERROR(SEARCH("전준영",H1049)))</formula>
    </cfRule>
    <cfRule type="containsText" dxfId="522" priority="60" operator="containsText" text="차재성">
      <formula>NOT(ISERROR(SEARCH("차재성",H1049)))</formula>
    </cfRule>
  </conditionalFormatting>
  <conditionalFormatting sqref="J32:J33">
    <cfRule type="containsText" dxfId="521" priority="49" operator="containsText" text="허하나로">
      <formula>NOT(ISERROR(SEARCH("허하나로",H737)))</formula>
    </cfRule>
    <cfRule type="containsText" dxfId="520" priority="50" operator="containsText" text="한별">
      <formula>NOT(ISERROR(SEARCH("한별",H737)))</formula>
    </cfRule>
    <cfRule type="containsText" dxfId="519" priority="51" operator="containsText" text="정홍조">
      <formula>NOT(ISERROR(SEARCH("정홍조",H737)))</formula>
    </cfRule>
    <cfRule type="containsText" dxfId="518" priority="52" operator="containsText" text="김지윤">
      <formula>NOT(ISERROR(SEARCH("김지윤",H737)))</formula>
    </cfRule>
    <cfRule type="containsText" dxfId="517" priority="53" operator="containsText" text="전준영">
      <formula>NOT(ISERROR(SEARCH("전준영",H737)))</formula>
    </cfRule>
    <cfRule type="containsText" dxfId="516" priority="54" operator="containsText" text="차재성">
      <formula>NOT(ISERROR(SEARCH("차재성",H737)))</formula>
    </cfRule>
  </conditionalFormatting>
  <conditionalFormatting sqref="J31">
    <cfRule type="containsText" dxfId="515" priority="43" operator="containsText" text="허하나로">
      <formula>NOT(ISERROR(SEARCH("허하나로",H722)))</formula>
    </cfRule>
    <cfRule type="containsText" dxfId="514" priority="44" operator="containsText" text="한별">
      <formula>NOT(ISERROR(SEARCH("한별",H722)))</formula>
    </cfRule>
    <cfRule type="containsText" dxfId="513" priority="45" operator="containsText" text="정홍조">
      <formula>NOT(ISERROR(SEARCH("정홍조",H722)))</formula>
    </cfRule>
    <cfRule type="containsText" dxfId="512" priority="46" operator="containsText" text="김지윤">
      <formula>NOT(ISERROR(SEARCH("김지윤",H722)))</formula>
    </cfRule>
    <cfRule type="containsText" dxfId="511" priority="47" operator="containsText" text="전준영">
      <formula>NOT(ISERROR(SEARCH("전준영",H722)))</formula>
    </cfRule>
    <cfRule type="containsText" dxfId="510" priority="48" operator="containsText" text="차재성">
      <formula>NOT(ISERROR(SEARCH("차재성",H722)))</formula>
    </cfRule>
  </conditionalFormatting>
  <conditionalFormatting sqref="J26:J27">
    <cfRule type="containsText" dxfId="509" priority="37" operator="containsText" text="허하나로">
      <formula>NOT(ISERROR(SEARCH("허하나로",H1056)))</formula>
    </cfRule>
    <cfRule type="containsText" dxfId="508" priority="38" operator="containsText" text="한별">
      <formula>NOT(ISERROR(SEARCH("한별",H1056)))</formula>
    </cfRule>
    <cfRule type="containsText" dxfId="507" priority="39" operator="containsText" text="정홍조">
      <formula>NOT(ISERROR(SEARCH("정홍조",H1056)))</formula>
    </cfRule>
    <cfRule type="containsText" dxfId="506" priority="40" operator="containsText" text="김지윤">
      <formula>NOT(ISERROR(SEARCH("김지윤",H1056)))</formula>
    </cfRule>
    <cfRule type="containsText" dxfId="505" priority="41" operator="containsText" text="전준영">
      <formula>NOT(ISERROR(SEARCH("전준영",H1056)))</formula>
    </cfRule>
    <cfRule type="containsText" dxfId="504" priority="42" operator="containsText" text="차재성">
      <formula>NOT(ISERROR(SEARCH("차재성",H1056)))</formula>
    </cfRule>
  </conditionalFormatting>
  <conditionalFormatting sqref="J25">
    <cfRule type="containsText" dxfId="503" priority="31" operator="containsText" text="허하나로">
      <formula>NOT(ISERROR(SEARCH("허하나로",H745)))</formula>
    </cfRule>
    <cfRule type="containsText" dxfId="502" priority="32" operator="containsText" text="한별">
      <formula>NOT(ISERROR(SEARCH("한별",H745)))</formula>
    </cfRule>
    <cfRule type="containsText" dxfId="501" priority="33" operator="containsText" text="정홍조">
      <formula>NOT(ISERROR(SEARCH("정홍조",H745)))</formula>
    </cfRule>
    <cfRule type="containsText" dxfId="500" priority="34" operator="containsText" text="김지윤">
      <formula>NOT(ISERROR(SEARCH("김지윤",H745)))</formula>
    </cfRule>
    <cfRule type="containsText" dxfId="499" priority="35" operator="containsText" text="전준영">
      <formula>NOT(ISERROR(SEARCH("전준영",H745)))</formula>
    </cfRule>
    <cfRule type="containsText" dxfId="498" priority="36" operator="containsText" text="차재성">
      <formula>NOT(ISERROR(SEARCH("차재성",H745)))</formula>
    </cfRule>
  </conditionalFormatting>
  <conditionalFormatting sqref="J48:J49">
    <cfRule type="containsText" dxfId="497" priority="25" operator="containsText" text="허하나로">
      <formula>NOT(ISERROR(SEARCH("허하나로",H1056)))</formula>
    </cfRule>
    <cfRule type="containsText" dxfId="496" priority="26" operator="containsText" text="한별">
      <formula>NOT(ISERROR(SEARCH("한별",H1056)))</formula>
    </cfRule>
    <cfRule type="containsText" dxfId="495" priority="27" operator="containsText" text="정홍조">
      <formula>NOT(ISERROR(SEARCH("정홍조",H1056)))</formula>
    </cfRule>
    <cfRule type="containsText" dxfId="494" priority="28" operator="containsText" text="김지윤">
      <formula>NOT(ISERROR(SEARCH("김지윤",H1056)))</formula>
    </cfRule>
    <cfRule type="containsText" dxfId="493" priority="29" operator="containsText" text="전준영">
      <formula>NOT(ISERROR(SEARCH("전준영",H1056)))</formula>
    </cfRule>
    <cfRule type="containsText" dxfId="492" priority="30" operator="containsText" text="차재성">
      <formula>NOT(ISERROR(SEARCH("차재성",H1056)))</formula>
    </cfRule>
  </conditionalFormatting>
  <conditionalFormatting sqref="J46:J47">
    <cfRule type="containsText" dxfId="491" priority="19" operator="containsText" text="허하나로">
      <formula>NOT(ISERROR(SEARCH("허하나로",H744)))</formula>
    </cfRule>
    <cfRule type="containsText" dxfId="490" priority="20" operator="containsText" text="한별">
      <formula>NOT(ISERROR(SEARCH("한별",H744)))</formula>
    </cfRule>
    <cfRule type="containsText" dxfId="489" priority="21" operator="containsText" text="정홍조">
      <formula>NOT(ISERROR(SEARCH("정홍조",H744)))</formula>
    </cfRule>
    <cfRule type="containsText" dxfId="488" priority="22" operator="containsText" text="김지윤">
      <formula>NOT(ISERROR(SEARCH("김지윤",H744)))</formula>
    </cfRule>
    <cfRule type="containsText" dxfId="487" priority="23" operator="containsText" text="전준영">
      <formula>NOT(ISERROR(SEARCH("전준영",H744)))</formula>
    </cfRule>
    <cfRule type="containsText" dxfId="486" priority="24" operator="containsText" text="차재성">
      <formula>NOT(ISERROR(SEARCH("차재성",H744)))</formula>
    </cfRule>
  </conditionalFormatting>
  <conditionalFormatting sqref="J41:J42">
    <cfRule type="containsText" dxfId="485" priority="13" operator="containsText" text="허하나로">
      <formula>NOT(ISERROR(SEARCH("허하나로",H1049)))</formula>
    </cfRule>
    <cfRule type="containsText" dxfId="484" priority="14" operator="containsText" text="한별">
      <formula>NOT(ISERROR(SEARCH("한별",H1049)))</formula>
    </cfRule>
    <cfRule type="containsText" dxfId="483" priority="15" operator="containsText" text="정홍조">
      <formula>NOT(ISERROR(SEARCH("정홍조",H1049)))</formula>
    </cfRule>
    <cfRule type="containsText" dxfId="482" priority="16" operator="containsText" text="김지윤">
      <formula>NOT(ISERROR(SEARCH("김지윤",H1049)))</formula>
    </cfRule>
    <cfRule type="containsText" dxfId="481" priority="17" operator="containsText" text="전준영">
      <formula>NOT(ISERROR(SEARCH("전준영",H1049)))</formula>
    </cfRule>
    <cfRule type="containsText" dxfId="480" priority="18" operator="containsText" text="차재성">
      <formula>NOT(ISERROR(SEARCH("차재성",H1049)))</formula>
    </cfRule>
  </conditionalFormatting>
  <conditionalFormatting sqref="J39:J40">
    <cfRule type="containsText" dxfId="479" priority="7" operator="containsText" text="허하나로">
      <formula>NOT(ISERROR(SEARCH("허하나로",H737)))</formula>
    </cfRule>
    <cfRule type="containsText" dxfId="478" priority="8" operator="containsText" text="한별">
      <formula>NOT(ISERROR(SEARCH("한별",H737)))</formula>
    </cfRule>
    <cfRule type="containsText" dxfId="477" priority="9" operator="containsText" text="정홍조">
      <formula>NOT(ISERROR(SEARCH("정홍조",H737)))</formula>
    </cfRule>
    <cfRule type="containsText" dxfId="476" priority="10" operator="containsText" text="김지윤">
      <formula>NOT(ISERROR(SEARCH("김지윤",H737)))</formula>
    </cfRule>
    <cfRule type="containsText" dxfId="475" priority="11" operator="containsText" text="전준영">
      <formula>NOT(ISERROR(SEARCH("전준영",H737)))</formula>
    </cfRule>
    <cfRule type="containsText" dxfId="474" priority="12" operator="containsText" text="차재성">
      <formula>NOT(ISERROR(SEARCH("차재성",H737)))</formula>
    </cfRule>
  </conditionalFormatting>
  <conditionalFormatting sqref="J5">
    <cfRule type="containsText" dxfId="473" priority="1" operator="containsText" text="허하나로">
      <formula>NOT(ISERROR(SEARCH("허하나로",H702)))</formula>
    </cfRule>
    <cfRule type="containsText" dxfId="472" priority="2" operator="containsText" text="한별">
      <formula>NOT(ISERROR(SEARCH("한별",H702)))</formula>
    </cfRule>
    <cfRule type="containsText" dxfId="471" priority="3" operator="containsText" text="정홍조">
      <formula>NOT(ISERROR(SEARCH("정홍조",H702)))</formula>
    </cfRule>
    <cfRule type="containsText" dxfId="470" priority="4" operator="containsText" text="김지윤">
      <formula>NOT(ISERROR(SEARCH("김지윤",H702)))</formula>
    </cfRule>
    <cfRule type="containsText" dxfId="469" priority="5" operator="containsText" text="전준영">
      <formula>NOT(ISERROR(SEARCH("전준영",H702)))</formula>
    </cfRule>
    <cfRule type="containsText" dxfId="468" priority="6" operator="containsText" text="차재성">
      <formula>NOT(ISERROR(SEARCH("차재성",H702)))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30" max="12" man="1"/>
  </rowBreaks>
  <colBreaks count="1" manualBreakCount="1">
    <brk id="13" max="3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9" operator="containsText" text="허하나로" id="{84904E4D-5B15-4B62-AA9C-8EB1E5502C8B}">
            <xm:f>NOT(ISERROR(SEARCH("허하나로",행사부!H1022)))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3AE28599-61A9-40FF-910A-ED8FEC8BB27B}">
            <xm:f>NOT(ISERROR(SEARCH("한별",행사부!H1022)))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2121DB8C-F976-45F3-8569-4B4FACF40458}">
            <xm:f>NOT(ISERROR(SEARCH("정홍조",행사부!H1022)))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CC22703E-A09D-41E3-854D-D4FA6F2E1DCE}">
            <xm:f>NOT(ISERROR(SEARCH("김지윤",행사부!H1022)))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211100FC-96EF-4F21-B3AA-EAB7669CDF51}">
            <xm:f>NOT(ISERROR(SEARCH("전준영",행사부!H1022)))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D5343758-1DA8-4C58-AC02-3AE3F9CAD79A}">
            <xm:f>NOT(ISERROR(SEARCH("차재성",행사부!H1022)))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J13:J14</xm:sqref>
        </x14:conditionalFormatting>
        <x14:conditionalFormatting xmlns:xm="http://schemas.microsoft.com/office/excel/2006/main">
          <x14:cfRule type="containsText" priority="73" operator="containsText" text="허하나로" id="{73EEA989-06D8-43D8-97E0-C9877023C63C}">
            <xm:f>NOT(ISERROR(SEARCH("허하나로",행정관리부!H1040)))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C16141EF-4399-46BB-812F-F1F5F5C8F599}">
            <xm:f>NOT(ISERROR(SEARCH("한별",행정관리부!H1040)))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32A3A687-A26F-4881-8BE8-098DB7C7C929}">
            <xm:f>NOT(ISERROR(SEARCH("정홍조",행정관리부!H1040)))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75BD8FE2-8F17-4E0F-AF68-57AD6388DF06}">
            <xm:f>NOT(ISERROR(SEARCH("김지윤",행정관리부!H1040)))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D5FE593C-1B16-48A5-9411-143133F13B5D}">
            <xm:f>NOT(ISERROR(SEARCH("전준영",행정관리부!H1040)))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BFFD7824-8657-4D20-ADF4-0A510F7278D6}">
            <xm:f>NOT(ISERROR(SEARCH("차재성",행정관리부!H1040)))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67" operator="containsText" text="허하나로" id="{05D302D0-1596-4FFA-9E67-35D13F14893F}">
            <xm:f>NOT(ISERROR(SEARCH("허하나로",행정관리부!H1096)))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59E41D1D-434E-49CE-875B-7F9D602DB4C5}">
            <xm:f>NOT(ISERROR(SEARCH("한별",행정관리부!H1096)))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314939BA-B48C-4E1B-BB16-261B18A7D298}">
            <xm:f>NOT(ISERROR(SEARCH("정홍조",행정관리부!H1096)))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F7B68215-819D-44FE-8EA7-3057AB7CDE8B}">
            <xm:f>NOT(ISERROR(SEARCH("김지윤",행정관리부!H1096)))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A35168AE-39FE-4977-B984-4C61F6F4B286}">
            <xm:f>NOT(ISERROR(SEARCH("전준영",행정관리부!H1096)))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FBFB1745-6FD6-4FB0-829C-839E13FAD414}">
            <xm:f>NOT(ISERROR(SEARCH("차재성",행정관리부!H1096)))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P40"/>
  <sheetViews>
    <sheetView zoomScale="85" zoomScaleNormal="85" workbookViewId="0"/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11.5" style="595" bestFit="1" customWidth="1"/>
    <col min="16" max="16" width="11.5" bestFit="1" customWidth="1"/>
  </cols>
  <sheetData>
    <row r="1" spans="1:16" ht="17.25" thickBot="1">
      <c r="A1" s="88" t="s">
        <v>466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6" ht="16.5" customHeight="1">
      <c r="A2" s="643" t="s">
        <v>21</v>
      </c>
      <c r="B2" s="645" t="s">
        <v>22</v>
      </c>
      <c r="C2" s="646"/>
      <c r="D2" s="647"/>
      <c r="E2" s="645" t="s">
        <v>23</v>
      </c>
      <c r="F2" s="646"/>
      <c r="G2" s="647"/>
      <c r="H2" s="623" t="s">
        <v>660</v>
      </c>
      <c r="I2" s="623" t="s">
        <v>543</v>
      </c>
      <c r="J2" s="648" t="s">
        <v>468</v>
      </c>
      <c r="K2" s="634" t="s">
        <v>1</v>
      </c>
      <c r="L2" s="635"/>
      <c r="M2" s="636"/>
    </row>
    <row r="3" spans="1:16" ht="17.25" thickBot="1">
      <c r="A3" s="644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24"/>
      <c r="I3" s="624"/>
      <c r="J3" s="649"/>
      <c r="K3" s="637"/>
      <c r="L3" s="638"/>
      <c r="M3" s="639"/>
    </row>
    <row r="4" spans="1:16" ht="17.25" thickBot="1">
      <c r="A4" s="640" t="s">
        <v>30</v>
      </c>
      <c r="B4" s="641"/>
      <c r="C4" s="641"/>
      <c r="D4" s="641"/>
      <c r="E4" s="641"/>
      <c r="F4" s="641"/>
      <c r="G4" s="642"/>
      <c r="H4" s="185">
        <f>H5</f>
        <v>2121344</v>
      </c>
      <c r="I4" s="185">
        <v>25268</v>
      </c>
      <c r="J4" s="120">
        <f t="shared" ref="J4:J27" si="0">H4-I4</f>
        <v>2096076</v>
      </c>
      <c r="K4" s="89"/>
      <c r="L4" s="90"/>
      <c r="M4" s="121"/>
    </row>
    <row r="5" spans="1:16">
      <c r="A5" s="205" t="s">
        <v>2</v>
      </c>
      <c r="B5" s="122"/>
      <c r="C5" s="123"/>
      <c r="D5" s="123"/>
      <c r="E5" s="123"/>
      <c r="F5" s="123"/>
      <c r="G5" s="124"/>
      <c r="H5" s="94">
        <f>H6</f>
        <v>2121344</v>
      </c>
      <c r="I5" s="94">
        <v>25268</v>
      </c>
      <c r="J5" s="95">
        <f t="shared" si="0"/>
        <v>2096076</v>
      </c>
      <c r="K5" s="78"/>
      <c r="L5" s="79"/>
      <c r="M5" s="80"/>
    </row>
    <row r="6" spans="1:16">
      <c r="A6" s="10"/>
      <c r="B6" s="129" t="s">
        <v>288</v>
      </c>
      <c r="C6" s="129"/>
      <c r="D6" s="130"/>
      <c r="E6" s="130"/>
      <c r="F6" s="130"/>
      <c r="G6" s="131"/>
      <c r="H6" s="94">
        <f>SUM(H7,H23)</f>
        <v>2121344</v>
      </c>
      <c r="I6" s="94">
        <v>25268</v>
      </c>
      <c r="J6" s="95">
        <f t="shared" si="0"/>
        <v>2096076</v>
      </c>
      <c r="K6" s="78"/>
      <c r="L6" s="79"/>
      <c r="M6" s="80"/>
    </row>
    <row r="7" spans="1:16">
      <c r="A7" s="10"/>
      <c r="B7" s="6"/>
      <c r="C7" s="179" t="s">
        <v>471</v>
      </c>
      <c r="D7" s="130"/>
      <c r="E7" s="130"/>
      <c r="F7" s="130"/>
      <c r="G7" s="131"/>
      <c r="H7" s="91">
        <f>SUM(H8,H13,H18)</f>
        <v>2101200</v>
      </c>
      <c r="I7" s="91">
        <v>0</v>
      </c>
      <c r="J7" s="92">
        <f t="shared" ref="J7:J15" si="1">H7-I7</f>
        <v>2101200</v>
      </c>
      <c r="K7" s="159"/>
      <c r="L7" s="149"/>
      <c r="M7" s="150"/>
    </row>
    <row r="8" spans="1:16">
      <c r="A8" s="10"/>
      <c r="B8" s="6"/>
      <c r="C8" s="147"/>
      <c r="D8" s="129" t="s">
        <v>635</v>
      </c>
      <c r="E8" s="130"/>
      <c r="F8" s="130"/>
      <c r="G8" s="131"/>
      <c r="H8" s="132">
        <f>H9</f>
        <v>2098000</v>
      </c>
      <c r="I8" s="132">
        <v>0</v>
      </c>
      <c r="J8" s="9">
        <f t="shared" ref="J8:J11" si="2">H8-I8</f>
        <v>2098000</v>
      </c>
      <c r="K8" s="396"/>
      <c r="L8" s="397"/>
      <c r="M8" s="404"/>
    </row>
    <row r="9" spans="1:16">
      <c r="A9" s="10"/>
      <c r="B9" s="6"/>
      <c r="C9" s="134"/>
      <c r="D9" s="135"/>
      <c r="E9" s="129" t="s">
        <v>31</v>
      </c>
      <c r="F9" s="130"/>
      <c r="G9" s="131"/>
      <c r="H9" s="91">
        <f>H10</f>
        <v>2098000</v>
      </c>
      <c r="I9" s="91">
        <v>0</v>
      </c>
      <c r="J9" s="92">
        <f t="shared" si="2"/>
        <v>2098000</v>
      </c>
      <c r="K9" s="356"/>
      <c r="L9" s="398"/>
      <c r="M9" s="399"/>
    </row>
    <row r="10" spans="1:16">
      <c r="A10" s="63"/>
      <c r="B10" s="65"/>
      <c r="C10" s="65"/>
      <c r="D10" s="65"/>
      <c r="E10" s="65"/>
      <c r="F10" s="136" t="s">
        <v>35</v>
      </c>
      <c r="G10" s="140"/>
      <c r="H10" s="72">
        <f>SUM(H11)</f>
        <v>2098000</v>
      </c>
      <c r="I10" s="72">
        <v>0</v>
      </c>
      <c r="J10" s="98">
        <f t="shared" si="2"/>
        <v>2098000</v>
      </c>
      <c r="K10" s="390"/>
      <c r="L10" s="391"/>
      <c r="M10" s="405"/>
    </row>
    <row r="11" spans="1:16">
      <c r="A11" s="55"/>
      <c r="B11" s="57"/>
      <c r="C11" s="65"/>
      <c r="D11" s="65"/>
      <c r="E11" s="65"/>
      <c r="F11" s="192"/>
      <c r="G11" s="206" t="s">
        <v>636</v>
      </c>
      <c r="H11" s="207">
        <f>M11</f>
        <v>2098000</v>
      </c>
      <c r="I11" s="207">
        <v>0</v>
      </c>
      <c r="J11" s="41">
        <f t="shared" si="2"/>
        <v>2098000</v>
      </c>
      <c r="K11" s="393" t="s">
        <v>637</v>
      </c>
      <c r="L11" s="420"/>
      <c r="M11" s="395">
        <f>SUM(M12)</f>
        <v>2098000</v>
      </c>
    </row>
    <row r="12" spans="1:16">
      <c r="A12" s="55"/>
      <c r="B12" s="57"/>
      <c r="C12" s="65"/>
      <c r="D12" s="65"/>
      <c r="E12" s="65"/>
      <c r="F12" s="56"/>
      <c r="G12" s="56"/>
      <c r="H12" s="100"/>
      <c r="I12" s="100"/>
      <c r="J12" s="102"/>
      <c r="K12" s="606" t="s">
        <v>638</v>
      </c>
      <c r="L12" s="385" t="s">
        <v>37</v>
      </c>
      <c r="M12" s="381">
        <v>2098000</v>
      </c>
      <c r="O12" s="253"/>
      <c r="P12" s="594"/>
    </row>
    <row r="13" spans="1:16">
      <c r="A13" s="10"/>
      <c r="B13" s="6"/>
      <c r="C13" s="147"/>
      <c r="D13" s="129" t="s">
        <v>472</v>
      </c>
      <c r="E13" s="130"/>
      <c r="F13" s="130"/>
      <c r="G13" s="131"/>
      <c r="H13" s="132">
        <f>H14</f>
        <v>1600</v>
      </c>
      <c r="I13" s="132">
        <v>0</v>
      </c>
      <c r="J13" s="9">
        <f t="shared" si="1"/>
        <v>1600</v>
      </c>
      <c r="K13" s="396"/>
      <c r="L13" s="397"/>
      <c r="M13" s="404"/>
    </row>
    <row r="14" spans="1:16">
      <c r="A14" s="10"/>
      <c r="B14" s="6"/>
      <c r="C14" s="134"/>
      <c r="D14" s="135"/>
      <c r="E14" s="129" t="s">
        <v>31</v>
      </c>
      <c r="F14" s="130"/>
      <c r="G14" s="131"/>
      <c r="H14" s="91">
        <f>H15</f>
        <v>1600</v>
      </c>
      <c r="I14" s="91">
        <v>0</v>
      </c>
      <c r="J14" s="92">
        <f t="shared" si="1"/>
        <v>1600</v>
      </c>
      <c r="K14" s="356"/>
      <c r="L14" s="398"/>
      <c r="M14" s="399"/>
    </row>
    <row r="15" spans="1:16">
      <c r="A15" s="63"/>
      <c r="B15" s="65"/>
      <c r="C15" s="65"/>
      <c r="D15" s="65"/>
      <c r="E15" s="65"/>
      <c r="F15" s="136" t="s">
        <v>35</v>
      </c>
      <c r="G15" s="140"/>
      <c r="H15" s="72">
        <f>SUM(H16)</f>
        <v>1600</v>
      </c>
      <c r="I15" s="72">
        <v>0</v>
      </c>
      <c r="J15" s="98">
        <f t="shared" si="1"/>
        <v>1600</v>
      </c>
      <c r="K15" s="390"/>
      <c r="L15" s="391"/>
      <c r="M15" s="405"/>
    </row>
    <row r="16" spans="1:16">
      <c r="A16" s="55"/>
      <c r="B16" s="57"/>
      <c r="C16" s="65"/>
      <c r="D16" s="65"/>
      <c r="E16" s="65"/>
      <c r="F16" s="56"/>
      <c r="G16" s="56" t="s">
        <v>639</v>
      </c>
      <c r="H16" s="100">
        <f>M16</f>
        <v>1600</v>
      </c>
      <c r="I16" s="100">
        <v>0</v>
      </c>
      <c r="J16" s="102">
        <f>H16-I16</f>
        <v>1600</v>
      </c>
      <c r="K16" s="362" t="s">
        <v>473</v>
      </c>
      <c r="L16" s="385"/>
      <c r="M16" s="386">
        <f>SUM(M17)</f>
        <v>1600</v>
      </c>
    </row>
    <row r="17" spans="1:16">
      <c r="A17" s="63"/>
      <c r="B17" s="65"/>
      <c r="C17" s="65"/>
      <c r="D17" s="65"/>
      <c r="E17" s="65"/>
      <c r="F17" s="56"/>
      <c r="G17" s="56"/>
      <c r="H17" s="100"/>
      <c r="I17" s="100"/>
      <c r="J17" s="102"/>
      <c r="K17" s="387" t="s">
        <v>654</v>
      </c>
      <c r="L17" s="380" t="s">
        <v>37</v>
      </c>
      <c r="M17" s="381">
        <v>1600</v>
      </c>
      <c r="P17" s="594"/>
    </row>
    <row r="18" spans="1:16">
      <c r="A18" s="10"/>
      <c r="B18" s="6"/>
      <c r="C18" s="147"/>
      <c r="D18" s="129" t="s">
        <v>474</v>
      </c>
      <c r="E18" s="130"/>
      <c r="F18" s="130"/>
      <c r="G18" s="131"/>
      <c r="H18" s="132">
        <f>H19</f>
        <v>1600</v>
      </c>
      <c r="I18" s="132">
        <v>0</v>
      </c>
      <c r="J18" s="9">
        <f t="shared" ref="J18:J20" si="3">H18-I18</f>
        <v>1600</v>
      </c>
      <c r="K18" s="396"/>
      <c r="L18" s="397"/>
      <c r="M18" s="404"/>
    </row>
    <row r="19" spans="1:16">
      <c r="A19" s="10"/>
      <c r="B19" s="6"/>
      <c r="C19" s="134"/>
      <c r="D19" s="135"/>
      <c r="E19" s="129" t="s">
        <v>31</v>
      </c>
      <c r="F19" s="130"/>
      <c r="G19" s="131"/>
      <c r="H19" s="91">
        <f>H20</f>
        <v>1600</v>
      </c>
      <c r="I19" s="91">
        <v>0</v>
      </c>
      <c r="J19" s="92">
        <f t="shared" si="3"/>
        <v>1600</v>
      </c>
      <c r="K19" s="356"/>
      <c r="L19" s="398"/>
      <c r="M19" s="399"/>
    </row>
    <row r="20" spans="1:16">
      <c r="A20" s="63"/>
      <c r="B20" s="65"/>
      <c r="C20" s="65"/>
      <c r="D20" s="65"/>
      <c r="E20" s="65"/>
      <c r="F20" s="136" t="s">
        <v>35</v>
      </c>
      <c r="G20" s="140"/>
      <c r="H20" s="72">
        <f>SUM(H21)</f>
        <v>1600</v>
      </c>
      <c r="I20" s="72">
        <v>0</v>
      </c>
      <c r="J20" s="98">
        <f t="shared" si="3"/>
        <v>1600</v>
      </c>
      <c r="K20" s="390"/>
      <c r="L20" s="391"/>
      <c r="M20" s="405"/>
    </row>
    <row r="21" spans="1:16">
      <c r="A21" s="55"/>
      <c r="B21" s="57"/>
      <c r="C21" s="65"/>
      <c r="D21" s="65"/>
      <c r="E21" s="65"/>
      <c r="F21" s="56"/>
      <c r="G21" s="56" t="s">
        <v>639</v>
      </c>
      <c r="H21" s="100">
        <f>M21</f>
        <v>1600</v>
      </c>
      <c r="I21" s="100">
        <v>0</v>
      </c>
      <c r="J21" s="102">
        <f>H21-I21</f>
        <v>1600</v>
      </c>
      <c r="K21" s="362" t="s">
        <v>473</v>
      </c>
      <c r="L21" s="385"/>
      <c r="M21" s="386">
        <f>SUM(M22)</f>
        <v>1600</v>
      </c>
    </row>
    <row r="22" spans="1:16">
      <c r="A22" s="63"/>
      <c r="B22" s="65"/>
      <c r="C22" s="65"/>
      <c r="D22" s="65"/>
      <c r="E22" s="65"/>
      <c r="F22" s="56"/>
      <c r="G22" s="56"/>
      <c r="H22" s="100"/>
      <c r="I22" s="100"/>
      <c r="J22" s="102"/>
      <c r="K22" s="387" t="s">
        <v>653</v>
      </c>
      <c r="L22" s="380" t="s">
        <v>37</v>
      </c>
      <c r="M22" s="381">
        <v>1600</v>
      </c>
      <c r="P22" s="594"/>
    </row>
    <row r="23" spans="1:16">
      <c r="A23" s="10"/>
      <c r="B23" s="6"/>
      <c r="C23" s="179" t="s">
        <v>244</v>
      </c>
      <c r="D23" s="130"/>
      <c r="E23" s="130"/>
      <c r="F23" s="130"/>
      <c r="G23" s="131"/>
      <c r="H23" s="91">
        <f>H24</f>
        <v>20144</v>
      </c>
      <c r="I23" s="91">
        <v>25268</v>
      </c>
      <c r="J23" s="92">
        <f t="shared" si="0"/>
        <v>-5124</v>
      </c>
      <c r="K23" s="403"/>
      <c r="L23" s="397"/>
      <c r="M23" s="404"/>
    </row>
    <row r="24" spans="1:16">
      <c r="A24" s="10"/>
      <c r="B24" s="6"/>
      <c r="C24" s="147"/>
      <c r="D24" s="129" t="s">
        <v>34</v>
      </c>
      <c r="E24" s="130"/>
      <c r="F24" s="130"/>
      <c r="G24" s="131"/>
      <c r="H24" s="132">
        <f>H25</f>
        <v>20144</v>
      </c>
      <c r="I24" s="132">
        <v>25268</v>
      </c>
      <c r="J24" s="9">
        <f t="shared" si="0"/>
        <v>-5124</v>
      </c>
      <c r="K24" s="396"/>
      <c r="L24" s="397"/>
      <c r="M24" s="404"/>
    </row>
    <row r="25" spans="1:16">
      <c r="A25" s="10"/>
      <c r="B25" s="6"/>
      <c r="C25" s="134"/>
      <c r="D25" s="135"/>
      <c r="E25" s="129" t="s">
        <v>31</v>
      </c>
      <c r="F25" s="130"/>
      <c r="G25" s="131"/>
      <c r="H25" s="91">
        <f>SUM(H26,H31,H35,H38)</f>
        <v>20144</v>
      </c>
      <c r="I25" s="91">
        <v>25268</v>
      </c>
      <c r="J25" s="92">
        <f t="shared" si="0"/>
        <v>-5124</v>
      </c>
      <c r="K25" s="356"/>
      <c r="L25" s="398"/>
      <c r="M25" s="399"/>
    </row>
    <row r="26" spans="1:16">
      <c r="A26" s="63"/>
      <c r="B26" s="65"/>
      <c r="C26" s="65"/>
      <c r="D26" s="65"/>
      <c r="E26" s="65"/>
      <c r="F26" s="136" t="s">
        <v>35</v>
      </c>
      <c r="G26" s="140"/>
      <c r="H26" s="72">
        <f>SUM(H27,H29)</f>
        <v>7544</v>
      </c>
      <c r="I26" s="72">
        <v>8568</v>
      </c>
      <c r="J26" s="98">
        <f t="shared" si="0"/>
        <v>-1024</v>
      </c>
      <c r="K26" s="390"/>
      <c r="L26" s="391"/>
      <c r="M26" s="405"/>
    </row>
    <row r="27" spans="1:16">
      <c r="A27" s="55"/>
      <c r="B27" s="57"/>
      <c r="C27" s="65"/>
      <c r="D27" s="65"/>
      <c r="E27" s="65"/>
      <c r="F27" s="192"/>
      <c r="G27" s="206" t="s">
        <v>36</v>
      </c>
      <c r="H27" s="207">
        <f>M27</f>
        <v>2000</v>
      </c>
      <c r="I27" s="207">
        <v>2520</v>
      </c>
      <c r="J27" s="41">
        <f t="shared" si="0"/>
        <v>-520</v>
      </c>
      <c r="K27" s="393" t="s">
        <v>47</v>
      </c>
      <c r="L27" s="420"/>
      <c r="M27" s="395">
        <f>SUM(M28:M28)</f>
        <v>2000</v>
      </c>
    </row>
    <row r="28" spans="1:16">
      <c r="A28" s="55"/>
      <c r="B28" s="57"/>
      <c r="C28" s="65"/>
      <c r="D28" s="65"/>
      <c r="E28" s="65"/>
      <c r="F28" s="56"/>
      <c r="G28" s="56"/>
      <c r="H28" s="100"/>
      <c r="I28" s="100"/>
      <c r="J28" s="102"/>
      <c r="K28" s="606" t="s">
        <v>733</v>
      </c>
      <c r="L28" s="385" t="s">
        <v>37</v>
      </c>
      <c r="M28" s="381">
        <v>2000</v>
      </c>
    </row>
    <row r="29" spans="1:16">
      <c r="A29" s="55"/>
      <c r="B29" s="57"/>
      <c r="C29" s="65"/>
      <c r="D29" s="65"/>
      <c r="E29" s="65"/>
      <c r="F29" s="56"/>
      <c r="G29" s="206" t="s">
        <v>310</v>
      </c>
      <c r="H29" s="207">
        <f>M29</f>
        <v>5544</v>
      </c>
      <c r="I29" s="207">
        <v>6048</v>
      </c>
      <c r="J29" s="208">
        <f>H29-I29</f>
        <v>-504</v>
      </c>
      <c r="K29" s="393" t="s">
        <v>311</v>
      </c>
      <c r="L29" s="532"/>
      <c r="M29" s="395">
        <f>SUM(M30)</f>
        <v>5544</v>
      </c>
    </row>
    <row r="30" spans="1:16">
      <c r="A30" s="63"/>
      <c r="B30" s="65"/>
      <c r="C30" s="65"/>
      <c r="D30" s="65"/>
      <c r="E30" s="65"/>
      <c r="F30" s="56"/>
      <c r="G30" s="56"/>
      <c r="H30" s="100"/>
      <c r="I30" s="100"/>
      <c r="J30" s="102"/>
      <c r="K30" s="387" t="s">
        <v>640</v>
      </c>
      <c r="L30" s="380" t="s">
        <v>37</v>
      </c>
      <c r="M30" s="381">
        <v>5544</v>
      </c>
    </row>
    <row r="31" spans="1:16">
      <c r="A31" s="63"/>
      <c r="B31" s="65"/>
      <c r="C31" s="65"/>
      <c r="D31" s="65"/>
      <c r="E31" s="65"/>
      <c r="F31" s="653" t="s">
        <v>40</v>
      </c>
      <c r="G31" s="654"/>
      <c r="H31" s="152">
        <f>H32</f>
        <v>9000</v>
      </c>
      <c r="I31" s="152">
        <v>12600</v>
      </c>
      <c r="J31" s="153">
        <f>H31-I31</f>
        <v>-3600</v>
      </c>
      <c r="K31" s="607"/>
      <c r="L31" s="608"/>
      <c r="M31" s="392"/>
    </row>
    <row r="32" spans="1:16">
      <c r="A32" s="63"/>
      <c r="B32" s="65"/>
      <c r="C32" s="65"/>
      <c r="D32" s="65"/>
      <c r="E32" s="65"/>
      <c r="F32" s="109"/>
      <c r="G32" s="199" t="s">
        <v>41</v>
      </c>
      <c r="H32" s="210">
        <f>M32</f>
        <v>9000</v>
      </c>
      <c r="I32" s="207">
        <v>12600</v>
      </c>
      <c r="J32" s="202">
        <f>H32-I32</f>
        <v>-3600</v>
      </c>
      <c r="K32" s="393" t="s">
        <v>49</v>
      </c>
      <c r="L32" s="609"/>
      <c r="M32" s="395">
        <f>SUM(M33:M34)</f>
        <v>9000</v>
      </c>
    </row>
    <row r="33" spans="1:16">
      <c r="A33" s="63"/>
      <c r="B33" s="65"/>
      <c r="C33" s="65"/>
      <c r="D33" s="65"/>
      <c r="E33" s="65"/>
      <c r="F33" s="194"/>
      <c r="G33" s="194"/>
      <c r="H33" s="100"/>
      <c r="I33" s="104"/>
      <c r="J33" s="102"/>
      <c r="K33" s="389" t="s">
        <v>734</v>
      </c>
      <c r="L33" s="426" t="s">
        <v>0</v>
      </c>
      <c r="M33" s="381">
        <v>2400</v>
      </c>
    </row>
    <row r="34" spans="1:16">
      <c r="A34" s="63"/>
      <c r="B34" s="65"/>
      <c r="C34" s="65"/>
      <c r="D34" s="65"/>
      <c r="E34" s="65"/>
      <c r="F34" s="194"/>
      <c r="G34" s="194"/>
      <c r="H34" s="100"/>
      <c r="I34" s="104"/>
      <c r="J34" s="102"/>
      <c r="K34" s="529" t="s">
        <v>735</v>
      </c>
      <c r="L34" s="530" t="s">
        <v>0</v>
      </c>
      <c r="M34" s="381">
        <v>6600</v>
      </c>
    </row>
    <row r="35" spans="1:16">
      <c r="A35" s="63"/>
      <c r="B35" s="65"/>
      <c r="C35" s="65"/>
      <c r="D35" s="65"/>
      <c r="E35" s="65"/>
      <c r="F35" s="653" t="s">
        <v>42</v>
      </c>
      <c r="G35" s="654"/>
      <c r="H35" s="152">
        <f>H36</f>
        <v>1500</v>
      </c>
      <c r="I35" s="152">
        <v>2000</v>
      </c>
      <c r="J35" s="153">
        <f>H35-I35</f>
        <v>-500</v>
      </c>
      <c r="K35" s="607"/>
      <c r="L35" s="608"/>
      <c r="M35" s="392"/>
    </row>
    <row r="36" spans="1:16">
      <c r="A36" s="63"/>
      <c r="B36" s="65"/>
      <c r="C36" s="65"/>
      <c r="D36" s="65"/>
      <c r="E36" s="65"/>
      <c r="F36" s="194"/>
      <c r="G36" s="109" t="s">
        <v>43</v>
      </c>
      <c r="H36" s="210">
        <f>M36</f>
        <v>1500</v>
      </c>
      <c r="I36" s="210">
        <v>2000</v>
      </c>
      <c r="J36" s="202">
        <f>H36-I36</f>
        <v>-500</v>
      </c>
      <c r="K36" s="393" t="s">
        <v>509</v>
      </c>
      <c r="L36" s="420"/>
      <c r="M36" s="395">
        <f>SUM(M37)</f>
        <v>1500</v>
      </c>
    </row>
    <row r="37" spans="1:16">
      <c r="A37" s="319"/>
      <c r="B37" s="320"/>
      <c r="C37" s="320"/>
      <c r="D37" s="320"/>
      <c r="E37" s="320"/>
      <c r="F37" s="195"/>
      <c r="G37" s="195"/>
      <c r="H37" s="103"/>
      <c r="I37" s="155"/>
      <c r="J37" s="155"/>
      <c r="K37" s="529" t="s">
        <v>641</v>
      </c>
      <c r="L37" s="530" t="s">
        <v>0</v>
      </c>
      <c r="M37" s="388">
        <v>1500</v>
      </c>
    </row>
    <row r="38" spans="1:16">
      <c r="A38" s="63"/>
      <c r="B38" s="65"/>
      <c r="C38" s="65"/>
      <c r="D38" s="65"/>
      <c r="E38" s="65"/>
      <c r="F38" s="335" t="s">
        <v>89</v>
      </c>
      <c r="G38" s="70"/>
      <c r="H38" s="71">
        <f>H39</f>
        <v>2100</v>
      </c>
      <c r="I38" s="71">
        <v>2100</v>
      </c>
      <c r="J38" s="146">
        <f>H38-I38</f>
        <v>0</v>
      </c>
      <c r="K38" s="537"/>
      <c r="L38" s="538"/>
      <c r="M38" s="539"/>
    </row>
    <row r="39" spans="1:16">
      <c r="A39" s="63"/>
      <c r="B39" s="65"/>
      <c r="C39" s="65"/>
      <c r="D39" s="65"/>
      <c r="E39" s="65"/>
      <c r="F39" s="143"/>
      <c r="G39" s="65" t="s">
        <v>93</v>
      </c>
      <c r="H39" s="75">
        <f>M39</f>
        <v>2100</v>
      </c>
      <c r="I39" s="75">
        <v>2100</v>
      </c>
      <c r="J39" s="48">
        <f>H39-I39</f>
        <v>0</v>
      </c>
      <c r="K39" s="36" t="s">
        <v>388</v>
      </c>
      <c r="L39" s="39"/>
      <c r="M39" s="219">
        <f>M40</f>
        <v>2100</v>
      </c>
    </row>
    <row r="40" spans="1:16" ht="17.25" thickBot="1">
      <c r="A40" s="291"/>
      <c r="B40" s="69"/>
      <c r="C40" s="69"/>
      <c r="D40" s="69"/>
      <c r="E40" s="69"/>
      <c r="F40" s="337"/>
      <c r="G40" s="200"/>
      <c r="H40" s="338"/>
      <c r="I40" s="339"/>
      <c r="J40" s="340"/>
      <c r="K40" s="232" t="s">
        <v>393</v>
      </c>
      <c r="L40" s="233" t="s">
        <v>0</v>
      </c>
      <c r="M40" s="243">
        <v>2100</v>
      </c>
      <c r="P40" s="594"/>
    </row>
  </sheetData>
  <autoFilter ref="A3:M40">
    <filterColumn colId="10" showButton="0"/>
    <filterColumn colId="11" showButton="0"/>
  </autoFilter>
  <mergeCells count="10">
    <mergeCell ref="K2:M3"/>
    <mergeCell ref="A4:G4"/>
    <mergeCell ref="F31:G31"/>
    <mergeCell ref="F35:G35"/>
    <mergeCell ref="A2:A3"/>
    <mergeCell ref="B2:D2"/>
    <mergeCell ref="E2:G2"/>
    <mergeCell ref="H2:H3"/>
    <mergeCell ref="I2:I3"/>
    <mergeCell ref="J2:J3"/>
  </mergeCells>
  <phoneticPr fontId="12" type="noConversion"/>
  <conditionalFormatting sqref="J36:J37">
    <cfRule type="containsText" dxfId="449" priority="193" operator="containsText" text="허하나로">
      <formula>NOT(ISERROR(SEARCH("허하나로",H1062)))</formula>
    </cfRule>
    <cfRule type="containsText" dxfId="448" priority="194" operator="containsText" text="한별">
      <formula>NOT(ISERROR(SEARCH("한별",H1062)))</formula>
    </cfRule>
    <cfRule type="containsText" dxfId="447" priority="195" operator="containsText" text="정홍조">
      <formula>NOT(ISERROR(SEARCH("정홍조",H1062)))</formula>
    </cfRule>
    <cfRule type="containsText" dxfId="446" priority="196" operator="containsText" text="김지윤">
      <formula>NOT(ISERROR(SEARCH("김지윤",H1062)))</formula>
    </cfRule>
    <cfRule type="containsText" dxfId="445" priority="197" operator="containsText" text="전준영">
      <formula>NOT(ISERROR(SEARCH("전준영",H1062)))</formula>
    </cfRule>
    <cfRule type="containsText" dxfId="444" priority="198" operator="containsText" text="차재성">
      <formula>NOT(ISERROR(SEARCH("차재성",H1062)))</formula>
    </cfRule>
  </conditionalFormatting>
  <conditionalFormatting sqref="J6">
    <cfRule type="containsText" dxfId="443" priority="205" operator="containsText" text="허하나로">
      <formula>NOT(ISERROR(SEARCH("허하나로",H699)))</formula>
    </cfRule>
    <cfRule type="containsText" dxfId="442" priority="206" operator="containsText" text="한별">
      <formula>NOT(ISERROR(SEARCH("한별",H699)))</formula>
    </cfRule>
    <cfRule type="containsText" dxfId="441" priority="207" operator="containsText" text="정홍조">
      <formula>NOT(ISERROR(SEARCH("정홍조",H699)))</formula>
    </cfRule>
    <cfRule type="containsText" dxfId="440" priority="208" operator="containsText" text="김지윤">
      <formula>NOT(ISERROR(SEARCH("김지윤",H699)))</formula>
    </cfRule>
    <cfRule type="containsText" dxfId="439" priority="209" operator="containsText" text="전준영">
      <formula>NOT(ISERROR(SEARCH("전준영",H699)))</formula>
    </cfRule>
    <cfRule type="containsText" dxfId="438" priority="210" operator="containsText" text="차재성">
      <formula>NOT(ISERROR(SEARCH("차재성",H699)))</formula>
    </cfRule>
  </conditionalFormatting>
  <conditionalFormatting sqref="J5">
    <cfRule type="containsText" dxfId="437" priority="199" operator="containsText" text="허하나로">
      <formula>NOT(ISERROR(SEARCH("허하나로",H698)))</formula>
    </cfRule>
    <cfRule type="containsText" dxfId="436" priority="200" operator="containsText" text="한별">
      <formula>NOT(ISERROR(SEARCH("한별",H698)))</formula>
    </cfRule>
    <cfRule type="containsText" dxfId="435" priority="201" operator="containsText" text="정홍조">
      <formula>NOT(ISERROR(SEARCH("정홍조",H698)))</formula>
    </cfRule>
    <cfRule type="containsText" dxfId="434" priority="202" operator="containsText" text="김지윤">
      <formula>NOT(ISERROR(SEARCH("김지윤",H698)))</formula>
    </cfRule>
    <cfRule type="containsText" dxfId="433" priority="203" operator="containsText" text="전준영">
      <formula>NOT(ISERROR(SEARCH("전준영",H698)))</formula>
    </cfRule>
    <cfRule type="containsText" dxfId="432" priority="204" operator="containsText" text="차재성">
      <formula>NOT(ISERROR(SEARCH("차재성",H698)))</formula>
    </cfRule>
  </conditionalFormatting>
  <conditionalFormatting sqref="J23">
    <cfRule type="containsText" dxfId="431" priority="187" operator="containsText" text="허하나로">
      <formula>NOT(ISERROR(SEARCH("허하나로",H832)))</formula>
    </cfRule>
    <cfRule type="containsText" dxfId="430" priority="188" operator="containsText" text="한별">
      <formula>NOT(ISERROR(SEARCH("한별",H832)))</formula>
    </cfRule>
    <cfRule type="containsText" dxfId="429" priority="189" operator="containsText" text="정홍조">
      <formula>NOT(ISERROR(SEARCH("정홍조",H832)))</formula>
    </cfRule>
    <cfRule type="containsText" dxfId="428" priority="190" operator="containsText" text="김지윤">
      <formula>NOT(ISERROR(SEARCH("김지윤",H832)))</formula>
    </cfRule>
    <cfRule type="containsText" dxfId="427" priority="191" operator="containsText" text="전준영">
      <formula>NOT(ISERROR(SEARCH("전준영",H832)))</formula>
    </cfRule>
    <cfRule type="containsText" dxfId="426" priority="192" operator="containsText" text="차재성">
      <formula>NOT(ISERROR(SEARCH("차재성",H832)))</formula>
    </cfRule>
  </conditionalFormatting>
  <conditionalFormatting sqref="J26:J27">
    <cfRule type="containsText" dxfId="425" priority="181" operator="containsText" text="허하나로">
      <formula>NOT(ISERROR(SEARCH("허하나로",H1040)))</formula>
    </cfRule>
    <cfRule type="containsText" dxfId="424" priority="182" operator="containsText" text="한별">
      <formula>NOT(ISERROR(SEARCH("한별",H1040)))</formula>
    </cfRule>
    <cfRule type="containsText" dxfId="423" priority="183" operator="containsText" text="정홍조">
      <formula>NOT(ISERROR(SEARCH("정홍조",H1040)))</formula>
    </cfRule>
    <cfRule type="containsText" dxfId="422" priority="184" operator="containsText" text="김지윤">
      <formula>NOT(ISERROR(SEARCH("김지윤",H1040)))</formula>
    </cfRule>
    <cfRule type="containsText" dxfId="421" priority="185" operator="containsText" text="전준영">
      <formula>NOT(ISERROR(SEARCH("전준영",H1040)))</formula>
    </cfRule>
    <cfRule type="containsText" dxfId="420" priority="186" operator="containsText" text="차재성">
      <formula>NOT(ISERROR(SEARCH("차재성",H1040)))</formula>
    </cfRule>
  </conditionalFormatting>
  <conditionalFormatting sqref="J25">
    <cfRule type="containsText" dxfId="419" priority="223" operator="containsText" text="허하나로">
      <formula>NOT(ISERROR(SEARCH("허하나로",H1029)))</formula>
    </cfRule>
    <cfRule type="containsText" dxfId="418" priority="224" operator="containsText" text="한별">
      <formula>NOT(ISERROR(SEARCH("한별",H1029)))</formula>
    </cfRule>
    <cfRule type="containsText" dxfId="417" priority="225" operator="containsText" text="정홍조">
      <formula>NOT(ISERROR(SEARCH("정홍조",H1029)))</formula>
    </cfRule>
    <cfRule type="containsText" dxfId="416" priority="226" operator="containsText" text="김지윤">
      <formula>NOT(ISERROR(SEARCH("김지윤",H1029)))</formula>
    </cfRule>
    <cfRule type="containsText" dxfId="415" priority="227" operator="containsText" text="전준영">
      <formula>NOT(ISERROR(SEARCH("전준영",H1029)))</formula>
    </cfRule>
    <cfRule type="containsText" dxfId="414" priority="228" operator="containsText" text="차재성">
      <formula>NOT(ISERROR(SEARCH("차재성",H1029)))</formula>
    </cfRule>
  </conditionalFormatting>
  <conditionalFormatting sqref="J31:J34">
    <cfRule type="containsText" dxfId="413" priority="229" operator="containsText" text="허하나로">
      <formula>NOT(ISERROR(SEARCH("허하나로",H1042)))</formula>
    </cfRule>
    <cfRule type="containsText" dxfId="412" priority="230" operator="containsText" text="한별">
      <formula>NOT(ISERROR(SEARCH("한별",H1042)))</formula>
    </cfRule>
    <cfRule type="containsText" dxfId="411" priority="231" operator="containsText" text="정홍조">
      <formula>NOT(ISERROR(SEARCH("정홍조",H1042)))</formula>
    </cfRule>
    <cfRule type="containsText" dxfId="410" priority="232" operator="containsText" text="김지윤">
      <formula>NOT(ISERROR(SEARCH("김지윤",H1042)))</formula>
    </cfRule>
    <cfRule type="containsText" dxfId="409" priority="233" operator="containsText" text="전준영">
      <formula>NOT(ISERROR(SEARCH("전준영",H1042)))</formula>
    </cfRule>
    <cfRule type="containsText" dxfId="408" priority="234" operator="containsText" text="차재성">
      <formula>NOT(ISERROR(SEARCH("차재성",H1042)))</formula>
    </cfRule>
  </conditionalFormatting>
  <conditionalFormatting sqref="J35">
    <cfRule type="containsText" dxfId="407" priority="169" operator="containsText" text="허하나로">
      <formula>NOT(ISERROR(SEARCH("허하나로",H1046)))</formula>
    </cfRule>
    <cfRule type="containsText" dxfId="406" priority="170" operator="containsText" text="한별">
      <formula>NOT(ISERROR(SEARCH("한별",H1046)))</formula>
    </cfRule>
    <cfRule type="containsText" dxfId="405" priority="171" operator="containsText" text="정홍조">
      <formula>NOT(ISERROR(SEARCH("정홍조",H1046)))</formula>
    </cfRule>
    <cfRule type="containsText" dxfId="404" priority="172" operator="containsText" text="김지윤">
      <formula>NOT(ISERROR(SEARCH("김지윤",H1046)))</formula>
    </cfRule>
    <cfRule type="containsText" dxfId="403" priority="173" operator="containsText" text="전준영">
      <formula>NOT(ISERROR(SEARCH("전준영",H1046)))</formula>
    </cfRule>
    <cfRule type="containsText" dxfId="402" priority="174" operator="containsText" text="차재성">
      <formula>NOT(ISERROR(SEARCH("차재성",H1046)))</formula>
    </cfRule>
  </conditionalFormatting>
  <conditionalFormatting sqref="L32">
    <cfRule type="containsText" dxfId="401" priority="163" operator="containsText" text="허하나로">
      <formula>NOT(ISERROR(SEARCH("허하나로",J1177)))</formula>
    </cfRule>
    <cfRule type="containsText" dxfId="400" priority="164" operator="containsText" text="한별">
      <formula>NOT(ISERROR(SEARCH("한별",J1177)))</formula>
    </cfRule>
    <cfRule type="containsText" dxfId="399" priority="165" operator="containsText" text="정홍조">
      <formula>NOT(ISERROR(SEARCH("정홍조",J1177)))</formula>
    </cfRule>
    <cfRule type="containsText" dxfId="398" priority="166" operator="containsText" text="김지윤">
      <formula>NOT(ISERROR(SEARCH("김지윤",J1177)))</formula>
    </cfRule>
    <cfRule type="containsText" dxfId="397" priority="167" operator="containsText" text="전준영">
      <formula>NOT(ISERROR(SEARCH("전준영",J1177)))</formula>
    </cfRule>
    <cfRule type="containsText" dxfId="396" priority="168" operator="containsText" text="차재성">
      <formula>NOT(ISERROR(SEARCH("차재성",J1177)))</formula>
    </cfRule>
  </conditionalFormatting>
  <conditionalFormatting sqref="I37">
    <cfRule type="containsText" dxfId="395" priority="157" operator="containsText" text="허하나로">
      <formula>NOT(ISERROR(SEARCH("허하나로",G1063)))</formula>
    </cfRule>
    <cfRule type="containsText" dxfId="394" priority="158" operator="containsText" text="한별">
      <formula>NOT(ISERROR(SEARCH("한별",G1063)))</formula>
    </cfRule>
    <cfRule type="containsText" dxfId="393" priority="159" operator="containsText" text="정홍조">
      <formula>NOT(ISERROR(SEARCH("정홍조",G1063)))</formula>
    </cfRule>
    <cfRule type="containsText" dxfId="392" priority="160" operator="containsText" text="김지윤">
      <formula>NOT(ISERROR(SEARCH("김지윤",G1063)))</formula>
    </cfRule>
    <cfRule type="containsText" dxfId="391" priority="161" operator="containsText" text="전준영">
      <formula>NOT(ISERROR(SEARCH("전준영",G1063)))</formula>
    </cfRule>
    <cfRule type="containsText" dxfId="390" priority="162" operator="containsText" text="차재성">
      <formula>NOT(ISERROR(SEARCH("차재성",G1063)))</formula>
    </cfRule>
  </conditionalFormatting>
  <conditionalFormatting sqref="J28">
    <cfRule type="containsText" dxfId="389" priority="4003" operator="containsText" text="허하나로">
      <formula>NOT(ISERROR(SEARCH("허하나로",H1031)))</formula>
    </cfRule>
    <cfRule type="containsText" dxfId="388" priority="4004" operator="containsText" text="한별">
      <formula>NOT(ISERROR(SEARCH("한별",H1031)))</formula>
    </cfRule>
    <cfRule type="containsText" dxfId="387" priority="4005" operator="containsText" text="정홍조">
      <formula>NOT(ISERROR(SEARCH("정홍조",H1031)))</formula>
    </cfRule>
    <cfRule type="containsText" dxfId="386" priority="4006" operator="containsText" text="김지윤">
      <formula>NOT(ISERROR(SEARCH("김지윤",H1031)))</formula>
    </cfRule>
    <cfRule type="containsText" dxfId="385" priority="4007" operator="containsText" text="전준영">
      <formula>NOT(ISERROR(SEARCH("전준영",H1031)))</formula>
    </cfRule>
    <cfRule type="containsText" dxfId="384" priority="4008" operator="containsText" text="차재성">
      <formula>NOT(ISERROR(SEARCH("차재성",H1031)))</formula>
    </cfRule>
  </conditionalFormatting>
  <conditionalFormatting sqref="J2:J3">
    <cfRule type="containsText" dxfId="383" priority="133" operator="containsText" text="허하나로">
      <formula>NOT(ISERROR(SEARCH("허하나로",H778)))</formula>
    </cfRule>
    <cfRule type="containsText" dxfId="382" priority="134" operator="containsText" text="한별">
      <formula>NOT(ISERROR(SEARCH("한별",H778)))</formula>
    </cfRule>
    <cfRule type="containsText" dxfId="381" priority="135" operator="containsText" text="정홍조">
      <formula>NOT(ISERROR(SEARCH("정홍조",H778)))</formula>
    </cfRule>
    <cfRule type="containsText" dxfId="380" priority="136" operator="containsText" text="김지윤">
      <formula>NOT(ISERROR(SEARCH("김지윤",H778)))</formula>
    </cfRule>
    <cfRule type="containsText" dxfId="379" priority="137" operator="containsText" text="전준영">
      <formula>NOT(ISERROR(SEARCH("전준영",H778)))</formula>
    </cfRule>
    <cfRule type="containsText" dxfId="378" priority="138" operator="containsText" text="차재성">
      <formula>NOT(ISERROR(SEARCH("차재성",H778)))</formula>
    </cfRule>
  </conditionalFormatting>
  <conditionalFormatting sqref="J7">
    <cfRule type="containsText" dxfId="377" priority="115" operator="containsText" text="허하나로">
      <formula>NOT(ISERROR(SEARCH("허하나로",H824)))</formula>
    </cfRule>
    <cfRule type="containsText" dxfId="376" priority="116" operator="containsText" text="한별">
      <formula>NOT(ISERROR(SEARCH("한별",H824)))</formula>
    </cfRule>
    <cfRule type="containsText" dxfId="375" priority="117" operator="containsText" text="정홍조">
      <formula>NOT(ISERROR(SEARCH("정홍조",H824)))</formula>
    </cfRule>
    <cfRule type="containsText" dxfId="374" priority="118" operator="containsText" text="김지윤">
      <formula>NOT(ISERROR(SEARCH("김지윤",H824)))</formula>
    </cfRule>
    <cfRule type="containsText" dxfId="373" priority="119" operator="containsText" text="전준영">
      <formula>NOT(ISERROR(SEARCH("전준영",H824)))</formula>
    </cfRule>
    <cfRule type="containsText" dxfId="372" priority="120" operator="containsText" text="차재성">
      <formula>NOT(ISERROR(SEARCH("차재성",H824)))</formula>
    </cfRule>
  </conditionalFormatting>
  <conditionalFormatting sqref="J15">
    <cfRule type="containsText" dxfId="371" priority="109" operator="containsText" text="허하나로">
      <formula>NOT(ISERROR(SEARCH("허하나로",H1032)))</formula>
    </cfRule>
    <cfRule type="containsText" dxfId="370" priority="110" operator="containsText" text="한별">
      <formula>NOT(ISERROR(SEARCH("한별",H1032)))</formula>
    </cfRule>
    <cfRule type="containsText" dxfId="369" priority="111" operator="containsText" text="정홍조">
      <formula>NOT(ISERROR(SEARCH("정홍조",H1032)))</formula>
    </cfRule>
    <cfRule type="containsText" dxfId="368" priority="112" operator="containsText" text="김지윤">
      <formula>NOT(ISERROR(SEARCH("김지윤",H1032)))</formula>
    </cfRule>
    <cfRule type="containsText" dxfId="367" priority="113" operator="containsText" text="전준영">
      <formula>NOT(ISERROR(SEARCH("전준영",H1032)))</formula>
    </cfRule>
    <cfRule type="containsText" dxfId="366" priority="114" operator="containsText" text="차재성">
      <formula>NOT(ISERROR(SEARCH("차재성",H1032)))</formula>
    </cfRule>
  </conditionalFormatting>
  <conditionalFormatting sqref="J14">
    <cfRule type="containsText" dxfId="365" priority="121" operator="containsText" text="허하나로">
      <formula>NOT(ISERROR(SEARCH("허하나로",H1021)))</formula>
    </cfRule>
    <cfRule type="containsText" dxfId="364" priority="122" operator="containsText" text="한별">
      <formula>NOT(ISERROR(SEARCH("한별",H1021)))</formula>
    </cfRule>
    <cfRule type="containsText" dxfId="363" priority="123" operator="containsText" text="정홍조">
      <formula>NOT(ISERROR(SEARCH("정홍조",H1021)))</formula>
    </cfRule>
    <cfRule type="containsText" dxfId="362" priority="124" operator="containsText" text="김지윤">
      <formula>NOT(ISERROR(SEARCH("김지윤",H1021)))</formula>
    </cfRule>
    <cfRule type="containsText" dxfId="361" priority="125" operator="containsText" text="전준영">
      <formula>NOT(ISERROR(SEARCH("전준영",H1021)))</formula>
    </cfRule>
    <cfRule type="containsText" dxfId="360" priority="126" operator="containsText" text="차재성">
      <formula>NOT(ISERROR(SEARCH("차재성",H1021)))</formula>
    </cfRule>
  </conditionalFormatting>
  <conditionalFormatting sqref="J20">
    <cfRule type="containsText" dxfId="359" priority="73" operator="containsText" text="허하나로">
      <formula>NOT(ISERROR(SEARCH("허하나로",H1042)))</formula>
    </cfRule>
    <cfRule type="containsText" dxfId="358" priority="74" operator="containsText" text="한별">
      <formula>NOT(ISERROR(SEARCH("한별",H1042)))</formula>
    </cfRule>
    <cfRule type="containsText" dxfId="357" priority="75" operator="containsText" text="정홍조">
      <formula>NOT(ISERROR(SEARCH("정홍조",H1042)))</formula>
    </cfRule>
    <cfRule type="containsText" dxfId="356" priority="76" operator="containsText" text="김지윤">
      <formula>NOT(ISERROR(SEARCH("김지윤",H1042)))</formula>
    </cfRule>
    <cfRule type="containsText" dxfId="355" priority="77" operator="containsText" text="전준영">
      <formula>NOT(ISERROR(SEARCH("전준영",H1042)))</formula>
    </cfRule>
    <cfRule type="containsText" dxfId="354" priority="78" operator="containsText" text="차재성">
      <formula>NOT(ISERROR(SEARCH("차재성",H1042)))</formula>
    </cfRule>
  </conditionalFormatting>
  <conditionalFormatting sqref="J19">
    <cfRule type="containsText" dxfId="353" priority="79" operator="containsText" text="허하나로">
      <formula>NOT(ISERROR(SEARCH("허하나로",H1031)))</formula>
    </cfRule>
    <cfRule type="containsText" dxfId="352" priority="80" operator="containsText" text="한별">
      <formula>NOT(ISERROR(SEARCH("한별",H1031)))</formula>
    </cfRule>
    <cfRule type="containsText" dxfId="351" priority="81" operator="containsText" text="정홍조">
      <formula>NOT(ISERROR(SEARCH("정홍조",H1031)))</formula>
    </cfRule>
    <cfRule type="containsText" dxfId="350" priority="82" operator="containsText" text="김지윤">
      <formula>NOT(ISERROR(SEARCH("김지윤",H1031)))</formula>
    </cfRule>
    <cfRule type="containsText" dxfId="349" priority="83" operator="containsText" text="전준영">
      <formula>NOT(ISERROR(SEARCH("전준영",H1031)))</formula>
    </cfRule>
    <cfRule type="containsText" dxfId="348" priority="84" operator="containsText" text="차재성">
      <formula>NOT(ISERROR(SEARCH("차재성",H1031)))</formula>
    </cfRule>
  </conditionalFormatting>
  <conditionalFormatting sqref="J10:J11">
    <cfRule type="containsText" dxfId="347" priority="7" operator="containsText" text="허하나로">
      <formula>NOT(ISERROR(SEARCH("허하나로",H1024)))</formula>
    </cfRule>
    <cfRule type="containsText" dxfId="346" priority="8" operator="containsText" text="한별">
      <formula>NOT(ISERROR(SEARCH("한별",H1024)))</formula>
    </cfRule>
    <cfRule type="containsText" dxfId="345" priority="9" operator="containsText" text="정홍조">
      <formula>NOT(ISERROR(SEARCH("정홍조",H1024)))</formula>
    </cfRule>
    <cfRule type="containsText" dxfId="344" priority="10" operator="containsText" text="김지윤">
      <formula>NOT(ISERROR(SEARCH("김지윤",H1024)))</formula>
    </cfRule>
    <cfRule type="containsText" dxfId="343" priority="11" operator="containsText" text="전준영">
      <formula>NOT(ISERROR(SEARCH("전준영",H1024)))</formula>
    </cfRule>
    <cfRule type="containsText" dxfId="342" priority="12" operator="containsText" text="차재성">
      <formula>NOT(ISERROR(SEARCH("차재성",H1024)))</formula>
    </cfRule>
  </conditionalFormatting>
  <conditionalFormatting sqref="J9">
    <cfRule type="containsText" dxfId="341" priority="13" operator="containsText" text="허하나로">
      <formula>NOT(ISERROR(SEARCH("허하나로",H1013)))</formula>
    </cfRule>
    <cfRule type="containsText" dxfId="340" priority="14" operator="containsText" text="한별">
      <formula>NOT(ISERROR(SEARCH("한별",H1013)))</formula>
    </cfRule>
    <cfRule type="containsText" dxfId="339" priority="15" operator="containsText" text="정홍조">
      <formula>NOT(ISERROR(SEARCH("정홍조",H1013)))</formula>
    </cfRule>
    <cfRule type="containsText" dxfId="338" priority="16" operator="containsText" text="김지윤">
      <formula>NOT(ISERROR(SEARCH("김지윤",H1013)))</formula>
    </cfRule>
    <cfRule type="containsText" dxfId="337" priority="17" operator="containsText" text="전준영">
      <formula>NOT(ISERROR(SEARCH("전준영",H1013)))</formula>
    </cfRule>
    <cfRule type="containsText" dxfId="336" priority="18" operator="containsText" text="차재성">
      <formula>NOT(ISERROR(SEARCH("차재성",H1013)))</formula>
    </cfRule>
  </conditionalFormatting>
  <conditionalFormatting sqref="J12">
    <cfRule type="containsText" dxfId="335" priority="1" operator="containsText" text="허하나로">
      <formula>NOT(ISERROR(SEARCH("허하나로",H1014)))</formula>
    </cfRule>
    <cfRule type="containsText" dxfId="334" priority="2" operator="containsText" text="한별">
      <formula>NOT(ISERROR(SEARCH("한별",H1014)))</formula>
    </cfRule>
    <cfRule type="containsText" dxfId="333" priority="3" operator="containsText" text="정홍조">
      <formula>NOT(ISERROR(SEARCH("정홍조",H1014)))</formula>
    </cfRule>
    <cfRule type="containsText" dxfId="332" priority="4" operator="containsText" text="김지윤">
      <formula>NOT(ISERROR(SEARCH("김지윤",H1014)))</formula>
    </cfRule>
    <cfRule type="containsText" dxfId="331" priority="5" operator="containsText" text="전준영">
      <formula>NOT(ISERROR(SEARCH("전준영",H1014)))</formula>
    </cfRule>
    <cfRule type="containsText" dxfId="330" priority="6" operator="containsText" text="차재성">
      <formula>NOT(ISERROR(SEARCH("차재성",H1014)))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34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1" operator="containsText" text="허하나로" id="{D4F1B340-9C03-4E6A-BE9E-DFA9AB5F94E6}">
            <xm:f>NOT(ISERROR(SEARCH("허하나로",행사부!H1022)))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52" operator="containsText" text="한별" id="{291BA884-72D9-4A87-A9F5-25F0134A8A67}">
            <xm:f>NOT(ISERROR(SEARCH("한별",행사부!H1022)))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3" operator="containsText" text="정홍조" id="{55D94AC0-892C-43D4-9640-18C22F0C2334}">
            <xm:f>NOT(ISERROR(SEARCH("정홍조",행사부!H1022)))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54" operator="containsText" text="김지윤" id="{7E5389D4-36EF-4A60-8902-BDA87421C2ED}">
            <xm:f>NOT(ISERROR(SEARCH("김지윤",행사부!H1022)))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55" operator="containsText" text="전준영" id="{8EDA7C65-C9BF-42D2-8A10-21524ACED8AD}">
            <xm:f>NOT(ISERROR(SEARCH("전준영",행사부!H1022)))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56" operator="containsText" text="차재성" id="{6DF20D16-BED0-4A88-A7F7-D70E33695715}">
            <xm:f>NOT(ISERROR(SEARCH("차재성",행사부!H1022)))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containsText" priority="145" operator="containsText" text="허하나로" id="{44ABCAAE-FD13-4CD0-8745-3C553C1D49ED}">
            <xm:f>NOT(ISERROR(SEARCH("허하나로",행정관리부!H1040)))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6" operator="containsText" text="한별" id="{567FF576-02E6-41A6-8EFA-DB1A550BDFF9}">
            <xm:f>NOT(ISERROR(SEARCH("한별",행정관리부!H1040)))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47" operator="containsText" text="정홍조" id="{BC446C9A-2410-4254-AB0A-76B62E0F0646}">
            <xm:f>NOT(ISERROR(SEARCH("정홍조",행정관리부!H1040)))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48" operator="containsText" text="김지윤" id="{91B59D70-3F25-46A4-A7BE-108593C50DB0}">
            <xm:f>NOT(ISERROR(SEARCH("김지윤",행정관리부!H1040)))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49" operator="containsText" text="전준영" id="{6567DED1-0EBA-4B25-ABE3-78888AA0C63A}">
            <xm:f>NOT(ISERROR(SEARCH("전준영",행정관리부!H1040)))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50" operator="containsText" text="차재성" id="{E386A293-EC8F-45C3-9C71-09E8B8481C93}">
            <xm:f>NOT(ISERROR(SEARCH("차재성",행정관리부!H1040)))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J40</xm:sqref>
        </x14:conditionalFormatting>
        <x14:conditionalFormatting xmlns:xm="http://schemas.microsoft.com/office/excel/2006/main">
          <x14:cfRule type="containsText" priority="139" operator="containsText" text="허하나로" id="{7F42C816-3B68-4AA1-98DD-E01F9BF01D92}">
            <xm:f>NOT(ISERROR(SEARCH("허하나로",행정관리부!H1096)))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0" operator="containsText" text="한별" id="{73F65376-9009-4C9C-B73B-674676DF81DF}">
            <xm:f>NOT(ISERROR(SEARCH("한별",행정관리부!H1096)))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41" operator="containsText" text="정홍조" id="{BE04AB81-523C-4785-ACC9-EEE56E83D6F1}">
            <xm:f>NOT(ISERROR(SEARCH("정홍조",행정관리부!H1096)))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42" operator="containsText" text="김지윤" id="{BDFA5262-5958-4B6B-BFA9-4D9B125D1851}">
            <xm:f>NOT(ISERROR(SEARCH("김지윤",행정관리부!H1096)))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43" operator="containsText" text="전준영" id="{A5209C69-0940-456C-9768-734EA83A0B18}">
            <xm:f>NOT(ISERROR(SEARCH("전준영",행정관리부!H1096)))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44" operator="containsText" text="차재성" id="{DB6E879D-7275-48FD-8FE2-5404B5774B5B}">
            <xm:f>NOT(ISERROR(SEARCH("차재성",행정관리부!H1096)))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J38:J39</xm:sqref>
        </x14:conditionalFormatting>
        <x14:conditionalFormatting xmlns:xm="http://schemas.microsoft.com/office/excel/2006/main">
          <x14:cfRule type="containsText" priority="103" operator="containsText" text="허하나로" id="{11582A01-9626-445B-A318-40668500A542}">
            <xm:f>NOT(ISERROR(SEARCH("허하나로",행사부!H1024)))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24B885A3-60B6-4536-AE4B-F369A664F7F9}">
            <xm:f>NOT(ISERROR(SEARCH("한별",행사부!H1024)))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CC64407C-5D98-435F-A187-EECF7830E463}">
            <xm:f>NOT(ISERROR(SEARCH("정홍조",행사부!H1024)))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3BE3C782-E7A0-4173-99CE-E7FE06DE5445}">
            <xm:f>NOT(ISERROR(SEARCH("김지윤",행사부!H1024)))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DF5F4926-E1A0-4CB5-A4A9-D4A2131C4BB1}">
            <xm:f>NOT(ISERROR(SEARCH("전준영",행사부!H1024)))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583AA59E-B51A-4436-A394-C05D92E2B766}">
            <xm:f>NOT(ISERROR(SEARCH("차재성",행사부!H1024)))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J21:J22</xm:sqref>
        </x14:conditionalFormatting>
        <x14:conditionalFormatting xmlns:xm="http://schemas.microsoft.com/office/excel/2006/main">
          <x14:cfRule type="containsText" priority="4555" operator="containsText" text="허하나로" id="{11582A01-9626-445B-A318-40668500A542}">
            <xm:f>NOT(ISERROR(SEARCH("허하나로",행사부!H1014)))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556" operator="containsText" text="한별" id="{24B885A3-60B6-4536-AE4B-F369A664F7F9}">
            <xm:f>NOT(ISERROR(SEARCH("한별",행사부!H1014)))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57" operator="containsText" text="정홍조" id="{CC64407C-5D98-435F-A187-EECF7830E463}">
            <xm:f>NOT(ISERROR(SEARCH("정홍조",행사부!H1014)))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558" operator="containsText" text="김지윤" id="{3BE3C782-E7A0-4173-99CE-E7FE06DE5445}">
            <xm:f>NOT(ISERROR(SEARCH("김지윤",행사부!H1014)))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559" operator="containsText" text="전준영" id="{DF5F4926-E1A0-4CB5-A4A9-D4A2131C4BB1}">
            <xm:f>NOT(ISERROR(SEARCH("전준영",행사부!H1014)))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560" operator="containsText" text="차재성" id="{583AA59E-B51A-4436-A394-C05D92E2B766}">
            <xm:f>NOT(ISERROR(SEARCH("차재성",행사부!H1014)))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J16:J17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O24"/>
  <sheetViews>
    <sheetView zoomScale="85" zoomScaleNormal="85" workbookViewId="0"/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9" style="595"/>
  </cols>
  <sheetData>
    <row r="1" spans="1:15" ht="17.25" thickBot="1">
      <c r="A1" s="88" t="s">
        <v>506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5" ht="16.5" customHeight="1">
      <c r="A2" s="643" t="s">
        <v>21</v>
      </c>
      <c r="B2" s="645" t="s">
        <v>22</v>
      </c>
      <c r="C2" s="646"/>
      <c r="D2" s="647"/>
      <c r="E2" s="645" t="s">
        <v>23</v>
      </c>
      <c r="F2" s="646"/>
      <c r="G2" s="647"/>
      <c r="H2" s="623" t="s">
        <v>660</v>
      </c>
      <c r="I2" s="623" t="s">
        <v>543</v>
      </c>
      <c r="J2" s="648" t="s">
        <v>468</v>
      </c>
      <c r="K2" s="634" t="s">
        <v>1</v>
      </c>
      <c r="L2" s="635"/>
      <c r="M2" s="636"/>
    </row>
    <row r="3" spans="1:15" ht="17.25" thickBot="1">
      <c r="A3" s="644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24"/>
      <c r="I3" s="624"/>
      <c r="J3" s="649"/>
      <c r="K3" s="637"/>
      <c r="L3" s="638"/>
      <c r="M3" s="639"/>
    </row>
    <row r="4" spans="1:15" ht="17.25" thickBot="1">
      <c r="A4" s="640" t="s">
        <v>30</v>
      </c>
      <c r="B4" s="641"/>
      <c r="C4" s="641"/>
      <c r="D4" s="641"/>
      <c r="E4" s="641"/>
      <c r="F4" s="641"/>
      <c r="G4" s="642"/>
      <c r="H4" s="185">
        <f>H5</f>
        <v>16292</v>
      </c>
      <c r="I4" s="185">
        <v>0</v>
      </c>
      <c r="J4" s="120">
        <f t="shared" ref="J4:J11" si="0">H4-I4</f>
        <v>16292</v>
      </c>
      <c r="K4" s="89"/>
      <c r="L4" s="90"/>
      <c r="M4" s="121"/>
    </row>
    <row r="5" spans="1:15">
      <c r="A5" s="205" t="s">
        <v>2</v>
      </c>
      <c r="B5" s="122"/>
      <c r="C5" s="123"/>
      <c r="D5" s="123"/>
      <c r="E5" s="123"/>
      <c r="F5" s="123"/>
      <c r="G5" s="124"/>
      <c r="H5" s="94">
        <f>H6</f>
        <v>16292</v>
      </c>
      <c r="I5" s="94">
        <v>0</v>
      </c>
      <c r="J5" s="95">
        <f t="shared" si="0"/>
        <v>16292</v>
      </c>
      <c r="K5" s="78"/>
      <c r="L5" s="79"/>
      <c r="M5" s="80"/>
    </row>
    <row r="6" spans="1:15">
      <c r="A6" s="10"/>
      <c r="B6" s="354" t="s">
        <v>507</v>
      </c>
      <c r="C6" s="129"/>
      <c r="D6" s="130"/>
      <c r="E6" s="130"/>
      <c r="F6" s="130"/>
      <c r="G6" s="131"/>
      <c r="H6" s="94">
        <f>H7</f>
        <v>16292</v>
      </c>
      <c r="I6" s="94">
        <v>0</v>
      </c>
      <c r="J6" s="95">
        <f t="shared" si="0"/>
        <v>16292</v>
      </c>
      <c r="K6" s="78"/>
      <c r="L6" s="79"/>
      <c r="M6" s="80"/>
    </row>
    <row r="7" spans="1:15">
      <c r="A7" s="10"/>
      <c r="B7" s="6"/>
      <c r="C7" s="179" t="s">
        <v>508</v>
      </c>
      <c r="D7" s="130"/>
      <c r="E7" s="130"/>
      <c r="F7" s="130"/>
      <c r="G7" s="131"/>
      <c r="H7" s="91">
        <f>H8</f>
        <v>16292</v>
      </c>
      <c r="I7" s="91">
        <v>0</v>
      </c>
      <c r="J7" s="92">
        <f t="shared" si="0"/>
        <v>16292</v>
      </c>
      <c r="K7" s="159"/>
      <c r="L7" s="149"/>
      <c r="M7" s="150"/>
    </row>
    <row r="8" spans="1:15">
      <c r="A8" s="10"/>
      <c r="B8" s="6"/>
      <c r="C8" s="147"/>
      <c r="D8" s="129" t="s">
        <v>34</v>
      </c>
      <c r="E8" s="130"/>
      <c r="F8" s="130"/>
      <c r="G8" s="131"/>
      <c r="H8" s="132">
        <f>H9</f>
        <v>16292</v>
      </c>
      <c r="I8" s="132">
        <v>0</v>
      </c>
      <c r="J8" s="9">
        <f t="shared" si="0"/>
        <v>16292</v>
      </c>
      <c r="K8" s="396"/>
      <c r="L8" s="397"/>
      <c r="M8" s="404"/>
    </row>
    <row r="9" spans="1:15">
      <c r="A9" s="10"/>
      <c r="B9" s="6"/>
      <c r="C9" s="134"/>
      <c r="D9" s="135"/>
      <c r="E9" s="129" t="s">
        <v>31</v>
      </c>
      <c r="F9" s="130"/>
      <c r="G9" s="131"/>
      <c r="H9" s="91">
        <f>SUM(H10,H15,H19,H22)</f>
        <v>16292</v>
      </c>
      <c r="I9" s="91">
        <v>0</v>
      </c>
      <c r="J9" s="92">
        <f t="shared" si="0"/>
        <v>16292</v>
      </c>
      <c r="K9" s="356"/>
      <c r="L9" s="398"/>
      <c r="M9" s="399"/>
    </row>
    <row r="10" spans="1:15">
      <c r="A10" s="63"/>
      <c r="B10" s="65"/>
      <c r="C10" s="65"/>
      <c r="D10" s="65"/>
      <c r="E10" s="65"/>
      <c r="F10" s="136" t="s">
        <v>35</v>
      </c>
      <c r="G10" s="140"/>
      <c r="H10" s="72">
        <f>SUM(H11,H13)</f>
        <v>4592</v>
      </c>
      <c r="I10" s="72">
        <v>0</v>
      </c>
      <c r="J10" s="98">
        <f t="shared" si="0"/>
        <v>4592</v>
      </c>
      <c r="K10" s="390"/>
      <c r="L10" s="391"/>
      <c r="M10" s="405"/>
    </row>
    <row r="11" spans="1:15">
      <c r="A11" s="55"/>
      <c r="B11" s="57"/>
      <c r="C11" s="65"/>
      <c r="D11" s="65"/>
      <c r="E11" s="65"/>
      <c r="F11" s="192"/>
      <c r="G11" s="206" t="s">
        <v>36</v>
      </c>
      <c r="H11" s="207">
        <f>M11</f>
        <v>2000</v>
      </c>
      <c r="I11" s="207">
        <v>0</v>
      </c>
      <c r="J11" s="41">
        <f t="shared" si="0"/>
        <v>2000</v>
      </c>
      <c r="K11" s="393" t="s">
        <v>47</v>
      </c>
      <c r="L11" s="420"/>
      <c r="M11" s="395">
        <f>SUM(M12:M12)</f>
        <v>2000</v>
      </c>
    </row>
    <row r="12" spans="1:15">
      <c r="A12" s="55"/>
      <c r="B12" s="57"/>
      <c r="C12" s="65"/>
      <c r="D12" s="65"/>
      <c r="E12" s="65"/>
      <c r="F12" s="56"/>
      <c r="G12" s="56"/>
      <c r="H12" s="100"/>
      <c r="I12" s="100"/>
      <c r="J12" s="102"/>
      <c r="K12" s="606" t="s">
        <v>733</v>
      </c>
      <c r="L12" s="385" t="s">
        <v>37</v>
      </c>
      <c r="M12" s="381">
        <v>2000</v>
      </c>
      <c r="O12" s="594"/>
    </row>
    <row r="13" spans="1:15">
      <c r="A13" s="55"/>
      <c r="B13" s="57"/>
      <c r="C13" s="65"/>
      <c r="D13" s="65"/>
      <c r="E13" s="65"/>
      <c r="F13" s="56"/>
      <c r="G13" s="206" t="s">
        <v>310</v>
      </c>
      <c r="H13" s="207">
        <f>M13</f>
        <v>2592</v>
      </c>
      <c r="I13" s="207">
        <v>0</v>
      </c>
      <c r="J13" s="208">
        <f>H13-I13</f>
        <v>2592</v>
      </c>
      <c r="K13" s="393" t="s">
        <v>311</v>
      </c>
      <c r="L13" s="532"/>
      <c r="M13" s="395">
        <f>SUM(M14)</f>
        <v>2592</v>
      </c>
    </row>
    <row r="14" spans="1:15">
      <c r="A14" s="63"/>
      <c r="B14" s="65"/>
      <c r="C14" s="65"/>
      <c r="D14" s="65"/>
      <c r="E14" s="65"/>
      <c r="F14" s="56"/>
      <c r="G14" s="56"/>
      <c r="H14" s="100"/>
      <c r="I14" s="100"/>
      <c r="J14" s="102"/>
      <c r="K14" s="387" t="s">
        <v>642</v>
      </c>
      <c r="L14" s="380" t="s">
        <v>37</v>
      </c>
      <c r="M14" s="381">
        <v>2592</v>
      </c>
    </row>
    <row r="15" spans="1:15">
      <c r="A15" s="63"/>
      <c r="B15" s="65"/>
      <c r="C15" s="65"/>
      <c r="D15" s="65"/>
      <c r="E15" s="65"/>
      <c r="F15" s="653" t="s">
        <v>40</v>
      </c>
      <c r="G15" s="654"/>
      <c r="H15" s="152">
        <f>H16</f>
        <v>9000</v>
      </c>
      <c r="I15" s="152">
        <v>0</v>
      </c>
      <c r="J15" s="153">
        <f>H15-I15</f>
        <v>9000</v>
      </c>
      <c r="K15" s="607"/>
      <c r="L15" s="608"/>
      <c r="M15" s="392"/>
    </row>
    <row r="16" spans="1:15">
      <c r="A16" s="63"/>
      <c r="B16" s="65"/>
      <c r="C16" s="65"/>
      <c r="D16" s="65"/>
      <c r="E16" s="65"/>
      <c r="F16" s="109"/>
      <c r="G16" s="199" t="s">
        <v>41</v>
      </c>
      <c r="H16" s="210">
        <f>M16</f>
        <v>9000</v>
      </c>
      <c r="I16" s="207">
        <v>0</v>
      </c>
      <c r="J16" s="202">
        <f>H16-I16</f>
        <v>9000</v>
      </c>
      <c r="K16" s="393" t="s">
        <v>49</v>
      </c>
      <c r="L16" s="609"/>
      <c r="M16" s="395">
        <f>SUM(M17:M18)</f>
        <v>9000</v>
      </c>
    </row>
    <row r="17" spans="1:15">
      <c r="A17" s="63"/>
      <c r="B17" s="65"/>
      <c r="C17" s="65"/>
      <c r="D17" s="65"/>
      <c r="E17" s="65"/>
      <c r="F17" s="194"/>
      <c r="G17" s="194"/>
      <c r="H17" s="100"/>
      <c r="I17" s="104"/>
      <c r="J17" s="102"/>
      <c r="K17" s="389" t="s">
        <v>736</v>
      </c>
      <c r="L17" s="426" t="s">
        <v>0</v>
      </c>
      <c r="M17" s="381">
        <v>2400</v>
      </c>
      <c r="O17" s="594"/>
    </row>
    <row r="18" spans="1:15">
      <c r="A18" s="63"/>
      <c r="B18" s="65"/>
      <c r="C18" s="65"/>
      <c r="D18" s="65"/>
      <c r="E18" s="65"/>
      <c r="F18" s="194"/>
      <c r="G18" s="194"/>
      <c r="H18" s="100"/>
      <c r="I18" s="104"/>
      <c r="J18" s="102"/>
      <c r="K18" s="387" t="s">
        <v>737</v>
      </c>
      <c r="L18" s="530" t="s">
        <v>0</v>
      </c>
      <c r="M18" s="381">
        <v>6600</v>
      </c>
      <c r="O18" s="594"/>
    </row>
    <row r="19" spans="1:15">
      <c r="A19" s="63"/>
      <c r="B19" s="65"/>
      <c r="C19" s="65"/>
      <c r="D19" s="65"/>
      <c r="E19" s="65"/>
      <c r="F19" s="653" t="s">
        <v>42</v>
      </c>
      <c r="G19" s="654"/>
      <c r="H19" s="152">
        <f>H20</f>
        <v>1500</v>
      </c>
      <c r="I19" s="152">
        <v>0</v>
      </c>
      <c r="J19" s="153">
        <f>H19-I19</f>
        <v>1500</v>
      </c>
      <c r="K19" s="607"/>
      <c r="L19" s="608"/>
      <c r="M19" s="392"/>
    </row>
    <row r="20" spans="1:15">
      <c r="A20" s="63"/>
      <c r="B20" s="65"/>
      <c r="C20" s="65"/>
      <c r="D20" s="65"/>
      <c r="E20" s="65"/>
      <c r="F20" s="194"/>
      <c r="G20" s="109" t="s">
        <v>43</v>
      </c>
      <c r="H20" s="210">
        <f>M20</f>
        <v>1500</v>
      </c>
      <c r="I20" s="210">
        <v>0</v>
      </c>
      <c r="J20" s="202">
        <f>H20-I20</f>
        <v>1500</v>
      </c>
      <c r="K20" s="393" t="s">
        <v>509</v>
      </c>
      <c r="L20" s="420"/>
      <c r="M20" s="395">
        <f>SUM(M21)</f>
        <v>1500</v>
      </c>
    </row>
    <row r="21" spans="1:15">
      <c r="A21" s="319"/>
      <c r="B21" s="320"/>
      <c r="C21" s="320"/>
      <c r="D21" s="320"/>
      <c r="E21" s="320"/>
      <c r="F21" s="195"/>
      <c r="G21" s="195"/>
      <c r="H21" s="103"/>
      <c r="I21" s="155"/>
      <c r="J21" s="155"/>
      <c r="K21" s="529" t="s">
        <v>738</v>
      </c>
      <c r="L21" s="530" t="s">
        <v>0</v>
      </c>
      <c r="M21" s="381">
        <v>1500</v>
      </c>
      <c r="O21" s="594"/>
    </row>
    <row r="22" spans="1:15">
      <c r="A22" s="63"/>
      <c r="B22" s="65"/>
      <c r="C22" s="65"/>
      <c r="D22" s="65"/>
      <c r="E22" s="65"/>
      <c r="F22" s="335" t="s">
        <v>89</v>
      </c>
      <c r="G22" s="70"/>
      <c r="H22" s="71">
        <f>H23</f>
        <v>1200</v>
      </c>
      <c r="I22" s="71">
        <v>0</v>
      </c>
      <c r="J22" s="146">
        <f>H22-I22</f>
        <v>1200</v>
      </c>
      <c r="K22" s="537"/>
      <c r="L22" s="538"/>
      <c r="M22" s="392"/>
    </row>
    <row r="23" spans="1:15">
      <c r="A23" s="63"/>
      <c r="B23" s="65"/>
      <c r="C23" s="65"/>
      <c r="D23" s="65"/>
      <c r="E23" s="65"/>
      <c r="F23" s="143"/>
      <c r="G23" s="65" t="s">
        <v>93</v>
      </c>
      <c r="H23" s="75">
        <f>M23</f>
        <v>1200</v>
      </c>
      <c r="I23" s="75">
        <v>0</v>
      </c>
      <c r="J23" s="48">
        <f>H23-I23</f>
        <v>1200</v>
      </c>
      <c r="K23" s="393" t="s">
        <v>388</v>
      </c>
      <c r="L23" s="419"/>
      <c r="M23" s="395">
        <f>M24</f>
        <v>1200</v>
      </c>
    </row>
    <row r="24" spans="1:15" ht="17.25" thickBot="1">
      <c r="A24" s="291"/>
      <c r="B24" s="69"/>
      <c r="C24" s="69"/>
      <c r="D24" s="69"/>
      <c r="E24" s="69"/>
      <c r="F24" s="337"/>
      <c r="G24" s="200"/>
      <c r="H24" s="338"/>
      <c r="I24" s="339"/>
      <c r="J24" s="340"/>
      <c r="K24" s="232" t="s">
        <v>643</v>
      </c>
      <c r="L24" s="233" t="s">
        <v>0</v>
      </c>
      <c r="M24" s="243">
        <v>1200</v>
      </c>
    </row>
  </sheetData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299" priority="55" operator="containsText" text="허하나로">
      <formula>NOT(ISERROR(SEARCH("허하나로",H1046)))</formula>
    </cfRule>
    <cfRule type="containsText" dxfId="298" priority="56" operator="containsText" text="한별">
      <formula>NOT(ISERROR(SEARCH("한별",H1046)))</formula>
    </cfRule>
    <cfRule type="containsText" dxfId="297" priority="57" operator="containsText" text="정홍조">
      <formula>NOT(ISERROR(SEARCH("정홍조",H1046)))</formula>
    </cfRule>
    <cfRule type="containsText" dxfId="296" priority="58" operator="containsText" text="김지윤">
      <formula>NOT(ISERROR(SEARCH("김지윤",H1046)))</formula>
    </cfRule>
    <cfRule type="containsText" dxfId="295" priority="59" operator="containsText" text="전준영">
      <formula>NOT(ISERROR(SEARCH("전준영",H1046)))</formula>
    </cfRule>
    <cfRule type="containsText" dxfId="294" priority="60" operator="containsText" text="차재성">
      <formula>NOT(ISERROR(SEARCH("차재성",H1046)))</formula>
    </cfRule>
  </conditionalFormatting>
  <conditionalFormatting sqref="J6">
    <cfRule type="containsText" dxfId="293" priority="67" operator="containsText" text="허하나로">
      <formula>NOT(ISERROR(SEARCH("허하나로",H683)))</formula>
    </cfRule>
    <cfRule type="containsText" dxfId="292" priority="68" operator="containsText" text="한별">
      <formula>NOT(ISERROR(SEARCH("한별",H683)))</formula>
    </cfRule>
    <cfRule type="containsText" dxfId="291" priority="69" operator="containsText" text="정홍조">
      <formula>NOT(ISERROR(SEARCH("정홍조",H683)))</formula>
    </cfRule>
    <cfRule type="containsText" dxfId="290" priority="70" operator="containsText" text="김지윤">
      <formula>NOT(ISERROR(SEARCH("김지윤",H683)))</formula>
    </cfRule>
    <cfRule type="containsText" dxfId="289" priority="71" operator="containsText" text="전준영">
      <formula>NOT(ISERROR(SEARCH("전준영",H683)))</formula>
    </cfRule>
    <cfRule type="containsText" dxfId="288" priority="72" operator="containsText" text="차재성">
      <formula>NOT(ISERROR(SEARCH("차재성",H683)))</formula>
    </cfRule>
  </conditionalFormatting>
  <conditionalFormatting sqref="J5">
    <cfRule type="containsText" dxfId="287" priority="61" operator="containsText" text="허하나로">
      <formula>NOT(ISERROR(SEARCH("허하나로",H682)))</formula>
    </cfRule>
    <cfRule type="containsText" dxfId="286" priority="62" operator="containsText" text="한별">
      <formula>NOT(ISERROR(SEARCH("한별",H682)))</formula>
    </cfRule>
    <cfRule type="containsText" dxfId="285" priority="63" operator="containsText" text="정홍조">
      <formula>NOT(ISERROR(SEARCH("정홍조",H682)))</formula>
    </cfRule>
    <cfRule type="containsText" dxfId="284" priority="64" operator="containsText" text="김지윤">
      <formula>NOT(ISERROR(SEARCH("김지윤",H682)))</formula>
    </cfRule>
    <cfRule type="containsText" dxfId="283" priority="65" operator="containsText" text="전준영">
      <formula>NOT(ISERROR(SEARCH("전준영",H682)))</formula>
    </cfRule>
    <cfRule type="containsText" dxfId="282" priority="66" operator="containsText" text="차재성">
      <formula>NOT(ISERROR(SEARCH("차재성",H682)))</formula>
    </cfRule>
  </conditionalFormatting>
  <conditionalFormatting sqref="J7">
    <cfRule type="containsText" dxfId="281" priority="49" operator="containsText" text="허하나로">
      <formula>NOT(ISERROR(SEARCH("허하나로",H816)))</formula>
    </cfRule>
    <cfRule type="containsText" dxfId="280" priority="50" operator="containsText" text="한별">
      <formula>NOT(ISERROR(SEARCH("한별",H816)))</formula>
    </cfRule>
    <cfRule type="containsText" dxfId="279" priority="51" operator="containsText" text="정홍조">
      <formula>NOT(ISERROR(SEARCH("정홍조",H816)))</formula>
    </cfRule>
    <cfRule type="containsText" dxfId="278" priority="52" operator="containsText" text="김지윤">
      <formula>NOT(ISERROR(SEARCH("김지윤",H816)))</formula>
    </cfRule>
    <cfRule type="containsText" dxfId="277" priority="53" operator="containsText" text="전준영">
      <formula>NOT(ISERROR(SEARCH("전준영",H816)))</formula>
    </cfRule>
    <cfRule type="containsText" dxfId="276" priority="54" operator="containsText" text="차재성">
      <formula>NOT(ISERROR(SEARCH("차재성",H816)))</formula>
    </cfRule>
  </conditionalFormatting>
  <conditionalFormatting sqref="J10:J11">
    <cfRule type="containsText" dxfId="275" priority="43" operator="containsText" text="허하나로">
      <formula>NOT(ISERROR(SEARCH("허하나로",H1024)))</formula>
    </cfRule>
    <cfRule type="containsText" dxfId="274" priority="44" operator="containsText" text="한별">
      <formula>NOT(ISERROR(SEARCH("한별",H1024)))</formula>
    </cfRule>
    <cfRule type="containsText" dxfId="273" priority="45" operator="containsText" text="정홍조">
      <formula>NOT(ISERROR(SEARCH("정홍조",H1024)))</formula>
    </cfRule>
    <cfRule type="containsText" dxfId="272" priority="46" operator="containsText" text="김지윤">
      <formula>NOT(ISERROR(SEARCH("김지윤",H1024)))</formula>
    </cfRule>
    <cfRule type="containsText" dxfId="271" priority="47" operator="containsText" text="전준영">
      <formula>NOT(ISERROR(SEARCH("전준영",H1024)))</formula>
    </cfRule>
    <cfRule type="containsText" dxfId="270" priority="48" operator="containsText" text="차재성">
      <formula>NOT(ISERROR(SEARCH("차재성",H1024)))</formula>
    </cfRule>
  </conditionalFormatting>
  <conditionalFormatting sqref="J9">
    <cfRule type="containsText" dxfId="269" priority="73" operator="containsText" text="허하나로">
      <formula>NOT(ISERROR(SEARCH("허하나로",H1013)))</formula>
    </cfRule>
    <cfRule type="containsText" dxfId="268" priority="74" operator="containsText" text="한별">
      <formula>NOT(ISERROR(SEARCH("한별",H1013)))</formula>
    </cfRule>
    <cfRule type="containsText" dxfId="267" priority="75" operator="containsText" text="정홍조">
      <formula>NOT(ISERROR(SEARCH("정홍조",H1013)))</formula>
    </cfRule>
    <cfRule type="containsText" dxfId="266" priority="76" operator="containsText" text="김지윤">
      <formula>NOT(ISERROR(SEARCH("김지윤",H1013)))</formula>
    </cfRule>
    <cfRule type="containsText" dxfId="265" priority="77" operator="containsText" text="전준영">
      <formula>NOT(ISERROR(SEARCH("전준영",H1013)))</formula>
    </cfRule>
    <cfRule type="containsText" dxfId="264" priority="78" operator="containsText" text="차재성">
      <formula>NOT(ISERROR(SEARCH("차재성",H1013)))</formula>
    </cfRule>
  </conditionalFormatting>
  <conditionalFormatting sqref="J15:J18">
    <cfRule type="containsText" dxfId="263" priority="79" operator="containsText" text="허하나로">
      <formula>NOT(ISERROR(SEARCH("허하나로",H1026)))</formula>
    </cfRule>
    <cfRule type="containsText" dxfId="262" priority="80" operator="containsText" text="한별">
      <formula>NOT(ISERROR(SEARCH("한별",H1026)))</formula>
    </cfRule>
    <cfRule type="containsText" dxfId="261" priority="81" operator="containsText" text="정홍조">
      <formula>NOT(ISERROR(SEARCH("정홍조",H1026)))</formula>
    </cfRule>
    <cfRule type="containsText" dxfId="260" priority="82" operator="containsText" text="김지윤">
      <formula>NOT(ISERROR(SEARCH("김지윤",H1026)))</formula>
    </cfRule>
    <cfRule type="containsText" dxfId="259" priority="83" operator="containsText" text="전준영">
      <formula>NOT(ISERROR(SEARCH("전준영",H1026)))</formula>
    </cfRule>
    <cfRule type="containsText" dxfId="258" priority="84" operator="containsText" text="차재성">
      <formula>NOT(ISERROR(SEARCH("차재성",H1026)))</formula>
    </cfRule>
  </conditionalFormatting>
  <conditionalFormatting sqref="J19">
    <cfRule type="containsText" dxfId="257" priority="37" operator="containsText" text="허하나로">
      <formula>NOT(ISERROR(SEARCH("허하나로",H1030)))</formula>
    </cfRule>
    <cfRule type="containsText" dxfId="256" priority="38" operator="containsText" text="한별">
      <formula>NOT(ISERROR(SEARCH("한별",H1030)))</formula>
    </cfRule>
    <cfRule type="containsText" dxfId="255" priority="39" operator="containsText" text="정홍조">
      <formula>NOT(ISERROR(SEARCH("정홍조",H1030)))</formula>
    </cfRule>
    <cfRule type="containsText" dxfId="254" priority="40" operator="containsText" text="김지윤">
      <formula>NOT(ISERROR(SEARCH("김지윤",H1030)))</formula>
    </cfRule>
    <cfRule type="containsText" dxfId="253" priority="41" operator="containsText" text="전준영">
      <formula>NOT(ISERROR(SEARCH("전준영",H1030)))</formula>
    </cfRule>
    <cfRule type="containsText" dxfId="252" priority="42" operator="containsText" text="차재성">
      <formula>NOT(ISERROR(SEARCH("차재성",H1030)))</formula>
    </cfRule>
  </conditionalFormatting>
  <conditionalFormatting sqref="L16">
    <cfRule type="containsText" dxfId="251" priority="31" operator="containsText" text="허하나로">
      <formula>NOT(ISERROR(SEARCH("허하나로",J1161)))</formula>
    </cfRule>
    <cfRule type="containsText" dxfId="250" priority="32" operator="containsText" text="한별">
      <formula>NOT(ISERROR(SEARCH("한별",J1161)))</formula>
    </cfRule>
    <cfRule type="containsText" dxfId="249" priority="33" operator="containsText" text="정홍조">
      <formula>NOT(ISERROR(SEARCH("정홍조",J1161)))</formula>
    </cfRule>
    <cfRule type="containsText" dxfId="248" priority="34" operator="containsText" text="김지윤">
      <formula>NOT(ISERROR(SEARCH("김지윤",J1161)))</formula>
    </cfRule>
    <cfRule type="containsText" dxfId="247" priority="35" operator="containsText" text="전준영">
      <formula>NOT(ISERROR(SEARCH("전준영",J1161)))</formula>
    </cfRule>
    <cfRule type="containsText" dxfId="246" priority="36" operator="containsText" text="차재성">
      <formula>NOT(ISERROR(SEARCH("차재성",J1161)))</formula>
    </cfRule>
  </conditionalFormatting>
  <conditionalFormatting sqref="I21">
    <cfRule type="containsText" dxfId="245" priority="25" operator="containsText" text="허하나로">
      <formula>NOT(ISERROR(SEARCH("허하나로",G1047)))</formula>
    </cfRule>
    <cfRule type="containsText" dxfId="244" priority="26" operator="containsText" text="한별">
      <formula>NOT(ISERROR(SEARCH("한별",G1047)))</formula>
    </cfRule>
    <cfRule type="containsText" dxfId="243" priority="27" operator="containsText" text="정홍조">
      <formula>NOT(ISERROR(SEARCH("정홍조",G1047)))</formula>
    </cfRule>
    <cfRule type="containsText" dxfId="242" priority="28" operator="containsText" text="김지윤">
      <formula>NOT(ISERROR(SEARCH("김지윤",G1047)))</formula>
    </cfRule>
    <cfRule type="containsText" dxfId="241" priority="29" operator="containsText" text="전준영">
      <formula>NOT(ISERROR(SEARCH("전준영",G1047)))</formula>
    </cfRule>
    <cfRule type="containsText" dxfId="240" priority="30" operator="containsText" text="차재성">
      <formula>NOT(ISERROR(SEARCH("차재성",G1047)))</formula>
    </cfRule>
  </conditionalFormatting>
  <conditionalFormatting sqref="J13:J14">
    <cfRule type="containsText" dxfId="239" priority="19" operator="containsText" text="허하나로">
      <formula>NOT(ISERROR(SEARCH("허하나로",H1022)))</formula>
    </cfRule>
    <cfRule type="containsText" dxfId="238" priority="20" operator="containsText" text="한별">
      <formula>NOT(ISERROR(SEARCH("한별",H1022)))</formula>
    </cfRule>
    <cfRule type="containsText" dxfId="237" priority="21" operator="containsText" text="정홍조">
      <formula>NOT(ISERROR(SEARCH("정홍조",H1022)))</formula>
    </cfRule>
    <cfRule type="containsText" dxfId="236" priority="22" operator="containsText" text="김지윤">
      <formula>NOT(ISERROR(SEARCH("김지윤",H1022)))</formula>
    </cfRule>
    <cfRule type="containsText" dxfId="235" priority="23" operator="containsText" text="전준영">
      <formula>NOT(ISERROR(SEARCH("전준영",H1022)))</formula>
    </cfRule>
    <cfRule type="containsText" dxfId="234" priority="24" operator="containsText" text="차재성">
      <formula>NOT(ISERROR(SEARCH("차재성",H1022)))</formula>
    </cfRule>
  </conditionalFormatting>
  <conditionalFormatting sqref="J12">
    <cfRule type="containsText" dxfId="233" priority="85" operator="containsText" text="허하나로">
      <formula>NOT(ISERROR(SEARCH("허하나로",H1015)))</formula>
    </cfRule>
    <cfRule type="containsText" dxfId="232" priority="86" operator="containsText" text="한별">
      <formula>NOT(ISERROR(SEARCH("한별",H1015)))</formula>
    </cfRule>
    <cfRule type="containsText" dxfId="231" priority="87" operator="containsText" text="정홍조">
      <formula>NOT(ISERROR(SEARCH("정홍조",H1015)))</formula>
    </cfRule>
    <cfRule type="containsText" dxfId="230" priority="88" operator="containsText" text="김지윤">
      <formula>NOT(ISERROR(SEARCH("김지윤",H1015)))</formula>
    </cfRule>
    <cfRule type="containsText" dxfId="229" priority="89" operator="containsText" text="전준영">
      <formula>NOT(ISERROR(SEARCH("전준영",H1015)))</formula>
    </cfRule>
    <cfRule type="containsText" dxfId="228" priority="90" operator="containsText" text="차재성">
      <formula>NOT(ISERROR(SEARCH("차재성",H1015)))</formula>
    </cfRule>
  </conditionalFormatting>
  <conditionalFormatting sqref="J2:J3">
    <cfRule type="containsText" dxfId="227" priority="1" operator="containsText" text="허하나로">
      <formula>NOT(ISERROR(SEARCH("허하나로",H762)))</formula>
    </cfRule>
    <cfRule type="containsText" dxfId="226" priority="2" operator="containsText" text="한별">
      <formula>NOT(ISERROR(SEARCH("한별",H762)))</formula>
    </cfRule>
    <cfRule type="containsText" dxfId="225" priority="3" operator="containsText" text="정홍조">
      <formula>NOT(ISERROR(SEARCH("정홍조",H762)))</formula>
    </cfRule>
    <cfRule type="containsText" dxfId="224" priority="4" operator="containsText" text="김지윤">
      <formula>NOT(ISERROR(SEARCH("김지윤",H762)))</formula>
    </cfRule>
    <cfRule type="containsText" dxfId="223" priority="5" operator="containsText" text="전준영">
      <formula>NOT(ISERROR(SEARCH("전준영",H762)))</formula>
    </cfRule>
    <cfRule type="containsText" dxfId="222" priority="6" operator="containsText" text="차재성">
      <formula>NOT(ISERROR(SEARCH("차재성",H762)))</formula>
    </cfRule>
  </conditionalFormatting>
  <pageMargins left="0.25" right="0.25" top="0.75" bottom="0.75" header="0.3" footer="0.3"/>
  <pageSetup paperSize="9" scale="7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text="허하나로" id="{95120B36-3164-47DE-878C-4F82023BF8D5}">
            <xm:f>NOT(ISERROR(SEARCH("허하나로",행정관리부!H1030)))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D185590A-7187-44A2-943C-FD73FE554E4D}">
            <xm:f>NOT(ISERROR(SEARCH("한별",행정관리부!H1030)))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6AC6A331-9FDC-489C-A304-5ECD53F79C31}">
            <xm:f>NOT(ISERROR(SEARCH("정홍조",행정관리부!H1030)))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6B08EBCC-36A2-4166-AF2B-5F798FB5BE38}">
            <xm:f>NOT(ISERROR(SEARCH("김지윤",행정관리부!H1030)))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1858AA5C-AF06-4BDC-A28D-73467D4B22C5}">
            <xm:f>NOT(ISERROR(SEARCH("전준영",행정관리부!H1030)))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6AD262E2-8096-498A-B201-0CED1A8D1D2A}">
            <xm:f>NOT(ISERROR(SEARCH("차재성",행정관리부!H1030)))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7" operator="containsText" text="허하나로" id="{06743285-5893-415C-8B2B-416879D9216D}">
            <xm:f>NOT(ISERROR(SEARCH("허하나로",행정관리부!H1086)))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A5420FC7-7D10-40B5-BB00-FE1EE480D5B2}">
            <xm:f>NOT(ISERROR(SEARCH("한별",행정관리부!H1086)))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1C42F33B-AEB4-41E2-8362-9AA66780B06F}">
            <xm:f>NOT(ISERROR(SEARCH("정홍조",행정관리부!H1086)))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579A7546-8240-4E03-BF5A-F7CD2B0DECF0}">
            <xm:f>NOT(ISERROR(SEARCH("김지윤",행정관리부!H1086)))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8A90192D-DE88-4FDC-B4BC-FEF230653292}">
            <xm:f>NOT(ISERROR(SEARCH("전준영",행정관리부!H1086)))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240E1230-3F39-4218-855C-9C66DA702372}">
            <xm:f>NOT(ISERROR(SEARCH("차재성",행정관리부!H1086)))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M34"/>
  <sheetViews>
    <sheetView zoomScale="85" zoomScaleNormal="85" workbookViewId="0">
      <selection activeCell="J17" sqref="J17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4.375" customWidth="1"/>
    <col min="12" max="12" width="3.875" customWidth="1"/>
    <col min="13" max="13" width="12.625" style="280" customWidth="1"/>
    <col min="15" max="15" width="12.75" bestFit="1" customWidth="1"/>
  </cols>
  <sheetData>
    <row r="1" spans="1:13" ht="17.25" thickBot="1">
      <c r="A1" s="88" t="s">
        <v>175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267" t="s">
        <v>176</v>
      </c>
    </row>
    <row r="2" spans="1:13" ht="16.5" customHeight="1">
      <c r="A2" s="643" t="s">
        <v>177</v>
      </c>
      <c r="B2" s="645" t="s">
        <v>22</v>
      </c>
      <c r="C2" s="646"/>
      <c r="D2" s="647"/>
      <c r="E2" s="645" t="s">
        <v>178</v>
      </c>
      <c r="F2" s="646"/>
      <c r="G2" s="647"/>
      <c r="H2" s="623" t="s">
        <v>660</v>
      </c>
      <c r="I2" s="623" t="s">
        <v>543</v>
      </c>
      <c r="J2" s="648" t="s">
        <v>468</v>
      </c>
      <c r="K2" s="634" t="s">
        <v>1</v>
      </c>
      <c r="L2" s="635"/>
      <c r="M2" s="636"/>
    </row>
    <row r="3" spans="1:13" ht="17.25" thickBot="1">
      <c r="A3" s="644"/>
      <c r="B3" s="119" t="s">
        <v>179</v>
      </c>
      <c r="C3" s="119" t="s">
        <v>25</v>
      </c>
      <c r="D3" s="119" t="s">
        <v>180</v>
      </c>
      <c r="E3" s="119" t="s">
        <v>181</v>
      </c>
      <c r="F3" s="119" t="s">
        <v>28</v>
      </c>
      <c r="G3" s="119" t="s">
        <v>182</v>
      </c>
      <c r="H3" s="624"/>
      <c r="I3" s="624"/>
      <c r="J3" s="649"/>
      <c r="K3" s="637"/>
      <c r="L3" s="638"/>
      <c r="M3" s="639"/>
    </row>
    <row r="4" spans="1:13" ht="17.25" thickBot="1">
      <c r="A4" s="640" t="s">
        <v>183</v>
      </c>
      <c r="B4" s="641"/>
      <c r="C4" s="641"/>
      <c r="D4" s="641"/>
      <c r="E4" s="641"/>
      <c r="F4" s="641"/>
      <c r="G4" s="642"/>
      <c r="H4" s="185">
        <f>H5+H13</f>
        <v>596200</v>
      </c>
      <c r="I4" s="185">
        <v>316640</v>
      </c>
      <c r="J4" s="120">
        <f t="shared" ref="J4:J11" si="0">H4-I4</f>
        <v>279560</v>
      </c>
      <c r="K4" s="89"/>
      <c r="L4" s="90"/>
      <c r="M4" s="268"/>
    </row>
    <row r="5" spans="1:13">
      <c r="A5" s="205" t="s">
        <v>2</v>
      </c>
      <c r="B5" s="122"/>
      <c r="C5" s="123"/>
      <c r="D5" s="123"/>
      <c r="E5" s="123"/>
      <c r="F5" s="123"/>
      <c r="G5" s="124"/>
      <c r="H5" s="94">
        <f t="shared" ref="H5:H10" si="1">H6</f>
        <v>596200</v>
      </c>
      <c r="I5" s="94">
        <v>316640</v>
      </c>
      <c r="J5" s="95">
        <f t="shared" si="0"/>
        <v>279560</v>
      </c>
      <c r="K5" s="78"/>
      <c r="L5" s="79"/>
      <c r="M5" s="269"/>
    </row>
    <row r="6" spans="1:13">
      <c r="A6" s="10"/>
      <c r="B6" s="129" t="s">
        <v>184</v>
      </c>
      <c r="C6" s="354"/>
      <c r="D6" s="462"/>
      <c r="E6" s="462"/>
      <c r="F6" s="462"/>
      <c r="G6" s="463"/>
      <c r="H6" s="95">
        <f t="shared" si="1"/>
        <v>596200</v>
      </c>
      <c r="I6" s="95">
        <v>316640</v>
      </c>
      <c r="J6" s="95">
        <f t="shared" si="0"/>
        <v>279560</v>
      </c>
      <c r="K6" s="544"/>
      <c r="L6" s="397"/>
      <c r="M6" s="545"/>
    </row>
    <row r="7" spans="1:13">
      <c r="A7" s="10"/>
      <c r="B7" s="6"/>
      <c r="C7" s="179" t="s">
        <v>185</v>
      </c>
      <c r="D7" s="462"/>
      <c r="E7" s="462"/>
      <c r="F7" s="462"/>
      <c r="G7" s="463"/>
      <c r="H7" s="92">
        <f t="shared" si="1"/>
        <v>596200</v>
      </c>
      <c r="I7" s="92">
        <v>316640</v>
      </c>
      <c r="J7" s="95">
        <f t="shared" si="0"/>
        <v>279560</v>
      </c>
      <c r="K7" s="403"/>
      <c r="L7" s="397"/>
      <c r="M7" s="545"/>
    </row>
    <row r="8" spans="1:13">
      <c r="A8" s="10"/>
      <c r="B8" s="6"/>
      <c r="C8" s="482"/>
      <c r="D8" s="354" t="s">
        <v>186</v>
      </c>
      <c r="E8" s="462"/>
      <c r="F8" s="462"/>
      <c r="G8" s="463"/>
      <c r="H8" s="465">
        <f t="shared" si="1"/>
        <v>596200</v>
      </c>
      <c r="I8" s="465">
        <v>316640</v>
      </c>
      <c r="J8" s="95">
        <f t="shared" si="0"/>
        <v>279560</v>
      </c>
      <c r="K8" s="396"/>
      <c r="L8" s="397"/>
      <c r="M8" s="545"/>
    </row>
    <row r="9" spans="1:13">
      <c r="A9" s="10"/>
      <c r="B9" s="6"/>
      <c r="C9" s="466"/>
      <c r="D9" s="467"/>
      <c r="E9" s="354" t="s">
        <v>187</v>
      </c>
      <c r="F9" s="462"/>
      <c r="G9" s="463"/>
      <c r="H9" s="92">
        <f t="shared" si="1"/>
        <v>596200</v>
      </c>
      <c r="I9" s="92">
        <v>316640</v>
      </c>
      <c r="J9" s="95">
        <f t="shared" si="0"/>
        <v>279560</v>
      </c>
      <c r="K9" s="356"/>
      <c r="L9" s="398"/>
      <c r="M9" s="546"/>
    </row>
    <row r="10" spans="1:13">
      <c r="A10" s="63"/>
      <c r="B10" s="65"/>
      <c r="C10" s="364"/>
      <c r="D10" s="364"/>
      <c r="E10" s="364"/>
      <c r="F10" s="472" t="s">
        <v>188</v>
      </c>
      <c r="G10" s="475"/>
      <c r="H10" s="98">
        <f t="shared" si="1"/>
        <v>596200</v>
      </c>
      <c r="I10" s="98">
        <v>316640</v>
      </c>
      <c r="J10" s="271">
        <f t="shared" si="0"/>
        <v>279560</v>
      </c>
      <c r="K10" s="390"/>
      <c r="L10" s="391"/>
      <c r="M10" s="547"/>
    </row>
    <row r="11" spans="1:13">
      <c r="A11" s="55"/>
      <c r="B11" s="57"/>
      <c r="C11" s="364"/>
      <c r="D11" s="364"/>
      <c r="E11" s="364"/>
      <c r="F11" s="485"/>
      <c r="G11" s="486" t="s">
        <v>189</v>
      </c>
      <c r="H11" s="477">
        <f>M11</f>
        <v>596200</v>
      </c>
      <c r="I11" s="477">
        <v>316640</v>
      </c>
      <c r="J11" s="272">
        <f t="shared" si="0"/>
        <v>279560</v>
      </c>
      <c r="K11" s="393" t="s">
        <v>190</v>
      </c>
      <c r="L11" s="420"/>
      <c r="M11" s="415">
        <f>M12</f>
        <v>596200</v>
      </c>
    </row>
    <row r="12" spans="1:13" ht="33" customHeight="1" thickBot="1">
      <c r="A12" s="227"/>
      <c r="B12" s="228"/>
      <c r="C12" s="515"/>
      <c r="D12" s="515"/>
      <c r="E12" s="515"/>
      <c r="F12" s="516"/>
      <c r="G12" s="517"/>
      <c r="H12" s="518"/>
      <c r="I12" s="518"/>
      <c r="J12" s="231"/>
      <c r="K12" s="589" t="s">
        <v>765</v>
      </c>
      <c r="L12" s="520" t="s">
        <v>0</v>
      </c>
      <c r="M12" s="407">
        <v>596200</v>
      </c>
    </row>
    <row r="13" spans="1:13">
      <c r="A13" s="569" t="s">
        <v>192</v>
      </c>
      <c r="B13" s="263"/>
      <c r="C13" s="551"/>
      <c r="D13" s="551"/>
      <c r="E13" s="551"/>
      <c r="F13" s="551"/>
      <c r="G13" s="552"/>
      <c r="H13" s="95">
        <f>SUM(H14,H27)</f>
        <v>0</v>
      </c>
      <c r="I13" s="95"/>
      <c r="J13" s="95">
        <f>H13-I13</f>
        <v>0</v>
      </c>
      <c r="K13" s="409"/>
      <c r="L13" s="410"/>
      <c r="M13" s="411"/>
    </row>
    <row r="14" spans="1:13">
      <c r="A14" s="10"/>
      <c r="B14" s="179" t="s">
        <v>194</v>
      </c>
      <c r="C14" s="354"/>
      <c r="D14" s="462"/>
      <c r="E14" s="462"/>
      <c r="F14" s="462"/>
      <c r="G14" s="463"/>
      <c r="H14" s="95">
        <f>SUM(H15,H55)</f>
        <v>0</v>
      </c>
      <c r="I14" s="95"/>
      <c r="J14" s="95">
        <f t="shared" ref="J14:J19" si="2">H14-I14</f>
        <v>0</v>
      </c>
      <c r="K14" s="544"/>
      <c r="L14" s="397"/>
      <c r="M14" s="545"/>
    </row>
    <row r="15" spans="1:13">
      <c r="A15" s="10"/>
      <c r="B15" s="6"/>
      <c r="C15" s="179" t="s">
        <v>194</v>
      </c>
      <c r="D15" s="462"/>
      <c r="E15" s="462"/>
      <c r="F15" s="462"/>
      <c r="G15" s="463"/>
      <c r="H15" s="92">
        <f>H16</f>
        <v>0</v>
      </c>
      <c r="I15" s="92"/>
      <c r="J15" s="92">
        <f t="shared" si="2"/>
        <v>0</v>
      </c>
      <c r="K15" s="403"/>
      <c r="L15" s="397"/>
      <c r="M15" s="545"/>
    </row>
    <row r="16" spans="1:13">
      <c r="A16" s="10"/>
      <c r="B16" s="6"/>
      <c r="C16" s="482"/>
      <c r="D16" s="354" t="s">
        <v>195</v>
      </c>
      <c r="E16" s="462"/>
      <c r="F16" s="462"/>
      <c r="G16" s="463"/>
      <c r="H16" s="465">
        <f>H17</f>
        <v>0</v>
      </c>
      <c r="I16" s="465"/>
      <c r="J16" s="92">
        <f t="shared" si="2"/>
        <v>0</v>
      </c>
      <c r="K16" s="396"/>
      <c r="L16" s="397"/>
      <c r="M16" s="545"/>
    </row>
    <row r="17" spans="1:13">
      <c r="A17" s="10"/>
      <c r="B17" s="6"/>
      <c r="C17" s="466"/>
      <c r="D17" s="467"/>
      <c r="E17" s="354" t="s">
        <v>196</v>
      </c>
      <c r="F17" s="462"/>
      <c r="G17" s="463"/>
      <c r="H17" s="92">
        <f>H18</f>
        <v>0</v>
      </c>
      <c r="I17" s="92"/>
      <c r="J17" s="92">
        <f t="shared" si="2"/>
        <v>0</v>
      </c>
      <c r="K17" s="356"/>
      <c r="L17" s="398"/>
      <c r="M17" s="546"/>
    </row>
    <row r="18" spans="1:13">
      <c r="A18" s="63"/>
      <c r="B18" s="65"/>
      <c r="C18" s="65"/>
      <c r="D18" s="65"/>
      <c r="E18" s="65"/>
      <c r="F18" s="136" t="s">
        <v>188</v>
      </c>
      <c r="G18" s="70"/>
      <c r="H18" s="71">
        <f>H19</f>
        <v>0</v>
      </c>
      <c r="I18" s="71"/>
      <c r="J18" s="146">
        <f t="shared" si="2"/>
        <v>0</v>
      </c>
      <c r="K18" s="275"/>
      <c r="L18" s="276"/>
      <c r="M18" s="277"/>
    </row>
    <row r="19" spans="1:13">
      <c r="A19" s="55"/>
      <c r="B19" s="57"/>
      <c r="C19" s="65"/>
      <c r="D19" s="65"/>
      <c r="E19" s="65"/>
      <c r="F19" s="192"/>
      <c r="G19" s="206" t="s">
        <v>197</v>
      </c>
      <c r="H19" s="75">
        <f>M19</f>
        <v>0</v>
      </c>
      <c r="I19" s="75"/>
      <c r="J19" s="41">
        <f t="shared" si="2"/>
        <v>0</v>
      </c>
      <c r="K19" s="36" t="s">
        <v>198</v>
      </c>
      <c r="L19" s="209"/>
      <c r="M19" s="273">
        <f>M20</f>
        <v>0</v>
      </c>
    </row>
    <row r="20" spans="1:13" ht="17.25" thickBot="1">
      <c r="A20" s="227"/>
      <c r="B20" s="228"/>
      <c r="C20" s="69"/>
      <c r="D20" s="69"/>
      <c r="E20" s="69"/>
      <c r="F20" s="229"/>
      <c r="G20" s="230"/>
      <c r="H20" s="278"/>
      <c r="I20" s="213"/>
      <c r="J20" s="231"/>
      <c r="K20" s="232" t="s">
        <v>401</v>
      </c>
      <c r="L20" s="214" t="s">
        <v>199</v>
      </c>
      <c r="M20" s="274">
        <v>0</v>
      </c>
    </row>
    <row r="21" spans="1:13">
      <c r="L21" s="238"/>
      <c r="M21" s="279"/>
    </row>
    <row r="22" spans="1:13">
      <c r="L22" s="238"/>
      <c r="M22" s="279"/>
    </row>
    <row r="23" spans="1:13">
      <c r="L23" s="238"/>
      <c r="M23" s="279"/>
    </row>
    <row r="24" spans="1:13">
      <c r="L24" s="238"/>
      <c r="M24" s="279"/>
    </row>
    <row r="25" spans="1:13">
      <c r="L25" s="238"/>
      <c r="M25" s="279"/>
    </row>
    <row r="26" spans="1:13">
      <c r="L26" s="238"/>
      <c r="M26" s="279"/>
    </row>
    <row r="27" spans="1:13">
      <c r="L27" s="238"/>
      <c r="M27" s="279"/>
    </row>
    <row r="28" spans="1:13">
      <c r="L28" s="238"/>
      <c r="M28" s="279"/>
    </row>
    <row r="29" spans="1:13">
      <c r="L29" s="238"/>
      <c r="M29" s="279"/>
    </row>
    <row r="30" spans="1:13">
      <c r="L30" s="238"/>
      <c r="M30" s="279"/>
    </row>
    <row r="31" spans="1:13">
      <c r="L31" s="238"/>
      <c r="M31" s="279"/>
    </row>
    <row r="32" spans="1:13">
      <c r="L32" s="238"/>
      <c r="M32" s="279"/>
    </row>
    <row r="33" spans="12:13">
      <c r="L33" s="238"/>
      <c r="M33" s="279"/>
    </row>
    <row r="34" spans="12:13">
      <c r="L34" s="238"/>
      <c r="M34" s="279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13:J14">
    <cfRule type="containsText" dxfId="209" priority="37" operator="containsText" text="허하나로">
      <formula>NOT(ISERROR(SEARCH("허하나로",H832)))</formula>
    </cfRule>
    <cfRule type="containsText" dxfId="208" priority="38" operator="containsText" text="한별">
      <formula>NOT(ISERROR(SEARCH("한별",H832)))</formula>
    </cfRule>
    <cfRule type="containsText" dxfId="207" priority="39" operator="containsText" text="정홍조">
      <formula>NOT(ISERROR(SEARCH("정홍조",H832)))</formula>
    </cfRule>
    <cfRule type="containsText" dxfId="206" priority="40" operator="containsText" text="김지윤">
      <formula>NOT(ISERROR(SEARCH("김지윤",H832)))</formula>
    </cfRule>
    <cfRule type="containsText" dxfId="205" priority="41" operator="containsText" text="전준영">
      <formula>NOT(ISERROR(SEARCH("전준영",H832)))</formula>
    </cfRule>
    <cfRule type="containsText" dxfId="204" priority="42" operator="containsText" text="차재성">
      <formula>NOT(ISERROR(SEARCH("차재성",H832)))</formula>
    </cfRule>
  </conditionalFormatting>
  <conditionalFormatting sqref="J6:J11">
    <cfRule type="containsText" dxfId="203" priority="73" operator="containsText" text="허하나로">
      <formula>NOT(ISERROR(SEARCH("허하나로",H820)))</formula>
    </cfRule>
    <cfRule type="containsText" dxfId="202" priority="74" operator="containsText" text="한별">
      <formula>NOT(ISERROR(SEARCH("한별",H820)))</formula>
    </cfRule>
    <cfRule type="containsText" dxfId="201" priority="75" operator="containsText" text="정홍조">
      <formula>NOT(ISERROR(SEARCH("정홍조",H820)))</formula>
    </cfRule>
    <cfRule type="containsText" dxfId="200" priority="76" operator="containsText" text="김지윤">
      <formula>NOT(ISERROR(SEARCH("김지윤",H820)))</formula>
    </cfRule>
    <cfRule type="containsText" dxfId="199" priority="77" operator="containsText" text="전준영">
      <formula>NOT(ISERROR(SEARCH("전준영",H820)))</formula>
    </cfRule>
    <cfRule type="containsText" dxfId="198" priority="78" operator="containsText" text="차재성">
      <formula>NOT(ISERROR(SEARCH("차재성",H820)))</formula>
    </cfRule>
  </conditionalFormatting>
  <conditionalFormatting sqref="J18:J19">
    <cfRule type="containsText" dxfId="197" priority="55" operator="containsText" text="허하나로">
      <formula>NOT(ISERROR(SEARCH("허하나로",H1067)))</formula>
    </cfRule>
    <cfRule type="containsText" dxfId="196" priority="56" operator="containsText" text="한별">
      <formula>NOT(ISERROR(SEARCH("한별",H1067)))</formula>
    </cfRule>
    <cfRule type="containsText" dxfId="195" priority="57" operator="containsText" text="정홍조">
      <formula>NOT(ISERROR(SEARCH("정홍조",H1067)))</formula>
    </cfRule>
    <cfRule type="containsText" dxfId="194" priority="58" operator="containsText" text="김지윤">
      <formula>NOT(ISERROR(SEARCH("김지윤",H1067)))</formula>
    </cfRule>
    <cfRule type="containsText" dxfId="193" priority="59" operator="containsText" text="전준영">
      <formula>NOT(ISERROR(SEARCH("전준영",H1067)))</formula>
    </cfRule>
    <cfRule type="containsText" dxfId="192" priority="60" operator="containsText" text="차재성">
      <formula>NOT(ISERROR(SEARCH("차재성",H1067)))</formula>
    </cfRule>
  </conditionalFormatting>
  <conditionalFormatting sqref="J20">
    <cfRule type="containsText" dxfId="191" priority="61" operator="containsText" text="허하나로">
      <formula>NOT(ISERROR(SEARCH("허하나로",H1069)))</formula>
    </cfRule>
    <cfRule type="containsText" dxfId="190" priority="62" operator="containsText" text="한별">
      <formula>NOT(ISERROR(SEARCH("한별",H1069)))</formula>
    </cfRule>
    <cfRule type="containsText" dxfId="189" priority="63" operator="containsText" text="정홍조">
      <formula>NOT(ISERROR(SEARCH("정홍조",H1069)))</formula>
    </cfRule>
    <cfRule type="containsText" dxfId="188" priority="64" operator="containsText" text="김지윤">
      <formula>NOT(ISERROR(SEARCH("김지윤",H1069)))</formula>
    </cfRule>
    <cfRule type="containsText" dxfId="187" priority="65" operator="containsText" text="전준영">
      <formula>NOT(ISERROR(SEARCH("전준영",H1069)))</formula>
    </cfRule>
    <cfRule type="containsText" dxfId="186" priority="66" operator="containsText" text="차재성">
      <formula>NOT(ISERROR(SEARCH("차재성",H1069)))</formula>
    </cfRule>
  </conditionalFormatting>
  <conditionalFormatting sqref="J15">
    <cfRule type="containsText" dxfId="185" priority="43" operator="containsText" text="허하나로">
      <formula>NOT(ISERROR(SEARCH("허하나로",H862)))</formula>
    </cfRule>
    <cfRule type="containsText" dxfId="184" priority="44" operator="containsText" text="한별">
      <formula>NOT(ISERROR(SEARCH("한별",H862)))</formula>
    </cfRule>
    <cfRule type="containsText" dxfId="183" priority="45" operator="containsText" text="정홍조">
      <formula>NOT(ISERROR(SEARCH("정홍조",H862)))</formula>
    </cfRule>
    <cfRule type="containsText" dxfId="182" priority="46" operator="containsText" text="김지윤">
      <formula>NOT(ISERROR(SEARCH("김지윤",H862)))</formula>
    </cfRule>
    <cfRule type="containsText" dxfId="181" priority="47" operator="containsText" text="전준영">
      <formula>NOT(ISERROR(SEARCH("전준영",H862)))</formula>
    </cfRule>
    <cfRule type="containsText" dxfId="180" priority="48" operator="containsText" text="차재성">
      <formula>NOT(ISERROR(SEARCH("차재성",H862)))</formula>
    </cfRule>
  </conditionalFormatting>
  <conditionalFormatting sqref="J17">
    <cfRule type="containsText" dxfId="179" priority="49" operator="containsText" text="허하나로">
      <formula>NOT(ISERROR(SEARCH("허하나로",H1059)))</formula>
    </cfRule>
    <cfRule type="containsText" dxfId="178" priority="50" operator="containsText" text="한별">
      <formula>NOT(ISERROR(SEARCH("한별",H1059)))</formula>
    </cfRule>
    <cfRule type="containsText" dxfId="177" priority="51" operator="containsText" text="정홍조">
      <formula>NOT(ISERROR(SEARCH("정홍조",H1059)))</formula>
    </cfRule>
    <cfRule type="containsText" dxfId="176" priority="52" operator="containsText" text="김지윤">
      <formula>NOT(ISERROR(SEARCH("김지윤",H1059)))</formula>
    </cfRule>
    <cfRule type="containsText" dxfId="175" priority="53" operator="containsText" text="전준영">
      <formula>NOT(ISERROR(SEARCH("전준영",H1059)))</formula>
    </cfRule>
    <cfRule type="containsText" dxfId="174" priority="54" operator="containsText" text="차재성">
      <formula>NOT(ISERROR(SEARCH("차재성",H1059)))</formula>
    </cfRule>
  </conditionalFormatting>
  <conditionalFormatting sqref="J5">
    <cfRule type="containsText" dxfId="173" priority="109" operator="containsText" text="허하나로">
      <formula>NOT(ISERROR(SEARCH("허하나로",H650)))</formula>
    </cfRule>
    <cfRule type="containsText" dxfId="172" priority="110" operator="containsText" text="한별">
      <formula>NOT(ISERROR(SEARCH("한별",H650)))</formula>
    </cfRule>
    <cfRule type="containsText" dxfId="171" priority="111" operator="containsText" text="정홍조">
      <formula>NOT(ISERROR(SEARCH("정홍조",H650)))</formula>
    </cfRule>
    <cfRule type="containsText" dxfId="170" priority="112" operator="containsText" text="김지윤">
      <formula>NOT(ISERROR(SEARCH("김지윤",H650)))</formula>
    </cfRule>
    <cfRule type="containsText" dxfId="169" priority="113" operator="containsText" text="전준영">
      <formula>NOT(ISERROR(SEARCH("전준영",H650)))</formula>
    </cfRule>
    <cfRule type="containsText" dxfId="168" priority="114" operator="containsText" text="차재성">
      <formula>NOT(ISERROR(SEARCH("차재성",H650)))</formula>
    </cfRule>
  </conditionalFormatting>
  <conditionalFormatting sqref="J2:J3">
    <cfRule type="containsText" dxfId="167" priority="31" operator="containsText" text="허하나로">
      <formula>NOT(ISERROR(SEARCH("허하나로",H762)))</formula>
    </cfRule>
    <cfRule type="containsText" dxfId="166" priority="32" operator="containsText" text="한별">
      <formula>NOT(ISERROR(SEARCH("한별",H762)))</formula>
    </cfRule>
    <cfRule type="containsText" dxfId="165" priority="33" operator="containsText" text="정홍조">
      <formula>NOT(ISERROR(SEARCH("정홍조",H762)))</formula>
    </cfRule>
    <cfRule type="containsText" dxfId="164" priority="34" operator="containsText" text="김지윤">
      <formula>NOT(ISERROR(SEARCH("김지윤",H762)))</formula>
    </cfRule>
    <cfRule type="containsText" dxfId="163" priority="35" operator="containsText" text="전준영">
      <formula>NOT(ISERROR(SEARCH("전준영",H762)))</formula>
    </cfRule>
    <cfRule type="containsText" dxfId="162" priority="36" operator="containsText" text="차재성">
      <formula>NOT(ISERROR(SEARCH("차재성",H762)))</formula>
    </cfRule>
  </conditionalFormatting>
  <conditionalFormatting sqref="J12">
    <cfRule type="containsText" dxfId="161" priority="25" operator="containsText" text="허하나로">
      <formula>NOT(ISERROR(SEARCH("허하나로",H1061)))</formula>
    </cfRule>
    <cfRule type="containsText" dxfId="160" priority="26" operator="containsText" text="한별">
      <formula>NOT(ISERROR(SEARCH("한별",H1061)))</formula>
    </cfRule>
    <cfRule type="containsText" dxfId="159" priority="27" operator="containsText" text="정홍조">
      <formula>NOT(ISERROR(SEARCH("정홍조",H1061)))</formula>
    </cfRule>
    <cfRule type="containsText" dxfId="158" priority="28" operator="containsText" text="김지윤">
      <formula>NOT(ISERROR(SEARCH("김지윤",H1061)))</formula>
    </cfRule>
    <cfRule type="containsText" dxfId="157" priority="29" operator="containsText" text="전준영">
      <formula>NOT(ISERROR(SEARCH("전준영",H1061)))</formula>
    </cfRule>
    <cfRule type="containsText" dxfId="156" priority="30" operator="containsText" text="차재성">
      <formula>NOT(ISERROR(SEARCH("차재성",H1061)))</formula>
    </cfRule>
  </conditionalFormatting>
  <pageMargins left="0.25" right="0.25" top="0.75" bottom="0.75" header="0.3" footer="0.3"/>
  <pageSetup paperSize="9" scale="72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I69"/>
  <sheetViews>
    <sheetView zoomScale="85" zoomScaleNormal="85" workbookViewId="0"/>
  </sheetViews>
  <sheetFormatPr defaultRowHeight="16.5"/>
  <cols>
    <col min="1" max="1" width="3.875" customWidth="1"/>
    <col min="2" max="2" width="5" customWidth="1"/>
    <col min="3" max="5" width="3.875" customWidth="1"/>
    <col min="6" max="6" width="32.625" customWidth="1"/>
    <col min="7" max="7" width="14.375" customWidth="1"/>
    <col min="8" max="8" width="16.125" customWidth="1"/>
    <col min="9" max="9" width="12.125" customWidth="1"/>
  </cols>
  <sheetData>
    <row r="1" spans="1:9" ht="18" customHeight="1">
      <c r="A1" s="27" t="s">
        <v>245</v>
      </c>
      <c r="B1" s="28"/>
      <c r="C1" s="28"/>
      <c r="D1" s="28"/>
      <c r="E1" s="28"/>
      <c r="F1" s="28"/>
      <c r="G1" s="29"/>
      <c r="H1" s="29"/>
      <c r="I1" s="29"/>
    </row>
    <row r="2" spans="1:9" ht="17.25" thickBot="1">
      <c r="A2" s="30"/>
      <c r="B2" s="30"/>
      <c r="C2" s="30"/>
      <c r="D2" s="30"/>
      <c r="E2" s="30"/>
      <c r="F2" s="30"/>
      <c r="G2" s="30"/>
      <c r="H2" s="30"/>
      <c r="I2" s="31" t="s">
        <v>149</v>
      </c>
    </row>
    <row r="3" spans="1:9" ht="18" customHeight="1">
      <c r="A3" s="656" t="s">
        <v>5</v>
      </c>
      <c r="B3" s="657"/>
      <c r="C3" s="657"/>
      <c r="D3" s="657"/>
      <c r="E3" s="657"/>
      <c r="F3" s="658"/>
      <c r="G3" s="623" t="s">
        <v>660</v>
      </c>
      <c r="H3" s="623" t="s">
        <v>543</v>
      </c>
      <c r="I3" s="625" t="s">
        <v>468</v>
      </c>
    </row>
    <row r="4" spans="1:9" ht="17.25" thickBot="1">
      <c r="A4" s="85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624"/>
      <c r="H4" s="624"/>
      <c r="I4" s="626"/>
    </row>
    <row r="5" spans="1:9" ht="17.25" thickBot="1">
      <c r="A5" s="627" t="s">
        <v>154</v>
      </c>
      <c r="B5" s="628"/>
      <c r="C5" s="628"/>
      <c r="D5" s="628"/>
      <c r="E5" s="628"/>
      <c r="F5" s="630"/>
      <c r="G5" s="281">
        <f>G6+G47</f>
        <v>14320000</v>
      </c>
      <c r="H5" s="281">
        <v>22550000</v>
      </c>
      <c r="I5" s="162">
        <f>G5-H5</f>
        <v>-8230000</v>
      </c>
    </row>
    <row r="6" spans="1:9" ht="18" customHeight="1">
      <c r="A6" s="248" t="s">
        <v>2</v>
      </c>
      <c r="B6" s="177"/>
      <c r="C6" s="177"/>
      <c r="D6" s="177"/>
      <c r="E6" s="177"/>
      <c r="F6" s="178"/>
      <c r="G6" s="249">
        <f>SUM(G7,G17,G42)</f>
        <v>10750000</v>
      </c>
      <c r="H6" s="249">
        <v>5450000</v>
      </c>
      <c r="I6" s="115">
        <f t="shared" ref="I6:I9" si="0">G6-H6</f>
        <v>5300000</v>
      </c>
    </row>
    <row r="7" spans="1:9" ht="18" customHeight="1">
      <c r="A7" s="241"/>
      <c r="B7" s="176" t="s">
        <v>278</v>
      </c>
      <c r="C7" s="177"/>
      <c r="D7" s="177"/>
      <c r="E7" s="177"/>
      <c r="F7" s="178"/>
      <c r="G7" s="113">
        <f>'기획본부(위탁)'!H6</f>
        <v>1000000</v>
      </c>
      <c r="H7" s="113">
        <v>2000000</v>
      </c>
      <c r="I7" s="115">
        <f t="shared" si="0"/>
        <v>-1000000</v>
      </c>
    </row>
    <row r="8" spans="1:9" ht="18" customHeight="1">
      <c r="A8" s="164"/>
      <c r="B8" s="165"/>
      <c r="C8" s="179" t="s">
        <v>200</v>
      </c>
      <c r="D8" s="180"/>
      <c r="E8" s="180"/>
      <c r="F8" s="181"/>
      <c r="G8" s="111">
        <f>'기획본부(위탁)'!H7</f>
        <v>1000000</v>
      </c>
      <c r="H8" s="111">
        <v>2000000</v>
      </c>
      <c r="I8" s="114">
        <f t="shared" si="0"/>
        <v>-1000000</v>
      </c>
    </row>
    <row r="9" spans="1:9" ht="18" customHeight="1">
      <c r="A9" s="164"/>
      <c r="B9" s="166"/>
      <c r="C9" s="167"/>
      <c r="D9" s="179" t="s">
        <v>201</v>
      </c>
      <c r="E9" s="180"/>
      <c r="F9" s="181"/>
      <c r="G9" s="111">
        <f>'기획본부(위탁)'!H8</f>
        <v>1000000</v>
      </c>
      <c r="H9" s="112">
        <v>2000000</v>
      </c>
      <c r="I9" s="114">
        <f t="shared" si="0"/>
        <v>-1000000</v>
      </c>
    </row>
    <row r="10" spans="1:9" ht="18" customHeight="1">
      <c r="A10" s="164"/>
      <c r="B10" s="166"/>
      <c r="C10" s="165"/>
      <c r="D10" s="167"/>
      <c r="E10" s="179" t="s">
        <v>202</v>
      </c>
      <c r="F10" s="181"/>
      <c r="G10" s="111">
        <f>'기획본부(위탁)'!H10</f>
        <v>965000</v>
      </c>
      <c r="H10" s="112">
        <v>1974000</v>
      </c>
      <c r="I10" s="114">
        <f t="shared" ref="I10:I14" si="1">G10-H10</f>
        <v>-1009000</v>
      </c>
    </row>
    <row r="11" spans="1:9" ht="18" customHeight="1">
      <c r="A11" s="164"/>
      <c r="B11" s="166"/>
      <c r="C11" s="165"/>
      <c r="D11" s="166"/>
      <c r="E11" s="256"/>
      <c r="F11" s="282" t="s">
        <v>203</v>
      </c>
      <c r="G11" s="330">
        <f>'기획본부(위탁)'!H11</f>
        <v>345000</v>
      </c>
      <c r="H11" s="16">
        <v>1419000</v>
      </c>
      <c r="I11" s="116">
        <f t="shared" si="1"/>
        <v>-1074000</v>
      </c>
    </row>
    <row r="12" spans="1:9" ht="18" customHeight="1">
      <c r="A12" s="86"/>
      <c r="B12" s="168"/>
      <c r="C12" s="169"/>
      <c r="D12" s="168"/>
      <c r="E12" s="169"/>
      <c r="F12" s="171" t="s">
        <v>20</v>
      </c>
      <c r="G12" s="330">
        <f>'기획본부(위탁)'!H17</f>
        <v>120000</v>
      </c>
      <c r="H12" s="16">
        <v>55000</v>
      </c>
      <c r="I12" s="116">
        <f t="shared" si="1"/>
        <v>65000</v>
      </c>
    </row>
    <row r="13" spans="1:9">
      <c r="A13" s="326"/>
      <c r="B13" s="168"/>
      <c r="C13" s="169"/>
      <c r="D13" s="168"/>
      <c r="E13" s="244"/>
      <c r="F13" s="170" t="s">
        <v>204</v>
      </c>
      <c r="G13" s="330">
        <f>'기획본부(위탁)'!H21</f>
        <v>500000</v>
      </c>
      <c r="H13" s="330">
        <v>500000</v>
      </c>
      <c r="I13" s="116">
        <f t="shared" si="1"/>
        <v>0</v>
      </c>
    </row>
    <row r="14" spans="1:9" ht="18" customHeight="1">
      <c r="A14" s="164"/>
      <c r="B14" s="166"/>
      <c r="C14" s="166"/>
      <c r="D14" s="166"/>
      <c r="E14" s="179" t="s">
        <v>130</v>
      </c>
      <c r="F14" s="181"/>
      <c r="G14" s="111">
        <f>'기획본부(위탁)'!H24</f>
        <v>35000</v>
      </c>
      <c r="H14" s="112">
        <v>26000</v>
      </c>
      <c r="I14" s="114">
        <f t="shared" si="1"/>
        <v>9000</v>
      </c>
    </row>
    <row r="15" spans="1:9" ht="18" customHeight="1">
      <c r="A15" s="164"/>
      <c r="B15" s="166"/>
      <c r="C15" s="165"/>
      <c r="D15" s="166"/>
      <c r="E15" s="435"/>
      <c r="F15" s="434" t="s">
        <v>497</v>
      </c>
      <c r="G15" s="111">
        <f>'기획본부(위탁)'!H25</f>
        <v>10000</v>
      </c>
      <c r="H15" s="112">
        <v>26000</v>
      </c>
      <c r="I15" s="114">
        <f t="shared" ref="I15:I16" si="2">G15-H15</f>
        <v>-16000</v>
      </c>
    </row>
    <row r="16" spans="1:9" ht="18" customHeight="1">
      <c r="A16" s="164"/>
      <c r="B16" s="347"/>
      <c r="C16" s="348"/>
      <c r="D16" s="347"/>
      <c r="E16" s="349"/>
      <c r="F16" s="282" t="s">
        <v>421</v>
      </c>
      <c r="G16" s="330">
        <f>'기획본부(위탁)'!H27</f>
        <v>25000</v>
      </c>
      <c r="H16" s="330">
        <v>26000</v>
      </c>
      <c r="I16" s="116">
        <f t="shared" si="2"/>
        <v>-1000</v>
      </c>
    </row>
    <row r="17" spans="1:9" ht="18" customHeight="1">
      <c r="A17" s="251"/>
      <c r="B17" s="327" t="s">
        <v>267</v>
      </c>
      <c r="C17" s="259"/>
      <c r="D17" s="259"/>
      <c r="E17" s="259"/>
      <c r="F17" s="328"/>
      <c r="G17" s="249">
        <f>G18</f>
        <v>4250000</v>
      </c>
      <c r="H17" s="249">
        <v>950000</v>
      </c>
      <c r="I17" s="329">
        <f t="shared" ref="I17:I19" si="3">G17-H17</f>
        <v>3300000</v>
      </c>
    </row>
    <row r="18" spans="1:9" ht="18" customHeight="1">
      <c r="A18" s="164"/>
      <c r="B18" s="165"/>
      <c r="C18" s="179" t="s">
        <v>436</v>
      </c>
      <c r="D18" s="180"/>
      <c r="E18" s="180"/>
      <c r="F18" s="181"/>
      <c r="G18" s="111">
        <f>'기획본부(위탁)'!H31</f>
        <v>4250000</v>
      </c>
      <c r="H18" s="111">
        <v>950000</v>
      </c>
      <c r="I18" s="114">
        <f t="shared" si="3"/>
        <v>3300000</v>
      </c>
    </row>
    <row r="19" spans="1:9" ht="18" customHeight="1">
      <c r="A19" s="164"/>
      <c r="B19" s="166"/>
      <c r="C19" s="167"/>
      <c r="D19" s="179" t="s">
        <v>467</v>
      </c>
      <c r="E19" s="180"/>
      <c r="F19" s="181"/>
      <c r="G19" s="111">
        <f>'기획본부(위탁)'!H32</f>
        <v>250000</v>
      </c>
      <c r="H19" s="112">
        <v>660000</v>
      </c>
      <c r="I19" s="114">
        <f t="shared" si="3"/>
        <v>-410000</v>
      </c>
    </row>
    <row r="20" spans="1:9" ht="18" customHeight="1">
      <c r="A20" s="164"/>
      <c r="B20" s="166"/>
      <c r="C20" s="165"/>
      <c r="D20" s="166"/>
      <c r="E20" s="179" t="s">
        <v>434</v>
      </c>
      <c r="F20" s="181"/>
      <c r="G20" s="111">
        <f>'기획본부(위탁)'!H34</f>
        <v>250000</v>
      </c>
      <c r="H20" s="112">
        <v>162000</v>
      </c>
      <c r="I20" s="114">
        <f t="shared" ref="I20:I23" si="4">G20-H20</f>
        <v>88000</v>
      </c>
    </row>
    <row r="21" spans="1:9" ht="18" customHeight="1">
      <c r="A21" s="164"/>
      <c r="B21" s="166"/>
      <c r="C21" s="165"/>
      <c r="D21" s="166"/>
      <c r="E21" s="256"/>
      <c r="F21" s="282" t="s">
        <v>421</v>
      </c>
      <c r="G21" s="330">
        <f>'기획본부(위탁)'!H35</f>
        <v>250000</v>
      </c>
      <c r="H21" s="16">
        <v>30000</v>
      </c>
      <c r="I21" s="116">
        <f t="shared" si="4"/>
        <v>220000</v>
      </c>
    </row>
    <row r="22" spans="1:9" ht="18" customHeight="1">
      <c r="A22" s="164"/>
      <c r="B22" s="166"/>
      <c r="C22" s="166"/>
      <c r="D22" s="179" t="s">
        <v>609</v>
      </c>
      <c r="E22" s="180"/>
      <c r="F22" s="181"/>
      <c r="G22" s="111">
        <f>'기획본부(위탁)'!H37</f>
        <v>60000</v>
      </c>
      <c r="H22" s="112">
        <v>0</v>
      </c>
      <c r="I22" s="114">
        <f t="shared" si="4"/>
        <v>60000</v>
      </c>
    </row>
    <row r="23" spans="1:9" ht="18" customHeight="1">
      <c r="A23" s="164"/>
      <c r="B23" s="166"/>
      <c r="C23" s="165"/>
      <c r="D23" s="167"/>
      <c r="E23" s="179" t="s">
        <v>202</v>
      </c>
      <c r="F23" s="181"/>
      <c r="G23" s="111">
        <f>'기획본부(위탁)'!H39</f>
        <v>60000</v>
      </c>
      <c r="H23" s="112">
        <v>0</v>
      </c>
      <c r="I23" s="114">
        <f t="shared" si="4"/>
        <v>60000</v>
      </c>
    </row>
    <row r="24" spans="1:9" ht="18" customHeight="1">
      <c r="A24" s="86"/>
      <c r="B24" s="168"/>
      <c r="C24" s="169"/>
      <c r="D24" s="168"/>
      <c r="E24" s="169"/>
      <c r="F24" s="171" t="s">
        <v>20</v>
      </c>
      <c r="G24" s="330">
        <f>'기획본부(위탁)'!H40</f>
        <v>60000</v>
      </c>
      <c r="H24" s="16">
        <v>0</v>
      </c>
      <c r="I24" s="116">
        <f>G24-H24</f>
        <v>60000</v>
      </c>
    </row>
    <row r="25" spans="1:9" ht="18" customHeight="1">
      <c r="A25" s="164"/>
      <c r="B25" s="166"/>
      <c r="C25" s="166"/>
      <c r="D25" s="179" t="s">
        <v>610</v>
      </c>
      <c r="E25" s="180"/>
      <c r="F25" s="181"/>
      <c r="G25" s="111">
        <f>'기획본부(위탁)'!H42</f>
        <v>3070000</v>
      </c>
      <c r="H25" s="112">
        <v>0</v>
      </c>
      <c r="I25" s="114">
        <f t="shared" ref="I25:I26" si="5">G25-H25</f>
        <v>3070000</v>
      </c>
    </row>
    <row r="26" spans="1:9" ht="18" customHeight="1">
      <c r="A26" s="164"/>
      <c r="B26" s="166"/>
      <c r="C26" s="165"/>
      <c r="D26" s="167"/>
      <c r="E26" s="179" t="s">
        <v>202</v>
      </c>
      <c r="F26" s="181"/>
      <c r="G26" s="111">
        <f>'기획본부(위탁)'!H44</f>
        <v>2340000</v>
      </c>
      <c r="H26" s="112">
        <v>0</v>
      </c>
      <c r="I26" s="114">
        <f t="shared" si="5"/>
        <v>2340000</v>
      </c>
    </row>
    <row r="27" spans="1:9" ht="18" customHeight="1">
      <c r="A27" s="86"/>
      <c r="B27" s="168"/>
      <c r="C27" s="169"/>
      <c r="D27" s="168"/>
      <c r="E27" s="169"/>
      <c r="F27" s="171" t="s">
        <v>20</v>
      </c>
      <c r="G27" s="330">
        <f>'기획본부(위탁)'!H45</f>
        <v>2340000</v>
      </c>
      <c r="H27" s="16">
        <v>0</v>
      </c>
      <c r="I27" s="116">
        <f>G27-H27</f>
        <v>2340000</v>
      </c>
    </row>
    <row r="28" spans="1:9" ht="18" customHeight="1">
      <c r="A28" s="164"/>
      <c r="B28" s="166"/>
      <c r="C28" s="165"/>
      <c r="D28" s="166"/>
      <c r="E28" s="179" t="s">
        <v>434</v>
      </c>
      <c r="F28" s="181"/>
      <c r="G28" s="111">
        <f>'기획본부(위탁)'!H48</f>
        <v>730000</v>
      </c>
      <c r="H28" s="112">
        <v>0</v>
      </c>
      <c r="I28" s="114">
        <f t="shared" ref="I28:I29" si="6">G28-H28</f>
        <v>730000</v>
      </c>
    </row>
    <row r="29" spans="1:9" ht="18" customHeight="1">
      <c r="A29" s="164"/>
      <c r="B29" s="166"/>
      <c r="C29" s="165"/>
      <c r="D29" s="166"/>
      <c r="E29" s="256"/>
      <c r="F29" s="351" t="s">
        <v>435</v>
      </c>
      <c r="G29" s="330">
        <f>'기획본부(위탁)'!H49</f>
        <v>730000</v>
      </c>
      <c r="H29" s="16">
        <v>0</v>
      </c>
      <c r="I29" s="116">
        <f t="shared" si="6"/>
        <v>730000</v>
      </c>
    </row>
    <row r="30" spans="1:9" ht="18" customHeight="1">
      <c r="A30" s="164"/>
      <c r="B30" s="166"/>
      <c r="C30" s="166"/>
      <c r="D30" s="179" t="s">
        <v>611</v>
      </c>
      <c r="E30" s="180"/>
      <c r="F30" s="181"/>
      <c r="G30" s="111">
        <f>'기획본부(위탁)'!H51</f>
        <v>270000</v>
      </c>
      <c r="H30" s="112">
        <v>0</v>
      </c>
      <c r="I30" s="114">
        <f t="shared" ref="I30:I32" si="7">G30-H30</f>
        <v>270000</v>
      </c>
    </row>
    <row r="31" spans="1:9" ht="18" customHeight="1">
      <c r="A31" s="164"/>
      <c r="B31" s="166"/>
      <c r="C31" s="165"/>
      <c r="D31" s="167"/>
      <c r="E31" s="179" t="s">
        <v>202</v>
      </c>
      <c r="F31" s="181"/>
      <c r="G31" s="111">
        <f>'기획본부(위탁)'!H53</f>
        <v>224000</v>
      </c>
      <c r="H31" s="112">
        <v>0</v>
      </c>
      <c r="I31" s="114">
        <f t="shared" si="7"/>
        <v>224000</v>
      </c>
    </row>
    <row r="32" spans="1:9" ht="18" customHeight="1">
      <c r="A32" s="164"/>
      <c r="B32" s="166"/>
      <c r="C32" s="165"/>
      <c r="D32" s="166"/>
      <c r="E32" s="256"/>
      <c r="F32" s="282" t="s">
        <v>612</v>
      </c>
      <c r="G32" s="330">
        <f>'기획본부(위탁)'!H54</f>
        <v>4000</v>
      </c>
      <c r="H32" s="16">
        <v>0</v>
      </c>
      <c r="I32" s="116">
        <f t="shared" si="7"/>
        <v>4000</v>
      </c>
    </row>
    <row r="33" spans="1:9" ht="18" customHeight="1">
      <c r="A33" s="86"/>
      <c r="B33" s="168"/>
      <c r="C33" s="169"/>
      <c r="D33" s="168"/>
      <c r="E33" s="169"/>
      <c r="F33" s="171" t="s">
        <v>20</v>
      </c>
      <c r="G33" s="330">
        <f>'기획본부(위탁)'!H57</f>
        <v>220000</v>
      </c>
      <c r="H33" s="16">
        <v>0</v>
      </c>
      <c r="I33" s="116">
        <f>G33-H33</f>
        <v>220000</v>
      </c>
    </row>
    <row r="34" spans="1:9" ht="18" customHeight="1">
      <c r="A34" s="164"/>
      <c r="B34" s="166"/>
      <c r="C34" s="165"/>
      <c r="D34" s="166"/>
      <c r="E34" s="179" t="s">
        <v>434</v>
      </c>
      <c r="F34" s="181"/>
      <c r="G34" s="111">
        <f>'기획본부(위탁)'!H60</f>
        <v>46000</v>
      </c>
      <c r="H34" s="112">
        <v>0</v>
      </c>
      <c r="I34" s="114">
        <f t="shared" ref="I34:I38" si="8">G34-H34</f>
        <v>46000</v>
      </c>
    </row>
    <row r="35" spans="1:9" ht="18" customHeight="1">
      <c r="A35" s="164"/>
      <c r="B35" s="166"/>
      <c r="C35" s="165"/>
      <c r="D35" s="166"/>
      <c r="E35" s="256"/>
      <c r="F35" s="351" t="s">
        <v>435</v>
      </c>
      <c r="G35" s="330">
        <f>'기획본부(위탁)'!H61</f>
        <v>46000</v>
      </c>
      <c r="H35" s="16">
        <v>0</v>
      </c>
      <c r="I35" s="116">
        <f t="shared" si="8"/>
        <v>46000</v>
      </c>
    </row>
    <row r="36" spans="1:9" ht="18" customHeight="1">
      <c r="A36" s="164"/>
      <c r="B36" s="166"/>
      <c r="C36" s="166"/>
      <c r="D36" s="179" t="s">
        <v>613</v>
      </c>
      <c r="E36" s="180"/>
      <c r="F36" s="181"/>
      <c r="G36" s="111">
        <f>'기획본부(위탁)'!H63</f>
        <v>600000</v>
      </c>
      <c r="H36" s="112">
        <v>0</v>
      </c>
      <c r="I36" s="114">
        <f t="shared" si="8"/>
        <v>600000</v>
      </c>
    </row>
    <row r="37" spans="1:9" ht="18" customHeight="1">
      <c r="A37" s="164"/>
      <c r="B37" s="166"/>
      <c r="C37" s="165"/>
      <c r="D37" s="167"/>
      <c r="E37" s="179" t="s">
        <v>202</v>
      </c>
      <c r="F37" s="181"/>
      <c r="G37" s="111">
        <f>'기획본부(위탁)'!H65</f>
        <v>358000</v>
      </c>
      <c r="H37" s="112">
        <v>0</v>
      </c>
      <c r="I37" s="114">
        <f t="shared" si="8"/>
        <v>358000</v>
      </c>
    </row>
    <row r="38" spans="1:9" ht="18" customHeight="1">
      <c r="A38" s="164"/>
      <c r="B38" s="166"/>
      <c r="C38" s="165"/>
      <c r="D38" s="166"/>
      <c r="E38" s="256"/>
      <c r="F38" s="282" t="s">
        <v>612</v>
      </c>
      <c r="G38" s="330">
        <f>'기획본부(위탁)'!H66</f>
        <v>4000</v>
      </c>
      <c r="H38" s="16">
        <v>0</v>
      </c>
      <c r="I38" s="116">
        <f t="shared" si="8"/>
        <v>4000</v>
      </c>
    </row>
    <row r="39" spans="1:9" ht="18" customHeight="1">
      <c r="A39" s="86"/>
      <c r="B39" s="168"/>
      <c r="C39" s="169"/>
      <c r="D39" s="168"/>
      <c r="E39" s="169"/>
      <c r="F39" s="171" t="s">
        <v>20</v>
      </c>
      <c r="G39" s="330">
        <f>'기획본부(위탁)'!H69</f>
        <v>354000</v>
      </c>
      <c r="H39" s="16">
        <v>0</v>
      </c>
      <c r="I39" s="116">
        <f>G39-H39</f>
        <v>354000</v>
      </c>
    </row>
    <row r="40" spans="1:9" ht="18" customHeight="1">
      <c r="A40" s="164"/>
      <c r="B40" s="166"/>
      <c r="C40" s="165"/>
      <c r="D40" s="166"/>
      <c r="E40" s="179" t="s">
        <v>434</v>
      </c>
      <c r="F40" s="181"/>
      <c r="G40" s="111">
        <f>'기획본부(위탁)'!H72</f>
        <v>242000</v>
      </c>
      <c r="H40" s="112">
        <v>0</v>
      </c>
      <c r="I40" s="114">
        <f t="shared" ref="I40:I41" si="9">G40-H40</f>
        <v>242000</v>
      </c>
    </row>
    <row r="41" spans="1:9" ht="18" customHeight="1">
      <c r="A41" s="164"/>
      <c r="B41" s="166"/>
      <c r="C41" s="165"/>
      <c r="D41" s="166"/>
      <c r="E41" s="256"/>
      <c r="F41" s="351" t="s">
        <v>435</v>
      </c>
      <c r="G41" s="330">
        <f>'기획본부(위탁)'!H73</f>
        <v>242000</v>
      </c>
      <c r="H41" s="16">
        <v>0</v>
      </c>
      <c r="I41" s="116">
        <f t="shared" si="9"/>
        <v>242000</v>
      </c>
    </row>
    <row r="42" spans="1:9" ht="18" customHeight="1">
      <c r="A42" s="251"/>
      <c r="B42" s="176" t="s">
        <v>269</v>
      </c>
      <c r="C42" s="177"/>
      <c r="D42" s="177"/>
      <c r="E42" s="177"/>
      <c r="F42" s="178"/>
      <c r="G42" s="113">
        <f>G43</f>
        <v>5500000</v>
      </c>
      <c r="H42" s="113">
        <v>1000000</v>
      </c>
      <c r="I42" s="329">
        <f t="shared" ref="I42:I43" si="10">G42-H42</f>
        <v>4500000</v>
      </c>
    </row>
    <row r="43" spans="1:9" ht="18" customHeight="1">
      <c r="A43" s="164"/>
      <c r="B43" s="165"/>
      <c r="C43" s="179" t="s">
        <v>260</v>
      </c>
      <c r="D43" s="180"/>
      <c r="E43" s="180"/>
      <c r="F43" s="181"/>
      <c r="G43" s="111">
        <f>'운영본부(위탁)'!H7</f>
        <v>5500000</v>
      </c>
      <c r="H43" s="111">
        <v>1000000</v>
      </c>
      <c r="I43" s="114">
        <f t="shared" si="10"/>
        <v>4500000</v>
      </c>
    </row>
    <row r="44" spans="1:9" ht="18" customHeight="1">
      <c r="A44" s="164"/>
      <c r="B44" s="166"/>
      <c r="C44" s="166"/>
      <c r="D44" s="179" t="s">
        <v>422</v>
      </c>
      <c r="E44" s="180"/>
      <c r="F44" s="181"/>
      <c r="G44" s="111">
        <f>'운영본부(위탁)'!H8</f>
        <v>5500000</v>
      </c>
      <c r="H44" s="112">
        <v>600000</v>
      </c>
      <c r="I44" s="114">
        <f t="shared" ref="I44:I46" si="11">G44-H44</f>
        <v>4900000</v>
      </c>
    </row>
    <row r="45" spans="1:9" ht="18" customHeight="1">
      <c r="A45" s="164"/>
      <c r="B45" s="166"/>
      <c r="C45" s="165"/>
      <c r="D45" s="167"/>
      <c r="E45" s="179" t="s">
        <v>105</v>
      </c>
      <c r="F45" s="181"/>
      <c r="G45" s="111">
        <f>'운영본부(위탁)'!H10</f>
        <v>5500000</v>
      </c>
      <c r="H45" s="112">
        <v>600000</v>
      </c>
      <c r="I45" s="114">
        <f t="shared" si="11"/>
        <v>4900000</v>
      </c>
    </row>
    <row r="46" spans="1:9" ht="18" customHeight="1">
      <c r="A46" s="164"/>
      <c r="B46" s="347"/>
      <c r="C46" s="348"/>
      <c r="D46" s="347"/>
      <c r="E46" s="349"/>
      <c r="F46" s="282" t="s">
        <v>108</v>
      </c>
      <c r="G46" s="330">
        <f>'운영본부(위탁)'!H11</f>
        <v>5500000</v>
      </c>
      <c r="H46" s="330">
        <v>600000</v>
      </c>
      <c r="I46" s="116">
        <f t="shared" si="11"/>
        <v>4900000</v>
      </c>
    </row>
    <row r="47" spans="1:9" ht="18" customHeight="1">
      <c r="A47" s="248" t="s">
        <v>276</v>
      </c>
      <c r="B47" s="177"/>
      <c r="C47" s="177"/>
      <c r="D47" s="177"/>
      <c r="E47" s="177"/>
      <c r="F47" s="178"/>
      <c r="G47" s="249">
        <f>SUM(G48,G62)</f>
        <v>3570000</v>
      </c>
      <c r="H47" s="249">
        <v>17100000</v>
      </c>
      <c r="I47" s="115">
        <f t="shared" ref="I47:I52" si="12">G47-H47</f>
        <v>-13530000</v>
      </c>
    </row>
    <row r="48" spans="1:9" ht="18" customHeight="1">
      <c r="A48" s="241"/>
      <c r="B48" s="176" t="s">
        <v>272</v>
      </c>
      <c r="C48" s="177"/>
      <c r="D48" s="177"/>
      <c r="E48" s="177"/>
      <c r="F48" s="178"/>
      <c r="G48" s="113">
        <f>G49</f>
        <v>1980000</v>
      </c>
      <c r="H48" s="113">
        <v>10300000</v>
      </c>
      <c r="I48" s="115">
        <f t="shared" si="12"/>
        <v>-8320000</v>
      </c>
    </row>
    <row r="49" spans="1:9" ht="18" customHeight="1">
      <c r="A49" s="164"/>
      <c r="B49" s="165"/>
      <c r="C49" s="179" t="s">
        <v>426</v>
      </c>
      <c r="D49" s="180"/>
      <c r="E49" s="180"/>
      <c r="F49" s="181"/>
      <c r="G49" s="111">
        <f>'운영본부(위탁)'!H15</f>
        <v>1980000</v>
      </c>
      <c r="H49" s="111">
        <v>10300000</v>
      </c>
      <c r="I49" s="114">
        <f t="shared" si="12"/>
        <v>-8320000</v>
      </c>
    </row>
    <row r="50" spans="1:9" ht="18" customHeight="1">
      <c r="A50" s="164"/>
      <c r="B50" s="166"/>
      <c r="C50" s="167"/>
      <c r="D50" s="179" t="s">
        <v>423</v>
      </c>
      <c r="E50" s="180"/>
      <c r="F50" s="181"/>
      <c r="G50" s="111">
        <f>'운영본부(위탁)'!H16</f>
        <v>1200000</v>
      </c>
      <c r="H50" s="112">
        <v>5000000</v>
      </c>
      <c r="I50" s="114">
        <f t="shared" si="12"/>
        <v>-3800000</v>
      </c>
    </row>
    <row r="51" spans="1:9" ht="18" customHeight="1">
      <c r="A51" s="164"/>
      <c r="B51" s="166"/>
      <c r="C51" s="165"/>
      <c r="D51" s="167"/>
      <c r="E51" s="179" t="s">
        <v>424</v>
      </c>
      <c r="F51" s="181"/>
      <c r="G51" s="111">
        <f>'운영본부(위탁)'!H18</f>
        <v>1200000</v>
      </c>
      <c r="H51" s="112">
        <v>5000000</v>
      </c>
      <c r="I51" s="114">
        <f t="shared" si="12"/>
        <v>-3800000</v>
      </c>
    </row>
    <row r="52" spans="1:9" ht="18" customHeight="1">
      <c r="A52" s="164"/>
      <c r="B52" s="166"/>
      <c r="C52" s="165"/>
      <c r="D52" s="166"/>
      <c r="E52" s="256"/>
      <c r="F52" s="282" t="s">
        <v>425</v>
      </c>
      <c r="G52" s="330">
        <f>'운영본부(위탁)'!H19</f>
        <v>1200000</v>
      </c>
      <c r="H52" s="16">
        <v>4986500</v>
      </c>
      <c r="I52" s="116">
        <f t="shared" si="12"/>
        <v>-3786500</v>
      </c>
    </row>
    <row r="53" spans="1:9" ht="18" customHeight="1">
      <c r="A53" s="164"/>
      <c r="B53" s="166"/>
      <c r="C53" s="166"/>
      <c r="D53" s="354" t="s">
        <v>396</v>
      </c>
      <c r="E53" s="180"/>
      <c r="F53" s="181"/>
      <c r="G53" s="111">
        <f>'운영본부(위탁)'!H21</f>
        <v>300000</v>
      </c>
      <c r="H53" s="112">
        <v>3000000</v>
      </c>
      <c r="I53" s="114">
        <f t="shared" ref="I53:I55" si="13">G53-H53</f>
        <v>-2700000</v>
      </c>
    </row>
    <row r="54" spans="1:9" ht="18" customHeight="1">
      <c r="A54" s="164"/>
      <c r="B54" s="166"/>
      <c r="C54" s="165"/>
      <c r="D54" s="167"/>
      <c r="E54" s="179" t="s">
        <v>424</v>
      </c>
      <c r="F54" s="181"/>
      <c r="G54" s="111">
        <f>'운영본부(위탁)'!H23</f>
        <v>300000</v>
      </c>
      <c r="H54" s="112">
        <v>3000000</v>
      </c>
      <c r="I54" s="114">
        <f t="shared" si="13"/>
        <v>-2700000</v>
      </c>
    </row>
    <row r="55" spans="1:9" ht="18" customHeight="1">
      <c r="A55" s="164"/>
      <c r="B55" s="166"/>
      <c r="C55" s="165"/>
      <c r="D55" s="166"/>
      <c r="E55" s="256"/>
      <c r="F55" s="282" t="s">
        <v>425</v>
      </c>
      <c r="G55" s="330">
        <f>'운영본부(위탁)'!H24</f>
        <v>300000</v>
      </c>
      <c r="H55" s="16">
        <v>2989200</v>
      </c>
      <c r="I55" s="116">
        <f t="shared" si="13"/>
        <v>-2689200</v>
      </c>
    </row>
    <row r="56" spans="1:9" ht="18" customHeight="1">
      <c r="A56" s="164"/>
      <c r="B56" s="166"/>
      <c r="C56" s="166"/>
      <c r="D56" s="354" t="s">
        <v>398</v>
      </c>
      <c r="E56" s="180"/>
      <c r="F56" s="181"/>
      <c r="G56" s="111">
        <f>'운영본부(위탁)'!H26</f>
        <v>90000</v>
      </c>
      <c r="H56" s="112">
        <v>500000</v>
      </c>
      <c r="I56" s="114">
        <f t="shared" ref="I56:I58" si="14">G56-H56</f>
        <v>-410000</v>
      </c>
    </row>
    <row r="57" spans="1:9" ht="18" customHeight="1">
      <c r="A57" s="164"/>
      <c r="B57" s="166"/>
      <c r="C57" s="165"/>
      <c r="D57" s="167"/>
      <c r="E57" s="179" t="s">
        <v>424</v>
      </c>
      <c r="F57" s="181"/>
      <c r="G57" s="111">
        <f>'운영본부(위탁)'!H28</f>
        <v>90000</v>
      </c>
      <c r="H57" s="112">
        <v>500000</v>
      </c>
      <c r="I57" s="114">
        <f t="shared" si="14"/>
        <v>-410000</v>
      </c>
    </row>
    <row r="58" spans="1:9" ht="18" customHeight="1">
      <c r="A58" s="164"/>
      <c r="B58" s="166"/>
      <c r="C58" s="165"/>
      <c r="D58" s="166"/>
      <c r="E58" s="256"/>
      <c r="F58" s="282" t="s">
        <v>425</v>
      </c>
      <c r="G58" s="330">
        <f>'운영본부(위탁)'!H29</f>
        <v>90000</v>
      </c>
      <c r="H58" s="16">
        <v>496400</v>
      </c>
      <c r="I58" s="116">
        <f t="shared" si="14"/>
        <v>-406400</v>
      </c>
    </row>
    <row r="59" spans="1:9" ht="18" customHeight="1">
      <c r="A59" s="164"/>
      <c r="B59" s="166"/>
      <c r="C59" s="166"/>
      <c r="D59" s="548" t="s">
        <v>427</v>
      </c>
      <c r="E59" s="180"/>
      <c r="F59" s="181"/>
      <c r="G59" s="111">
        <f>'운영본부(위탁)'!H31</f>
        <v>390000</v>
      </c>
      <c r="H59" s="112">
        <v>1800000</v>
      </c>
      <c r="I59" s="114">
        <f t="shared" ref="I59:I61" si="15">G59-H59</f>
        <v>-1410000</v>
      </c>
    </row>
    <row r="60" spans="1:9" ht="18" customHeight="1">
      <c r="A60" s="164"/>
      <c r="B60" s="166"/>
      <c r="C60" s="165"/>
      <c r="D60" s="167"/>
      <c r="E60" s="179" t="s">
        <v>424</v>
      </c>
      <c r="F60" s="181"/>
      <c r="G60" s="111">
        <f>'운영본부(위탁)'!H33</f>
        <v>390000</v>
      </c>
      <c r="H60" s="112">
        <v>1800000</v>
      </c>
      <c r="I60" s="114">
        <f t="shared" si="15"/>
        <v>-1410000</v>
      </c>
    </row>
    <row r="61" spans="1:9" ht="18" customHeight="1">
      <c r="A61" s="164"/>
      <c r="B61" s="166"/>
      <c r="C61" s="165"/>
      <c r="D61" s="166"/>
      <c r="E61" s="256"/>
      <c r="F61" s="282" t="s">
        <v>425</v>
      </c>
      <c r="G61" s="330">
        <f>'운영본부(위탁)'!H34</f>
        <v>390000</v>
      </c>
      <c r="H61" s="330">
        <v>1793520</v>
      </c>
      <c r="I61" s="116">
        <f t="shared" si="15"/>
        <v>-1403520</v>
      </c>
    </row>
    <row r="62" spans="1:9" ht="18" customHeight="1">
      <c r="A62" s="251"/>
      <c r="B62" s="327" t="s">
        <v>279</v>
      </c>
      <c r="C62" s="259"/>
      <c r="D62" s="259"/>
      <c r="E62" s="259"/>
      <c r="F62" s="328"/>
      <c r="G62" s="249">
        <f>G63</f>
        <v>1590000</v>
      </c>
      <c r="H62" s="249">
        <v>6800000</v>
      </c>
      <c r="I62" s="329">
        <f t="shared" ref="I62:I66" si="16">G62-H62</f>
        <v>-5210000</v>
      </c>
    </row>
    <row r="63" spans="1:9" ht="18" customHeight="1">
      <c r="A63" s="164"/>
      <c r="B63" s="165"/>
      <c r="C63" s="179" t="s">
        <v>280</v>
      </c>
      <c r="D63" s="180"/>
      <c r="E63" s="180"/>
      <c r="F63" s="181"/>
      <c r="G63" s="111">
        <f>'운영본부(위탁)'!H37</f>
        <v>1590000</v>
      </c>
      <c r="H63" s="111">
        <v>6800000</v>
      </c>
      <c r="I63" s="114">
        <f t="shared" si="16"/>
        <v>-5210000</v>
      </c>
    </row>
    <row r="64" spans="1:9" ht="18" customHeight="1">
      <c r="A64" s="164"/>
      <c r="B64" s="166"/>
      <c r="C64" s="167"/>
      <c r="D64" s="354" t="s">
        <v>501</v>
      </c>
      <c r="E64" s="180"/>
      <c r="F64" s="181"/>
      <c r="G64" s="111">
        <f>'운영본부(위탁)'!H38</f>
        <v>1200000</v>
      </c>
      <c r="H64" s="112">
        <v>5000000</v>
      </c>
      <c r="I64" s="114">
        <f t="shared" si="16"/>
        <v>-3800000</v>
      </c>
    </row>
    <row r="65" spans="1:9" ht="18" customHeight="1">
      <c r="A65" s="164"/>
      <c r="B65" s="166"/>
      <c r="C65" s="165"/>
      <c r="D65" s="167"/>
      <c r="E65" s="179" t="s">
        <v>424</v>
      </c>
      <c r="F65" s="181"/>
      <c r="G65" s="111">
        <f>'운영본부(위탁)'!H40</f>
        <v>1200000</v>
      </c>
      <c r="H65" s="112">
        <v>5000000</v>
      </c>
      <c r="I65" s="114">
        <f t="shared" si="16"/>
        <v>-3800000</v>
      </c>
    </row>
    <row r="66" spans="1:9" ht="18" customHeight="1">
      <c r="A66" s="164"/>
      <c r="B66" s="166"/>
      <c r="C66" s="165"/>
      <c r="D66" s="166"/>
      <c r="E66" s="256"/>
      <c r="F66" s="282" t="s">
        <v>425</v>
      </c>
      <c r="G66" s="330">
        <f>'운영본부(위탁)'!H41</f>
        <v>1200000</v>
      </c>
      <c r="H66" s="16">
        <v>4986500</v>
      </c>
      <c r="I66" s="116">
        <f t="shared" si="16"/>
        <v>-3786500</v>
      </c>
    </row>
    <row r="67" spans="1:9" ht="18" customHeight="1">
      <c r="A67" s="164"/>
      <c r="B67" s="166"/>
      <c r="C67" s="166"/>
      <c r="D67" s="548" t="s">
        <v>428</v>
      </c>
      <c r="E67" s="180"/>
      <c r="F67" s="181"/>
      <c r="G67" s="111">
        <f>'운영본부(위탁)'!H43</f>
        <v>390000</v>
      </c>
      <c r="H67" s="112">
        <v>1800000</v>
      </c>
      <c r="I67" s="114">
        <f t="shared" ref="I67:I69" si="17">G67-H67</f>
        <v>-1410000</v>
      </c>
    </row>
    <row r="68" spans="1:9" ht="18" customHeight="1">
      <c r="A68" s="164"/>
      <c r="B68" s="166"/>
      <c r="C68" s="165"/>
      <c r="D68" s="167"/>
      <c r="E68" s="179" t="s">
        <v>424</v>
      </c>
      <c r="F68" s="181"/>
      <c r="G68" s="111">
        <f>'운영본부(위탁)'!H45</f>
        <v>390000</v>
      </c>
      <c r="H68" s="112">
        <v>1800000</v>
      </c>
      <c r="I68" s="114">
        <f t="shared" si="17"/>
        <v>-1410000</v>
      </c>
    </row>
    <row r="69" spans="1:9" ht="18" customHeight="1" thickBot="1">
      <c r="A69" s="260"/>
      <c r="B69" s="261"/>
      <c r="C69" s="262"/>
      <c r="D69" s="261"/>
      <c r="E69" s="600"/>
      <c r="F69" s="601" t="s">
        <v>425</v>
      </c>
      <c r="G69" s="87">
        <f>'운영본부(위탁)'!H46</f>
        <v>390000</v>
      </c>
      <c r="H69" s="87">
        <v>1793520</v>
      </c>
      <c r="I69" s="118">
        <f t="shared" si="17"/>
        <v>-1403520</v>
      </c>
    </row>
  </sheetData>
  <mergeCells count="5">
    <mergeCell ref="A3:F3"/>
    <mergeCell ref="G3:G4"/>
    <mergeCell ref="H3:H4"/>
    <mergeCell ref="I3:I4"/>
    <mergeCell ref="A5:F5"/>
  </mergeCells>
  <phoneticPr fontId="12" type="noConversion"/>
  <pageMargins left="0.25" right="0.25" top="0.75" bottom="0.75" header="0.3" footer="0.3"/>
  <pageSetup paperSize="9" scale="95" fitToHeight="0" orientation="portrait" r:id="rId1"/>
  <rowBreaks count="1" manualBreakCount="1">
    <brk id="4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M77"/>
  <sheetViews>
    <sheetView topLeftCell="A46" zoomScale="85" zoomScaleNormal="85" workbookViewId="0">
      <selection activeCell="K11" sqref="K11:M34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37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88" t="s">
        <v>246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283" t="s">
        <v>205</v>
      </c>
    </row>
    <row r="2" spans="1:13" ht="16.5" customHeight="1">
      <c r="A2" s="643" t="s">
        <v>206</v>
      </c>
      <c r="B2" s="645" t="s">
        <v>207</v>
      </c>
      <c r="C2" s="646"/>
      <c r="D2" s="647"/>
      <c r="E2" s="645" t="s">
        <v>208</v>
      </c>
      <c r="F2" s="646"/>
      <c r="G2" s="647"/>
      <c r="H2" s="623" t="s">
        <v>660</v>
      </c>
      <c r="I2" s="623" t="s">
        <v>554</v>
      </c>
      <c r="J2" s="648" t="s">
        <v>468</v>
      </c>
      <c r="K2" s="635" t="s">
        <v>1</v>
      </c>
      <c r="L2" s="635"/>
      <c r="M2" s="636"/>
    </row>
    <row r="3" spans="1:13" ht="17.25" thickBot="1">
      <c r="A3" s="644"/>
      <c r="B3" s="119" t="s">
        <v>209</v>
      </c>
      <c r="C3" s="119" t="s">
        <v>210</v>
      </c>
      <c r="D3" s="119" t="s">
        <v>211</v>
      </c>
      <c r="E3" s="119" t="s">
        <v>212</v>
      </c>
      <c r="F3" s="119" t="s">
        <v>213</v>
      </c>
      <c r="G3" s="119" t="s">
        <v>214</v>
      </c>
      <c r="H3" s="624"/>
      <c r="I3" s="624"/>
      <c r="J3" s="649"/>
      <c r="K3" s="659"/>
      <c r="L3" s="659"/>
      <c r="M3" s="660"/>
    </row>
    <row r="4" spans="1:13" ht="17.25" thickBot="1">
      <c r="A4" s="640" t="s">
        <v>215</v>
      </c>
      <c r="B4" s="641"/>
      <c r="C4" s="641"/>
      <c r="D4" s="641"/>
      <c r="E4" s="641"/>
      <c r="F4" s="641"/>
      <c r="G4" s="642"/>
      <c r="H4" s="325">
        <f>H5</f>
        <v>5250000</v>
      </c>
      <c r="I4" s="284">
        <v>2950000</v>
      </c>
      <c r="J4" s="120">
        <f>H4-I4</f>
        <v>2300000</v>
      </c>
      <c r="K4" s="89"/>
      <c r="L4" s="90"/>
      <c r="M4" s="121"/>
    </row>
    <row r="5" spans="1:13">
      <c r="A5" s="286" t="s">
        <v>216</v>
      </c>
      <c r="B5" s="287"/>
      <c r="C5" s="264"/>
      <c r="D5" s="264"/>
      <c r="E5" s="264"/>
      <c r="F5" s="264"/>
      <c r="G5" s="265"/>
      <c r="H5" s="321">
        <f>H6+H30</f>
        <v>5250000</v>
      </c>
      <c r="I5" s="285">
        <v>2950000</v>
      </c>
      <c r="J5" s="288">
        <f t="shared" ref="J5:J17" si="0">H5-I5</f>
        <v>2300000</v>
      </c>
      <c r="K5" s="78"/>
      <c r="L5" s="79"/>
      <c r="M5" s="80"/>
    </row>
    <row r="6" spans="1:13">
      <c r="A6" s="289"/>
      <c r="B6" s="290" t="s">
        <v>266</v>
      </c>
      <c r="C6" s="129"/>
      <c r="D6" s="130"/>
      <c r="E6" s="130"/>
      <c r="F6" s="130"/>
      <c r="G6" s="131"/>
      <c r="H6" s="91">
        <f t="shared" ref="H6:H9" si="1">H7</f>
        <v>1000000</v>
      </c>
      <c r="I6" s="91">
        <v>2000000</v>
      </c>
      <c r="J6" s="95">
        <f>H6-I6</f>
        <v>-1000000</v>
      </c>
      <c r="K6" s="78"/>
      <c r="L6" s="79"/>
      <c r="M6" s="80"/>
    </row>
    <row r="7" spans="1:13">
      <c r="A7" s="461"/>
      <c r="B7" s="464"/>
      <c r="C7" s="354" t="s">
        <v>217</v>
      </c>
      <c r="D7" s="462"/>
      <c r="E7" s="462"/>
      <c r="F7" s="462"/>
      <c r="G7" s="463"/>
      <c r="H7" s="95">
        <f t="shared" si="1"/>
        <v>1000000</v>
      </c>
      <c r="I7" s="95">
        <v>2000000</v>
      </c>
      <c r="J7" s="95">
        <f t="shared" si="0"/>
        <v>-1000000</v>
      </c>
      <c r="K7" s="409"/>
      <c r="L7" s="410"/>
      <c r="M7" s="428"/>
    </row>
    <row r="8" spans="1:13">
      <c r="A8" s="461"/>
      <c r="B8" s="464"/>
      <c r="C8" s="549"/>
      <c r="D8" s="354" t="s">
        <v>218</v>
      </c>
      <c r="E8" s="462"/>
      <c r="F8" s="462"/>
      <c r="G8" s="463"/>
      <c r="H8" s="465">
        <f>H9+H23</f>
        <v>1000000</v>
      </c>
      <c r="I8" s="465">
        <v>2000000</v>
      </c>
      <c r="J8" s="95">
        <f t="shared" si="0"/>
        <v>-1000000</v>
      </c>
      <c r="K8" s="355"/>
      <c r="L8" s="412"/>
      <c r="M8" s="428"/>
    </row>
    <row r="9" spans="1:13">
      <c r="A9" s="461"/>
      <c r="B9" s="464"/>
      <c r="C9" s="466"/>
      <c r="D9" s="467"/>
      <c r="E9" s="354" t="s">
        <v>219</v>
      </c>
      <c r="F9" s="462"/>
      <c r="G9" s="463"/>
      <c r="H9" s="92">
        <f t="shared" si="1"/>
        <v>965000</v>
      </c>
      <c r="I9" s="92">
        <v>1974000</v>
      </c>
      <c r="J9" s="95">
        <f t="shared" si="0"/>
        <v>-1009000</v>
      </c>
      <c r="K9" s="356"/>
      <c r="L9" s="398"/>
      <c r="M9" s="399"/>
    </row>
    <row r="10" spans="1:13">
      <c r="A10" s="363"/>
      <c r="B10" s="364"/>
      <c r="C10" s="469"/>
      <c r="D10" s="470"/>
      <c r="E10" s="471"/>
      <c r="F10" s="472" t="s">
        <v>220</v>
      </c>
      <c r="G10" s="473"/>
      <c r="H10" s="98">
        <f>SUM(H11,H17,H21)</f>
        <v>965000</v>
      </c>
      <c r="I10" s="98">
        <v>1974000</v>
      </c>
      <c r="J10" s="98">
        <f t="shared" si="0"/>
        <v>-1009000</v>
      </c>
      <c r="K10" s="429"/>
      <c r="L10" s="357"/>
      <c r="M10" s="401"/>
    </row>
    <row r="11" spans="1:13">
      <c r="A11" s="363"/>
      <c r="B11" s="364"/>
      <c r="C11" s="364"/>
      <c r="D11" s="365"/>
      <c r="E11" s="366"/>
      <c r="F11" s="366"/>
      <c r="G11" s="554" t="s">
        <v>221</v>
      </c>
      <c r="H11" s="41">
        <f>M11</f>
        <v>345000</v>
      </c>
      <c r="I11" s="41">
        <v>1419000</v>
      </c>
      <c r="J11" s="41">
        <f t="shared" si="0"/>
        <v>-1074000</v>
      </c>
      <c r="K11" s="555" t="s">
        <v>222</v>
      </c>
      <c r="L11" s="394"/>
      <c r="M11" s="395">
        <f>SUM(M12:M16)</f>
        <v>345000</v>
      </c>
    </row>
    <row r="12" spans="1:13">
      <c r="A12" s="363"/>
      <c r="B12" s="364"/>
      <c r="C12" s="364"/>
      <c r="D12" s="365"/>
      <c r="E12" s="366"/>
      <c r="F12" s="366"/>
      <c r="G12" s="364" t="s">
        <v>671</v>
      </c>
      <c r="H12" s="50"/>
      <c r="I12" s="50"/>
      <c r="J12" s="50"/>
      <c r="K12" s="593" t="s">
        <v>552</v>
      </c>
      <c r="L12" s="382" t="s">
        <v>223</v>
      </c>
      <c r="M12" s="381">
        <v>200000</v>
      </c>
    </row>
    <row r="13" spans="1:13">
      <c r="A13" s="363"/>
      <c r="B13" s="364"/>
      <c r="C13" s="364"/>
      <c r="D13" s="365"/>
      <c r="E13" s="366"/>
      <c r="F13" s="366"/>
      <c r="G13" s="364"/>
      <c r="H13" s="50"/>
      <c r="I13" s="50"/>
      <c r="J13" s="50"/>
      <c r="K13" s="431" t="s">
        <v>759</v>
      </c>
      <c r="L13" s="382" t="s">
        <v>37</v>
      </c>
      <c r="M13" s="381">
        <v>100000</v>
      </c>
    </row>
    <row r="14" spans="1:13">
      <c r="A14" s="363"/>
      <c r="B14" s="364"/>
      <c r="C14" s="364"/>
      <c r="D14" s="365"/>
      <c r="E14" s="366"/>
      <c r="F14" s="366"/>
      <c r="G14" s="364"/>
      <c r="H14" s="50"/>
      <c r="I14" s="50"/>
      <c r="J14" s="50"/>
      <c r="K14" s="593" t="s">
        <v>721</v>
      </c>
      <c r="L14" s="382" t="s">
        <v>403</v>
      </c>
      <c r="M14" s="381">
        <v>40000</v>
      </c>
    </row>
    <row r="15" spans="1:13">
      <c r="A15" s="363"/>
      <c r="B15" s="364"/>
      <c r="C15" s="364"/>
      <c r="D15" s="365"/>
      <c r="E15" s="366"/>
      <c r="F15" s="366"/>
      <c r="G15" s="364"/>
      <c r="H15" s="50"/>
      <c r="I15" s="50"/>
      <c r="J15" s="50"/>
      <c r="K15" s="432" t="s">
        <v>760</v>
      </c>
      <c r="L15" s="382" t="s">
        <v>403</v>
      </c>
      <c r="M15" s="381">
        <v>4000</v>
      </c>
    </row>
    <row r="16" spans="1:13">
      <c r="A16" s="363"/>
      <c r="B16" s="364"/>
      <c r="C16" s="364"/>
      <c r="D16" s="365"/>
      <c r="E16" s="366"/>
      <c r="F16" s="366"/>
      <c r="G16" s="364"/>
      <c r="H16" s="50"/>
      <c r="I16" s="50"/>
      <c r="J16" s="50"/>
      <c r="K16" s="432" t="s">
        <v>761</v>
      </c>
      <c r="L16" s="382" t="s">
        <v>403</v>
      </c>
      <c r="M16" s="381">
        <v>1000</v>
      </c>
    </row>
    <row r="17" spans="1:13">
      <c r="A17" s="363"/>
      <c r="B17" s="364"/>
      <c r="C17" s="364"/>
      <c r="D17" s="365"/>
      <c r="E17" s="366"/>
      <c r="F17" s="366"/>
      <c r="G17" s="554" t="s">
        <v>224</v>
      </c>
      <c r="H17" s="41">
        <f>M17</f>
        <v>120000</v>
      </c>
      <c r="I17" s="41">
        <v>55000</v>
      </c>
      <c r="J17" s="41">
        <f t="shared" si="0"/>
        <v>65000</v>
      </c>
      <c r="K17" s="555" t="s">
        <v>225</v>
      </c>
      <c r="L17" s="394"/>
      <c r="M17" s="395">
        <f>SUM(M18:M20)</f>
        <v>120000</v>
      </c>
    </row>
    <row r="18" spans="1:13">
      <c r="A18" s="363"/>
      <c r="B18" s="364"/>
      <c r="C18" s="364"/>
      <c r="D18" s="365"/>
      <c r="E18" s="366"/>
      <c r="F18" s="366"/>
      <c r="G18" s="364" t="s">
        <v>672</v>
      </c>
      <c r="H18" s="50"/>
      <c r="I18" s="50"/>
      <c r="J18" s="50"/>
      <c r="K18" s="431" t="s">
        <v>556</v>
      </c>
      <c r="L18" s="382" t="s">
        <v>404</v>
      </c>
      <c r="M18" s="381">
        <v>50000</v>
      </c>
    </row>
    <row r="19" spans="1:13">
      <c r="A19" s="363"/>
      <c r="B19" s="364"/>
      <c r="C19" s="364"/>
      <c r="D19" s="365"/>
      <c r="E19" s="366"/>
      <c r="F19" s="366"/>
      <c r="G19" s="364"/>
      <c r="H19" s="50"/>
      <c r="I19" s="50"/>
      <c r="J19" s="50"/>
      <c r="K19" s="431" t="s">
        <v>762</v>
      </c>
      <c r="L19" s="382" t="s">
        <v>403</v>
      </c>
      <c r="M19" s="381">
        <v>50000</v>
      </c>
    </row>
    <row r="20" spans="1:13">
      <c r="A20" s="363"/>
      <c r="B20" s="364"/>
      <c r="C20" s="364"/>
      <c r="D20" s="365"/>
      <c r="E20" s="366"/>
      <c r="F20" s="366"/>
      <c r="G20" s="478"/>
      <c r="H20" s="146"/>
      <c r="I20" s="146"/>
      <c r="J20" s="146"/>
      <c r="K20" s="383" t="s">
        <v>405</v>
      </c>
      <c r="L20" s="384" t="s">
        <v>0</v>
      </c>
      <c r="M20" s="388">
        <v>20000</v>
      </c>
    </row>
    <row r="21" spans="1:13">
      <c r="A21" s="363"/>
      <c r="B21" s="364"/>
      <c r="C21" s="364"/>
      <c r="D21" s="365"/>
      <c r="E21" s="365"/>
      <c r="F21" s="366"/>
      <c r="G21" s="367" t="s">
        <v>462</v>
      </c>
      <c r="H21" s="50">
        <f>M21</f>
        <v>500000</v>
      </c>
      <c r="I21" s="50">
        <v>500000</v>
      </c>
      <c r="J21" s="50">
        <f>H21-I21</f>
        <v>0</v>
      </c>
      <c r="K21" s="430" t="s">
        <v>226</v>
      </c>
      <c r="L21" s="382"/>
      <c r="M21" s="386">
        <f>SUM(M22)</f>
        <v>500000</v>
      </c>
    </row>
    <row r="22" spans="1:13">
      <c r="A22" s="363"/>
      <c r="B22" s="364"/>
      <c r="C22" s="364"/>
      <c r="D22" s="365"/>
      <c r="E22" s="509"/>
      <c r="F22" s="550"/>
      <c r="G22" s="478" t="s">
        <v>673</v>
      </c>
      <c r="H22" s="146"/>
      <c r="I22" s="146"/>
      <c r="J22" s="146"/>
      <c r="K22" s="383" t="s">
        <v>494</v>
      </c>
      <c r="L22" s="380" t="s">
        <v>0</v>
      </c>
      <c r="M22" s="388">
        <v>500000</v>
      </c>
    </row>
    <row r="23" spans="1:13">
      <c r="A23" s="461"/>
      <c r="B23" s="464"/>
      <c r="C23" s="491"/>
      <c r="D23" s="491"/>
      <c r="E23" s="548" t="s">
        <v>406</v>
      </c>
      <c r="F23" s="551"/>
      <c r="G23" s="552"/>
      <c r="H23" s="95">
        <f t="shared" ref="H23" si="2">H24</f>
        <v>35000</v>
      </c>
      <c r="I23" s="95">
        <v>26000</v>
      </c>
      <c r="J23" s="95">
        <f t="shared" ref="J23:J27" si="3">H23-I23</f>
        <v>9000</v>
      </c>
      <c r="K23" s="559"/>
      <c r="L23" s="561"/>
      <c r="M23" s="562"/>
    </row>
    <row r="24" spans="1:13">
      <c r="A24" s="363"/>
      <c r="B24" s="364"/>
      <c r="C24" s="469"/>
      <c r="D24" s="470"/>
      <c r="E24" s="471"/>
      <c r="F24" s="472" t="s">
        <v>59</v>
      </c>
      <c r="G24" s="473"/>
      <c r="H24" s="98">
        <f>SUM(H25,H27)</f>
        <v>35000</v>
      </c>
      <c r="I24" s="98">
        <v>26000</v>
      </c>
      <c r="J24" s="98">
        <f t="shared" si="3"/>
        <v>9000</v>
      </c>
      <c r="K24" s="429"/>
      <c r="L24" s="357"/>
      <c r="M24" s="401"/>
    </row>
    <row r="25" spans="1:13">
      <c r="A25" s="363"/>
      <c r="B25" s="364"/>
      <c r="C25" s="364"/>
      <c r="D25" s="365"/>
      <c r="E25" s="366"/>
      <c r="F25" s="366"/>
      <c r="G25" s="367" t="s">
        <v>495</v>
      </c>
      <c r="H25" s="41">
        <f>M25</f>
        <v>10000</v>
      </c>
      <c r="I25" s="41">
        <v>0</v>
      </c>
      <c r="J25" s="41">
        <f t="shared" ref="J25" si="4">H25-I25</f>
        <v>10000</v>
      </c>
      <c r="K25" s="430" t="s">
        <v>496</v>
      </c>
      <c r="L25" s="394"/>
      <c r="M25" s="395">
        <f>SUM(M26:M26)</f>
        <v>10000</v>
      </c>
    </row>
    <row r="26" spans="1:13">
      <c r="A26" s="363"/>
      <c r="B26" s="364"/>
      <c r="C26" s="364"/>
      <c r="D26" s="365"/>
      <c r="E26" s="366"/>
      <c r="F26" s="366"/>
      <c r="G26" s="536" t="s">
        <v>742</v>
      </c>
      <c r="H26" s="146"/>
      <c r="I26" s="146"/>
      <c r="J26" s="146"/>
      <c r="K26" s="383" t="s">
        <v>763</v>
      </c>
      <c r="L26" s="384" t="s">
        <v>403</v>
      </c>
      <c r="M26" s="388">
        <v>10000</v>
      </c>
    </row>
    <row r="27" spans="1:13">
      <c r="A27" s="363"/>
      <c r="B27" s="364"/>
      <c r="C27" s="364"/>
      <c r="D27" s="365"/>
      <c r="E27" s="366"/>
      <c r="F27" s="366"/>
      <c r="G27" s="367" t="s">
        <v>433</v>
      </c>
      <c r="H27" s="41">
        <f>M27</f>
        <v>25000</v>
      </c>
      <c r="I27" s="41">
        <v>26000</v>
      </c>
      <c r="J27" s="41">
        <f t="shared" si="3"/>
        <v>-1000</v>
      </c>
      <c r="K27" s="430" t="s">
        <v>407</v>
      </c>
      <c r="L27" s="394"/>
      <c r="M27" s="395">
        <f>SUM(M28:M29)</f>
        <v>25000</v>
      </c>
    </row>
    <row r="28" spans="1:13">
      <c r="A28" s="363"/>
      <c r="B28" s="364"/>
      <c r="C28" s="364"/>
      <c r="D28" s="365"/>
      <c r="E28" s="366"/>
      <c r="F28" s="366"/>
      <c r="G28" s="367" t="s">
        <v>674</v>
      </c>
      <c r="H28" s="50"/>
      <c r="I28" s="50"/>
      <c r="J28" s="50"/>
      <c r="K28" s="431" t="s">
        <v>764</v>
      </c>
      <c r="L28" s="382" t="s">
        <v>223</v>
      </c>
      <c r="M28" s="381">
        <v>15000</v>
      </c>
    </row>
    <row r="29" spans="1:13">
      <c r="A29" s="563"/>
      <c r="B29" s="478"/>
      <c r="C29" s="478"/>
      <c r="D29" s="509"/>
      <c r="E29" s="550"/>
      <c r="F29" s="550"/>
      <c r="G29" s="536"/>
      <c r="H29" s="146"/>
      <c r="I29" s="146"/>
      <c r="J29" s="146"/>
      <c r="K29" s="383" t="s">
        <v>560</v>
      </c>
      <c r="L29" s="384" t="s">
        <v>403</v>
      </c>
      <c r="M29" s="388">
        <v>10000</v>
      </c>
    </row>
    <row r="30" spans="1:13">
      <c r="A30" s="461"/>
      <c r="B30" s="548" t="s">
        <v>267</v>
      </c>
      <c r="C30" s="548"/>
      <c r="D30" s="551"/>
      <c r="E30" s="551"/>
      <c r="F30" s="551"/>
      <c r="G30" s="552"/>
      <c r="H30" s="95">
        <f>H31</f>
        <v>4250000</v>
      </c>
      <c r="I30" s="95">
        <v>950000</v>
      </c>
      <c r="J30" s="95">
        <f>H30-I30</f>
        <v>3300000</v>
      </c>
      <c r="K30" s="409"/>
      <c r="L30" s="410"/>
      <c r="M30" s="428"/>
    </row>
    <row r="31" spans="1:13">
      <c r="A31" s="461"/>
      <c r="B31" s="464"/>
      <c r="C31" s="354" t="s">
        <v>268</v>
      </c>
      <c r="D31" s="462"/>
      <c r="E31" s="462"/>
      <c r="F31" s="462"/>
      <c r="G31" s="463"/>
      <c r="H31" s="95">
        <f>SUM(H32,H37,H42,H51,H63)</f>
        <v>4250000</v>
      </c>
      <c r="I31" s="95">
        <v>950000</v>
      </c>
      <c r="J31" s="95">
        <f t="shared" ref="J31:J35" si="5">H31-I31</f>
        <v>3300000</v>
      </c>
      <c r="K31" s="409"/>
      <c r="L31" s="410"/>
      <c r="M31" s="428"/>
    </row>
    <row r="32" spans="1:13">
      <c r="A32" s="461"/>
      <c r="B32" s="464"/>
      <c r="C32" s="549"/>
      <c r="D32" s="354" t="s">
        <v>461</v>
      </c>
      <c r="E32" s="462"/>
      <c r="F32" s="462"/>
      <c r="G32" s="463"/>
      <c r="H32" s="465">
        <f>H33</f>
        <v>250000</v>
      </c>
      <c r="I32" s="465">
        <v>660000</v>
      </c>
      <c r="J32" s="95">
        <f t="shared" si="5"/>
        <v>-410000</v>
      </c>
      <c r="K32" s="355"/>
      <c r="L32" s="412"/>
      <c r="M32" s="428"/>
    </row>
    <row r="33" spans="1:13">
      <c r="A33" s="461"/>
      <c r="B33" s="464"/>
      <c r="C33" s="466"/>
      <c r="D33" s="467"/>
      <c r="E33" s="354" t="s">
        <v>555</v>
      </c>
      <c r="F33" s="462"/>
      <c r="G33" s="463"/>
      <c r="H33" s="92">
        <f t="shared" ref="H33" si="6">H34</f>
        <v>250000</v>
      </c>
      <c r="I33" s="92">
        <v>162000</v>
      </c>
      <c r="J33" s="95">
        <f t="shared" si="5"/>
        <v>88000</v>
      </c>
      <c r="K33" s="356"/>
      <c r="L33" s="398"/>
      <c r="M33" s="399"/>
    </row>
    <row r="34" spans="1:13">
      <c r="A34" s="363"/>
      <c r="B34" s="364"/>
      <c r="C34" s="469"/>
      <c r="D34" s="470"/>
      <c r="E34" s="471"/>
      <c r="F34" s="472" t="s">
        <v>553</v>
      </c>
      <c r="G34" s="473"/>
      <c r="H34" s="98">
        <f>SUM(H35)</f>
        <v>250000</v>
      </c>
      <c r="I34" s="98">
        <v>162000</v>
      </c>
      <c r="J34" s="98">
        <f t="shared" si="5"/>
        <v>88000</v>
      </c>
      <c r="K34" s="429"/>
      <c r="L34" s="357"/>
      <c r="M34" s="401"/>
    </row>
    <row r="35" spans="1:13">
      <c r="A35" s="363"/>
      <c r="B35" s="364"/>
      <c r="C35" s="364"/>
      <c r="D35" s="365"/>
      <c r="E35" s="366"/>
      <c r="F35" s="366"/>
      <c r="G35" s="367" t="s">
        <v>558</v>
      </c>
      <c r="H35" s="41">
        <f>SUM(M35)</f>
        <v>250000</v>
      </c>
      <c r="I35" s="41">
        <v>30000</v>
      </c>
      <c r="J35" s="41">
        <f t="shared" si="5"/>
        <v>220000</v>
      </c>
      <c r="K35" s="430" t="s">
        <v>559</v>
      </c>
      <c r="L35" s="394"/>
      <c r="M35" s="395">
        <f>SUM(M36:M36)</f>
        <v>250000</v>
      </c>
    </row>
    <row r="36" spans="1:13">
      <c r="A36" s="63"/>
      <c r="B36" s="65"/>
      <c r="C36" s="364"/>
      <c r="D36" s="509"/>
      <c r="E36" s="550"/>
      <c r="F36" s="550"/>
      <c r="G36" s="536" t="s">
        <v>675</v>
      </c>
      <c r="H36" s="71"/>
      <c r="I36" s="71"/>
      <c r="J36" s="146"/>
      <c r="K36" s="383" t="s">
        <v>592</v>
      </c>
      <c r="L36" s="384" t="s">
        <v>223</v>
      </c>
      <c r="M36" s="388">
        <v>250000</v>
      </c>
    </row>
    <row r="37" spans="1:13">
      <c r="A37" s="461"/>
      <c r="B37" s="464"/>
      <c r="C37" s="464"/>
      <c r="D37" s="354" t="s">
        <v>600</v>
      </c>
      <c r="E37" s="462"/>
      <c r="F37" s="462"/>
      <c r="G37" s="463"/>
      <c r="H37" s="465">
        <f>H38</f>
        <v>60000</v>
      </c>
      <c r="I37" s="465">
        <v>0</v>
      </c>
      <c r="J37" s="95">
        <f t="shared" ref="J37:J40" si="7">H37-I37</f>
        <v>60000</v>
      </c>
      <c r="K37" s="355"/>
      <c r="L37" s="412"/>
      <c r="M37" s="428"/>
    </row>
    <row r="38" spans="1:13">
      <c r="A38" s="461"/>
      <c r="B38" s="464"/>
      <c r="C38" s="491"/>
      <c r="D38" s="467"/>
      <c r="E38" s="354" t="s">
        <v>219</v>
      </c>
      <c r="F38" s="462"/>
      <c r="G38" s="463"/>
      <c r="H38" s="92">
        <f t="shared" ref="H38" si="8">H39</f>
        <v>60000</v>
      </c>
      <c r="I38" s="92">
        <v>0</v>
      </c>
      <c r="J38" s="95">
        <f t="shared" si="7"/>
        <v>60000</v>
      </c>
      <c r="K38" s="356"/>
      <c r="L38" s="398"/>
      <c r="M38" s="399"/>
    </row>
    <row r="39" spans="1:13">
      <c r="A39" s="363"/>
      <c r="B39" s="364"/>
      <c r="C39" s="469"/>
      <c r="D39" s="470"/>
      <c r="E39" s="471"/>
      <c r="F39" s="472" t="s">
        <v>220</v>
      </c>
      <c r="G39" s="473"/>
      <c r="H39" s="98">
        <f>SUM(H40)</f>
        <v>60000</v>
      </c>
      <c r="I39" s="98">
        <v>0</v>
      </c>
      <c r="J39" s="98">
        <f t="shared" si="7"/>
        <v>60000</v>
      </c>
      <c r="K39" s="429"/>
      <c r="L39" s="357"/>
      <c r="M39" s="401"/>
    </row>
    <row r="40" spans="1:13">
      <c r="A40" s="363"/>
      <c r="B40" s="364"/>
      <c r="C40" s="364"/>
      <c r="D40" s="365"/>
      <c r="E40" s="366"/>
      <c r="F40" s="366"/>
      <c r="G40" s="367" t="s">
        <v>224</v>
      </c>
      <c r="H40" s="41">
        <f>SUM(M40)</f>
        <v>60000</v>
      </c>
      <c r="I40" s="41">
        <v>0</v>
      </c>
      <c r="J40" s="41">
        <f t="shared" si="7"/>
        <v>60000</v>
      </c>
      <c r="K40" s="430" t="s">
        <v>593</v>
      </c>
      <c r="L40" s="394"/>
      <c r="M40" s="395">
        <f>SUM(M41:M41)</f>
        <v>60000</v>
      </c>
    </row>
    <row r="41" spans="1:13">
      <c r="A41" s="63"/>
      <c r="B41" s="65"/>
      <c r="C41" s="364"/>
      <c r="D41" s="509"/>
      <c r="E41" s="550"/>
      <c r="F41" s="550"/>
      <c r="G41" s="536" t="s">
        <v>676</v>
      </c>
      <c r="H41" s="71"/>
      <c r="I41" s="71"/>
      <c r="J41" s="146"/>
      <c r="K41" s="383" t="s">
        <v>594</v>
      </c>
      <c r="L41" s="384" t="s">
        <v>223</v>
      </c>
      <c r="M41" s="388">
        <v>60000</v>
      </c>
    </row>
    <row r="42" spans="1:13">
      <c r="A42" s="461"/>
      <c r="B42" s="464"/>
      <c r="C42" s="464"/>
      <c r="D42" s="354" t="s">
        <v>595</v>
      </c>
      <c r="E42" s="462"/>
      <c r="F42" s="462"/>
      <c r="G42" s="463"/>
      <c r="H42" s="465">
        <f>SUM(H43,H47)</f>
        <v>3070000</v>
      </c>
      <c r="I42" s="465">
        <v>0</v>
      </c>
      <c r="J42" s="95">
        <f t="shared" ref="J42:J45" si="9">H42-I42</f>
        <v>3070000</v>
      </c>
      <c r="K42" s="355"/>
      <c r="L42" s="412"/>
      <c r="M42" s="428"/>
    </row>
    <row r="43" spans="1:13">
      <c r="A43" s="461"/>
      <c r="B43" s="464"/>
      <c r="C43" s="491"/>
      <c r="D43" s="467"/>
      <c r="E43" s="354" t="s">
        <v>219</v>
      </c>
      <c r="F43" s="462"/>
      <c r="G43" s="463"/>
      <c r="H43" s="92">
        <f t="shared" ref="H43" si="10">H44</f>
        <v>2340000</v>
      </c>
      <c r="I43" s="92">
        <v>0</v>
      </c>
      <c r="J43" s="95">
        <f t="shared" si="9"/>
        <v>2340000</v>
      </c>
      <c r="K43" s="356"/>
      <c r="L43" s="398"/>
      <c r="M43" s="399"/>
    </row>
    <row r="44" spans="1:13">
      <c r="A44" s="363"/>
      <c r="B44" s="364"/>
      <c r="C44" s="469"/>
      <c r="D44" s="470"/>
      <c r="E44" s="471"/>
      <c r="F44" s="472" t="s">
        <v>220</v>
      </c>
      <c r="G44" s="473"/>
      <c r="H44" s="98">
        <f>SUM(H45)</f>
        <v>2340000</v>
      </c>
      <c r="I44" s="98">
        <v>0</v>
      </c>
      <c r="J44" s="98">
        <f t="shared" si="9"/>
        <v>2340000</v>
      </c>
      <c r="K44" s="429"/>
      <c r="L44" s="357"/>
      <c r="M44" s="401"/>
    </row>
    <row r="45" spans="1:13">
      <c r="A45" s="363"/>
      <c r="B45" s="364"/>
      <c r="C45" s="364"/>
      <c r="D45" s="365"/>
      <c r="E45" s="366"/>
      <c r="F45" s="366"/>
      <c r="G45" s="367" t="s">
        <v>224</v>
      </c>
      <c r="H45" s="41">
        <f>SUM(M45)</f>
        <v>2340000</v>
      </c>
      <c r="I45" s="41">
        <v>0</v>
      </c>
      <c r="J45" s="41">
        <f t="shared" si="9"/>
        <v>2340000</v>
      </c>
      <c r="K45" s="430" t="s">
        <v>593</v>
      </c>
      <c r="L45" s="394"/>
      <c r="M45" s="395">
        <f>SUM(M46:M46)</f>
        <v>2340000</v>
      </c>
    </row>
    <row r="46" spans="1:13">
      <c r="A46" s="63"/>
      <c r="B46" s="65"/>
      <c r="C46" s="364"/>
      <c r="D46" s="365"/>
      <c r="E46" s="550"/>
      <c r="F46" s="550"/>
      <c r="G46" s="536" t="s">
        <v>677</v>
      </c>
      <c r="H46" s="71"/>
      <c r="I46" s="71"/>
      <c r="J46" s="146"/>
      <c r="K46" s="383" t="s">
        <v>596</v>
      </c>
      <c r="L46" s="384" t="s">
        <v>223</v>
      </c>
      <c r="M46" s="388">
        <v>2340000</v>
      </c>
    </row>
    <row r="47" spans="1:13">
      <c r="A47" s="461"/>
      <c r="B47" s="464"/>
      <c r="C47" s="466"/>
      <c r="D47" s="491"/>
      <c r="E47" s="354" t="s">
        <v>555</v>
      </c>
      <c r="F47" s="462"/>
      <c r="G47" s="463"/>
      <c r="H47" s="92">
        <f t="shared" ref="H47" si="11">H48</f>
        <v>730000</v>
      </c>
      <c r="I47" s="92">
        <v>0</v>
      </c>
      <c r="J47" s="95">
        <f t="shared" ref="J47:J49" si="12">H47-I47</f>
        <v>730000</v>
      </c>
      <c r="K47" s="356"/>
      <c r="L47" s="398"/>
      <c r="M47" s="399"/>
    </row>
    <row r="48" spans="1:13">
      <c r="A48" s="363"/>
      <c r="B48" s="364"/>
      <c r="C48" s="469"/>
      <c r="D48" s="470"/>
      <c r="E48" s="471"/>
      <c r="F48" s="472" t="s">
        <v>553</v>
      </c>
      <c r="G48" s="473"/>
      <c r="H48" s="98">
        <f>SUM(H49)</f>
        <v>730000</v>
      </c>
      <c r="I48" s="98">
        <v>0</v>
      </c>
      <c r="J48" s="98">
        <f t="shared" si="12"/>
        <v>730000</v>
      </c>
      <c r="K48" s="429"/>
      <c r="L48" s="357"/>
      <c r="M48" s="401"/>
    </row>
    <row r="49" spans="1:13">
      <c r="A49" s="363"/>
      <c r="B49" s="364"/>
      <c r="C49" s="364"/>
      <c r="D49" s="365"/>
      <c r="E49" s="366"/>
      <c r="F49" s="366"/>
      <c r="G49" s="367" t="s">
        <v>597</v>
      </c>
      <c r="H49" s="41">
        <f>SUM(M49)</f>
        <v>730000</v>
      </c>
      <c r="I49" s="41">
        <v>0</v>
      </c>
      <c r="J49" s="41">
        <f t="shared" si="12"/>
        <v>730000</v>
      </c>
      <c r="K49" s="430" t="s">
        <v>598</v>
      </c>
      <c r="L49" s="394"/>
      <c r="M49" s="395">
        <f>SUM(M50:M50)</f>
        <v>730000</v>
      </c>
    </row>
    <row r="50" spans="1:13">
      <c r="A50" s="63"/>
      <c r="B50" s="65"/>
      <c r="C50" s="364"/>
      <c r="D50" s="509"/>
      <c r="E50" s="550"/>
      <c r="F50" s="550"/>
      <c r="G50" s="536" t="s">
        <v>678</v>
      </c>
      <c r="H50" s="71"/>
      <c r="I50" s="71"/>
      <c r="J50" s="146"/>
      <c r="K50" s="383" t="s">
        <v>599</v>
      </c>
      <c r="L50" s="384" t="s">
        <v>223</v>
      </c>
      <c r="M50" s="388">
        <v>730000</v>
      </c>
    </row>
    <row r="51" spans="1:13">
      <c r="A51" s="10"/>
      <c r="B51" s="6"/>
      <c r="C51" s="464"/>
      <c r="D51" s="548" t="s">
        <v>601</v>
      </c>
      <c r="E51" s="551"/>
      <c r="F51" s="551"/>
      <c r="G51" s="552"/>
      <c r="H51" s="322">
        <f>H52+H59</f>
        <v>270000</v>
      </c>
      <c r="I51" s="322">
        <v>0</v>
      </c>
      <c r="J51" s="95">
        <f t="shared" ref="J51:J52" si="13">H51-I51</f>
        <v>270000</v>
      </c>
      <c r="K51" s="355"/>
      <c r="L51" s="412"/>
      <c r="M51" s="428"/>
    </row>
    <row r="52" spans="1:13">
      <c r="A52" s="10"/>
      <c r="B52" s="6"/>
      <c r="C52" s="466"/>
      <c r="D52" s="467"/>
      <c r="E52" s="354" t="s">
        <v>219</v>
      </c>
      <c r="F52" s="462"/>
      <c r="G52" s="463"/>
      <c r="H52" s="91">
        <f>H53</f>
        <v>224000</v>
      </c>
      <c r="I52" s="91">
        <v>0</v>
      </c>
      <c r="J52" s="95">
        <f t="shared" si="13"/>
        <v>224000</v>
      </c>
      <c r="K52" s="356"/>
      <c r="L52" s="398"/>
      <c r="M52" s="399"/>
    </row>
    <row r="53" spans="1:13">
      <c r="A53" s="63"/>
      <c r="B53" s="65"/>
      <c r="C53" s="469"/>
      <c r="D53" s="470"/>
      <c r="E53" s="471"/>
      <c r="F53" s="472" t="s">
        <v>220</v>
      </c>
      <c r="G53" s="473"/>
      <c r="H53" s="72">
        <f>SUM(H54,H57)</f>
        <v>224000</v>
      </c>
      <c r="I53" s="72">
        <v>0</v>
      </c>
      <c r="J53" s="98">
        <f>H53-I53</f>
        <v>224000</v>
      </c>
      <c r="K53" s="429"/>
      <c r="L53" s="357"/>
      <c r="M53" s="401"/>
    </row>
    <row r="54" spans="1:13">
      <c r="A54" s="63"/>
      <c r="B54" s="65"/>
      <c r="C54" s="364"/>
      <c r="D54" s="365"/>
      <c r="E54" s="366"/>
      <c r="F54" s="366"/>
      <c r="G54" s="367" t="s">
        <v>36</v>
      </c>
      <c r="H54" s="73">
        <f>M54</f>
        <v>4000</v>
      </c>
      <c r="I54" s="73">
        <v>0</v>
      </c>
      <c r="J54" s="41">
        <f>H54-I54</f>
        <v>4000</v>
      </c>
      <c r="K54" s="430" t="s">
        <v>62</v>
      </c>
      <c r="L54" s="394"/>
      <c r="M54" s="395">
        <f>SUM(M55:M56)</f>
        <v>4000</v>
      </c>
    </row>
    <row r="55" spans="1:13">
      <c r="A55" s="63"/>
      <c r="B55" s="65"/>
      <c r="C55" s="364"/>
      <c r="D55" s="365"/>
      <c r="E55" s="366"/>
      <c r="F55" s="366"/>
      <c r="G55" s="364" t="s">
        <v>679</v>
      </c>
      <c r="H55" s="74"/>
      <c r="I55" s="74"/>
      <c r="J55" s="50"/>
      <c r="K55" s="431" t="s">
        <v>602</v>
      </c>
      <c r="L55" s="382" t="s">
        <v>37</v>
      </c>
      <c r="M55" s="381">
        <v>3000</v>
      </c>
    </row>
    <row r="56" spans="1:13">
      <c r="A56" s="63"/>
      <c r="B56" s="65"/>
      <c r="C56" s="364"/>
      <c r="D56" s="365"/>
      <c r="E56" s="366"/>
      <c r="F56" s="366"/>
      <c r="G56" s="478"/>
      <c r="H56" s="71"/>
      <c r="I56" s="71"/>
      <c r="J56" s="146"/>
      <c r="K56" s="383" t="s">
        <v>603</v>
      </c>
      <c r="L56" s="384" t="s">
        <v>37</v>
      </c>
      <c r="M56" s="388">
        <v>1000</v>
      </c>
    </row>
    <row r="57" spans="1:13">
      <c r="A57" s="63"/>
      <c r="B57" s="65"/>
      <c r="C57" s="364"/>
      <c r="D57" s="365"/>
      <c r="E57" s="366"/>
      <c r="F57" s="366"/>
      <c r="G57" s="367" t="s">
        <v>224</v>
      </c>
      <c r="H57" s="74">
        <f>M57</f>
        <v>220000</v>
      </c>
      <c r="I57" s="74">
        <v>0</v>
      </c>
      <c r="J57" s="50">
        <f>H57-I57</f>
        <v>220000</v>
      </c>
      <c r="K57" s="430" t="s">
        <v>225</v>
      </c>
      <c r="L57" s="382"/>
      <c r="M57" s="386">
        <f>SUM(M58)</f>
        <v>220000</v>
      </c>
    </row>
    <row r="58" spans="1:13">
      <c r="A58" s="63"/>
      <c r="B58" s="65"/>
      <c r="C58" s="364"/>
      <c r="D58" s="365"/>
      <c r="E58" s="366"/>
      <c r="F58" s="366"/>
      <c r="G58" s="367" t="s">
        <v>680</v>
      </c>
      <c r="H58" s="74"/>
      <c r="I58" s="74"/>
      <c r="J58" s="50"/>
      <c r="K58" s="431" t="s">
        <v>604</v>
      </c>
      <c r="L58" s="382" t="s">
        <v>0</v>
      </c>
      <c r="M58" s="381">
        <v>220000</v>
      </c>
    </row>
    <row r="59" spans="1:13">
      <c r="A59" s="10"/>
      <c r="B59" s="6"/>
      <c r="C59" s="466"/>
      <c r="D59" s="491"/>
      <c r="E59" s="354" t="s">
        <v>58</v>
      </c>
      <c r="F59" s="462"/>
      <c r="G59" s="463"/>
      <c r="H59" s="91">
        <f>SUM(H60)</f>
        <v>46000</v>
      </c>
      <c r="I59" s="91">
        <v>0</v>
      </c>
      <c r="J59" s="92">
        <f>H59-I59</f>
        <v>46000</v>
      </c>
      <c r="K59" s="356"/>
      <c r="L59" s="398"/>
      <c r="M59" s="399"/>
    </row>
    <row r="60" spans="1:13">
      <c r="A60" s="63"/>
      <c r="B60" s="65"/>
      <c r="C60" s="469"/>
      <c r="D60" s="470"/>
      <c r="E60" s="615"/>
      <c r="F60" s="472" t="s">
        <v>430</v>
      </c>
      <c r="G60" s="473"/>
      <c r="H60" s="72">
        <f>SUM(H61)</f>
        <v>46000</v>
      </c>
      <c r="I60" s="72">
        <v>0</v>
      </c>
      <c r="J60" s="98">
        <f t="shared" ref="J60:J61" si="14">H60-I60</f>
        <v>46000</v>
      </c>
      <c r="K60" s="429"/>
      <c r="L60" s="357"/>
      <c r="M60" s="401"/>
    </row>
    <row r="61" spans="1:13">
      <c r="A61" s="63"/>
      <c r="B61" s="65"/>
      <c r="C61" s="364"/>
      <c r="D61" s="365"/>
      <c r="E61" s="365"/>
      <c r="F61" s="366"/>
      <c r="G61" s="367" t="s">
        <v>431</v>
      </c>
      <c r="H61" s="73">
        <f>M61</f>
        <v>46000</v>
      </c>
      <c r="I61" s="73">
        <v>0</v>
      </c>
      <c r="J61" s="41">
        <f t="shared" si="14"/>
        <v>46000</v>
      </c>
      <c r="K61" s="430" t="s">
        <v>432</v>
      </c>
      <c r="L61" s="394"/>
      <c r="M61" s="395">
        <f>SUM(M62)</f>
        <v>46000</v>
      </c>
    </row>
    <row r="62" spans="1:13">
      <c r="A62" s="63"/>
      <c r="B62" s="65"/>
      <c r="C62" s="364"/>
      <c r="D62" s="365"/>
      <c r="E62" s="366"/>
      <c r="F62" s="366"/>
      <c r="G62" s="367" t="s">
        <v>681</v>
      </c>
      <c r="H62" s="74"/>
      <c r="I62" s="74"/>
      <c r="J62" s="50"/>
      <c r="K62" s="433" t="s">
        <v>605</v>
      </c>
      <c r="L62" s="382" t="s">
        <v>0</v>
      </c>
      <c r="M62" s="381">
        <v>46000</v>
      </c>
    </row>
    <row r="63" spans="1:13">
      <c r="A63" s="10"/>
      <c r="B63" s="6"/>
      <c r="C63" s="464"/>
      <c r="D63" s="354" t="s">
        <v>606</v>
      </c>
      <c r="E63" s="462"/>
      <c r="F63" s="462"/>
      <c r="G63" s="463"/>
      <c r="H63" s="132">
        <f>H64+H71</f>
        <v>600000</v>
      </c>
      <c r="I63" s="132">
        <v>0</v>
      </c>
      <c r="J63" s="92">
        <f t="shared" ref="J63:J64" si="15">H63-I63</f>
        <v>600000</v>
      </c>
      <c r="K63" s="396"/>
      <c r="L63" s="397"/>
      <c r="M63" s="404"/>
    </row>
    <row r="64" spans="1:13">
      <c r="A64" s="10"/>
      <c r="B64" s="6"/>
      <c r="C64" s="466"/>
      <c r="D64" s="467"/>
      <c r="E64" s="354" t="s">
        <v>219</v>
      </c>
      <c r="F64" s="462"/>
      <c r="G64" s="463"/>
      <c r="H64" s="91">
        <f>H65</f>
        <v>358000</v>
      </c>
      <c r="I64" s="91">
        <v>0</v>
      </c>
      <c r="J64" s="95">
        <f t="shared" si="15"/>
        <v>358000</v>
      </c>
      <c r="K64" s="356"/>
      <c r="L64" s="398"/>
      <c r="M64" s="399"/>
    </row>
    <row r="65" spans="1:13">
      <c r="A65" s="63"/>
      <c r="B65" s="65"/>
      <c r="C65" s="469"/>
      <c r="D65" s="470"/>
      <c r="E65" s="471"/>
      <c r="F65" s="472" t="s">
        <v>220</v>
      </c>
      <c r="G65" s="473"/>
      <c r="H65" s="72">
        <f>SUM(H66,H69)</f>
        <v>358000</v>
      </c>
      <c r="I65" s="72">
        <v>0</v>
      </c>
      <c r="J65" s="98">
        <f>H65-I65</f>
        <v>358000</v>
      </c>
      <c r="K65" s="429"/>
      <c r="L65" s="357"/>
      <c r="M65" s="401"/>
    </row>
    <row r="66" spans="1:13">
      <c r="A66" s="63"/>
      <c r="B66" s="65"/>
      <c r="C66" s="364"/>
      <c r="D66" s="365"/>
      <c r="E66" s="366"/>
      <c r="F66" s="366"/>
      <c r="G66" s="367" t="s">
        <v>36</v>
      </c>
      <c r="H66" s="73">
        <f>M66</f>
        <v>4000</v>
      </c>
      <c r="I66" s="73">
        <v>0</v>
      </c>
      <c r="J66" s="41">
        <f>H66-I66</f>
        <v>4000</v>
      </c>
      <c r="K66" s="430" t="s">
        <v>62</v>
      </c>
      <c r="L66" s="394"/>
      <c r="M66" s="395">
        <f>SUM(M67:M68)</f>
        <v>4000</v>
      </c>
    </row>
    <row r="67" spans="1:13">
      <c r="A67" s="63"/>
      <c r="B67" s="65"/>
      <c r="C67" s="364"/>
      <c r="D67" s="365"/>
      <c r="E67" s="366"/>
      <c r="F67" s="366"/>
      <c r="G67" s="364" t="s">
        <v>682</v>
      </c>
      <c r="H67" s="74"/>
      <c r="I67" s="74"/>
      <c r="J67" s="50"/>
      <c r="K67" s="431" t="s">
        <v>602</v>
      </c>
      <c r="L67" s="382" t="s">
        <v>37</v>
      </c>
      <c r="M67" s="381">
        <v>3000</v>
      </c>
    </row>
    <row r="68" spans="1:13">
      <c r="A68" s="63"/>
      <c r="B68" s="65"/>
      <c r="C68" s="364"/>
      <c r="D68" s="365"/>
      <c r="E68" s="366"/>
      <c r="F68" s="366"/>
      <c r="G68" s="478"/>
      <c r="H68" s="71"/>
      <c r="I68" s="71"/>
      <c r="J68" s="146"/>
      <c r="K68" s="383" t="s">
        <v>603</v>
      </c>
      <c r="L68" s="384" t="s">
        <v>37</v>
      </c>
      <c r="M68" s="388">
        <v>1000</v>
      </c>
    </row>
    <row r="69" spans="1:13">
      <c r="A69" s="63"/>
      <c r="B69" s="65"/>
      <c r="C69" s="364"/>
      <c r="D69" s="365"/>
      <c r="E69" s="366"/>
      <c r="F69" s="366"/>
      <c r="G69" s="367" t="s">
        <v>224</v>
      </c>
      <c r="H69" s="74">
        <f>M69</f>
        <v>354000</v>
      </c>
      <c r="I69" s="74">
        <v>0</v>
      </c>
      <c r="J69" s="50">
        <f>H69-I69</f>
        <v>354000</v>
      </c>
      <c r="K69" s="430" t="s">
        <v>225</v>
      </c>
      <c r="L69" s="382"/>
      <c r="M69" s="386">
        <f>SUM(M70)</f>
        <v>354000</v>
      </c>
    </row>
    <row r="70" spans="1:13">
      <c r="A70" s="63"/>
      <c r="B70" s="65"/>
      <c r="C70" s="364"/>
      <c r="D70" s="365"/>
      <c r="E70" s="509"/>
      <c r="F70" s="550"/>
      <c r="G70" s="536" t="s">
        <v>683</v>
      </c>
      <c r="H70" s="71"/>
      <c r="I70" s="71"/>
      <c r="J70" s="146"/>
      <c r="K70" s="383" t="s">
        <v>607</v>
      </c>
      <c r="L70" s="384" t="s">
        <v>0</v>
      </c>
      <c r="M70" s="388">
        <v>354000</v>
      </c>
    </row>
    <row r="71" spans="1:13">
      <c r="A71" s="10"/>
      <c r="B71" s="6"/>
      <c r="C71" s="466"/>
      <c r="D71" s="491"/>
      <c r="E71" s="548" t="s">
        <v>58</v>
      </c>
      <c r="F71" s="551"/>
      <c r="G71" s="552"/>
      <c r="H71" s="94">
        <f>SUM(H72)</f>
        <v>242000</v>
      </c>
      <c r="I71" s="94">
        <v>0</v>
      </c>
      <c r="J71" s="95">
        <f>H71-I71</f>
        <v>242000</v>
      </c>
      <c r="K71" s="559"/>
      <c r="L71" s="561"/>
      <c r="M71" s="562"/>
    </row>
    <row r="72" spans="1:13">
      <c r="A72" s="63"/>
      <c r="B72" s="65"/>
      <c r="C72" s="469"/>
      <c r="D72" s="470"/>
      <c r="E72" s="471"/>
      <c r="F72" s="472" t="s">
        <v>430</v>
      </c>
      <c r="G72" s="473"/>
      <c r="H72" s="72">
        <f>SUM(H73)</f>
        <v>242000</v>
      </c>
      <c r="I72" s="72">
        <v>0</v>
      </c>
      <c r="J72" s="98">
        <f t="shared" ref="J72:J73" si="16">H72-I72</f>
        <v>242000</v>
      </c>
      <c r="K72" s="429"/>
      <c r="L72" s="357"/>
      <c r="M72" s="401"/>
    </row>
    <row r="73" spans="1:13">
      <c r="A73" s="63"/>
      <c r="B73" s="65"/>
      <c r="C73" s="364"/>
      <c r="D73" s="365"/>
      <c r="E73" s="366"/>
      <c r="F73" s="366"/>
      <c r="G73" s="367" t="s">
        <v>431</v>
      </c>
      <c r="H73" s="73">
        <f>M73</f>
        <v>242000</v>
      </c>
      <c r="I73" s="73">
        <v>0</v>
      </c>
      <c r="J73" s="41">
        <f t="shared" si="16"/>
        <v>242000</v>
      </c>
      <c r="K73" s="430" t="s">
        <v>432</v>
      </c>
      <c r="L73" s="394"/>
      <c r="M73" s="395">
        <f>SUM(M74)</f>
        <v>242000</v>
      </c>
    </row>
    <row r="74" spans="1:13" ht="17.25" thickBot="1">
      <c r="A74" s="291"/>
      <c r="B74" s="69"/>
      <c r="C74" s="515"/>
      <c r="D74" s="541"/>
      <c r="E74" s="542"/>
      <c r="F74" s="542"/>
      <c r="G74" s="616" t="s">
        <v>684</v>
      </c>
      <c r="H74" s="294"/>
      <c r="I74" s="294"/>
      <c r="J74" s="231"/>
      <c r="K74" s="570" t="s">
        <v>608</v>
      </c>
      <c r="L74" s="416" t="s">
        <v>0</v>
      </c>
      <c r="M74" s="407">
        <v>242000</v>
      </c>
    </row>
    <row r="77" spans="1:13">
      <c r="G77" s="350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55" priority="19" operator="containsText" text="허하나로">
      <formula>NOT(ISERROR(SEARCH("허하나로",H776)))</formula>
    </cfRule>
    <cfRule type="containsText" dxfId="154" priority="20" operator="containsText" text="한별">
      <formula>NOT(ISERROR(SEARCH("한별",H776)))</formula>
    </cfRule>
    <cfRule type="containsText" dxfId="153" priority="21" operator="containsText" text="정홍조">
      <formula>NOT(ISERROR(SEARCH("정홍조",H776)))</formula>
    </cfRule>
    <cfRule type="containsText" dxfId="152" priority="22" operator="containsText" text="김지윤">
      <formula>NOT(ISERROR(SEARCH("김지윤",H776)))</formula>
    </cfRule>
    <cfRule type="containsText" dxfId="151" priority="23" operator="containsText" text="전준영">
      <formula>NOT(ISERROR(SEARCH("전준영",H776)))</formula>
    </cfRule>
    <cfRule type="containsText" dxfId="150" priority="24" operator="containsText" text="차재성">
      <formula>NOT(ISERROR(SEARCH("차재성",H776)))</formula>
    </cfRule>
  </conditionalFormatting>
  <pageMargins left="0.25" right="0.25" top="0.75" bottom="0.75" header="0.3" footer="0.3"/>
  <pageSetup paperSize="9" scale="72" fitToHeight="0" orientation="landscape" r:id="rId1"/>
  <rowBreaks count="2" manualBreakCount="2">
    <brk id="29" max="16383" man="1"/>
    <brk id="62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" operator="containsText" text="허하나로" id="{EAD63AA0-C563-4A68-A405-41D8F11AC68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523F99FD-E80E-4C3B-B41E-773E0BE2125B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6CFB9313-19D9-4A1B-9D52-28B4C4E1438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C772CDEF-4B49-4CFA-A8A8-3F9A22C4AEA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6FA28620-93BF-403A-89AA-DEF7EFD51B1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5D29B390-D6CD-4A08-9641-C0A4AF232EB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97" operator="containsText" text="허하나로" id="{DCB723A8-B16B-4F55-A142-7E36B3833F0A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307D23A8-BCD0-41A0-879D-52FBDD86F4B2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59DCB63D-60AD-4B3A-AE21-A95812E94686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8BFEAD57-7A92-4AF8-98CD-5FFD139324A5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34BFC8A7-C9CB-4655-A80B-2A6DFFF6B99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B24BF2D4-DB5D-4EB4-8F4B-6D009B95AE1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85" operator="containsText" text="허하나로" id="{274D4AB6-36A7-4A65-877F-2AE74A079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BE363504-F5A4-4759-87D3-62329E58084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29A2C3FC-77F7-457E-93B6-F6C4C819A20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6578C41D-08D7-43C2-9741-262778BDEBD9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CEE9D741-C4E3-4621-ACCC-0A0490076D3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FB47FD5F-3927-4CA0-84D4-306DD6EF16C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79" operator="containsText" text="허하나로" id="{8A68CF4B-600A-4514-B1C6-BC99A6F110B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C9BBE1EB-34E5-4D2B-8BEB-595A8929555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FA0A74EB-4106-4917-BA28-B4DCE1C7584E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7735151E-B75C-4FE1-97B1-DA0A5FF54F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2F308FA7-B9C5-41AA-865B-E466B659C76A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34A3E008-6C05-4B27-A478-07F75389ED9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61" operator="containsText" text="허하나로" id="{AF748F91-B999-4B97-A16A-710CAE99A7BF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56B3B6B6-3BE3-4430-9C7D-8585CE22A4B6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E15898C1-AC4B-4521-A18B-7ADD0D0CD7C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73F0802D-7E5E-416D-8B9B-EDD7817575D7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8D0B8406-462F-421E-B786-8B23B0098B8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C3CB3B8F-FBC0-45CE-AA61-C66D78F29CBF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55" operator="containsText" text="허하나로" id="{4757BA95-B130-4817-952E-527895860DD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FC6CF46E-9E86-4364-9CA5-0EE27FF7F17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BE1E2E1A-8E13-49B3-BA1A-9CB4AA6CBF56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DE6C79B6-C280-491E-AABC-F2E6C6F6DD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28057FDF-D15E-4939-BCDB-5CEED1C16B08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2C6F487A-D78C-4C11-987B-07DA04B0CA3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49" operator="containsText" text="허하나로" id="{39A7311B-562A-49B1-9FC2-5CD0E73E7EA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CA90E9DA-87CC-40CA-BCF3-78DAA3FC4EE1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D6B816CE-B40F-4B67-80C5-2D55B957AD20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FE6B0A88-E49F-4FF6-90E1-C368D755ECF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FD5ACCF8-B9E0-4A64-8BFF-083D822140E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445A882D-0E1E-4F43-86F0-9F35BB9AB9BB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ontainsText" priority="37" operator="containsText" text="허하나로" id="{7783D2DD-F3E7-4BFD-922D-E976F7EBF1A5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4421D622-DBD2-4D0F-A119-CA7508CE514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01AE0E8B-AA57-4427-AD1C-F7053F68CB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B2E51FD6-FF3C-4225-A5DE-1F6FA3791E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EEA3BD86-3E58-4F35-A765-BEA8C917002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646BBEFE-000A-40F8-A39B-CA1357EC622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M48"/>
  <sheetViews>
    <sheetView topLeftCell="A16" zoomScaleNormal="100" workbookViewId="0">
      <selection activeCell="H11" sqref="H11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25" bestFit="1" customWidth="1"/>
    <col min="10" max="10" width="14.625" customWidth="1"/>
    <col min="11" max="11" width="62.625" customWidth="1"/>
    <col min="12" max="12" width="3.875" customWidth="1"/>
    <col min="13" max="13" width="14.625" customWidth="1"/>
  </cols>
  <sheetData>
    <row r="1" spans="1:13" ht="17.25" thickBot="1">
      <c r="A1" s="88" t="s">
        <v>247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283" t="s">
        <v>227</v>
      </c>
    </row>
    <row r="2" spans="1:13" ht="16.5" customHeight="1">
      <c r="A2" s="643" t="s">
        <v>228</v>
      </c>
      <c r="B2" s="645" t="s">
        <v>229</v>
      </c>
      <c r="C2" s="646"/>
      <c r="D2" s="647"/>
      <c r="E2" s="645" t="s">
        <v>230</v>
      </c>
      <c r="F2" s="646"/>
      <c r="G2" s="647"/>
      <c r="H2" s="623" t="s">
        <v>660</v>
      </c>
      <c r="I2" s="623" t="s">
        <v>543</v>
      </c>
      <c r="J2" s="648" t="s">
        <v>468</v>
      </c>
      <c r="K2" s="635" t="s">
        <v>1</v>
      </c>
      <c r="L2" s="635"/>
      <c r="M2" s="636"/>
    </row>
    <row r="3" spans="1:13" ht="17.25" thickBot="1">
      <c r="A3" s="644"/>
      <c r="B3" s="119" t="s">
        <v>231</v>
      </c>
      <c r="C3" s="119" t="s">
        <v>232</v>
      </c>
      <c r="D3" s="119" t="s">
        <v>233</v>
      </c>
      <c r="E3" s="119" t="s">
        <v>234</v>
      </c>
      <c r="F3" s="119" t="s">
        <v>235</v>
      </c>
      <c r="G3" s="119" t="s">
        <v>236</v>
      </c>
      <c r="H3" s="624"/>
      <c r="I3" s="624"/>
      <c r="J3" s="649"/>
      <c r="K3" s="659"/>
      <c r="L3" s="659"/>
      <c r="M3" s="660"/>
    </row>
    <row r="4" spans="1:13" ht="17.25" thickBot="1">
      <c r="A4" s="640" t="s">
        <v>237</v>
      </c>
      <c r="B4" s="641"/>
      <c r="C4" s="641"/>
      <c r="D4" s="641"/>
      <c r="E4" s="641"/>
      <c r="F4" s="641"/>
      <c r="G4" s="642"/>
      <c r="H4" s="284">
        <f>H5+H13</f>
        <v>9070000</v>
      </c>
      <c r="I4" s="325">
        <v>19600000</v>
      </c>
      <c r="J4" s="120">
        <f>H4-I4</f>
        <v>-10530000</v>
      </c>
      <c r="K4" s="89"/>
      <c r="L4" s="90"/>
      <c r="M4" s="121"/>
    </row>
    <row r="5" spans="1:13">
      <c r="A5" s="576" t="s">
        <v>238</v>
      </c>
      <c r="B5" s="577"/>
      <c r="C5" s="123"/>
      <c r="D5" s="123"/>
      <c r="E5" s="123"/>
      <c r="F5" s="123"/>
      <c r="G5" s="124"/>
      <c r="H5" s="285">
        <f>H6</f>
        <v>5500000</v>
      </c>
      <c r="I5" s="578">
        <v>2500000</v>
      </c>
      <c r="J5" s="579">
        <f t="shared" ref="J5:J7" si="0">H5-I5</f>
        <v>3000000</v>
      </c>
      <c r="K5" s="580"/>
      <c r="L5" s="581"/>
      <c r="M5" s="582"/>
    </row>
    <row r="6" spans="1:13">
      <c r="A6" s="289"/>
      <c r="B6" s="290" t="s">
        <v>269</v>
      </c>
      <c r="C6" s="129"/>
      <c r="D6" s="130"/>
      <c r="E6" s="130"/>
      <c r="F6" s="130"/>
      <c r="G6" s="131"/>
      <c r="H6" s="91">
        <f t="shared" ref="H6" si="1">H7</f>
        <v>5500000</v>
      </c>
      <c r="I6" s="91">
        <v>1000000</v>
      </c>
      <c r="J6" s="95">
        <f>H6-I6</f>
        <v>4500000</v>
      </c>
      <c r="K6" s="78"/>
      <c r="L6" s="79"/>
      <c r="M6" s="80"/>
    </row>
    <row r="7" spans="1:13">
      <c r="A7" s="10"/>
      <c r="B7" s="6"/>
      <c r="C7" s="129" t="s">
        <v>270</v>
      </c>
      <c r="D7" s="130"/>
      <c r="E7" s="130"/>
      <c r="F7" s="130"/>
      <c r="G7" s="131"/>
      <c r="H7" s="94">
        <f>H8</f>
        <v>5500000</v>
      </c>
      <c r="I7" s="94">
        <v>1000000</v>
      </c>
      <c r="J7" s="95">
        <f t="shared" si="0"/>
        <v>4500000</v>
      </c>
      <c r="K7" s="78"/>
      <c r="L7" s="79"/>
      <c r="M7" s="80"/>
    </row>
    <row r="8" spans="1:13">
      <c r="A8" s="10"/>
      <c r="B8" s="6"/>
      <c r="C8" s="6"/>
      <c r="D8" s="129" t="s">
        <v>384</v>
      </c>
      <c r="E8" s="130"/>
      <c r="F8" s="130"/>
      <c r="G8" s="131"/>
      <c r="H8" s="132">
        <f t="shared" ref="H8:H9" si="2">H9</f>
        <v>5500000</v>
      </c>
      <c r="I8" s="132">
        <v>600000</v>
      </c>
      <c r="J8" s="92">
        <f t="shared" ref="J8:J11" si="3">H8-I8</f>
        <v>4900000</v>
      </c>
      <c r="K8" s="160"/>
      <c r="L8" s="149"/>
      <c r="M8" s="150"/>
    </row>
    <row r="9" spans="1:13">
      <c r="A9" s="10"/>
      <c r="B9" s="6"/>
      <c r="C9" s="134"/>
      <c r="D9" s="135"/>
      <c r="E9" s="129" t="s">
        <v>239</v>
      </c>
      <c r="F9" s="130"/>
      <c r="G9" s="131"/>
      <c r="H9" s="91">
        <f t="shared" si="2"/>
        <v>5500000</v>
      </c>
      <c r="I9" s="91">
        <v>600000</v>
      </c>
      <c r="J9" s="95">
        <f t="shared" si="3"/>
        <v>4900000</v>
      </c>
      <c r="K9" s="84"/>
      <c r="L9" s="93"/>
      <c r="M9" s="82"/>
    </row>
    <row r="10" spans="1:13">
      <c r="A10" s="63"/>
      <c r="B10" s="65"/>
      <c r="C10" s="186"/>
      <c r="D10" s="187"/>
      <c r="E10" s="188"/>
      <c r="F10" s="136" t="s">
        <v>240</v>
      </c>
      <c r="G10" s="189"/>
      <c r="H10" s="72">
        <f>H11</f>
        <v>5500000</v>
      </c>
      <c r="I10" s="72">
        <v>600000</v>
      </c>
      <c r="J10" s="72">
        <f t="shared" si="3"/>
        <v>4900000</v>
      </c>
      <c r="K10" s="221"/>
      <c r="L10" s="53"/>
      <c r="M10" s="40"/>
    </row>
    <row r="11" spans="1:13">
      <c r="A11" s="63"/>
      <c r="B11" s="65"/>
      <c r="C11" s="65"/>
      <c r="D11" s="145"/>
      <c r="E11" s="190"/>
      <c r="F11" s="190"/>
      <c r="G11" s="68" t="s">
        <v>363</v>
      </c>
      <c r="H11" s="73">
        <f>M11</f>
        <v>5500000</v>
      </c>
      <c r="I11" s="73">
        <v>600000</v>
      </c>
      <c r="J11" s="73">
        <f t="shared" si="3"/>
        <v>4900000</v>
      </c>
      <c r="K11" s="83" t="s">
        <v>385</v>
      </c>
      <c r="L11" s="44"/>
      <c r="M11" s="219">
        <f>M12</f>
        <v>5500000</v>
      </c>
    </row>
    <row r="12" spans="1:13" ht="29.25" customHeight="1">
      <c r="A12" s="583"/>
      <c r="B12" s="67"/>
      <c r="C12" s="67"/>
      <c r="D12" s="245"/>
      <c r="E12" s="266"/>
      <c r="F12" s="266"/>
      <c r="G12" s="266" t="s">
        <v>663</v>
      </c>
      <c r="H12" s="71"/>
      <c r="I12" s="71"/>
      <c r="J12" s="71"/>
      <c r="K12" s="588" t="s">
        <v>662</v>
      </c>
      <c r="L12" s="142" t="s">
        <v>241</v>
      </c>
      <c r="M12" s="196">
        <v>5500000</v>
      </c>
    </row>
    <row r="13" spans="1:13">
      <c r="A13" s="286" t="s">
        <v>191</v>
      </c>
      <c r="B13" s="548"/>
      <c r="C13" s="551"/>
      <c r="D13" s="551"/>
      <c r="E13" s="551"/>
      <c r="F13" s="551"/>
      <c r="G13" s="552"/>
      <c r="H13" s="321">
        <f>H14+H36</f>
        <v>3570000</v>
      </c>
      <c r="I13" s="321">
        <v>17100000</v>
      </c>
      <c r="J13" s="553">
        <f t="shared" ref="J13" si="4">H13-I13</f>
        <v>-13530000</v>
      </c>
      <c r="K13" s="409"/>
      <c r="L13" s="410"/>
      <c r="M13" s="428"/>
    </row>
    <row r="14" spans="1:13">
      <c r="A14" s="289"/>
      <c r="B14" s="354" t="s">
        <v>271</v>
      </c>
      <c r="C14" s="354"/>
      <c r="D14" s="462"/>
      <c r="E14" s="462"/>
      <c r="F14" s="462"/>
      <c r="G14" s="463"/>
      <c r="H14" s="92">
        <f t="shared" ref="H14:H16" si="5">H15</f>
        <v>1980000</v>
      </c>
      <c r="I14" s="92">
        <v>10300000</v>
      </c>
      <c r="J14" s="95">
        <f>H14-I14</f>
        <v>-8320000</v>
      </c>
      <c r="K14" s="409"/>
      <c r="L14" s="410"/>
      <c r="M14" s="428"/>
    </row>
    <row r="15" spans="1:13">
      <c r="A15" s="10"/>
      <c r="B15" s="464"/>
      <c r="C15" s="354" t="s">
        <v>273</v>
      </c>
      <c r="D15" s="462"/>
      <c r="E15" s="462"/>
      <c r="F15" s="462"/>
      <c r="G15" s="463"/>
      <c r="H15" s="95">
        <f>SUM(H16,H21,H26,H31)</f>
        <v>1980000</v>
      </c>
      <c r="I15" s="95">
        <v>10300000</v>
      </c>
      <c r="J15" s="95">
        <f t="shared" ref="J15:J19" si="6">H15-I15</f>
        <v>-8320000</v>
      </c>
      <c r="K15" s="409"/>
      <c r="L15" s="410"/>
      <c r="M15" s="428"/>
    </row>
    <row r="16" spans="1:13">
      <c r="A16" s="10"/>
      <c r="B16" s="464"/>
      <c r="C16" s="549"/>
      <c r="D16" s="354" t="s">
        <v>397</v>
      </c>
      <c r="E16" s="462"/>
      <c r="F16" s="462"/>
      <c r="G16" s="463"/>
      <c r="H16" s="465">
        <f t="shared" si="5"/>
        <v>1200000</v>
      </c>
      <c r="I16" s="465">
        <v>5000000</v>
      </c>
      <c r="J16" s="95">
        <f t="shared" si="6"/>
        <v>-3800000</v>
      </c>
      <c r="K16" s="355"/>
      <c r="L16" s="412"/>
      <c r="M16" s="428"/>
    </row>
    <row r="17" spans="1:13">
      <c r="A17" s="10"/>
      <c r="B17" s="464"/>
      <c r="C17" s="466"/>
      <c r="D17" s="467"/>
      <c r="E17" s="354" t="s">
        <v>414</v>
      </c>
      <c r="F17" s="462"/>
      <c r="G17" s="463"/>
      <c r="H17" s="92">
        <f>H18</f>
        <v>1200000</v>
      </c>
      <c r="I17" s="92">
        <v>5000000</v>
      </c>
      <c r="J17" s="95">
        <f t="shared" si="6"/>
        <v>-3800000</v>
      </c>
      <c r="K17" s="356"/>
      <c r="L17" s="398"/>
      <c r="M17" s="399"/>
    </row>
    <row r="18" spans="1:13">
      <c r="A18" s="63"/>
      <c r="B18" s="364"/>
      <c r="C18" s="469"/>
      <c r="D18" s="470"/>
      <c r="E18" s="471"/>
      <c r="F18" s="472" t="s">
        <v>415</v>
      </c>
      <c r="G18" s="473"/>
      <c r="H18" s="98">
        <f>SUM(H19)</f>
        <v>1200000</v>
      </c>
      <c r="I18" s="98">
        <v>5000000</v>
      </c>
      <c r="J18" s="98">
        <f t="shared" si="6"/>
        <v>-3800000</v>
      </c>
      <c r="K18" s="429"/>
      <c r="L18" s="357"/>
      <c r="M18" s="401"/>
    </row>
    <row r="19" spans="1:13">
      <c r="A19" s="63"/>
      <c r="B19" s="364"/>
      <c r="C19" s="364"/>
      <c r="D19" s="365"/>
      <c r="E19" s="366"/>
      <c r="F19" s="366"/>
      <c r="G19" s="554" t="s">
        <v>413</v>
      </c>
      <c r="H19" s="41">
        <f>M19</f>
        <v>1200000</v>
      </c>
      <c r="I19" s="41">
        <v>4986500</v>
      </c>
      <c r="J19" s="41">
        <f t="shared" si="6"/>
        <v>-3786500</v>
      </c>
      <c r="K19" s="610" t="s">
        <v>416</v>
      </c>
      <c r="L19" s="394"/>
      <c r="M19" s="395">
        <f>SUM(M20)</f>
        <v>1200000</v>
      </c>
    </row>
    <row r="20" spans="1:13" ht="27.75" customHeight="1">
      <c r="A20" s="63"/>
      <c r="B20" s="364"/>
      <c r="C20" s="364"/>
      <c r="D20" s="509"/>
      <c r="E20" s="550"/>
      <c r="F20" s="550"/>
      <c r="G20" s="509" t="s">
        <v>691</v>
      </c>
      <c r="H20" s="146"/>
      <c r="I20" s="146"/>
      <c r="J20" s="146"/>
      <c r="K20" s="575" t="s">
        <v>740</v>
      </c>
      <c r="L20" s="384" t="s">
        <v>241</v>
      </c>
      <c r="M20" s="388">
        <v>1200000</v>
      </c>
    </row>
    <row r="21" spans="1:13">
      <c r="A21" s="10"/>
      <c r="B21" s="464"/>
      <c r="C21" s="482"/>
      <c r="D21" s="548" t="s">
        <v>396</v>
      </c>
      <c r="E21" s="551"/>
      <c r="F21" s="551"/>
      <c r="G21" s="552"/>
      <c r="H21" s="556">
        <f t="shared" ref="H21:H22" si="7">H22</f>
        <v>300000</v>
      </c>
      <c r="I21" s="556">
        <v>3000000</v>
      </c>
      <c r="J21" s="95">
        <f t="shared" ref="J21:J24" si="8">H21-I21</f>
        <v>-2700000</v>
      </c>
      <c r="K21" s="584"/>
      <c r="L21" s="412"/>
      <c r="M21" s="428"/>
    </row>
    <row r="22" spans="1:13">
      <c r="A22" s="10"/>
      <c r="B22" s="464"/>
      <c r="C22" s="466"/>
      <c r="D22" s="467"/>
      <c r="E22" s="354" t="s">
        <v>414</v>
      </c>
      <c r="F22" s="462"/>
      <c r="G22" s="463"/>
      <c r="H22" s="92">
        <f t="shared" si="7"/>
        <v>300000</v>
      </c>
      <c r="I22" s="92">
        <v>3000000</v>
      </c>
      <c r="J22" s="95">
        <f t="shared" si="8"/>
        <v>-2700000</v>
      </c>
      <c r="K22" s="356"/>
      <c r="L22" s="398"/>
      <c r="M22" s="399"/>
    </row>
    <row r="23" spans="1:13">
      <c r="A23" s="63"/>
      <c r="B23" s="364"/>
      <c r="C23" s="469"/>
      <c r="D23" s="470"/>
      <c r="E23" s="471"/>
      <c r="F23" s="472" t="s">
        <v>415</v>
      </c>
      <c r="G23" s="473"/>
      <c r="H23" s="98">
        <f>SUM(H24)</f>
        <v>300000</v>
      </c>
      <c r="I23" s="98">
        <v>3000000</v>
      </c>
      <c r="J23" s="98">
        <f t="shared" si="8"/>
        <v>-2700000</v>
      </c>
      <c r="K23" s="429"/>
      <c r="L23" s="357"/>
      <c r="M23" s="401"/>
    </row>
    <row r="24" spans="1:13">
      <c r="A24" s="63"/>
      <c r="B24" s="364"/>
      <c r="C24" s="364"/>
      <c r="D24" s="365"/>
      <c r="E24" s="366"/>
      <c r="F24" s="366"/>
      <c r="G24" s="554" t="s">
        <v>413</v>
      </c>
      <c r="H24" s="41">
        <f>M24</f>
        <v>300000</v>
      </c>
      <c r="I24" s="41">
        <v>2989200</v>
      </c>
      <c r="J24" s="41">
        <f t="shared" si="8"/>
        <v>-2689200</v>
      </c>
      <c r="K24" s="610" t="s">
        <v>416</v>
      </c>
      <c r="L24" s="394"/>
      <c r="M24" s="395">
        <f>SUM(M25)</f>
        <v>300000</v>
      </c>
    </row>
    <row r="25" spans="1:13" ht="33.75" customHeight="1">
      <c r="A25" s="63"/>
      <c r="B25" s="364"/>
      <c r="C25" s="364"/>
      <c r="D25" s="509"/>
      <c r="E25" s="550"/>
      <c r="F25" s="509"/>
      <c r="G25" s="509" t="s">
        <v>665</v>
      </c>
      <c r="H25" s="146"/>
      <c r="I25" s="146"/>
      <c r="J25" s="146"/>
      <c r="K25" s="575" t="s">
        <v>664</v>
      </c>
      <c r="L25" s="384" t="s">
        <v>241</v>
      </c>
      <c r="M25" s="388">
        <v>300000</v>
      </c>
    </row>
    <row r="26" spans="1:13">
      <c r="A26" s="10"/>
      <c r="B26" s="464"/>
      <c r="C26" s="482"/>
      <c r="D26" s="548" t="s">
        <v>398</v>
      </c>
      <c r="E26" s="551"/>
      <c r="F26" s="551"/>
      <c r="G26" s="552"/>
      <c r="H26" s="556">
        <f t="shared" ref="H26:H27" si="9">H27</f>
        <v>90000</v>
      </c>
      <c r="I26" s="556">
        <v>500000</v>
      </c>
      <c r="J26" s="95">
        <f t="shared" ref="J26:J29" si="10">H26-I26</f>
        <v>-410000</v>
      </c>
      <c r="K26" s="355"/>
      <c r="L26" s="412"/>
      <c r="M26" s="428"/>
    </row>
    <row r="27" spans="1:13">
      <c r="A27" s="10"/>
      <c r="B27" s="464"/>
      <c r="C27" s="466"/>
      <c r="D27" s="467"/>
      <c r="E27" s="354" t="s">
        <v>414</v>
      </c>
      <c r="F27" s="462"/>
      <c r="G27" s="463"/>
      <c r="H27" s="92">
        <f t="shared" si="9"/>
        <v>90000</v>
      </c>
      <c r="I27" s="92">
        <v>496400</v>
      </c>
      <c r="J27" s="95">
        <f t="shared" si="10"/>
        <v>-406400</v>
      </c>
      <c r="K27" s="356"/>
      <c r="L27" s="398"/>
      <c r="M27" s="399"/>
    </row>
    <row r="28" spans="1:13">
      <c r="A28" s="63"/>
      <c r="B28" s="364"/>
      <c r="C28" s="469"/>
      <c r="D28" s="470"/>
      <c r="E28" s="471"/>
      <c r="F28" s="472" t="s">
        <v>415</v>
      </c>
      <c r="G28" s="473"/>
      <c r="H28" s="98">
        <f>SUM(H29)</f>
        <v>90000</v>
      </c>
      <c r="I28" s="98">
        <v>496400</v>
      </c>
      <c r="J28" s="98">
        <f t="shared" si="10"/>
        <v>-406400</v>
      </c>
      <c r="K28" s="429"/>
      <c r="L28" s="357"/>
      <c r="M28" s="401"/>
    </row>
    <row r="29" spans="1:13">
      <c r="A29" s="63"/>
      <c r="B29" s="364"/>
      <c r="C29" s="364"/>
      <c r="D29" s="365"/>
      <c r="E29" s="366"/>
      <c r="F29" s="366"/>
      <c r="G29" s="367" t="s">
        <v>413</v>
      </c>
      <c r="H29" s="41">
        <f>M29</f>
        <v>90000</v>
      </c>
      <c r="I29" s="41">
        <v>496400</v>
      </c>
      <c r="J29" s="41">
        <f t="shared" si="10"/>
        <v>-406400</v>
      </c>
      <c r="K29" s="611" t="s">
        <v>416</v>
      </c>
      <c r="L29" s="394"/>
      <c r="M29" s="395">
        <f>M30</f>
        <v>90000</v>
      </c>
    </row>
    <row r="30" spans="1:13" ht="27.75" customHeight="1">
      <c r="A30" s="63"/>
      <c r="B30" s="364"/>
      <c r="C30" s="364"/>
      <c r="D30" s="509"/>
      <c r="E30" s="550"/>
      <c r="F30" s="550"/>
      <c r="G30" s="509" t="s">
        <v>668</v>
      </c>
      <c r="H30" s="146"/>
      <c r="I30" s="146"/>
      <c r="J30" s="146"/>
      <c r="K30" s="575" t="s">
        <v>666</v>
      </c>
      <c r="L30" s="384" t="s">
        <v>241</v>
      </c>
      <c r="M30" s="388">
        <v>90000</v>
      </c>
    </row>
    <row r="31" spans="1:13">
      <c r="A31" s="10"/>
      <c r="B31" s="464"/>
      <c r="C31" s="482"/>
      <c r="D31" s="548" t="s">
        <v>399</v>
      </c>
      <c r="E31" s="551"/>
      <c r="F31" s="551"/>
      <c r="G31" s="552"/>
      <c r="H31" s="556">
        <f t="shared" ref="H31:H32" si="11">H32</f>
        <v>390000</v>
      </c>
      <c r="I31" s="556">
        <v>1800000</v>
      </c>
      <c r="J31" s="95">
        <f t="shared" ref="J31:J34" si="12">H31-I31</f>
        <v>-1410000</v>
      </c>
      <c r="K31" s="557"/>
      <c r="L31" s="412"/>
      <c r="M31" s="428"/>
    </row>
    <row r="32" spans="1:13">
      <c r="A32" s="10"/>
      <c r="B32" s="464"/>
      <c r="C32" s="466"/>
      <c r="D32" s="467"/>
      <c r="E32" s="354" t="s">
        <v>414</v>
      </c>
      <c r="F32" s="462"/>
      <c r="G32" s="463"/>
      <c r="H32" s="92">
        <f t="shared" si="11"/>
        <v>390000</v>
      </c>
      <c r="I32" s="92">
        <v>1793520</v>
      </c>
      <c r="J32" s="95">
        <f t="shared" si="12"/>
        <v>-1403520</v>
      </c>
      <c r="K32" s="356"/>
      <c r="L32" s="398"/>
      <c r="M32" s="399"/>
    </row>
    <row r="33" spans="1:13">
      <c r="A33" s="63"/>
      <c r="B33" s="364"/>
      <c r="C33" s="469"/>
      <c r="D33" s="470"/>
      <c r="E33" s="471"/>
      <c r="F33" s="472" t="s">
        <v>415</v>
      </c>
      <c r="G33" s="473"/>
      <c r="H33" s="98">
        <f>SUM(H34)</f>
        <v>390000</v>
      </c>
      <c r="I33" s="98">
        <v>1793520</v>
      </c>
      <c r="J33" s="98">
        <f t="shared" si="12"/>
        <v>-1403520</v>
      </c>
      <c r="K33" s="429"/>
      <c r="L33" s="357"/>
      <c r="M33" s="401"/>
    </row>
    <row r="34" spans="1:13">
      <c r="A34" s="63"/>
      <c r="B34" s="364"/>
      <c r="C34" s="364"/>
      <c r="D34" s="365"/>
      <c r="E34" s="366"/>
      <c r="F34" s="366"/>
      <c r="G34" s="367" t="s">
        <v>413</v>
      </c>
      <c r="H34" s="41">
        <f>M34</f>
        <v>390000</v>
      </c>
      <c r="I34" s="41">
        <v>1793520</v>
      </c>
      <c r="J34" s="41">
        <f t="shared" si="12"/>
        <v>-1403520</v>
      </c>
      <c r="K34" s="611" t="s">
        <v>417</v>
      </c>
      <c r="L34" s="394"/>
      <c r="M34" s="395">
        <f>M35</f>
        <v>390000</v>
      </c>
    </row>
    <row r="35" spans="1:13" ht="27" customHeight="1">
      <c r="A35" s="63"/>
      <c r="B35" s="478"/>
      <c r="C35" s="478"/>
      <c r="D35" s="509"/>
      <c r="E35" s="550"/>
      <c r="F35" s="550"/>
      <c r="G35" s="550" t="s">
        <v>667</v>
      </c>
      <c r="H35" s="146"/>
      <c r="I35" s="146"/>
      <c r="J35" s="146"/>
      <c r="K35" s="575" t="s">
        <v>655</v>
      </c>
      <c r="L35" s="384" t="s">
        <v>241</v>
      </c>
      <c r="M35" s="388">
        <v>390000</v>
      </c>
    </row>
    <row r="36" spans="1:13">
      <c r="A36" s="289"/>
      <c r="B36" s="287" t="s">
        <v>274</v>
      </c>
      <c r="C36" s="263"/>
      <c r="D36" s="264"/>
      <c r="E36" s="264"/>
      <c r="F36" s="264"/>
      <c r="G36" s="265"/>
      <c r="H36" s="94">
        <f t="shared" ref="H36:H44" si="13">H37</f>
        <v>1590000</v>
      </c>
      <c r="I36" s="94">
        <v>6800000</v>
      </c>
      <c r="J36" s="95">
        <f>H36-I36</f>
        <v>-5210000</v>
      </c>
      <c r="K36" s="544"/>
      <c r="L36" s="410"/>
      <c r="M36" s="428"/>
    </row>
    <row r="37" spans="1:13">
      <c r="A37" s="10"/>
      <c r="B37" s="6"/>
      <c r="C37" s="129" t="s">
        <v>275</v>
      </c>
      <c r="D37" s="130"/>
      <c r="E37" s="130"/>
      <c r="F37" s="130"/>
      <c r="G37" s="131"/>
      <c r="H37" s="94">
        <f>SUM(H38,H43)</f>
        <v>1590000</v>
      </c>
      <c r="I37" s="94">
        <v>6800000</v>
      </c>
      <c r="J37" s="95">
        <f t="shared" ref="J37:J46" si="14">H37-I37</f>
        <v>-5210000</v>
      </c>
      <c r="K37" s="409"/>
      <c r="L37" s="410"/>
      <c r="M37" s="428"/>
    </row>
    <row r="38" spans="1:13">
      <c r="A38" s="10"/>
      <c r="B38" s="6"/>
      <c r="C38" s="7"/>
      <c r="D38" s="287" t="s">
        <v>463</v>
      </c>
      <c r="E38" s="130"/>
      <c r="F38" s="130"/>
      <c r="G38" s="131"/>
      <c r="H38" s="132">
        <f t="shared" si="13"/>
        <v>1200000</v>
      </c>
      <c r="I38" s="132">
        <v>5000000</v>
      </c>
      <c r="J38" s="95">
        <f t="shared" ref="J38:J41" si="15">H38-I38</f>
        <v>-3800000</v>
      </c>
      <c r="K38" s="355"/>
      <c r="L38" s="412"/>
      <c r="M38" s="428"/>
    </row>
    <row r="39" spans="1:13">
      <c r="A39" s="10"/>
      <c r="B39" s="6"/>
      <c r="C39" s="134"/>
      <c r="D39" s="135"/>
      <c r="E39" s="129" t="s">
        <v>414</v>
      </c>
      <c r="F39" s="130"/>
      <c r="G39" s="131"/>
      <c r="H39" s="91">
        <f t="shared" si="13"/>
        <v>1200000</v>
      </c>
      <c r="I39" s="91">
        <v>5000000</v>
      </c>
      <c r="J39" s="95">
        <f t="shared" si="15"/>
        <v>-3800000</v>
      </c>
      <c r="K39" s="356"/>
      <c r="L39" s="398"/>
      <c r="M39" s="399"/>
    </row>
    <row r="40" spans="1:13">
      <c r="A40" s="63"/>
      <c r="B40" s="65"/>
      <c r="C40" s="186"/>
      <c r="D40" s="187"/>
      <c r="E40" s="188"/>
      <c r="F40" s="136" t="s">
        <v>415</v>
      </c>
      <c r="G40" s="189"/>
      <c r="H40" s="72">
        <f>H41</f>
        <v>1200000</v>
      </c>
      <c r="I40" s="72">
        <v>5000000</v>
      </c>
      <c r="J40" s="72">
        <f t="shared" si="15"/>
        <v>-3800000</v>
      </c>
      <c r="K40" s="429"/>
      <c r="L40" s="357"/>
      <c r="M40" s="401"/>
    </row>
    <row r="41" spans="1:13">
      <c r="A41" s="63"/>
      <c r="B41" s="65"/>
      <c r="C41" s="65"/>
      <c r="D41" s="145"/>
      <c r="E41" s="190"/>
      <c r="F41" s="190"/>
      <c r="G41" s="68" t="s">
        <v>413</v>
      </c>
      <c r="H41" s="73">
        <f>M41</f>
        <v>1200000</v>
      </c>
      <c r="I41" s="73">
        <v>4986500</v>
      </c>
      <c r="J41" s="73">
        <f t="shared" si="15"/>
        <v>-3786500</v>
      </c>
      <c r="K41" s="611" t="s">
        <v>417</v>
      </c>
      <c r="L41" s="394"/>
      <c r="M41" s="395">
        <f>M42</f>
        <v>1200000</v>
      </c>
    </row>
    <row r="42" spans="1:13" ht="33" customHeight="1">
      <c r="A42" s="63"/>
      <c r="B42" s="65"/>
      <c r="C42" s="65"/>
      <c r="D42" s="245"/>
      <c r="E42" s="266"/>
      <c r="F42" s="266"/>
      <c r="G42" s="245" t="s">
        <v>669</v>
      </c>
      <c r="H42" s="71"/>
      <c r="I42" s="71"/>
      <c r="J42" s="71"/>
      <c r="K42" s="575" t="s">
        <v>745</v>
      </c>
      <c r="L42" s="384" t="s">
        <v>241</v>
      </c>
      <c r="M42" s="388">
        <v>1200000</v>
      </c>
    </row>
    <row r="43" spans="1:13">
      <c r="A43" s="10"/>
      <c r="B43" s="6"/>
      <c r="C43" s="147"/>
      <c r="D43" s="287" t="s">
        <v>460</v>
      </c>
      <c r="E43" s="264"/>
      <c r="F43" s="264"/>
      <c r="G43" s="265"/>
      <c r="H43" s="322">
        <f t="shared" si="13"/>
        <v>390000</v>
      </c>
      <c r="I43" s="322">
        <v>1800000</v>
      </c>
      <c r="J43" s="95">
        <f t="shared" si="14"/>
        <v>-1410000</v>
      </c>
      <c r="K43" s="355"/>
      <c r="L43" s="397"/>
      <c r="M43" s="404"/>
    </row>
    <row r="44" spans="1:13">
      <c r="A44" s="10"/>
      <c r="B44" s="6"/>
      <c r="C44" s="134"/>
      <c r="D44" s="135"/>
      <c r="E44" s="129" t="s">
        <v>414</v>
      </c>
      <c r="F44" s="130"/>
      <c r="G44" s="131"/>
      <c r="H44" s="91">
        <f t="shared" si="13"/>
        <v>390000</v>
      </c>
      <c r="I44" s="91">
        <v>1800000</v>
      </c>
      <c r="J44" s="95">
        <f t="shared" si="14"/>
        <v>-1410000</v>
      </c>
      <c r="K44" s="356"/>
      <c r="L44" s="398"/>
      <c r="M44" s="399"/>
    </row>
    <row r="45" spans="1:13">
      <c r="A45" s="63"/>
      <c r="B45" s="65"/>
      <c r="C45" s="186"/>
      <c r="D45" s="187"/>
      <c r="E45" s="188"/>
      <c r="F45" s="136" t="s">
        <v>415</v>
      </c>
      <c r="G45" s="189"/>
      <c r="H45" s="72">
        <f>H46</f>
        <v>390000</v>
      </c>
      <c r="I45" s="72">
        <v>1800000</v>
      </c>
      <c r="J45" s="72">
        <f t="shared" si="14"/>
        <v>-1410000</v>
      </c>
      <c r="K45" s="429"/>
      <c r="L45" s="357"/>
      <c r="M45" s="401"/>
    </row>
    <row r="46" spans="1:13">
      <c r="A46" s="63"/>
      <c r="B46" s="65"/>
      <c r="C46" s="65"/>
      <c r="D46" s="145"/>
      <c r="E46" s="190"/>
      <c r="F46" s="190"/>
      <c r="G46" s="68" t="s">
        <v>413</v>
      </c>
      <c r="H46" s="73">
        <f>M46</f>
        <v>390000</v>
      </c>
      <c r="I46" s="73">
        <v>1793520</v>
      </c>
      <c r="J46" s="73">
        <f t="shared" si="14"/>
        <v>-1403520</v>
      </c>
      <c r="K46" s="611" t="s">
        <v>416</v>
      </c>
      <c r="L46" s="394"/>
      <c r="M46" s="395">
        <f>M47</f>
        <v>390000</v>
      </c>
    </row>
    <row r="47" spans="1:13" ht="29.25" customHeight="1" thickBot="1">
      <c r="A47" s="291"/>
      <c r="B47" s="69"/>
      <c r="C47" s="69"/>
      <c r="D47" s="292"/>
      <c r="E47" s="293"/>
      <c r="F47" s="293"/>
      <c r="G47" s="598" t="s">
        <v>670</v>
      </c>
      <c r="H47" s="599"/>
      <c r="I47" s="599"/>
      <c r="J47" s="599"/>
      <c r="K47" s="612" t="s">
        <v>746</v>
      </c>
      <c r="L47" s="613" t="s">
        <v>241</v>
      </c>
      <c r="M47" s="614">
        <v>390000</v>
      </c>
    </row>
    <row r="48" spans="1:13">
      <c r="M48" s="350"/>
    </row>
  </sheetData>
  <protectedRanges>
    <protectedRange password="ECE8" sqref="K20 K12 K30 K25 K35 K47 K42" name="작성자만수정_2_1_1_1"/>
  </protectedRanges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01" priority="1" operator="containsText" text="허하나로">
      <formula>NOT(ISERROR(SEARCH("허하나로",H737)))</formula>
    </cfRule>
    <cfRule type="containsText" dxfId="100" priority="2" operator="containsText" text="한별">
      <formula>NOT(ISERROR(SEARCH("한별",H737)))</formula>
    </cfRule>
    <cfRule type="containsText" dxfId="99" priority="3" operator="containsText" text="정홍조">
      <formula>NOT(ISERROR(SEARCH("정홍조",H737)))</formula>
    </cfRule>
    <cfRule type="containsText" dxfId="98" priority="4" operator="containsText" text="김지윤">
      <formula>NOT(ISERROR(SEARCH("김지윤",H737)))</formula>
    </cfRule>
    <cfRule type="containsText" dxfId="97" priority="5" operator="containsText" text="전준영">
      <formula>NOT(ISERROR(SEARCH("전준영",H737)))</formula>
    </cfRule>
    <cfRule type="containsText" dxfId="96" priority="6" operator="containsText" text="차재성">
      <formula>NOT(ISERROR(SEARCH("차재성",H737)))</formula>
    </cfRule>
  </conditionalFormatting>
  <pageMargins left="0.25" right="0.25" top="0.75" bottom="0.75" header="0.3" footer="0.3"/>
  <pageSetup paperSize="9" scale="71" fitToHeight="0" orientation="landscape" r:id="rId1"/>
  <rowBreaks count="1" manualBreakCount="1">
    <brk id="35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" operator="containsText" text="허하나로" id="{28638BD0-53C8-416D-AEA7-086F4C3B2612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31B8AA79-2D9D-439B-8B41-94BDADC4EAE7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2CAA77AC-0EAE-4146-BD2E-0A25B355284F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FEABD15A-02A5-4CD7-B34C-C4D219CEF5D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DE2AD7CF-855A-46FB-A16E-241701A3E40C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AEE920D6-A787-4F27-92F5-0E99ED63827B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121" operator="containsText" text="허하나로" id="{84ABEAFC-27D9-480D-B84A-5AB2AE61292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18453F90-08FF-4B67-9587-44306ED7AB84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B7F98469-D02B-42F6-9A10-23A76F6FE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B26ACED7-A018-4823-9868-13E68E500B40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B57C2009-3BAB-4FAC-BFF0-8C6F65377C6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051401DA-5E9B-4873-9A18-26068B845AA7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109" operator="containsText" text="허하나로" id="{89235DDE-1071-4605-B173-BD45F7FF09F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0BEF1513-C5C7-4A14-8A85-ABF4AF30D9E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0D7B9E5E-199A-48F4-A930-C4CF5DA1081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8B077B6-7E42-469C-8002-C0418CDDEE04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A9FB81D0-A109-4483-A39B-076950B959C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BECC4EFC-1168-4B65-841B-CA7EF201B0D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containsText" priority="103" operator="containsText" text="허하나로" id="{B3A30445-95BB-48BC-BEFA-67DBDC362914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0B01D86B-AF1F-4FE3-907A-5879EA65757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62054932-FFCF-451C-BEA2-7F4CE12449C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947ADF9A-3CB4-4157-A489-E266B4F1B3D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CBF69331-510E-4635-B572-6AC9FD061D1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E2062335-7998-4748-9E5D-147E0AC7855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85" operator="containsText" text="허하나로" id="{F0776EFC-8E3A-4D8B-AE9E-2E1EDBA61334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8F512229-F18A-4A20-B5F5-69BC952AB635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4B76C7E6-2EB9-420C-A8BC-11B4894BB93A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3EAD65EB-88DD-4F85-BA94-125BAC5C1B1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A1E05917-A8AE-40A9-8B52-5ED43B4F493F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2626D1A1-5D3A-425D-983F-614D41A59424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79" operator="containsText" text="허하나로" id="{DC5B024D-1B4E-421A-BB83-FCF6D1E4F405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9AE5CA7D-1D6C-4D7C-8468-27FCC56E497D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C33207A9-6255-4D92-9095-0A4847D4A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99EDDE61-2A77-4B38-88C3-FE33BCE7638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75CE6EAE-2881-4A24-85B3-0B07D36DB77A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D2D1FF06-A19E-4B2F-8DF6-B9B2FF25737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73" operator="containsText" text="허하나로" id="{CC550875-2786-4525-A770-AB222A6D8FD8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BC767287-1A59-4639-A998-3BDEC90FE36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D166153D-029D-4502-BD50-534D2EAA8F5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DA3F8C2B-D0E6-43FA-8BC2-E707C9F5AE97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8568F444-DC9F-4978-AD82-DE423B556D25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27F4669B-1FEA-4595-B546-C2D769C41A9A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J15:J17</xm:sqref>
        </x14:conditionalFormatting>
        <x14:conditionalFormatting xmlns:xm="http://schemas.microsoft.com/office/excel/2006/main">
          <x14:cfRule type="containsText" priority="67" operator="containsText" text="허하나로" id="{1A05E6F2-373C-4407-8985-E09379A0138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1DEBA8E4-D9E9-4D49-89B6-58EF0847F443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6810E50D-9479-40DC-BC93-241AC65C99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2C5E59D9-E025-43FB-95E5-EC56F21BBEC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386481DC-7D83-4D78-9C0E-C737E1E4444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89BA7F21-8EE3-4152-BA7D-C381E2FFBE71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J14</xm:sqref>
        </x14:conditionalFormatting>
        <x14:conditionalFormatting xmlns:xm="http://schemas.microsoft.com/office/excel/2006/main">
          <x14:cfRule type="containsText" priority="61" operator="containsText" text="허하나로" id="{BCDB1C43-8BD3-4A5F-A099-08D2EEB153A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ECCED475-948E-4E57-89C6-2900681D7E3C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A38EE1CC-59A0-404E-9498-F640120BA44E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100237B7-CFCF-4A44-AB61-E7366F2D0994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31096114-70E2-4A1F-9B35-5B876634827D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B126A396-1B9B-4D8C-9D41-C2AEAC8F63C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I13</xm:sqref>
        </x14:conditionalFormatting>
        <x14:conditionalFormatting xmlns:xm="http://schemas.microsoft.com/office/excel/2006/main">
          <x14:cfRule type="containsText" priority="55" operator="containsText" text="허하나로" id="{32FF62E2-9292-49F9-AF0A-F1A668DE0E1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C5774498-CA8A-441F-BFFB-CD699EE3769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D10E7E17-4E65-4D55-81B5-AA1282B8807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9046ACE1-3A73-4B29-8C66-7C9BC09EDBB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46DD9E08-73B5-4E8F-879C-A46E5C82CE3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AC71C39B-A6C0-4743-889B-A234260443BE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J31:J32</xm:sqref>
        </x14:conditionalFormatting>
        <x14:conditionalFormatting xmlns:xm="http://schemas.microsoft.com/office/excel/2006/main">
          <x14:cfRule type="containsText" priority="49" operator="containsText" text="허하나로" id="{FFFFD91E-9C96-4995-B143-48196195E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CD63161A-A5DA-43C2-9C08-510A59DA8CD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337E64F5-C270-479D-B462-8C5967F0E03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424FB007-E177-473C-81A9-C8223BA73BE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6FA2DEEB-CDB0-4E13-823C-02D5882331D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587DA76C-E3EE-48D0-9348-80754C739E7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J37 J43:J44</xm:sqref>
        </x14:conditionalFormatting>
        <x14:conditionalFormatting xmlns:xm="http://schemas.microsoft.com/office/excel/2006/main">
          <x14:cfRule type="containsText" priority="43" operator="containsText" text="허하나로" id="{AF6B8880-4BE9-4BDA-AFAC-94CBC841699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2CD10CBB-A400-4DA9-8A5F-9A605C881D25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FAEB4972-F482-4388-A2F8-EF39772D612B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B1D70695-6BCA-42EC-B94C-101A166A3460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AB384378-222B-445C-B668-D5899361E56E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BFC6D678-E726-4A71-A69B-AB24F687517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ontainsText" priority="31" operator="containsText" text="허하나로" id="{0E3BA01D-ECC7-494A-AEAC-5010F879D10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9CBBFD54-BE4F-4AA7-81D8-91EC2A835A0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7D3FE18A-933F-471C-94A4-538EA9D4F928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FCA49F57-4BFA-4AFE-BB7F-653DD5BF07C5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A193A813-F817-4818-A6B7-4110E1F0136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FDAC11BA-64FE-4B0D-BB18-D1B7BBAECCD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J8:J9</xm:sqref>
        </x14:conditionalFormatting>
        <x14:conditionalFormatting xmlns:xm="http://schemas.microsoft.com/office/excel/2006/main">
          <x14:cfRule type="containsText" priority="19" operator="containsText" text="허하나로" id="{84129093-70EE-4B89-A62C-1FDEA92236D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A5AF2A4C-A0F1-4A7F-A199-2D524EFFC8B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0AB912F3-AC72-4CDE-AF9E-65095E13309C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0E705F02-76DA-4FC1-9570-9E9B2E7593BE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4B03BD70-492D-485D-A365-43CC5F74F44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6A9A5827-A8DE-4868-A5C4-3F2E9033547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containsText" priority="13" operator="containsText" text="허하나로" id="{447A8153-9EF2-4E19-945C-13F8C65C27C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69510E86-740F-4A01-A95D-65DF61C29D16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02AF5224-0E0E-46B4-BD06-74D789287F63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67E21E89-2F90-49DE-8FE8-39695615B9AD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A2D81CA1-14EB-4E4B-B28B-E38733788792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2199287F-3060-45E4-B349-41F2FC40B64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J21:J22</xm:sqref>
        </x14:conditionalFormatting>
        <x14:conditionalFormatting xmlns:xm="http://schemas.microsoft.com/office/excel/2006/main">
          <x14:cfRule type="containsText" priority="7" operator="containsText" text="허하나로" id="{05A1BF34-F91C-4634-98A7-1D91EAE7F59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8FDD87EE-C560-454B-A8F0-7ACB03E05F3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0F8B45D0-924A-4B86-A5F4-D058FF63E08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8FE05FF8-CF4E-453B-B2A6-820F4F1D3F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4208599C-0041-488F-B5E3-8A9B19D1583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EFB68A28-345C-4CD8-8A77-C58451FBBF4D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J38:J39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이름이 지정된 범위</vt:lpstr>
      </vt:variant>
      <vt:variant>
        <vt:i4>20</vt:i4>
      </vt:variant>
    </vt:vector>
  </HeadingPairs>
  <TitlesOfParts>
    <vt:vector size="37" baseType="lpstr">
      <vt:lpstr>표지</vt:lpstr>
      <vt:lpstr>수입예산 총괄표</vt:lpstr>
      <vt:lpstr>지출예산 총괄표</vt:lpstr>
      <vt:lpstr>지출예산(직접)</vt:lpstr>
      <vt:lpstr>행정관리부</vt:lpstr>
      <vt:lpstr>기획홍보부</vt:lpstr>
      <vt:lpstr>수익사업부</vt:lpstr>
      <vt:lpstr>유치협력부</vt:lpstr>
      <vt:lpstr>운영부</vt:lpstr>
      <vt:lpstr>행사부</vt:lpstr>
      <vt:lpstr>시설조성부</vt:lpstr>
      <vt:lpstr>전시연출부</vt:lpstr>
      <vt:lpstr>종합상황실</vt:lpstr>
      <vt:lpstr>예비비</vt:lpstr>
      <vt:lpstr>지출예산(위탁)</vt:lpstr>
      <vt:lpstr>기획본부(위탁)</vt:lpstr>
      <vt:lpstr>운영본부(위탁)</vt:lpstr>
      <vt:lpstr>수익사업부!Print_Area</vt:lpstr>
      <vt:lpstr>'수입예산 총괄표'!Print_Area</vt:lpstr>
      <vt:lpstr>시설조성부!Print_Area</vt:lpstr>
      <vt:lpstr>'운영본부(위탁)'!Print_Area</vt:lpstr>
      <vt:lpstr>유치협력부!Print_Area</vt:lpstr>
      <vt:lpstr>'지출예산(직접)'!Print_Area</vt:lpstr>
      <vt:lpstr>'기획본부(위탁)'!Print_Titles</vt:lpstr>
      <vt:lpstr>기획홍보부!Print_Titles</vt:lpstr>
      <vt:lpstr>수익사업부!Print_Titles</vt:lpstr>
      <vt:lpstr>시설조성부!Print_Titles</vt:lpstr>
      <vt:lpstr>예비비!Print_Titles</vt:lpstr>
      <vt:lpstr>'운영본부(위탁)'!Print_Titles</vt:lpstr>
      <vt:lpstr>운영부!Print_Titles</vt:lpstr>
      <vt:lpstr>유치협력부!Print_Titles</vt:lpstr>
      <vt:lpstr>전시연출부!Print_Titles</vt:lpstr>
      <vt:lpstr>종합상황실!Print_Titles</vt:lpstr>
      <vt:lpstr>'지출예산(위탁)'!Print_Titles</vt:lpstr>
      <vt:lpstr>'지출예산(직접)'!Print_Titles</vt:lpstr>
      <vt:lpstr>행사부!Print_Titles</vt:lpstr>
      <vt:lpstr>행정관리부!Print_Titles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섬 박람회 조직위원회</cp:lastModifiedBy>
  <cp:revision>14</cp:revision>
  <cp:lastPrinted>2025-12-17T05:20:23Z</cp:lastPrinted>
  <dcterms:created xsi:type="dcterms:W3CDTF">2022-08-16T06:55:23Z</dcterms:created>
  <dcterms:modified xsi:type="dcterms:W3CDTF">2026-05-26T08:34:49Z</dcterms:modified>
  <cp:version>0906.0100.01</cp:version>
</cp:coreProperties>
</file>