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예산서\"/>
    </mc:Choice>
  </mc:AlternateContent>
  <bookViews>
    <workbookView xWindow="0" yWindow="0" windowWidth="16200" windowHeight="10740" tabRatio="813"/>
  </bookViews>
  <sheets>
    <sheet name="표지" sheetId="47" r:id="rId1"/>
    <sheet name="수입예산 총괄표" sheetId="41" r:id="rId2"/>
    <sheet name="지출예산 총괄표" sheetId="46" r:id="rId3"/>
    <sheet name="지출예산(직접)" sheetId="29" r:id="rId4"/>
    <sheet name="종합상황실" sheetId="48" r:id="rId5"/>
    <sheet name="행정관리부" sheetId="36" r:id="rId6"/>
    <sheet name="기획홍보부" sheetId="34" r:id="rId7"/>
    <sheet name="수익사업부" sheetId="30" r:id="rId8"/>
    <sheet name="유치협력부" sheetId="35" r:id="rId9"/>
    <sheet name="운영부" sheetId="37" r:id="rId10"/>
    <sheet name="행사부" sheetId="38" r:id="rId11"/>
    <sheet name="시설조성부" sheetId="39" r:id="rId12"/>
    <sheet name="전시연출부" sheetId="40" r:id="rId13"/>
    <sheet name="예비비" sheetId="42" r:id="rId14"/>
    <sheet name="지출예산(위탁)" sheetId="43" r:id="rId15"/>
    <sheet name="기획본부(위탁)" sheetId="44" r:id="rId16"/>
    <sheet name="운영본부(위탁)" sheetId="45" r:id="rId17"/>
  </sheets>
  <externalReferences>
    <externalReference r:id="rId18"/>
    <externalReference r:id="rId19"/>
  </externalReferences>
  <definedNames>
    <definedName name="_xlnm._FilterDatabase" localSheetId="6" hidden="1">기획홍보부!$A$3:$M$79</definedName>
    <definedName name="_xlnm._FilterDatabase" localSheetId="7" hidden="1">수익사업부!$A$3:$AY$81</definedName>
    <definedName name="_xlnm._FilterDatabase" localSheetId="11" hidden="1">시설조성부!$A$3:$M$33</definedName>
    <definedName name="_xlnm._FilterDatabase" localSheetId="9" hidden="1">운영부!$A$3:$M$66</definedName>
    <definedName name="_xlnm._FilterDatabase" localSheetId="8" hidden="1">유치협력부!$A$3:$BP$53</definedName>
    <definedName name="_xlnm._FilterDatabase" localSheetId="12" hidden="1">전시연출부!$A$3:$M$56</definedName>
    <definedName name="_xlnm._FilterDatabase" localSheetId="4" hidden="1">종합상황실!$A$3:$M$56</definedName>
    <definedName name="_xlnm._FilterDatabase" localSheetId="3" hidden="1">'지출예산(직접)'!$A$4:$I$265</definedName>
    <definedName name="_xlnm._FilterDatabase" localSheetId="10" hidden="1">행사부!$A$3:$M$24</definedName>
    <definedName name="_xlnm._FilterDatabase" localSheetId="5" hidden="1">행정관리부!$A$3:$M$159</definedName>
    <definedName name="_xlnm.Database" localSheetId="6">#REF!</definedName>
    <definedName name="_xlnm.Database" localSheetId="4">#REF!</definedName>
    <definedName name="_xlnm.Database" localSheetId="3">#REF!</definedName>
    <definedName name="_xlnm.Database" localSheetId="0">#REF!</definedName>
    <definedName name="_xlnm.Database">#REF!</definedName>
    <definedName name="_xlnm.Print_Area" localSheetId="7">수익사업부!$A$1:$M$81</definedName>
    <definedName name="_xlnm.Print_Area" localSheetId="1">'수입예산 총괄표'!$A$1:$H$35</definedName>
    <definedName name="_xlnm.Print_Area" localSheetId="11">시설조성부!$A$1:$M$69</definedName>
    <definedName name="_xlnm.Print_Area" localSheetId="16">'운영본부(위탁)'!$A$1:$M$61</definedName>
    <definedName name="_xlnm.Print_Area" localSheetId="8">유치협력부!$A$1:$M$53</definedName>
    <definedName name="_xlnm.Print_Area" localSheetId="3">'지출예산(직접)'!$A$1:$I$265</definedName>
    <definedName name="_xlnm.Print_Titles" localSheetId="15">'기획본부(위탁)'!$1:$4</definedName>
    <definedName name="_xlnm.Print_Titles" localSheetId="6">기획홍보부!$1:$4</definedName>
    <definedName name="_xlnm.Print_Titles" localSheetId="7">수익사업부!$1:$4</definedName>
    <definedName name="_xlnm.Print_Titles" localSheetId="11">시설조성부!$1:$4</definedName>
    <definedName name="_xlnm.Print_Titles" localSheetId="13">예비비!$1:$4</definedName>
    <definedName name="_xlnm.Print_Titles" localSheetId="16">'운영본부(위탁)'!$1:$4</definedName>
    <definedName name="_xlnm.Print_Titles" localSheetId="9">운영부!$1:$4</definedName>
    <definedName name="_xlnm.Print_Titles" localSheetId="8">유치협력부!$1:$4</definedName>
    <definedName name="_xlnm.Print_Titles" localSheetId="12">전시연출부!$1:$4</definedName>
    <definedName name="_xlnm.Print_Titles" localSheetId="4">종합상황실!$1:$4</definedName>
    <definedName name="_xlnm.Print_Titles" localSheetId="14">'지출예산(위탁)'!$1:$5</definedName>
    <definedName name="_xlnm.Print_Titles" localSheetId="3">'지출예산(직접)'!$1:$5</definedName>
    <definedName name="_xlnm.Print_Titles" localSheetId="10">행사부!$1:$4</definedName>
    <definedName name="_xlnm.Print_Titles" localSheetId="5">행정관리부!$1:$4</definedName>
    <definedName name="ㄹㄹㄹ" localSheetId="6">#REF!</definedName>
    <definedName name="ㄹㄹㄹ" localSheetId="4">#REF!</definedName>
    <definedName name="ㄹㄹㄹ" localSheetId="3">#REF!</definedName>
    <definedName name="ㄹㄹㄹ" localSheetId="0">#REF!</definedName>
    <definedName name="ㄹㄹㄹ">#REF!</definedName>
    <definedName name="ㅁ1" localSheetId="6">#REF!</definedName>
    <definedName name="ㅁ1" localSheetId="7">#REF!</definedName>
    <definedName name="ㅁ1" localSheetId="4">#REF!</definedName>
    <definedName name="ㅁ1" localSheetId="3">#REF!</definedName>
    <definedName name="ㅁ1" localSheetId="0">#REF!</definedName>
    <definedName name="ㅁ1">#REF!</definedName>
    <definedName name="ㅇㅇ" localSheetId="4">#REF!</definedName>
    <definedName name="ㅇㅇ" localSheetId="0">#REF!</definedName>
    <definedName name="ㅇㅇ">#REF!</definedName>
    <definedName name="ㅇㅇㅇ" localSheetId="4">#REF!</definedName>
    <definedName name="ㅇㅇㅇ" localSheetId="0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M42" i="37" l="1"/>
  <c r="M34" i="37"/>
  <c r="M24" i="37"/>
  <c r="M20" i="37"/>
  <c r="M57" i="30" l="1"/>
  <c r="M47" i="30"/>
  <c r="M24" i="48"/>
  <c r="M117" i="36" l="1"/>
  <c r="M57" i="36"/>
  <c r="M49" i="36" l="1"/>
  <c r="M73" i="34" l="1"/>
  <c r="M11" i="45"/>
  <c r="G51" i="43"/>
  <c r="G50" i="43"/>
  <c r="G49" i="43"/>
  <c r="I49" i="43" s="1"/>
  <c r="I51" i="43"/>
  <c r="I50" i="43"/>
  <c r="F12" i="41"/>
  <c r="H79" i="44"/>
  <c r="H99" i="44"/>
  <c r="J99" i="44" s="1"/>
  <c r="M99" i="44"/>
  <c r="M11" i="42"/>
  <c r="M66" i="39"/>
  <c r="M24" i="30"/>
  <c r="M93" i="36"/>
  <c r="M11" i="34"/>
  <c r="M21" i="34"/>
  <c r="H98" i="44" l="1"/>
  <c r="G162" i="29"/>
  <c r="I162" i="29" s="1"/>
  <c r="G161" i="29"/>
  <c r="G160" i="29"/>
  <c r="I161" i="29"/>
  <c r="I160" i="29"/>
  <c r="J98" i="44" l="1"/>
  <c r="H97" i="44"/>
  <c r="H96" i="44" s="1"/>
  <c r="J97" i="44"/>
  <c r="J96" i="44"/>
  <c r="H7" i="37" l="1"/>
  <c r="H10" i="37"/>
  <c r="J10" i="37" l="1"/>
  <c r="H9" i="37"/>
  <c r="H8" i="37" s="1"/>
  <c r="M25" i="40"/>
  <c r="M29" i="38"/>
  <c r="M17" i="37"/>
  <c r="J8" i="37" l="1"/>
  <c r="J9" i="37"/>
  <c r="M11" i="40" l="1"/>
  <c r="M15" i="40"/>
  <c r="M21" i="40"/>
  <c r="M38" i="39"/>
  <c r="M11" i="39"/>
  <c r="M28" i="37"/>
  <c r="M11" i="37"/>
  <c r="H11" i="37" s="1"/>
  <c r="J11" i="37" l="1"/>
  <c r="H11" i="40"/>
  <c r="M84" i="36"/>
  <c r="M78" i="36"/>
  <c r="M38" i="36" l="1"/>
  <c r="M19" i="36"/>
  <c r="H10" i="48"/>
  <c r="G12" i="29"/>
  <c r="I12" i="29" s="1"/>
  <c r="H24" i="48"/>
  <c r="J24" i="48" s="1"/>
  <c r="M31" i="48"/>
  <c r="M11" i="48"/>
  <c r="M17" i="48"/>
  <c r="H17" i="48" s="1"/>
  <c r="J17" i="48" s="1"/>
  <c r="G16" i="29" l="1"/>
  <c r="I16" i="29" s="1"/>
  <c r="H23" i="48"/>
  <c r="H22" i="48"/>
  <c r="J23" i="48" l="1"/>
  <c r="G15" i="29"/>
  <c r="I15" i="29" s="1"/>
  <c r="J22" i="48"/>
  <c r="H21" i="48"/>
  <c r="J21" i="48" l="1"/>
  <c r="G14" i="29"/>
  <c r="I14" i="29" s="1"/>
  <c r="H20" i="48"/>
  <c r="H34" i="41"/>
  <c r="J20" i="48" l="1"/>
  <c r="G13" i="29"/>
  <c r="I13" i="29" s="1"/>
  <c r="H27" i="41"/>
  <c r="H93" i="36" l="1"/>
  <c r="J93" i="36" s="1"/>
  <c r="G46" i="29" l="1"/>
  <c r="I46" i="29" s="1"/>
  <c r="H11" i="48"/>
  <c r="G11" i="29" l="1"/>
  <c r="I11" i="29" s="1"/>
  <c r="G10" i="29"/>
  <c r="I10" i="29" s="1"/>
  <c r="J11" i="48"/>
  <c r="F34" i="41"/>
  <c r="H35" i="41"/>
  <c r="F27" i="41"/>
  <c r="M22" i="42"/>
  <c r="H22" i="42" s="1"/>
  <c r="G244" i="29" s="1"/>
  <c r="I244" i="29" s="1"/>
  <c r="H9" i="48" l="1"/>
  <c r="J10" i="48"/>
  <c r="J22" i="42"/>
  <c r="H21" i="42"/>
  <c r="J9" i="48" l="1"/>
  <c r="H8" i="48"/>
  <c r="G9" i="29" s="1"/>
  <c r="I9" i="29" s="1"/>
  <c r="J21" i="42"/>
  <c r="H20" i="42"/>
  <c r="G29" i="43"/>
  <c r="G28" i="43"/>
  <c r="G27" i="43"/>
  <c r="G26" i="43"/>
  <c r="G25" i="43"/>
  <c r="G24" i="43"/>
  <c r="G23" i="43"/>
  <c r="G22" i="43"/>
  <c r="H31" i="44"/>
  <c r="M53" i="44"/>
  <c r="H53" i="44" s="1"/>
  <c r="M49" i="44"/>
  <c r="H49" i="44" s="1"/>
  <c r="M44" i="44"/>
  <c r="H44" i="44"/>
  <c r="J44" i="44" s="1"/>
  <c r="H43" i="44"/>
  <c r="J43" i="44" s="1"/>
  <c r="H42" i="44"/>
  <c r="H41" i="44" s="1"/>
  <c r="J41" i="44" s="1"/>
  <c r="J8" i="48" l="1"/>
  <c r="H7" i="48"/>
  <c r="H6" i="48" s="1"/>
  <c r="J20" i="42"/>
  <c r="H19" i="42"/>
  <c r="H48" i="44"/>
  <c r="J49" i="44"/>
  <c r="J53" i="44"/>
  <c r="H52" i="44"/>
  <c r="J42" i="44"/>
  <c r="J7" i="48" l="1"/>
  <c r="G8" i="29"/>
  <c r="I8" i="29" s="1"/>
  <c r="J19" i="42"/>
  <c r="G243" i="29"/>
  <c r="I243" i="29" s="1"/>
  <c r="J52" i="44"/>
  <c r="H51" i="44"/>
  <c r="J51" i="44" s="1"/>
  <c r="J48" i="44"/>
  <c r="H47" i="44"/>
  <c r="J47" i="44" l="1"/>
  <c r="H46" i="44"/>
  <c r="J46" i="44" s="1"/>
  <c r="M32" i="35" l="1"/>
  <c r="H32" i="35" s="1"/>
  <c r="M26" i="35"/>
  <c r="H26" i="35" s="1"/>
  <c r="H25" i="35" s="1"/>
  <c r="G142" i="29" s="1"/>
  <c r="I142" i="29" s="1"/>
  <c r="J32" i="35" l="1"/>
  <c r="G146" i="29"/>
  <c r="I146" i="29" s="1"/>
  <c r="G143" i="29"/>
  <c r="I143" i="29" s="1"/>
  <c r="H31" i="35"/>
  <c r="G145" i="29" s="1"/>
  <c r="I145" i="29" s="1"/>
  <c r="J25" i="35"/>
  <c r="H24" i="35"/>
  <c r="H23" i="35" s="1"/>
  <c r="J26" i="35"/>
  <c r="F26" i="41"/>
  <c r="H26" i="41" s="1"/>
  <c r="G66" i="43"/>
  <c r="I66" i="43" s="1"/>
  <c r="H27" i="45"/>
  <c r="M32" i="45"/>
  <c r="H32" i="45"/>
  <c r="J32" i="45" s="1"/>
  <c r="H11" i="39"/>
  <c r="M48" i="39"/>
  <c r="H29" i="38"/>
  <c r="G195" i="29" s="1"/>
  <c r="I195" i="29" s="1"/>
  <c r="G48" i="43"/>
  <c r="I48" i="43" s="1"/>
  <c r="G46" i="43"/>
  <c r="I46" i="43" s="1"/>
  <c r="G45" i="43"/>
  <c r="M83" i="44"/>
  <c r="M94" i="44"/>
  <c r="J94" i="44"/>
  <c r="H93" i="44"/>
  <c r="J93" i="44" s="1"/>
  <c r="M89" i="44"/>
  <c r="J89" i="44"/>
  <c r="J11" i="39" l="1"/>
  <c r="G200" i="29"/>
  <c r="I200" i="29" s="1"/>
  <c r="G141" i="29"/>
  <c r="I141" i="29" s="1"/>
  <c r="J31" i="35"/>
  <c r="H30" i="35"/>
  <c r="J24" i="35"/>
  <c r="J23" i="35"/>
  <c r="H10" i="39"/>
  <c r="G199" i="29" s="1"/>
  <c r="I199" i="29" s="1"/>
  <c r="J29" i="38"/>
  <c r="H28" i="38"/>
  <c r="G194" i="29" s="1"/>
  <c r="I194" i="29" s="1"/>
  <c r="H92" i="44"/>
  <c r="J92" i="44" s="1"/>
  <c r="G47" i="43"/>
  <c r="I47" i="43" s="1"/>
  <c r="J83" i="44"/>
  <c r="H82" i="44"/>
  <c r="G44" i="43" s="1"/>
  <c r="M21" i="35"/>
  <c r="H21" i="35" s="1"/>
  <c r="M66" i="30"/>
  <c r="H47" i="30"/>
  <c r="G117" i="29" s="1"/>
  <c r="I117" i="29" s="1"/>
  <c r="M15" i="30"/>
  <c r="M143" i="36"/>
  <c r="M135" i="36"/>
  <c r="M130" i="36"/>
  <c r="M32" i="36"/>
  <c r="H32" i="36" s="1"/>
  <c r="M101" i="36"/>
  <c r="M52" i="48"/>
  <c r="H52" i="48" s="1"/>
  <c r="J52" i="48" s="1"/>
  <c r="M40" i="48"/>
  <c r="J30" i="35" l="1"/>
  <c r="H29" i="35"/>
  <c r="J21" i="35"/>
  <c r="H20" i="35"/>
  <c r="G140" i="29"/>
  <c r="I140" i="29" s="1"/>
  <c r="H9" i="39"/>
  <c r="J10" i="39"/>
  <c r="J28" i="38"/>
  <c r="H27" i="38"/>
  <c r="G27" i="29"/>
  <c r="I27" i="29" s="1"/>
  <c r="J82" i="44"/>
  <c r="H81" i="44"/>
  <c r="J47" i="30"/>
  <c r="H46" i="30"/>
  <c r="G116" i="29" s="1"/>
  <c r="I116" i="29" s="1"/>
  <c r="G144" i="29" l="1"/>
  <c r="I144" i="29" s="1"/>
  <c r="H7" i="35"/>
  <c r="H19" i="35"/>
  <c r="H18" i="35" s="1"/>
  <c r="G138" i="29" s="1"/>
  <c r="I138" i="29" s="1"/>
  <c r="G139" i="29"/>
  <c r="I139" i="29" s="1"/>
  <c r="J9" i="39"/>
  <c r="H8" i="39"/>
  <c r="G198" i="29" s="1"/>
  <c r="I198" i="29" s="1"/>
  <c r="J27" i="38"/>
  <c r="H26" i="38"/>
  <c r="G193" i="29" s="1"/>
  <c r="I193" i="29" s="1"/>
  <c r="J81" i="44"/>
  <c r="H80" i="44"/>
  <c r="J46" i="30"/>
  <c r="H45" i="30"/>
  <c r="H7" i="39" l="1"/>
  <c r="G197" i="29" s="1"/>
  <c r="I197" i="29" s="1"/>
  <c r="J8" i="39"/>
  <c r="J26" i="38"/>
  <c r="H25" i="38"/>
  <c r="J80" i="44"/>
  <c r="G43" i="43"/>
  <c r="J45" i="30"/>
  <c r="H44" i="30"/>
  <c r="M50" i="45"/>
  <c r="H50" i="45" s="1"/>
  <c r="M54" i="45"/>
  <c r="H54" i="45" s="1"/>
  <c r="J54" i="45" s="1"/>
  <c r="J44" i="30" l="1"/>
  <c r="G115" i="29"/>
  <c r="I115" i="29" s="1"/>
  <c r="J25" i="38"/>
  <c r="G192" i="29"/>
  <c r="I192" i="29" s="1"/>
  <c r="H49" i="45"/>
  <c r="J7" i="39"/>
  <c r="J79" i="44"/>
  <c r="G42" i="43"/>
  <c r="I42" i="43" s="1"/>
  <c r="J11" i="40"/>
  <c r="M13" i="36" l="1"/>
  <c r="M25" i="39"/>
  <c r="M22" i="39"/>
  <c r="M20" i="39"/>
  <c r="M53" i="37"/>
  <c r="H50" i="37"/>
  <c r="H42" i="37"/>
  <c r="M50" i="37"/>
  <c r="M73" i="30"/>
  <c r="M11" i="30"/>
  <c r="M51" i="34"/>
  <c r="M153" i="36"/>
  <c r="M124" i="36"/>
  <c r="H124" i="36" s="1"/>
  <c r="M114" i="36"/>
  <c r="M110" i="36"/>
  <c r="M107" i="36"/>
  <c r="H101" i="36" s="1"/>
  <c r="M90" i="36"/>
  <c r="H84" i="36"/>
  <c r="H57" i="36"/>
  <c r="H56" i="36" l="1"/>
  <c r="M60" i="45"/>
  <c r="G22" i="46" l="1"/>
  <c r="I22" i="46" s="1"/>
  <c r="H25" i="40" l="1"/>
  <c r="G220" i="29" s="1"/>
  <c r="I220" i="29" s="1"/>
  <c r="M57" i="39"/>
  <c r="H57" i="39" s="1"/>
  <c r="H66" i="39"/>
  <c r="H38" i="39"/>
  <c r="M28" i="45"/>
  <c r="M21" i="45"/>
  <c r="H10" i="40" l="1"/>
  <c r="G219" i="29" s="1"/>
  <c r="I219" i="29" s="1"/>
  <c r="J57" i="39"/>
  <c r="H56" i="39"/>
  <c r="J56" i="39" s="1"/>
  <c r="H55" i="39"/>
  <c r="G254" i="29"/>
  <c r="I254" i="29" s="1"/>
  <c r="J38" i="39"/>
  <c r="G215" i="29"/>
  <c r="I215" i="29" s="1"/>
  <c r="G255" i="29"/>
  <c r="I255" i="29" s="1"/>
  <c r="J66" i="39"/>
  <c r="G260" i="29"/>
  <c r="I260" i="29" s="1"/>
  <c r="J25" i="40"/>
  <c r="H65" i="39"/>
  <c r="G259" i="29" s="1"/>
  <c r="I259" i="29" s="1"/>
  <c r="H37" i="39"/>
  <c r="G214" i="29" s="1"/>
  <c r="I214" i="29" s="1"/>
  <c r="M77" i="44"/>
  <c r="H77" i="44" s="1"/>
  <c r="M73" i="44"/>
  <c r="H73" i="44" s="1"/>
  <c r="M70" i="44"/>
  <c r="H70" i="44" s="1"/>
  <c r="G38" i="43" s="1"/>
  <c r="I38" i="43" s="1"/>
  <c r="M65" i="44"/>
  <c r="M61" i="44"/>
  <c r="M39" i="44"/>
  <c r="H39" i="44" s="1"/>
  <c r="I24" i="43"/>
  <c r="M35" i="44"/>
  <c r="H35" i="44" s="1"/>
  <c r="H34" i="44" s="1"/>
  <c r="G20" i="43" s="1"/>
  <c r="G134" i="29"/>
  <c r="I134" i="29" s="1"/>
  <c r="M16" i="35"/>
  <c r="H16" i="35" s="1"/>
  <c r="J16" i="35" s="1"/>
  <c r="M14" i="35"/>
  <c r="H14" i="35" s="1"/>
  <c r="G136" i="29" s="1"/>
  <c r="I136" i="29" s="1"/>
  <c r="M11" i="35"/>
  <c r="H11" i="35" s="1"/>
  <c r="H10" i="35" s="1"/>
  <c r="M33" i="30"/>
  <c r="H33" i="30" s="1"/>
  <c r="G133" i="29" l="1"/>
  <c r="I133" i="29" s="1"/>
  <c r="J55" i="39"/>
  <c r="H54" i="39"/>
  <c r="J39" i="44"/>
  <c r="I29" i="43"/>
  <c r="J73" i="44"/>
  <c r="I43" i="43"/>
  <c r="J77" i="44"/>
  <c r="G41" i="43"/>
  <c r="I41" i="43" s="1"/>
  <c r="G21" i="43"/>
  <c r="I27" i="43"/>
  <c r="G39" i="43"/>
  <c r="I39" i="43" s="1"/>
  <c r="G137" i="29"/>
  <c r="I137" i="29" s="1"/>
  <c r="J33" i="30"/>
  <c r="G109" i="29"/>
  <c r="I109" i="29" s="1"/>
  <c r="J10" i="40"/>
  <c r="H9" i="40"/>
  <c r="J65" i="39"/>
  <c r="H64" i="39"/>
  <c r="J37" i="39"/>
  <c r="H36" i="39"/>
  <c r="H76" i="44"/>
  <c r="H69" i="44"/>
  <c r="G37" i="43" s="1"/>
  <c r="I37" i="43" s="1"/>
  <c r="J70" i="44"/>
  <c r="H38" i="44"/>
  <c r="I28" i="43" s="1"/>
  <c r="I26" i="43"/>
  <c r="I23" i="43"/>
  <c r="J14" i="35"/>
  <c r="H13" i="35"/>
  <c r="G135" i="29" s="1"/>
  <c r="I135" i="29" s="1"/>
  <c r="J11" i="35"/>
  <c r="H32" i="30"/>
  <c r="H22" i="41"/>
  <c r="F21" i="41"/>
  <c r="H21" i="41" s="1"/>
  <c r="F13" i="41"/>
  <c r="H14" i="41"/>
  <c r="F9" i="41"/>
  <c r="H9" i="41" s="1"/>
  <c r="H10" i="41"/>
  <c r="M27" i="44"/>
  <c r="H9" i="35" l="1"/>
  <c r="H8" i="35" s="1"/>
  <c r="J54" i="39"/>
  <c r="G253" i="29"/>
  <c r="I253" i="29" s="1"/>
  <c r="H53" i="39"/>
  <c r="G40" i="43"/>
  <c r="I40" i="43" s="1"/>
  <c r="I45" i="43"/>
  <c r="H11" i="30"/>
  <c r="J32" i="30"/>
  <c r="G108" i="29"/>
  <c r="I108" i="29" s="1"/>
  <c r="J9" i="40"/>
  <c r="H8" i="40"/>
  <c r="J64" i="39"/>
  <c r="H63" i="39"/>
  <c r="G258" i="29" s="1"/>
  <c r="I258" i="29" s="1"/>
  <c r="J36" i="39"/>
  <c r="H35" i="39"/>
  <c r="G213" i="29" s="1"/>
  <c r="I213" i="29" s="1"/>
  <c r="J76" i="44"/>
  <c r="H75" i="44"/>
  <c r="H68" i="44"/>
  <c r="J69" i="44"/>
  <c r="J38" i="44"/>
  <c r="H37" i="44"/>
  <c r="J13" i="35"/>
  <c r="H13" i="41"/>
  <c r="M21" i="44"/>
  <c r="M17" i="44"/>
  <c r="M11" i="44"/>
  <c r="M78" i="34"/>
  <c r="M71" i="34"/>
  <c r="M40" i="34"/>
  <c r="H40" i="34" s="1"/>
  <c r="J37" i="44" l="1"/>
  <c r="J29" i="35"/>
  <c r="H52" i="39"/>
  <c r="G252" i="29"/>
  <c r="I252" i="29" s="1"/>
  <c r="J53" i="39"/>
  <c r="J75" i="44"/>
  <c r="I44" i="43"/>
  <c r="J8" i="40"/>
  <c r="G218" i="29"/>
  <c r="I218" i="29" s="1"/>
  <c r="J63" i="39"/>
  <c r="H62" i="39"/>
  <c r="G257" i="29" s="1"/>
  <c r="I257" i="29" s="1"/>
  <c r="J35" i="39"/>
  <c r="H34" i="39"/>
  <c r="G212" i="29" s="1"/>
  <c r="I212" i="29" s="1"/>
  <c r="J68" i="44"/>
  <c r="H67" i="44"/>
  <c r="H39" i="34"/>
  <c r="J40" i="34"/>
  <c r="G251" i="29" l="1"/>
  <c r="I251" i="29" s="1"/>
  <c r="J52" i="39"/>
  <c r="G20" i="46"/>
  <c r="I20" i="46" s="1"/>
  <c r="I22" i="43"/>
  <c r="I25" i="43"/>
  <c r="J67" i="44"/>
  <c r="G36" i="43"/>
  <c r="I36" i="43" s="1"/>
  <c r="H61" i="39"/>
  <c r="J62" i="39"/>
  <c r="J34" i="39"/>
  <c r="H38" i="34"/>
  <c r="H37" i="34" s="1"/>
  <c r="J39" i="34"/>
  <c r="J61" i="39" l="1"/>
  <c r="G21" i="46"/>
  <c r="I21" i="46" s="1"/>
  <c r="G256" i="29"/>
  <c r="I256" i="29" s="1"/>
  <c r="J37" i="34"/>
  <c r="J38" i="34"/>
  <c r="H11" i="34" l="1"/>
  <c r="H10" i="34" l="1"/>
  <c r="H9" i="34" s="1"/>
  <c r="J11" i="34"/>
  <c r="M44" i="36"/>
  <c r="H44" i="36" s="1"/>
  <c r="M30" i="36"/>
  <c r="M27" i="36"/>
  <c r="H27" i="36" s="1"/>
  <c r="J27" i="36" s="1"/>
  <c r="J10" i="34" l="1"/>
  <c r="M55" i="48"/>
  <c r="H55" i="48" s="1"/>
  <c r="M49" i="48"/>
  <c r="H49" i="48" s="1"/>
  <c r="M45" i="48"/>
  <c r="H45" i="48" s="1"/>
  <c r="H40" i="48"/>
  <c r="M38" i="48"/>
  <c r="H38" i="48" s="1"/>
  <c r="G20" i="29" s="1"/>
  <c r="H53" i="37"/>
  <c r="H52" i="37" s="1"/>
  <c r="G23" i="29" l="1"/>
  <c r="I23" i="29" s="1"/>
  <c r="J45" i="48"/>
  <c r="G28" i="29"/>
  <c r="H51" i="48"/>
  <c r="J40" i="48"/>
  <c r="G21" i="29"/>
  <c r="I21" i="29" s="1"/>
  <c r="J49" i="48"/>
  <c r="G25" i="29"/>
  <c r="I25" i="29" s="1"/>
  <c r="J55" i="48"/>
  <c r="I28" i="29"/>
  <c r="G26" i="29"/>
  <c r="H48" i="48"/>
  <c r="G24" i="29" s="1"/>
  <c r="J38" i="48"/>
  <c r="H37" i="48"/>
  <c r="I20" i="29"/>
  <c r="H8" i="34"/>
  <c r="J9" i="34"/>
  <c r="H44" i="48"/>
  <c r="H36" i="48" l="1"/>
  <c r="G19" i="29"/>
  <c r="I19" i="29" s="1"/>
  <c r="G22" i="29"/>
  <c r="I22" i="29" s="1"/>
  <c r="J51" i="48"/>
  <c r="I26" i="29"/>
  <c r="J48" i="48"/>
  <c r="I24" i="29"/>
  <c r="J37" i="48"/>
  <c r="J8" i="34"/>
  <c r="J44" i="48"/>
  <c r="H35" i="48" l="1"/>
  <c r="J36" i="48"/>
  <c r="G18" i="29" l="1"/>
  <c r="I18" i="29" s="1"/>
  <c r="J35" i="48"/>
  <c r="H34" i="48"/>
  <c r="G17" i="29" l="1"/>
  <c r="I17" i="29" s="1"/>
  <c r="H5" i="48"/>
  <c r="J34" i="48"/>
  <c r="J6" i="48" l="1"/>
  <c r="H4" i="48" l="1"/>
  <c r="G7" i="29" s="1"/>
  <c r="I7" i="29" s="1"/>
  <c r="G8" i="46"/>
  <c r="I8" i="46" s="1"/>
  <c r="J5" i="48"/>
  <c r="J4" i="48" l="1"/>
  <c r="M42" i="30"/>
  <c r="H42" i="30" s="1"/>
  <c r="J42" i="30" s="1"/>
  <c r="G114" i="29" l="1"/>
  <c r="I114" i="29" s="1"/>
  <c r="H41" i="30"/>
  <c r="G113" i="29" l="1"/>
  <c r="I113" i="29" s="1"/>
  <c r="H40" i="30"/>
  <c r="J41" i="30"/>
  <c r="J40" i="30" l="1"/>
  <c r="H39" i="30"/>
  <c r="J39" i="30" l="1"/>
  <c r="G112" i="29"/>
  <c r="I112" i="29" s="1"/>
  <c r="M25" i="44" l="1"/>
  <c r="H25" i="44" s="1"/>
  <c r="J25" i="44" s="1"/>
  <c r="G15" i="43" l="1"/>
  <c r="I15" i="43" s="1"/>
  <c r="H48" i="39"/>
  <c r="G250" i="29" l="1"/>
  <c r="H47" i="39"/>
  <c r="G249" i="29" s="1"/>
  <c r="J48" i="39"/>
  <c r="J47" i="39" l="1"/>
  <c r="H46" i="39"/>
  <c r="H45" i="39" l="1"/>
  <c r="G248" i="29" s="1"/>
  <c r="J46" i="39"/>
  <c r="H44" i="39" l="1"/>
  <c r="G247" i="29" s="1"/>
  <c r="J45" i="39"/>
  <c r="J44" i="39" l="1"/>
  <c r="H43" i="39"/>
  <c r="H42" i="39" s="1"/>
  <c r="G18" i="46" s="1"/>
  <c r="G19" i="46" l="1"/>
  <c r="I19" i="46" s="1"/>
  <c r="G246" i="29"/>
  <c r="J43" i="39"/>
  <c r="J42" i="39"/>
  <c r="G77" i="29" l="1"/>
  <c r="G76" i="29"/>
  <c r="G75" i="29" l="1"/>
  <c r="I250" i="29" l="1"/>
  <c r="I249" i="29"/>
  <c r="I248" i="29"/>
  <c r="I247" i="29"/>
  <c r="I246" i="29"/>
  <c r="I76" i="29"/>
  <c r="I77" i="29"/>
  <c r="I75" i="29"/>
  <c r="H18" i="41"/>
  <c r="F33" i="41"/>
  <c r="F32" i="41" s="1"/>
  <c r="H31" i="41"/>
  <c r="F30" i="41"/>
  <c r="H30" i="41" s="1"/>
  <c r="F29" i="41" l="1"/>
  <c r="H29" i="41" s="1"/>
  <c r="M58" i="44" l="1"/>
  <c r="M37" i="40" l="1"/>
  <c r="H37" i="40" s="1"/>
  <c r="M32" i="40"/>
  <c r="H32" i="40" s="1"/>
  <c r="G223" i="29" s="1"/>
  <c r="H36" i="40" l="1"/>
  <c r="G225" i="29" s="1"/>
  <c r="I225" i="29" s="1"/>
  <c r="G226" i="29"/>
  <c r="I226" i="29" s="1"/>
  <c r="J37" i="40"/>
  <c r="J32" i="40"/>
  <c r="H31" i="40"/>
  <c r="G222" i="29" s="1"/>
  <c r="I223" i="29"/>
  <c r="J36" i="40"/>
  <c r="H35" i="40"/>
  <c r="H17" i="37"/>
  <c r="I222" i="29" l="1"/>
  <c r="H30" i="40"/>
  <c r="J35" i="40"/>
  <c r="H34" i="40"/>
  <c r="J31" i="40"/>
  <c r="G224" i="29" l="1"/>
  <c r="I224" i="29" s="1"/>
  <c r="J34" i="40"/>
  <c r="J30" i="40"/>
  <c r="H29" i="40"/>
  <c r="G221" i="29" l="1"/>
  <c r="I221" i="29" s="1"/>
  <c r="H7" i="40"/>
  <c r="J29" i="40"/>
  <c r="G66" i="29"/>
  <c r="I66" i="29" s="1"/>
  <c r="G217" i="29" l="1"/>
  <c r="J7" i="40"/>
  <c r="G65" i="29"/>
  <c r="I65" i="29" s="1"/>
  <c r="G64" i="29" l="1"/>
  <c r="I64" i="29" s="1"/>
  <c r="M39" i="35" l="1"/>
  <c r="H135" i="36" l="1"/>
  <c r="J135" i="36" l="1"/>
  <c r="M37" i="30" l="1"/>
  <c r="H37" i="30" s="1"/>
  <c r="G111" i="29" s="1"/>
  <c r="I111" i="29" s="1"/>
  <c r="H24" i="30"/>
  <c r="G107" i="29" s="1"/>
  <c r="I107" i="29" s="1"/>
  <c r="H10" i="30"/>
  <c r="H20" i="41"/>
  <c r="F19" i="41"/>
  <c r="H19" i="41" s="1"/>
  <c r="J11" i="30" l="1"/>
  <c r="G104" i="29"/>
  <c r="J37" i="30"/>
  <c r="H36" i="30"/>
  <c r="G110" i="29" s="1"/>
  <c r="I110" i="29" s="1"/>
  <c r="J24" i="30"/>
  <c r="H23" i="30"/>
  <c r="M17" i="36"/>
  <c r="G106" i="29" l="1"/>
  <c r="I106" i="29" s="1"/>
  <c r="H22" i="30"/>
  <c r="J36" i="30"/>
  <c r="H35" i="30"/>
  <c r="J35" i="30" s="1"/>
  <c r="J23" i="30"/>
  <c r="H21" i="30" l="1"/>
  <c r="G105" i="29" s="1"/>
  <c r="I105" i="29" s="1"/>
  <c r="J22" i="30"/>
  <c r="M48" i="35"/>
  <c r="H65" i="44"/>
  <c r="G35" i="43" s="1"/>
  <c r="J21" i="30" l="1"/>
  <c r="I35" i="43"/>
  <c r="H64" i="44"/>
  <c r="J65" i="44"/>
  <c r="M38" i="45"/>
  <c r="M43" i="45"/>
  <c r="M59" i="37"/>
  <c r="H63" i="44" l="1"/>
  <c r="G34" i="43"/>
  <c r="I34" i="43" s="1"/>
  <c r="J63" i="44"/>
  <c r="J64" i="44"/>
  <c r="H27" i="44"/>
  <c r="H24" i="44" s="1"/>
  <c r="G14" i="43" s="1"/>
  <c r="I14" i="43" s="1"/>
  <c r="G16" i="43" l="1"/>
  <c r="I16" i="43" s="1"/>
  <c r="J27" i="44"/>
  <c r="M44" i="35"/>
  <c r="H28" i="45"/>
  <c r="H38" i="45"/>
  <c r="M55" i="40"/>
  <c r="H55" i="40" s="1"/>
  <c r="M32" i="39"/>
  <c r="H32" i="39" s="1"/>
  <c r="M23" i="38"/>
  <c r="H23" i="38" s="1"/>
  <c r="M52" i="35"/>
  <c r="H52" i="35" s="1"/>
  <c r="G157" i="29" s="1"/>
  <c r="I157" i="29" s="1"/>
  <c r="M80" i="30"/>
  <c r="H80" i="30" s="1"/>
  <c r="G129" i="29" s="1"/>
  <c r="I129" i="29" s="1"/>
  <c r="M58" i="34"/>
  <c r="H58" i="34" s="1"/>
  <c r="G88" i="29" s="1"/>
  <c r="I88" i="29" s="1"/>
  <c r="G237" i="29" l="1"/>
  <c r="I237" i="29" s="1"/>
  <c r="G69" i="43"/>
  <c r="I69" i="43" s="1"/>
  <c r="H37" i="45"/>
  <c r="G68" i="43" s="1"/>
  <c r="I68" i="43" s="1"/>
  <c r="G65" i="43"/>
  <c r="I65" i="43" s="1"/>
  <c r="J50" i="45"/>
  <c r="G77" i="43"/>
  <c r="I77" i="43" s="1"/>
  <c r="J23" i="38"/>
  <c r="G191" i="29"/>
  <c r="I191" i="29" s="1"/>
  <c r="H22" i="38"/>
  <c r="H31" i="39"/>
  <c r="G211" i="29"/>
  <c r="I211" i="29" s="1"/>
  <c r="J55" i="40"/>
  <c r="H54" i="40"/>
  <c r="G236" i="29" s="1"/>
  <c r="J58" i="34"/>
  <c r="H57" i="34"/>
  <c r="J28" i="45"/>
  <c r="G76" i="43"/>
  <c r="I76" i="43" s="1"/>
  <c r="J38" i="45"/>
  <c r="J32" i="39"/>
  <c r="J52" i="35"/>
  <c r="H51" i="35"/>
  <c r="J80" i="30"/>
  <c r="H79" i="30"/>
  <c r="H11" i="45"/>
  <c r="M65" i="37"/>
  <c r="H65" i="37" s="1"/>
  <c r="M63" i="37"/>
  <c r="M57" i="37"/>
  <c r="H57" i="37" s="1"/>
  <c r="G176" i="29" s="1"/>
  <c r="J50" i="37"/>
  <c r="J42" i="37"/>
  <c r="H28" i="37"/>
  <c r="J28" i="37" l="1"/>
  <c r="H10" i="45"/>
  <c r="G55" i="43" s="1"/>
  <c r="I55" i="43" s="1"/>
  <c r="G56" i="43"/>
  <c r="I56" i="43" s="1"/>
  <c r="H34" i="37"/>
  <c r="H26" i="45"/>
  <c r="H25" i="45" s="1"/>
  <c r="J25" i="45" s="1"/>
  <c r="G64" i="43"/>
  <c r="I64" i="43" s="1"/>
  <c r="G63" i="43"/>
  <c r="I63" i="43" s="1"/>
  <c r="J22" i="38"/>
  <c r="G190" i="29"/>
  <c r="I190" i="29" s="1"/>
  <c r="J51" i="35"/>
  <c r="G156" i="29"/>
  <c r="I156" i="29" s="1"/>
  <c r="J57" i="34"/>
  <c r="G87" i="29"/>
  <c r="I87" i="29" s="1"/>
  <c r="J79" i="30"/>
  <c r="G128" i="29"/>
  <c r="I128" i="29" s="1"/>
  <c r="J54" i="40"/>
  <c r="I236" i="29"/>
  <c r="J31" i="39"/>
  <c r="G210" i="29"/>
  <c r="I210" i="29" s="1"/>
  <c r="I176" i="29"/>
  <c r="J27" i="45"/>
  <c r="H56" i="37"/>
  <c r="J56" i="37" s="1"/>
  <c r="G166" i="29"/>
  <c r="I166" i="29" s="1"/>
  <c r="G171" i="29"/>
  <c r="H63" i="37"/>
  <c r="J63" i="37" s="1"/>
  <c r="H62" i="37"/>
  <c r="H48" i="45"/>
  <c r="J49" i="45"/>
  <c r="H36" i="45"/>
  <c r="J37" i="45"/>
  <c r="J17" i="37"/>
  <c r="G165" i="29"/>
  <c r="I165" i="29" s="1"/>
  <c r="G172" i="29"/>
  <c r="J65" i="37"/>
  <c r="G179" i="29"/>
  <c r="J53" i="37"/>
  <c r="G174" i="29"/>
  <c r="J11" i="45"/>
  <c r="J57" i="37"/>
  <c r="H41" i="37"/>
  <c r="G170" i="29" s="1"/>
  <c r="M11" i="36"/>
  <c r="H11" i="36" s="1"/>
  <c r="M158" i="36"/>
  <c r="H143" i="36" s="1"/>
  <c r="H49" i="36"/>
  <c r="J34" i="37" l="1"/>
  <c r="H16" i="37"/>
  <c r="H15" i="37" s="1"/>
  <c r="J15" i="37" s="1"/>
  <c r="J26" i="45"/>
  <c r="G167" i="29"/>
  <c r="G175" i="29"/>
  <c r="I175" i="29" s="1"/>
  <c r="J143" i="36"/>
  <c r="G178" i="29"/>
  <c r="I178" i="29" s="1"/>
  <c r="J49" i="36"/>
  <c r="G42" i="29"/>
  <c r="I42" i="29" s="1"/>
  <c r="H47" i="45"/>
  <c r="J48" i="45"/>
  <c r="H35" i="45"/>
  <c r="J36" i="45"/>
  <c r="J62" i="37"/>
  <c r="G177" i="29"/>
  <c r="J52" i="37"/>
  <c r="G173" i="29"/>
  <c r="J41" i="37"/>
  <c r="H40" i="37"/>
  <c r="H48" i="36"/>
  <c r="J16" i="37" l="1"/>
  <c r="G164" i="29"/>
  <c r="H14" i="37"/>
  <c r="J14" i="37" s="1"/>
  <c r="G75" i="43"/>
  <c r="I75" i="43" s="1"/>
  <c r="J7" i="37"/>
  <c r="J35" i="45"/>
  <c r="G67" i="43"/>
  <c r="I67" i="43" s="1"/>
  <c r="G61" i="29"/>
  <c r="I61" i="29" s="1"/>
  <c r="H142" i="36"/>
  <c r="H141" i="36" s="1"/>
  <c r="J48" i="36"/>
  <c r="G41" i="29"/>
  <c r="I41" i="29" s="1"/>
  <c r="J47" i="45"/>
  <c r="H39" i="37"/>
  <c r="G169" i="29" s="1"/>
  <c r="J40" i="37"/>
  <c r="G163" i="29" l="1"/>
  <c r="J44" i="36"/>
  <c r="G40" i="29"/>
  <c r="H38" i="37"/>
  <c r="G168" i="29" s="1"/>
  <c r="J39" i="37"/>
  <c r="H6" i="37" l="1"/>
  <c r="G158" i="29" s="1"/>
  <c r="J32" i="36"/>
  <c r="G39" i="29"/>
  <c r="I39" i="29" s="1"/>
  <c r="J38" i="37"/>
  <c r="M45" i="40"/>
  <c r="H45" i="40" s="1"/>
  <c r="G231" i="29" s="1"/>
  <c r="H22" i="39"/>
  <c r="M13" i="38"/>
  <c r="H13" i="38" s="1"/>
  <c r="G185" i="29" s="1"/>
  <c r="I185" i="29" s="1"/>
  <c r="M41" i="35"/>
  <c r="H41" i="35" s="1"/>
  <c r="M70" i="30"/>
  <c r="H70" i="30" s="1"/>
  <c r="M48" i="34"/>
  <c r="H48" i="34" s="1"/>
  <c r="J70" i="30" l="1"/>
  <c r="G123" i="29"/>
  <c r="J41" i="35"/>
  <c r="G151" i="29"/>
  <c r="I151" i="29" s="1"/>
  <c r="J45" i="40"/>
  <c r="I231" i="29"/>
  <c r="J22" i="39"/>
  <c r="G205" i="29"/>
  <c r="I205" i="29" s="1"/>
  <c r="I123" i="29"/>
  <c r="J13" i="38"/>
  <c r="H5" i="37"/>
  <c r="G13" i="46" s="1"/>
  <c r="J6" i="37"/>
  <c r="J48" i="34"/>
  <c r="G82" i="29"/>
  <c r="I82" i="29" s="1"/>
  <c r="I171" i="29"/>
  <c r="I172" i="29"/>
  <c r="I164" i="29"/>
  <c r="I177" i="29"/>
  <c r="I173" i="29"/>
  <c r="H60" i="45"/>
  <c r="H43" i="45"/>
  <c r="H21" i="45"/>
  <c r="G80" i="43" l="1"/>
  <c r="I80" i="43" s="1"/>
  <c r="H59" i="45"/>
  <c r="G72" i="43"/>
  <c r="I72" i="43" s="1"/>
  <c r="H42" i="45"/>
  <c r="H20" i="45"/>
  <c r="H19" i="45" s="1"/>
  <c r="G62" i="43"/>
  <c r="I62" i="43" s="1"/>
  <c r="H58" i="44"/>
  <c r="G32" i="43" s="1"/>
  <c r="I32" i="43" s="1"/>
  <c r="H61" i="44"/>
  <c r="G33" i="43" s="1"/>
  <c r="J43" i="45"/>
  <c r="G71" i="43"/>
  <c r="I71" i="43" s="1"/>
  <c r="J60" i="45"/>
  <c r="J5" i="37"/>
  <c r="H4" i="37"/>
  <c r="J4" i="37" s="1"/>
  <c r="J35" i="44"/>
  <c r="J21" i="45"/>
  <c r="I21" i="43" l="1"/>
  <c r="H58" i="45"/>
  <c r="J58" i="45" s="1"/>
  <c r="G79" i="43"/>
  <c r="I79" i="43" s="1"/>
  <c r="H41" i="45"/>
  <c r="H40" i="45" s="1"/>
  <c r="G70" i="43" s="1"/>
  <c r="I70" i="43" s="1"/>
  <c r="H18" i="45"/>
  <c r="G61" i="43"/>
  <c r="I61" i="43" s="1"/>
  <c r="I33" i="43"/>
  <c r="J61" i="44"/>
  <c r="J58" i="44"/>
  <c r="H57" i="44"/>
  <c r="G31" i="43" s="1"/>
  <c r="H33" i="44"/>
  <c r="I20" i="43"/>
  <c r="I169" i="29"/>
  <c r="I168" i="29"/>
  <c r="J20" i="45"/>
  <c r="J59" i="45"/>
  <c r="H57" i="45"/>
  <c r="J34" i="44"/>
  <c r="J19" i="45"/>
  <c r="J42" i="45"/>
  <c r="J40" i="45"/>
  <c r="J41" i="45"/>
  <c r="J18" i="45"/>
  <c r="G78" i="43" l="1"/>
  <c r="I78" i="43" s="1"/>
  <c r="H46" i="45"/>
  <c r="G60" i="43"/>
  <c r="I60" i="43" s="1"/>
  <c r="H17" i="45"/>
  <c r="J33" i="44"/>
  <c r="H32" i="44"/>
  <c r="J57" i="44"/>
  <c r="H56" i="44"/>
  <c r="I31" i="43"/>
  <c r="H23" i="44"/>
  <c r="J23" i="44" s="1"/>
  <c r="J24" i="44"/>
  <c r="J57" i="45"/>
  <c r="G19" i="43" l="1"/>
  <c r="J46" i="45"/>
  <c r="G74" i="43"/>
  <c r="G59" i="43"/>
  <c r="I59" i="43" s="1"/>
  <c r="H16" i="45"/>
  <c r="G29" i="46" s="1"/>
  <c r="I29" i="46" s="1"/>
  <c r="J17" i="45"/>
  <c r="H55" i="44"/>
  <c r="G30" i="43" s="1"/>
  <c r="J56" i="44"/>
  <c r="H45" i="45"/>
  <c r="J45" i="45" s="1"/>
  <c r="G58" i="43" l="1"/>
  <c r="I58" i="43" s="1"/>
  <c r="J16" i="45"/>
  <c r="I74" i="43"/>
  <c r="G73" i="43"/>
  <c r="I73" i="43" s="1"/>
  <c r="J55" i="44"/>
  <c r="I30" i="43"/>
  <c r="I19" i="43"/>
  <c r="J32" i="44"/>
  <c r="H15" i="45"/>
  <c r="J15" i="45" s="1"/>
  <c r="G30" i="46"/>
  <c r="H30" i="44" l="1"/>
  <c r="J31" i="44"/>
  <c r="G18" i="43"/>
  <c r="G57" i="43"/>
  <c r="I57" i="43" s="1"/>
  <c r="I30" i="46"/>
  <c r="G28" i="46"/>
  <c r="I28" i="46" s="1"/>
  <c r="G60" i="29"/>
  <c r="I60" i="29" s="1"/>
  <c r="M55" i="34"/>
  <c r="M64" i="34"/>
  <c r="H64" i="34" s="1"/>
  <c r="J64" i="34" s="1"/>
  <c r="M68" i="34"/>
  <c r="H68" i="34" s="1"/>
  <c r="J68" i="34" s="1"/>
  <c r="H78" i="34"/>
  <c r="J78" i="34" s="1"/>
  <c r="H73" i="34"/>
  <c r="J73" i="34" s="1"/>
  <c r="H71" i="34"/>
  <c r="M66" i="34"/>
  <c r="G17" i="43" l="1"/>
  <c r="J30" i="44"/>
  <c r="G26" i="46"/>
  <c r="I26" i="46" s="1"/>
  <c r="I17" i="43"/>
  <c r="I18" i="43"/>
  <c r="H66" i="34"/>
  <c r="J66" i="34" s="1"/>
  <c r="J141" i="36"/>
  <c r="J142" i="36"/>
  <c r="H70" i="34"/>
  <c r="J70" i="34" s="1"/>
  <c r="H77" i="34"/>
  <c r="J77" i="34" s="1"/>
  <c r="H63" i="34"/>
  <c r="J63" i="34" s="1"/>
  <c r="J71" i="34"/>
  <c r="H62" i="34" l="1"/>
  <c r="H61" i="34" s="1"/>
  <c r="G90" i="29" s="1"/>
  <c r="H9" i="45" l="1"/>
  <c r="J10" i="45"/>
  <c r="J62" i="34"/>
  <c r="J61" i="34"/>
  <c r="H60" i="34"/>
  <c r="G89" i="29" s="1"/>
  <c r="J9" i="45" l="1"/>
  <c r="H8" i="45"/>
  <c r="H7" i="45" s="1"/>
  <c r="J60" i="34"/>
  <c r="J8" i="45" l="1"/>
  <c r="G54" i="43"/>
  <c r="I54" i="43" s="1"/>
  <c r="H33" i="41"/>
  <c r="H21" i="44"/>
  <c r="G13" i="43" s="1"/>
  <c r="I13" i="43" s="1"/>
  <c r="H17" i="44"/>
  <c r="H11" i="44"/>
  <c r="M31" i="42"/>
  <c r="H31" i="42" s="1"/>
  <c r="H11" i="42"/>
  <c r="M52" i="40"/>
  <c r="H52" i="40" s="1"/>
  <c r="M48" i="40"/>
  <c r="H48" i="40" s="1"/>
  <c r="M43" i="40"/>
  <c r="H43" i="40" s="1"/>
  <c r="G230" i="29" s="1"/>
  <c r="M29" i="39"/>
  <c r="H29" i="39" s="1"/>
  <c r="H25" i="39"/>
  <c r="M20" i="38"/>
  <c r="H20" i="38" s="1"/>
  <c r="G189" i="29" s="1"/>
  <c r="I189" i="29" s="1"/>
  <c r="M16" i="38"/>
  <c r="H16" i="38" s="1"/>
  <c r="G187" i="29" s="1"/>
  <c r="I187" i="29" s="1"/>
  <c r="M11" i="38"/>
  <c r="H11" i="38" s="1"/>
  <c r="I167" i="29"/>
  <c r="M29" i="34"/>
  <c r="H29" i="34" s="1"/>
  <c r="H21" i="34"/>
  <c r="G69" i="29" s="1"/>
  <c r="H25" i="41"/>
  <c r="F24" i="41"/>
  <c r="F23" i="41" s="1"/>
  <c r="F17" i="41"/>
  <c r="H16" i="41"/>
  <c r="F15" i="41"/>
  <c r="H12" i="41"/>
  <c r="F11" i="41"/>
  <c r="G242" i="29" l="1"/>
  <c r="I242" i="29" s="1"/>
  <c r="J11" i="42"/>
  <c r="G233" i="29"/>
  <c r="I233" i="29" s="1"/>
  <c r="G235" i="29"/>
  <c r="I235" i="29" s="1"/>
  <c r="F8" i="41"/>
  <c r="F7" i="41" s="1"/>
  <c r="H7" i="41" s="1"/>
  <c r="H10" i="44"/>
  <c r="H20" i="34"/>
  <c r="J31" i="42"/>
  <c r="G265" i="29"/>
  <c r="I265" i="29" s="1"/>
  <c r="H30" i="42"/>
  <c r="J30" i="42" s="1"/>
  <c r="H10" i="38"/>
  <c r="G183" i="29" s="1"/>
  <c r="I183" i="29" s="1"/>
  <c r="G184" i="29"/>
  <c r="I184" i="29" s="1"/>
  <c r="H20" i="39"/>
  <c r="J17" i="44"/>
  <c r="G12" i="43"/>
  <c r="I12" i="43" s="1"/>
  <c r="J11" i="44"/>
  <c r="G11" i="43"/>
  <c r="I11" i="43" s="1"/>
  <c r="I230" i="29"/>
  <c r="H42" i="40"/>
  <c r="J25" i="39"/>
  <c r="G207" i="29"/>
  <c r="I207" i="29" s="1"/>
  <c r="J29" i="39"/>
  <c r="G209" i="29"/>
  <c r="I209" i="29" s="1"/>
  <c r="H23" i="41"/>
  <c r="J29" i="34"/>
  <c r="G70" i="29"/>
  <c r="J43" i="40"/>
  <c r="I174" i="29"/>
  <c r="I179" i="29"/>
  <c r="J52" i="40"/>
  <c r="H51" i="40"/>
  <c r="G234" i="29" s="1"/>
  <c r="J48" i="40"/>
  <c r="H47" i="40"/>
  <c r="G232" i="29" s="1"/>
  <c r="H24" i="39"/>
  <c r="J16" i="38"/>
  <c r="H15" i="38"/>
  <c r="F28" i="41"/>
  <c r="H17" i="41"/>
  <c r="J21" i="44"/>
  <c r="H10" i="42"/>
  <c r="H29" i="42"/>
  <c r="G264" i="29" s="1"/>
  <c r="I264" i="29" s="1"/>
  <c r="H28" i="39"/>
  <c r="J11" i="38"/>
  <c r="J20" i="38"/>
  <c r="H19" i="38"/>
  <c r="J21" i="34"/>
  <c r="G68" i="29"/>
  <c r="H24" i="41"/>
  <c r="H11" i="41"/>
  <c r="H15" i="41"/>
  <c r="G229" i="29" l="1"/>
  <c r="I229" i="29" s="1"/>
  <c r="J15" i="38"/>
  <c r="G186" i="29"/>
  <c r="I186" i="29" s="1"/>
  <c r="G204" i="29"/>
  <c r="I204" i="29" s="1"/>
  <c r="H19" i="39"/>
  <c r="G203" i="29" s="1"/>
  <c r="I203" i="29" s="1"/>
  <c r="J20" i="39"/>
  <c r="H9" i="44"/>
  <c r="H8" i="44" s="1"/>
  <c r="G9" i="43" s="1"/>
  <c r="I9" i="43" s="1"/>
  <c r="G10" i="43"/>
  <c r="I10" i="43" s="1"/>
  <c r="J19" i="38"/>
  <c r="G188" i="29"/>
  <c r="I188" i="29" s="1"/>
  <c r="H18" i="39"/>
  <c r="J10" i="44"/>
  <c r="H9" i="38"/>
  <c r="H41" i="40"/>
  <c r="J47" i="40"/>
  <c r="I232" i="29"/>
  <c r="J51" i="40"/>
  <c r="I234" i="29"/>
  <c r="J24" i="39"/>
  <c r="G206" i="29"/>
  <c r="I206" i="29" s="1"/>
  <c r="J28" i="39"/>
  <c r="G208" i="29"/>
  <c r="I208" i="29" s="1"/>
  <c r="I170" i="29"/>
  <c r="H8" i="41"/>
  <c r="H32" i="41"/>
  <c r="H28" i="41"/>
  <c r="F6" i="41"/>
  <c r="H6" i="41" s="1"/>
  <c r="J10" i="42"/>
  <c r="H9" i="42"/>
  <c r="G241" i="29" s="1"/>
  <c r="I241" i="29" s="1"/>
  <c r="J29" i="42"/>
  <c r="H28" i="42"/>
  <c r="G263" i="29" s="1"/>
  <c r="I263" i="29" s="1"/>
  <c r="J42" i="40"/>
  <c r="J10" i="38"/>
  <c r="H19" i="34"/>
  <c r="J20" i="34"/>
  <c r="H18" i="34" l="1"/>
  <c r="H7" i="34" s="1"/>
  <c r="J9" i="44"/>
  <c r="J19" i="39"/>
  <c r="H7" i="44"/>
  <c r="G8" i="43" s="1"/>
  <c r="I8" i="43" s="1"/>
  <c r="J8" i="44"/>
  <c r="F5" i="41"/>
  <c r="H5" i="41" s="1"/>
  <c r="J9" i="42"/>
  <c r="H8" i="42"/>
  <c r="J28" i="42"/>
  <c r="H27" i="42"/>
  <c r="G262" i="29" s="1"/>
  <c r="J41" i="40"/>
  <c r="H40" i="40"/>
  <c r="G228" i="29" s="1"/>
  <c r="H17" i="39"/>
  <c r="G202" i="29" s="1"/>
  <c r="I202" i="29" s="1"/>
  <c r="J18" i="39"/>
  <c r="J9" i="38"/>
  <c r="H8" i="38"/>
  <c r="G182" i="29" s="1"/>
  <c r="I182" i="29" s="1"/>
  <c r="J19" i="34"/>
  <c r="G240" i="29" l="1"/>
  <c r="I240" i="29" s="1"/>
  <c r="H7" i="42"/>
  <c r="G239" i="29" s="1"/>
  <c r="G238" i="29" s="1"/>
  <c r="I228" i="29"/>
  <c r="H39" i="40"/>
  <c r="G63" i="29"/>
  <c r="J7" i="45"/>
  <c r="G53" i="43"/>
  <c r="G261" i="29"/>
  <c r="G245" i="29" s="1"/>
  <c r="I262" i="29"/>
  <c r="H6" i="44"/>
  <c r="G7" i="43" s="1"/>
  <c r="J7" i="44"/>
  <c r="H6" i="45"/>
  <c r="H5" i="45" s="1"/>
  <c r="I163" i="29"/>
  <c r="G159" i="29"/>
  <c r="J18" i="34"/>
  <c r="G67" i="29"/>
  <c r="J8" i="42"/>
  <c r="H26" i="42"/>
  <c r="J27" i="42"/>
  <c r="J40" i="40"/>
  <c r="J17" i="39"/>
  <c r="H16" i="39"/>
  <c r="H7" i="38"/>
  <c r="J8" i="38"/>
  <c r="G181" i="29" l="1"/>
  <c r="H6" i="38"/>
  <c r="G180" i="29" s="1"/>
  <c r="I180" i="29" s="1"/>
  <c r="I217" i="29"/>
  <c r="G227" i="29"/>
  <c r="H6" i="40"/>
  <c r="H6" i="39"/>
  <c r="I53" i="43"/>
  <c r="G52" i="43"/>
  <c r="I52" i="43" s="1"/>
  <c r="I245" i="29"/>
  <c r="I261" i="29"/>
  <c r="G25" i="46"/>
  <c r="I25" i="46" s="1"/>
  <c r="H5" i="44"/>
  <c r="H4" i="44" s="1"/>
  <c r="J6" i="44"/>
  <c r="I7" i="43"/>
  <c r="G201" i="29"/>
  <c r="I181" i="29"/>
  <c r="H4" i="45"/>
  <c r="G27" i="46"/>
  <c r="I27" i="46" s="1"/>
  <c r="J6" i="45"/>
  <c r="I238" i="29"/>
  <c r="I239" i="29"/>
  <c r="J7" i="38"/>
  <c r="J39" i="40"/>
  <c r="I159" i="29"/>
  <c r="I158" i="29"/>
  <c r="H6" i="42"/>
  <c r="J7" i="42"/>
  <c r="J5" i="45"/>
  <c r="H25" i="42"/>
  <c r="J26" i="42"/>
  <c r="J16" i="39"/>
  <c r="H5" i="39" l="1"/>
  <c r="G196" i="29"/>
  <c r="I196" i="29" s="1"/>
  <c r="G15" i="46"/>
  <c r="J5" i="39"/>
  <c r="G6" i="43"/>
  <c r="I18" i="46"/>
  <c r="J5" i="44"/>
  <c r="I201" i="29"/>
  <c r="G24" i="46"/>
  <c r="G23" i="46" s="1"/>
  <c r="I227" i="29"/>
  <c r="H5" i="42"/>
  <c r="J6" i="42"/>
  <c r="J4" i="45"/>
  <c r="J4" i="44"/>
  <c r="J25" i="42"/>
  <c r="J6" i="40"/>
  <c r="H5" i="40"/>
  <c r="G16" i="46" s="1"/>
  <c r="H4" i="39"/>
  <c r="J4" i="39" s="1"/>
  <c r="J6" i="39"/>
  <c r="J6" i="38"/>
  <c r="H5" i="38"/>
  <c r="G14" i="46" s="1"/>
  <c r="J5" i="42" l="1"/>
  <c r="G17" i="46"/>
  <c r="I17" i="46" s="1"/>
  <c r="G216" i="29"/>
  <c r="I216" i="29" s="1"/>
  <c r="H4" i="40"/>
  <c r="I6" i="43"/>
  <c r="G5" i="43"/>
  <c r="I5" i="43" s="1"/>
  <c r="H4" i="42"/>
  <c r="J4" i="42" s="1"/>
  <c r="I23" i="46"/>
  <c r="I24" i="46"/>
  <c r="J5" i="40"/>
  <c r="J4" i="40"/>
  <c r="I16" i="46"/>
  <c r="I15" i="46"/>
  <c r="I14" i="46"/>
  <c r="H4" i="38"/>
  <c r="J4" i="38" s="1"/>
  <c r="J5" i="38"/>
  <c r="I13" i="46" l="1"/>
  <c r="G47" i="29" l="1"/>
  <c r="I47" i="29" s="1"/>
  <c r="J101" i="36"/>
  <c r="G93" i="29"/>
  <c r="G94" i="29"/>
  <c r="H130" i="36" l="1"/>
  <c r="M139" i="36"/>
  <c r="H139" i="36" s="1"/>
  <c r="H134" i="36" s="1"/>
  <c r="J134" i="36" s="1"/>
  <c r="G53" i="29"/>
  <c r="I53" i="29" s="1"/>
  <c r="M127" i="36"/>
  <c r="H127" i="36" s="1"/>
  <c r="H110" i="36"/>
  <c r="H109" i="36" s="1"/>
  <c r="H19" i="36"/>
  <c r="H10" i="36" s="1"/>
  <c r="H9" i="36" s="1"/>
  <c r="H8" i="36" s="1"/>
  <c r="H7" i="36" s="1"/>
  <c r="G33" i="29"/>
  <c r="I33" i="29" s="1"/>
  <c r="I70" i="29"/>
  <c r="H55" i="34"/>
  <c r="G86" i="29" s="1"/>
  <c r="I86" i="29" s="1"/>
  <c r="H51" i="34"/>
  <c r="G84" i="29" s="1"/>
  <c r="I84" i="29" s="1"/>
  <c r="M46" i="34"/>
  <c r="H46" i="34" s="1"/>
  <c r="H45" i="34" s="1"/>
  <c r="M35" i="34"/>
  <c r="H35" i="34" s="1"/>
  <c r="G74" i="29" s="1"/>
  <c r="I74" i="29" s="1"/>
  <c r="H48" i="35"/>
  <c r="G155" i="29" s="1"/>
  <c r="I155" i="29" s="1"/>
  <c r="H44" i="35"/>
  <c r="H43" i="35" s="1"/>
  <c r="H39" i="35"/>
  <c r="H38" i="35" s="1"/>
  <c r="M77" i="30"/>
  <c r="H66" i="30"/>
  <c r="M64" i="30"/>
  <c r="H64" i="30" s="1"/>
  <c r="G44" i="29" l="1"/>
  <c r="I44" i="29" s="1"/>
  <c r="J9" i="36"/>
  <c r="G32" i="29"/>
  <c r="G31" i="29" s="1"/>
  <c r="G30" i="29" s="1"/>
  <c r="I104" i="29"/>
  <c r="H63" i="30"/>
  <c r="G120" i="29" s="1"/>
  <c r="G153" i="29"/>
  <c r="I153" i="29" s="1"/>
  <c r="G34" i="29"/>
  <c r="I34" i="29" s="1"/>
  <c r="H114" i="36"/>
  <c r="G51" i="29" s="1"/>
  <c r="I51" i="29" s="1"/>
  <c r="G122" i="29"/>
  <c r="I122" i="29" s="1"/>
  <c r="G54" i="29"/>
  <c r="I54" i="29" s="1"/>
  <c r="J127" i="36"/>
  <c r="G80" i="29"/>
  <c r="G81" i="29"/>
  <c r="I81" i="29" s="1"/>
  <c r="G92" i="29"/>
  <c r="I92" i="29" s="1"/>
  <c r="G97" i="29"/>
  <c r="I97" i="29" s="1"/>
  <c r="G99" i="29"/>
  <c r="I99" i="29" s="1"/>
  <c r="J64" i="30"/>
  <c r="G121" i="29"/>
  <c r="I121" i="29" s="1"/>
  <c r="G149" i="29"/>
  <c r="G150" i="29"/>
  <c r="I150" i="29" s="1"/>
  <c r="I94" i="29"/>
  <c r="I93" i="29"/>
  <c r="G49" i="29"/>
  <c r="I49" i="29" s="1"/>
  <c r="G48" i="29"/>
  <c r="I48" i="29" s="1"/>
  <c r="G56" i="29"/>
  <c r="I56" i="29" s="1"/>
  <c r="H129" i="36"/>
  <c r="G55" i="29" s="1"/>
  <c r="I55" i="29" s="1"/>
  <c r="H123" i="36"/>
  <c r="G52" i="29" s="1"/>
  <c r="G59" i="29"/>
  <c r="I59" i="29" s="1"/>
  <c r="J139" i="36"/>
  <c r="I69" i="29"/>
  <c r="J19" i="36"/>
  <c r="J66" i="30"/>
  <c r="J57" i="36"/>
  <c r="J11" i="36"/>
  <c r="J35" i="34"/>
  <c r="H34" i="34"/>
  <c r="J51" i="34"/>
  <c r="H50" i="34"/>
  <c r="G83" i="29" s="1"/>
  <c r="I83" i="29" s="1"/>
  <c r="J55" i="34"/>
  <c r="H54" i="34"/>
  <c r="J46" i="34"/>
  <c r="J44" i="35"/>
  <c r="J39" i="35"/>
  <c r="H47" i="35"/>
  <c r="J48" i="35"/>
  <c r="H37" i="35" l="1"/>
  <c r="G45" i="29"/>
  <c r="I45" i="29" s="1"/>
  <c r="G43" i="29"/>
  <c r="I43" i="29" s="1"/>
  <c r="G103" i="29"/>
  <c r="H113" i="36"/>
  <c r="G50" i="29" s="1"/>
  <c r="I50" i="29" s="1"/>
  <c r="H44" i="34"/>
  <c r="H26" i="36"/>
  <c r="G38" i="29"/>
  <c r="I38" i="29" s="1"/>
  <c r="I40" i="29"/>
  <c r="J45" i="34"/>
  <c r="J84" i="36"/>
  <c r="J54" i="34"/>
  <c r="G85" i="29"/>
  <c r="I85" i="29" s="1"/>
  <c r="J34" i="34"/>
  <c r="G73" i="29"/>
  <c r="I80" i="29"/>
  <c r="G96" i="29"/>
  <c r="I96" i="29" s="1"/>
  <c r="G95" i="29"/>
  <c r="I95" i="29" s="1"/>
  <c r="I120" i="29"/>
  <c r="J47" i="35"/>
  <c r="G154" i="29"/>
  <c r="I154" i="29" s="1"/>
  <c r="J43" i="35"/>
  <c r="G152" i="29"/>
  <c r="I152" i="29" s="1"/>
  <c r="I149" i="29"/>
  <c r="J129" i="36"/>
  <c r="I52" i="29"/>
  <c r="G98" i="29"/>
  <c r="I98" i="29" s="1"/>
  <c r="G91" i="29"/>
  <c r="I68" i="29"/>
  <c r="G58" i="29"/>
  <c r="I58" i="29" s="1"/>
  <c r="J50" i="34"/>
  <c r="J63" i="30"/>
  <c r="J130" i="36"/>
  <c r="J10" i="36"/>
  <c r="H33" i="34"/>
  <c r="H32" i="34" s="1"/>
  <c r="H31" i="34" s="1"/>
  <c r="J38" i="35"/>
  <c r="G71" i="29" l="1"/>
  <c r="I32" i="29"/>
  <c r="J32" i="34"/>
  <c r="G72" i="29"/>
  <c r="I72" i="29" s="1"/>
  <c r="J10" i="30"/>
  <c r="H9" i="30"/>
  <c r="H8" i="30" s="1"/>
  <c r="H7" i="30" s="1"/>
  <c r="H25" i="36"/>
  <c r="J25" i="36" s="1"/>
  <c r="G37" i="29"/>
  <c r="J26" i="36"/>
  <c r="H55" i="36"/>
  <c r="J56" i="36"/>
  <c r="I103" i="29"/>
  <c r="I73" i="29"/>
  <c r="J33" i="34"/>
  <c r="I91" i="29"/>
  <c r="G57" i="29"/>
  <c r="I57" i="29" s="1"/>
  <c r="J110" i="36"/>
  <c r="J8" i="36"/>
  <c r="J44" i="34"/>
  <c r="H43" i="34"/>
  <c r="G79" i="29" s="1"/>
  <c r="I79" i="29" s="1"/>
  <c r="J37" i="35"/>
  <c r="H36" i="35"/>
  <c r="G148" i="29" s="1"/>
  <c r="I37" i="29" l="1"/>
  <c r="G36" i="29"/>
  <c r="G35" i="29" s="1"/>
  <c r="G29" i="29" s="1"/>
  <c r="G102" i="29"/>
  <c r="I102" i="29" s="1"/>
  <c r="J9" i="30"/>
  <c r="J8" i="30"/>
  <c r="H24" i="36"/>
  <c r="J7" i="36"/>
  <c r="I148" i="29"/>
  <c r="J113" i="36"/>
  <c r="J114" i="36"/>
  <c r="J123" i="36"/>
  <c r="J124" i="36"/>
  <c r="J109" i="36"/>
  <c r="H42" i="34"/>
  <c r="H6" i="34" s="1"/>
  <c r="J43" i="34"/>
  <c r="J36" i="35"/>
  <c r="H35" i="35"/>
  <c r="J20" i="35" l="1"/>
  <c r="G147" i="29"/>
  <c r="G78" i="29"/>
  <c r="G62" i="29" s="1"/>
  <c r="J35" i="35"/>
  <c r="J42" i="34"/>
  <c r="J55" i="36"/>
  <c r="J19" i="35" l="1"/>
  <c r="J18" i="35"/>
  <c r="I147" i="29"/>
  <c r="J10" i="35"/>
  <c r="I78" i="29"/>
  <c r="J24" i="36"/>
  <c r="H23" i="36"/>
  <c r="H6" i="36" s="1"/>
  <c r="J9" i="35" l="1"/>
  <c r="G132" i="29"/>
  <c r="I132" i="29" s="1"/>
  <c r="J23" i="36"/>
  <c r="H5" i="36"/>
  <c r="H73" i="30"/>
  <c r="G125" i="29" s="1"/>
  <c r="I125" i="29" s="1"/>
  <c r="H77" i="30"/>
  <c r="H4" i="36" l="1"/>
  <c r="J4" i="36" s="1"/>
  <c r="G9" i="46"/>
  <c r="J8" i="35"/>
  <c r="G131" i="29"/>
  <c r="J5" i="36"/>
  <c r="H76" i="30"/>
  <c r="G126" i="29" s="1"/>
  <c r="I126" i="29" s="1"/>
  <c r="G127" i="29"/>
  <c r="I127" i="29" s="1"/>
  <c r="J73" i="30"/>
  <c r="H72" i="30"/>
  <c r="H62" i="30" s="1"/>
  <c r="J77" i="30"/>
  <c r="J76" i="30"/>
  <c r="I9" i="46" l="1"/>
  <c r="I131" i="29"/>
  <c r="G130" i="29"/>
  <c r="I130" i="29" s="1"/>
  <c r="J7" i="35"/>
  <c r="H6" i="35"/>
  <c r="H61" i="30"/>
  <c r="G124" i="29"/>
  <c r="G119" i="29" s="1"/>
  <c r="J6" i="36"/>
  <c r="J72" i="30"/>
  <c r="H5" i="35" l="1"/>
  <c r="G12" i="46" s="1"/>
  <c r="J6" i="35"/>
  <c r="H60" i="30"/>
  <c r="J60" i="30" s="1"/>
  <c r="J62" i="30"/>
  <c r="I124" i="29"/>
  <c r="J61" i="30"/>
  <c r="H4" i="35" l="1"/>
  <c r="J4" i="35" s="1"/>
  <c r="J5" i="35"/>
  <c r="I12" i="46"/>
  <c r="I119" i="29"/>
  <c r="G118" i="29"/>
  <c r="I118" i="29" l="1"/>
  <c r="I90" i="29"/>
  <c r="I89" i="29"/>
  <c r="I36" i="29" l="1"/>
  <c r="I35" i="29" l="1"/>
  <c r="I31" i="29" l="1"/>
  <c r="I67" i="29"/>
  <c r="I30" i="29" l="1"/>
  <c r="I29" i="29" l="1"/>
  <c r="I63" i="29" l="1"/>
  <c r="I71" i="29" l="1"/>
  <c r="H5" i="34"/>
  <c r="H4" i="34" l="1"/>
  <c r="J4" i="34" s="1"/>
  <c r="G10" i="46"/>
  <c r="J5" i="34"/>
  <c r="I62" i="29"/>
  <c r="J31" i="34"/>
  <c r="I10" i="46" l="1"/>
  <c r="J7" i="34"/>
  <c r="J6" i="34"/>
  <c r="J7" i="30"/>
  <c r="G101" i="29"/>
  <c r="I101" i="29" s="1"/>
  <c r="H6" i="30"/>
  <c r="J6" i="30" l="1"/>
  <c r="G100" i="29"/>
  <c r="G6" i="29" s="1"/>
  <c r="I6" i="29" s="1"/>
  <c r="H5" i="30"/>
  <c r="G11" i="46" s="1"/>
  <c r="G7" i="46" s="1"/>
  <c r="I100" i="29" l="1"/>
  <c r="J5" i="30"/>
  <c r="H4" i="30"/>
  <c r="J4" i="30" s="1"/>
  <c r="I11" i="46" l="1"/>
  <c r="G5" i="29"/>
  <c r="I5" i="29" s="1"/>
  <c r="I7" i="46" l="1"/>
  <c r="G6" i="46"/>
  <c r="G5" i="46" s="1"/>
  <c r="I5" i="46" s="1"/>
  <c r="I6" i="46" l="1"/>
</calcChain>
</file>

<file path=xl/comments1.xml><?xml version="1.0" encoding="utf-8"?>
<comments xmlns="http://schemas.openxmlformats.org/spreadsheetml/2006/main">
  <authors>
    <author>섬 박람회 조직위원회</author>
  </authors>
  <commentList>
    <comment ref="F35" authorId="0" shapeId="0">
      <text>
        <r>
          <rPr>
            <b/>
            <sz val="9"/>
            <color indexed="81"/>
            <rFont val="Tahoma"/>
            <family val="2"/>
          </rPr>
          <t>'25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홍보마케팅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잔액
</t>
        </r>
        <r>
          <rPr>
            <b/>
            <sz val="9"/>
            <color indexed="81"/>
            <rFont val="Tahoma"/>
            <family val="2"/>
          </rPr>
          <t>3,034,876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<sst xmlns="http://schemas.openxmlformats.org/spreadsheetml/2006/main" count="1866" uniqueCount="938">
  <si>
    <t>=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</si>
  <si>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</si>
  <si>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</si>
  <si>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</si>
  <si>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</si>
  <si>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</si>
  <si>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</si>
  <si>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</si>
  <si>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</si>
  <si>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</si>
  <si>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</si>
  <si>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</si>
  <si>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</si>
  <si>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</si>
  <si>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>단위사업</t>
    <phoneticPr fontId="12" type="noConversion"/>
  </si>
  <si>
    <t>세부사업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</si>
  <si>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</si>
  <si>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</si>
  <si>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</si>
  <si>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세목</t>
    <phoneticPr fontId="12" type="noConversion"/>
  </si>
  <si>
    <t>행사운영비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</si>
  <si>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</si>
  <si>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</si>
  <si>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</si>
  <si>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</si>
  <si>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</si>
  <si>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</si>
  <si>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</si>
  <si>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</si>
  <si>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</si>
  <si>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</si>
  <si>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</si>
  <si>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</si>
  <si>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</si>
  <si>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</si>
  <si>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</si>
  <si>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</si>
  <si>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</si>
  <si>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</si>
  <si>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</si>
  <si>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</si>
  <si>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</si>
  <si>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</si>
  <si>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</si>
  <si>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</si>
  <si>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</si>
  <si>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</si>
  <si>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</si>
  <si>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</si>
  <si>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</si>
  <si>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</si>
  <si>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</si>
  <si>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</si>
  <si>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</si>
  <si>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</si>
  <si>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</si>
  <si>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</si>
  <si>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</si>
  <si>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</si>
  <si>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</si>
  <si>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</si>
  <si>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</si>
  <si>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</si>
  <si>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</si>
  <si>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</si>
  <si>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</si>
  <si>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</si>
  <si>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</si>
  <si>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</si>
  <si>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</si>
  <si>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</si>
  <si>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</si>
  <si>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</si>
  <si>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</si>
  <si>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</si>
  <si>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</si>
  <si>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[국내여비]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</si>
  <si>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</si>
  <si>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</si>
  <si>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</si>
  <si>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</si>
  <si>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</si>
  <si>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</si>
  <si>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</si>
  <si>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</si>
  <si>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</si>
  <si>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</si>
  <si>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</si>
  <si>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</si>
  <si>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</si>
  <si>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</si>
  <si>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</si>
  <si>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</si>
  <si>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</si>
  <si>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</si>
  <si>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예비비</t>
    <phoneticPr fontId="12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</si>
  <si>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</si>
  <si>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</si>
  <si>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</si>
  <si>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</si>
  <si>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</si>
  <si>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</si>
  <si>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</si>
  <si>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일반운영비</t>
    <phoneticPr fontId="12" type="noConversion"/>
  </si>
  <si>
    <t>사무관리비</t>
    <phoneticPr fontId="12" type="noConversion"/>
  </si>
  <si>
    <t>국내여비</t>
    <phoneticPr fontId="12" type="noConversion"/>
  </si>
  <si>
    <t>행사운영비</t>
    <phoneticPr fontId="12" type="noConversion"/>
  </si>
  <si>
    <t>회의비</t>
    <phoneticPr fontId="12" type="noConversion"/>
  </si>
  <si>
    <t>기본경비</t>
    <phoneticPr fontId="12" type="noConversion"/>
  </si>
  <si>
    <t>인건비</t>
    <phoneticPr fontId="12" type="noConversion"/>
  </si>
  <si>
    <t>보수</t>
    <phoneticPr fontId="12" type="noConversion"/>
  </si>
  <si>
    <t>일반운영비</t>
    <phoneticPr fontId="12" type="noConversion"/>
  </si>
  <si>
    <t>사무관리비</t>
    <phoneticPr fontId="12" type="noConversion"/>
  </si>
  <si>
    <t>공공운영비</t>
    <phoneticPr fontId="12" type="noConversion"/>
  </si>
  <si>
    <t>여비</t>
    <phoneticPr fontId="12" type="noConversion"/>
  </si>
  <si>
    <t>국외업무여비</t>
    <phoneticPr fontId="12" type="noConversion"/>
  </si>
  <si>
    <t>업무추진비</t>
    <phoneticPr fontId="12" type="noConversion"/>
  </si>
  <si>
    <t>사업업무추진비</t>
    <phoneticPr fontId="12" type="noConversion"/>
  </si>
  <si>
    <t>직무수행경비</t>
    <phoneticPr fontId="12" type="noConversion"/>
  </si>
  <si>
    <t>직급보조비</t>
    <phoneticPr fontId="12" type="noConversion"/>
  </si>
  <si>
    <t>수선유지교체비</t>
    <phoneticPr fontId="12" type="noConversion"/>
  </si>
  <si>
    <t>수선유지비</t>
    <phoneticPr fontId="12" type="noConversion"/>
  </si>
  <si>
    <t>관서업무비</t>
    <phoneticPr fontId="12" type="noConversion"/>
  </si>
  <si>
    <t>정원가산업무비</t>
    <phoneticPr fontId="12" type="noConversion"/>
  </si>
  <si>
    <t>부서업무비</t>
    <phoneticPr fontId="12" type="noConversion"/>
  </si>
  <si>
    <t>예비비</t>
    <phoneticPr fontId="12" type="noConversion"/>
  </si>
  <si>
    <t>일반예비비</t>
    <phoneticPr fontId="12" type="noConversion"/>
  </si>
  <si>
    <t>2026여수세계섬박람회 홍보</t>
    <phoneticPr fontId="12" type="noConversion"/>
  </si>
  <si>
    <t>일반보상금</t>
    <phoneticPr fontId="12" type="noConversion"/>
  </si>
  <si>
    <t>수선유지교체비</t>
    <phoneticPr fontId="12" type="noConversion"/>
  </si>
  <si>
    <t>기본경비</t>
    <phoneticPr fontId="12" type="noConversion"/>
  </si>
  <si>
    <t>일반운영비</t>
    <phoneticPr fontId="12" type="noConversion"/>
  </si>
  <si>
    <t>공공운영비</t>
    <phoneticPr fontId="12" type="noConversion"/>
  </si>
  <si>
    <t>사업예산</t>
    <phoneticPr fontId="12" type="noConversion"/>
  </si>
  <si>
    <t>02 특정업무경비</t>
    <phoneticPr fontId="12" type="noConversion"/>
  </si>
  <si>
    <t>[급량비]</t>
    <phoneticPr fontId="12" type="noConversion"/>
  </si>
  <si>
    <t>복리후생비</t>
    <phoneticPr fontId="12" type="noConversion"/>
  </si>
  <si>
    <t>총계</t>
    <phoneticPr fontId="12" type="noConversion"/>
  </si>
  <si>
    <t>특정업무경비</t>
    <phoneticPr fontId="12" type="noConversion"/>
  </si>
  <si>
    <t>복리후생비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</si>
  <si>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</si>
  <si>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</si>
  <si>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</si>
  <si>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 총괄표</t>
    <phoneticPr fontId="12" type="noConversion"/>
  </si>
  <si>
    <t>지출예산(세부사업) - 유치협력부</t>
    <phoneticPr fontId="12" type="noConversion"/>
  </si>
  <si>
    <t>(단위 : 천 원)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</si>
  <si>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</si>
  <si>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</si>
  <si>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</si>
  <si>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</si>
  <si>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</si>
  <si>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</si>
  <si>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</si>
  <si>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</si>
  <si>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</si>
  <si>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</si>
  <si>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</si>
  <si>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</si>
  <si>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</si>
  <si>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</si>
  <si>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</si>
  <si>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</si>
  <si>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</si>
  <si>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</si>
  <si>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</si>
  <si>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</si>
  <si>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</si>
  <si>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</si>
  <si>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</si>
  <si>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</si>
  <si>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</si>
  <si>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</si>
  <si>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</si>
  <si>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</si>
  <si>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구
분</t>
    <phoneticPr fontId="48" type="noConversion"/>
  </si>
  <si>
    <t>편성목</t>
    <phoneticPr fontId="48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</si>
  <si>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</si>
  <si>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</si>
  <si>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</si>
  <si>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</si>
  <si>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</si>
  <si>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</si>
  <si>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</si>
  <si>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</si>
  <si>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</si>
  <si>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</si>
  <si>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</si>
  <si>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</si>
  <si>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</si>
  <si>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</si>
  <si>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</si>
  <si>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</si>
  <si>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</si>
  <si>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</si>
  <si>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</si>
  <si>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</si>
  <si>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</si>
  <si>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2026여수세계섬박람회 홍보</t>
    <phoneticPr fontId="12" type="noConversion"/>
  </si>
  <si>
    <t>박람회 홍보</t>
    <phoneticPr fontId="12" type="noConversion"/>
  </si>
  <si>
    <t>일반운영비</t>
    <phoneticPr fontId="12" type="noConversion"/>
  </si>
  <si>
    <t>사무관리비</t>
    <phoneticPr fontId="12" type="noConversion"/>
  </si>
  <si>
    <t>광고선전비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</si>
  <si>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</si>
  <si>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</si>
  <si>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</si>
  <si>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</si>
  <si>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</si>
  <si>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</si>
  <si>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</si>
  <si>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</si>
  <si>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</si>
  <si>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</si>
  <si>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</si>
  <si>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</si>
  <si>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</si>
  <si>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</si>
  <si>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</si>
  <si>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</si>
  <si>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</si>
  <si>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</si>
  <si>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</si>
  <si>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</si>
  <si>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</si>
  <si>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</si>
  <si>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</si>
  <si>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</si>
  <si>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</si>
  <si>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</si>
  <si>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</si>
  <si>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</si>
  <si>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</si>
  <si>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</si>
  <si>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</si>
  <si>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</si>
  <si>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</si>
  <si>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</si>
  <si>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</si>
  <si>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</si>
  <si>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</si>
  <si>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</si>
  <si>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</si>
  <si>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</si>
  <si>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지출예산(위탁) - 본예산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</si>
  <si>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</si>
  <si>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</si>
  <si>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</si>
  <si>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</si>
  <si>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</si>
  <si>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2026여수세계섬박람회 유치협력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</si>
  <si>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</si>
  <si>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</si>
  <si>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</si>
  <si>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</si>
  <si>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</si>
  <si>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</si>
  <si>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</si>
  <si>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</si>
  <si>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</si>
  <si>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</si>
  <si>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</si>
  <si>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</si>
  <si>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</si>
  <si>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</si>
  <si>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</si>
  <si>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</si>
  <si>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</si>
  <si>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</si>
  <si>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</si>
  <si>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</si>
  <si>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</si>
  <si>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</si>
  <si>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</si>
  <si>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</si>
  <si>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</si>
  <si>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</si>
  <si>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전시연출(위탁)</t>
    <phoneticPr fontId="12" type="noConversion"/>
  </si>
  <si>
    <t>2026여수세계섬박람회 연출</t>
    <phoneticPr fontId="12" type="noConversion"/>
  </si>
  <si>
    <t>2026여수세계섬박람회 기획</t>
    <phoneticPr fontId="12" type="noConversion"/>
  </si>
  <si>
    <t>사무국운영</t>
    <phoneticPr fontId="12" type="noConversion"/>
  </si>
  <si>
    <t>기본경비</t>
    <phoneticPr fontId="12" type="noConversion"/>
  </si>
  <si>
    <t>예산공통 행정운영</t>
    <phoneticPr fontId="12" type="noConversion"/>
  </si>
  <si>
    <t>기관공통 운영경비</t>
    <phoneticPr fontId="12" type="noConversion"/>
  </si>
  <si>
    <t>2026여수세계섬박람회 홍보</t>
    <phoneticPr fontId="12" type="noConversion"/>
  </si>
  <si>
    <t>홈페이지 유지관리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</si>
  <si>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</si>
  <si>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</si>
  <si>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</si>
  <si>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2026여수세계섬박람회 행정관리</t>
    <phoneticPr fontId="12" type="noConversion"/>
  </si>
  <si>
    <t>2026여수세계섬박람회 수익사업</t>
    <phoneticPr fontId="12" type="noConversion"/>
  </si>
  <si>
    <t>2026여수세계섬박람회 박람회장 수익사업</t>
    <phoneticPr fontId="12" type="noConversion"/>
  </si>
  <si>
    <t>2026여수세계섬박람회 운영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</si>
  <si>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</si>
  <si>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</si>
  <si>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기획홍보부 부서운영</t>
    <phoneticPr fontId="12" type="noConversion"/>
  </si>
  <si>
    <t>수익사업부 부서운영</t>
    <phoneticPr fontId="12" type="noConversion"/>
  </si>
  <si>
    <t>유치협력부 부서운영</t>
    <phoneticPr fontId="12" type="noConversion"/>
  </si>
  <si>
    <t>2026여수세계섬박람회 행사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</si>
  <si>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</si>
  <si>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</si>
  <si>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2026여수세계섬박람회 전시연출</t>
    <phoneticPr fontId="12" type="noConversion"/>
  </si>
  <si>
    <t>예비비(자본)</t>
    <phoneticPr fontId="12" type="noConversion"/>
  </si>
  <si>
    <t>일반예비비(자본)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</si>
  <si>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</si>
  <si>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</si>
  <si>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</si>
  <si>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</si>
  <si>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</si>
  <si>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</si>
  <si>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</si>
  <si>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자문위원회 운영</t>
    <phoneticPr fontId="48" type="noConversion"/>
  </si>
  <si>
    <t>02 기타직 보수</t>
    <phoneticPr fontId="12" type="noConversion"/>
  </si>
  <si>
    <t>[총감독 급여]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</si>
  <si>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</si>
  <si>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</si>
  <si>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</si>
  <si>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</si>
  <si>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</si>
  <si>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</si>
  <si>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</si>
  <si>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</si>
  <si>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</si>
  <si>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</si>
  <si>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</si>
  <si>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</si>
  <si>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</si>
  <si>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</si>
  <si>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</si>
  <si>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</si>
  <si>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</si>
  <si>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</si>
  <si>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2026여수세계섬박람회 행정 업무추진</t>
    <phoneticPr fontId="12" type="noConversion"/>
  </si>
  <si>
    <t>이사회 및 각종 위원회 운영</t>
    <phoneticPr fontId="12" type="noConversion"/>
  </si>
  <si>
    <t>기타직보수</t>
    <phoneticPr fontId="12" type="noConversion"/>
  </si>
  <si>
    <t>기간제근로자등보수</t>
    <phoneticPr fontId="12" type="noConversion"/>
  </si>
  <si>
    <t>퇴직급여</t>
    <phoneticPr fontId="12" type="noConversion"/>
  </si>
  <si>
    <t>퇴직급여충당금</t>
    <phoneticPr fontId="12" type="noConversion"/>
  </si>
  <si>
    <t>연금부담금 등</t>
    <phoneticPr fontId="12" type="noConversion"/>
  </si>
  <si>
    <t>연금부담금</t>
    <phoneticPr fontId="12" type="noConversion"/>
  </si>
  <si>
    <t>박람회장 운영</t>
    <phoneticPr fontId="12" type="noConversion"/>
  </si>
  <si>
    <t>대행사 선정</t>
    <phoneticPr fontId="12" type="noConversion"/>
  </si>
  <si>
    <t>일반운영비</t>
    <phoneticPr fontId="12" type="noConversion"/>
  </si>
  <si>
    <t>행사운영비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</si>
  <si>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</si>
  <si>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</si>
  <si>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</si>
  <si>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</si>
  <si>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</si>
  <si>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</si>
  <si>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</si>
  <si>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</si>
  <si>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</si>
  <si>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</si>
  <si>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</si>
  <si>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</si>
  <si>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</si>
  <si>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</si>
  <si>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</si>
  <si>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</si>
  <si>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>03 행사운영비</t>
    <phoneticPr fontId="12" type="noConversion"/>
  </si>
  <si>
    <t>14 회의비</t>
    <phoneticPr fontId="12" type="noConversion"/>
  </si>
  <si>
    <t>[회의비]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</si>
  <si>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</si>
  <si>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</si>
  <si>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</si>
  <si>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</si>
  <si>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</si>
  <si>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</si>
  <si>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</si>
  <si>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</si>
  <si>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</si>
  <si>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</si>
  <si>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</si>
  <si>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</si>
  <si>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</si>
  <si>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</si>
  <si>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운영부 사무국운영</t>
    <phoneticPr fontId="12" type="noConversion"/>
  </si>
  <si>
    <t>정원가산업무비</t>
    <phoneticPr fontId="12" type="noConversion"/>
  </si>
  <si>
    <t>부서업무비</t>
    <phoneticPr fontId="12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</si>
  <si>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</si>
  <si>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</si>
  <si>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</si>
  <si>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</si>
  <si>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</si>
  <si>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>[부서업무비]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</si>
  <si>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</si>
  <si>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</si>
  <si>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</si>
  <si>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</si>
  <si>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</si>
  <si>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</si>
  <si>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</si>
  <si>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</si>
  <si>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</si>
  <si>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</si>
  <si>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</si>
  <si>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수익사업부 부서운영 총액계상 : 175,000원*12월</t>
    <phoneticPr fontId="12" type="noConversion"/>
  </si>
  <si>
    <t xml:space="preserve"> ○ 예비비(자본) : 0원</t>
    <phoneticPr fontId="12" type="noConversion"/>
  </si>
  <si>
    <t>자문위원회 운영</t>
    <phoneticPr fontId="12" type="noConversion"/>
  </si>
  <si>
    <t>=</t>
    <phoneticPr fontId="12" type="noConversion"/>
  </si>
  <si>
    <t>=</t>
    <phoneticPr fontId="12" type="noConversion"/>
  </si>
  <si>
    <t xml:space="preserve"> ○ 홍보대사, 서포터즈 운영 : 20,000,000원*1식</t>
    <phoneticPr fontId="12" type="noConversion"/>
  </si>
  <si>
    <t>300 경상이전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</si>
  <si>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</si>
  <si>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</si>
  <si>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</si>
  <si>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</si>
  <si>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</si>
  <si>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>[행사운영비]</t>
    <phoneticPr fontId="12" type="noConversion"/>
  </si>
  <si>
    <t>01 시설비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</si>
  <si>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</si>
  <si>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</si>
  <si>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</si>
  <si>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[시설비]</t>
    <phoneticPr fontId="12" type="noConversion"/>
  </si>
  <si>
    <t>관서업무비</t>
    <phoneticPr fontId="12" type="noConversion"/>
  </si>
  <si>
    <t>부서운영비</t>
    <phoneticPr fontId="12" type="noConversion"/>
  </si>
  <si>
    <t>01 국내여비</t>
    <phoneticPr fontId="12" type="noConversion"/>
  </si>
  <si>
    <t>기타보상금</t>
    <phoneticPr fontId="12" type="noConversion"/>
  </si>
  <si>
    <t>문화행사 추진</t>
    <phoneticPr fontId="12" type="noConversion"/>
  </si>
  <si>
    <t>섬박람회 랜드마크 조성사업</t>
    <phoneticPr fontId="12" type="noConversion"/>
  </si>
  <si>
    <t>시설비및부대비</t>
    <phoneticPr fontId="12" type="noConversion"/>
  </si>
  <si>
    <t>시설비</t>
    <phoneticPr fontId="12" type="noConversion"/>
  </si>
  <si>
    <t>2026여수세계섬박람회 시설조성</t>
    <phoneticPr fontId="12" type="noConversion"/>
  </si>
  <si>
    <t>섬박람회장 열린문화공간 조성</t>
    <phoneticPr fontId="48" type="noConversion"/>
  </si>
  <si>
    <t>섬박람회 상징 아트 포토존 조성</t>
  </si>
  <si>
    <t>03 국외업무여비</t>
    <phoneticPr fontId="12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</si>
  <si>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</si>
  <si>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</si>
  <si>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</si>
  <si>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>14 기타보상금</t>
    <phoneticPr fontId="12" type="noConversion"/>
  </si>
  <si>
    <t>일반보상금</t>
    <phoneticPr fontId="12" type="noConversion"/>
  </si>
  <si>
    <t>외빈초청여비</t>
    <phoneticPr fontId="12" type="noConversion"/>
  </si>
  <si>
    <t>2026여수세계섬박람회 유치</t>
    <phoneticPr fontId="12" type="noConversion"/>
  </si>
  <si>
    <t>[임차료]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</si>
  <si>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</si>
  <si>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</si>
  <si>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</si>
  <si>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</si>
  <si>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</si>
  <si>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</si>
  <si>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>박람회 입장권 사업</t>
    <phoneticPr fontId="48" type="noConversion"/>
  </si>
  <si>
    <t>14 기타보상금</t>
    <phoneticPr fontId="12" type="noConversion"/>
  </si>
  <si>
    <t>[기타보상금]</t>
    <phoneticPr fontId="12" type="noConversion"/>
  </si>
  <si>
    <t>박람회 휘장업무 추진</t>
    <phoneticPr fontId="12" type="noConversion"/>
  </si>
  <si>
    <t>일반운영비</t>
    <phoneticPr fontId="12" type="noConversion"/>
  </si>
  <si>
    <t>사무관리비</t>
    <phoneticPr fontId="12" type="noConversion"/>
  </si>
  <si>
    <t>사무관리비</t>
    <phoneticPr fontId="12" type="noConversion"/>
  </si>
  <si>
    <t>박람회 입장권 사업</t>
    <phoneticPr fontId="12" type="noConversion"/>
  </si>
  <si>
    <t>일반보상금</t>
    <phoneticPr fontId="12" type="noConversion"/>
  </si>
  <si>
    <t>기타보상금</t>
    <phoneticPr fontId="12" type="noConversion"/>
  </si>
  <si>
    <t>정책</t>
    <phoneticPr fontId="48" type="noConversion"/>
  </si>
  <si>
    <t>=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</si>
  <si>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</si>
  <si>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</si>
  <si>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</si>
  <si>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3급기관장(사무총장) : 10,000,000원*1식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</si>
  <si>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</si>
  <si>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</si>
  <si>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</si>
  <si>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</si>
  <si>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인터넷 사용료 : 330,000원*12월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</si>
  <si>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</si>
  <si>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</si>
  <si>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관람객 유치</t>
    <phoneticPr fontId="12" type="noConversion"/>
  </si>
  <si>
    <t>비교증감
(A-B)</t>
    <phoneticPr fontId="12" type="noConversion"/>
  </si>
  <si>
    <t>박람회 기획</t>
    <phoneticPr fontId="48" type="noConversion"/>
  </si>
  <si>
    <t>박람회 기획</t>
    <phoneticPr fontId="12" type="noConversion"/>
  </si>
  <si>
    <t>2026여수세계섬박람회 전시연출</t>
    <phoneticPr fontId="12" type="noConversion"/>
  </si>
  <si>
    <t>섬 테마존 조성 업무 추진</t>
    <phoneticPr fontId="48" type="noConversion"/>
  </si>
  <si>
    <t>[임차료]</t>
    <phoneticPr fontId="12" type="noConversion"/>
  </si>
  <si>
    <t>섬박람회 상징 아트포토존 조성 업무 추진</t>
    <phoneticPr fontId="48" type="noConversion"/>
  </si>
  <si>
    <t>2026여수세계섬박람회 전시연출</t>
  </si>
  <si>
    <t>180 유보자금</t>
    <phoneticPr fontId="12" type="noConversion"/>
  </si>
  <si>
    <t>181 순세계잉여금</t>
    <phoneticPr fontId="12" type="noConversion"/>
  </si>
  <si>
    <t>01 순세계잉여금</t>
    <phoneticPr fontId="12" type="noConversion"/>
  </si>
  <si>
    <t>03 대행사업비 사용잔액</t>
    <phoneticPr fontId="12" type="noConversion"/>
  </si>
  <si>
    <t>박람회 홍보</t>
    <phoneticPr fontId="12" type="noConversion"/>
  </si>
  <si>
    <t xml:space="preserve"> </t>
    <phoneticPr fontId="12" type="noConversion"/>
  </si>
  <si>
    <t>2026여수세계섬박람회 주행사장 조성연출</t>
    <phoneticPr fontId="12" type="noConversion"/>
  </si>
  <si>
    <t>박람회 조성</t>
    <phoneticPr fontId="12" type="noConversion"/>
  </si>
  <si>
    <t>박람회 조성</t>
    <phoneticPr fontId="12" type="noConversion"/>
  </si>
  <si>
    <t>시설비 및 부대비</t>
    <phoneticPr fontId="12" type="noConversion"/>
  </si>
  <si>
    <t>시설비</t>
    <phoneticPr fontId="12" type="noConversion"/>
  </si>
  <si>
    <t>박람회 조성</t>
    <phoneticPr fontId="12" type="noConversion"/>
  </si>
  <si>
    <t>박람회 조성</t>
    <phoneticPr fontId="48" type="noConversion"/>
  </si>
  <si>
    <t>400 자본지출</t>
    <phoneticPr fontId="12" type="noConversion"/>
  </si>
  <si>
    <t>401 시설비 및 부대비</t>
    <phoneticPr fontId="12" type="noConversion"/>
  </si>
  <si>
    <t>01 시설비</t>
    <phoneticPr fontId="12" type="noConversion"/>
  </si>
  <si>
    <t>[시설비]</t>
    <phoneticPr fontId="12" type="noConversion"/>
  </si>
  <si>
    <t>자본예산</t>
    <phoneticPr fontId="12" type="noConversion"/>
  </si>
  <si>
    <t xml:space="preserve"> ○ 섬박람회 광고 홍보료 : 500,000,000원*1식</t>
    <phoneticPr fontId="12" type="noConversion"/>
  </si>
  <si>
    <t>10 행사실비보상금</t>
    <phoneticPr fontId="12" type="noConversion"/>
  </si>
  <si>
    <t>[행사실비보상금]</t>
    <phoneticPr fontId="12" type="noConversion"/>
  </si>
  <si>
    <t>행사실비보상금</t>
    <phoneticPr fontId="12" type="noConversion"/>
  </si>
  <si>
    <t>2026여수세계섬박람회 조성연출</t>
  </si>
  <si>
    <t>2026여수세계섬박람회 조성연출</t>
    <phoneticPr fontId="12" type="noConversion"/>
  </si>
  <si>
    <r>
      <t>세계 섬</t>
    </r>
    <r>
      <rPr>
        <b/>
        <sz val="10"/>
        <rFont val="맑은 고딕 Semilight"/>
        <family val="3"/>
        <charset val="129"/>
      </rPr>
      <t>‧</t>
    </r>
    <r>
      <rPr>
        <b/>
        <sz val="10"/>
        <rFont val="굴림"/>
        <family val="3"/>
        <charset val="129"/>
      </rPr>
      <t>한국의 섬 테마존 조성</t>
    </r>
    <phoneticPr fontId="48" type="noConversion"/>
  </si>
  <si>
    <t>박람회 굿즈 제작</t>
    <phoneticPr fontId="48" type="noConversion"/>
  </si>
  <si>
    <t>박람회 굿즈 제작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</si>
  <si>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</si>
  <si>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</si>
  <si>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지출예산(세부사업) - 종합상황실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</si>
  <si>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</si>
  <si>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</si>
  <si>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[시책추진업무추진비]</t>
    <phoneticPr fontId="12" type="noConversion"/>
  </si>
  <si>
    <t>2026여수세계섬박람회 종합상황실</t>
    <phoneticPr fontId="12" type="noConversion"/>
  </si>
  <si>
    <t>업무추진비</t>
    <phoneticPr fontId="12" type="noConversion"/>
  </si>
  <si>
    <t xml:space="preserve"> ○ 변경등기 수수료 : 200,000원*4회</t>
    <phoneticPr fontId="12" type="noConversion"/>
  </si>
  <si>
    <t xml:space="preserve"> ○ 이사회 참석수당 : 150,000원*12명*7회</t>
    <phoneticPr fontId="12" type="noConversion"/>
  </si>
  <si>
    <t xml:space="preserve"> ○ 이사회 참석자 실비보상 : 100,000원*12명*7회</t>
    <phoneticPr fontId="12" type="noConversion"/>
  </si>
  <si>
    <t xml:space="preserve"> ○ 이사회 등 회의 운영비 : 400,000원*3회</t>
    <phoneticPr fontId="12" type="noConversion"/>
  </si>
  <si>
    <t xml:space="preserve"> ○ 연봉 : 8,468,460원*11월 </t>
    <phoneticPr fontId="12" type="noConversion"/>
  </si>
  <si>
    <t xml:space="preserve"> ○ 연차수당 : 8,468,460원*86%*1/30*17일</t>
    <phoneticPr fontId="12" type="noConversion"/>
  </si>
  <si>
    <t xml:space="preserve"> ○ 인부임 : 98,440원*1명*22일*11월</t>
    <phoneticPr fontId="12" type="noConversion"/>
  </si>
  <si>
    <t xml:space="preserve"> ○ 주휴수당 : 98,440원*1명*4일*11월</t>
    <phoneticPr fontId="12" type="noConversion"/>
  </si>
  <si>
    <t xml:space="preserve"> ○ 연차수당 : 98,440원*1명*17일</t>
    <phoneticPr fontId="12" type="noConversion"/>
  </si>
  <si>
    <t xml:space="preserve"> ○ 사무총장 : 17,000,000원*1회</t>
    <phoneticPr fontId="12" type="noConversion"/>
  </si>
  <si>
    <t>=</t>
    <phoneticPr fontId="12" type="noConversion"/>
  </si>
  <si>
    <t>=</t>
    <phoneticPr fontId="12" type="noConversion"/>
  </si>
  <si>
    <t xml:space="preserve"> ○ 본부장실 관리요원 : 5,200,000원*1회</t>
    <phoneticPr fontId="12" type="noConversion"/>
  </si>
  <si>
    <t xml:space="preserve"> ○ 총감독 : 30,000,000원*1회</t>
    <phoneticPr fontId="12" type="noConversion"/>
  </si>
  <si>
    <t xml:space="preserve"> ○ 공용차량 임차비(업무용, 수행용) 950,000원*2대*12월</t>
    <phoneticPr fontId="12" type="noConversion"/>
  </si>
  <si>
    <t xml:space="preserve"> ○ 전기요금 등 공공요금 납부 : 2,000,000원*12월</t>
    <phoneticPr fontId="12" type="noConversion"/>
  </si>
  <si>
    <t xml:space="preserve"> ○ 회계관계공무원 재정보증보험 : 1,500,000원*1식</t>
    <phoneticPr fontId="12" type="noConversion"/>
  </si>
  <si>
    <t xml:space="preserve"> ○ 차량 주유비 : 200,000원*2대*12월</t>
    <phoneticPr fontId="12" type="noConversion"/>
  </si>
  <si>
    <t xml:space="preserve"> ○ 차량 유지관리비 : 50,000원*2대*12월</t>
    <phoneticPr fontId="12" type="noConversion"/>
  </si>
  <si>
    <t xml:space="preserve"> ○ 행정관리 기본업무 수행 관내여비 : 20,000원*8명*2일*11월</t>
    <phoneticPr fontId="12" type="noConversion"/>
  </si>
  <si>
    <t xml:space="preserve"> ○ 행정관리 업무추진 관외여비 : 110,000원*7명*11월</t>
    <phoneticPr fontId="12" type="noConversion"/>
  </si>
  <si>
    <t xml:space="preserve"> ○ 부장, 협력관(5급) : 100,000원*10명*12월</t>
    <phoneticPr fontId="12" type="noConversion"/>
  </si>
  <si>
    <t xml:space="preserve"> ○ 사무실 통신선 등 수선유지비 : 8,000,000원*1식</t>
    <phoneticPr fontId="12" type="noConversion"/>
  </si>
  <si>
    <t xml:space="preserve"> ○ 기획본부 정원가산총액계상 : 80,000원*38명</t>
    <phoneticPr fontId="12" type="noConversion"/>
  </si>
  <si>
    <t xml:space="preserve"> ○ 건강보험 : 8,468,460원*3.6%*11월</t>
    <phoneticPr fontId="12" type="noConversion"/>
  </si>
  <si>
    <t xml:space="preserve"> ○ 고용연금 : 8,468,460원*1.5%*11월</t>
    <phoneticPr fontId="12" type="noConversion"/>
  </si>
  <si>
    <t xml:space="preserve"> ○ 산재보험 : 8,468,460원*1.4%*11월</t>
    <phoneticPr fontId="12" type="noConversion"/>
  </si>
  <si>
    <t xml:space="preserve"> ○ 건강보험 : 11,100,000원*3.6%*11월 </t>
    <phoneticPr fontId="12" type="noConversion"/>
  </si>
  <si>
    <t xml:space="preserve"> ○ 고용연금 : 11,100,000원*1.5%*11월 </t>
    <phoneticPr fontId="12" type="noConversion"/>
  </si>
  <si>
    <t>○ 사용자부담금 : 29,829,000원*11%</t>
    <phoneticPr fontId="12" type="noConversion"/>
  </si>
  <si>
    <t xml:space="preserve"> ○ 자문위원회 자문수당(대면) : 150,000원*2회*25명</t>
    <phoneticPr fontId="12" type="noConversion"/>
  </si>
  <si>
    <t xml:space="preserve"> ○ 자문위원회 자문수당(서면) : 100,000원*2회*25명</t>
    <phoneticPr fontId="12" type="noConversion"/>
  </si>
  <si>
    <t xml:space="preserve"> ○ 자문위원회 참석자 실비 보상 : 2,500,000원*1식</t>
    <phoneticPr fontId="12" type="noConversion"/>
  </si>
  <si>
    <t>일반운영비</t>
    <phoneticPr fontId="12" type="noConversion"/>
  </si>
  <si>
    <t>사무관리비</t>
    <phoneticPr fontId="12" type="noConversion"/>
  </si>
  <si>
    <t>200 물건비</t>
  </si>
  <si>
    <t>202 여비</t>
  </si>
  <si>
    <t>01 국내여비</t>
  </si>
  <si>
    <t xml:space="preserve"> ○ 홍보물품 등 제작 : 200,000,000원*1식</t>
    <phoneticPr fontId="12" type="noConversion"/>
  </si>
  <si>
    <t>301 일반보상금</t>
    <phoneticPr fontId="12" type="noConversion"/>
  </si>
  <si>
    <t>300 경상이전</t>
    <phoneticPr fontId="12" type="noConversion"/>
  </si>
  <si>
    <t xml:space="preserve"> ○ 사전 홍보 이벤트 : 50,000,000원*1식</t>
    <phoneticPr fontId="12" type="noConversion"/>
  </si>
  <si>
    <t>2026여수세계섬박람회 유치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</si>
  <si>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</si>
  <si>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</si>
  <si>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각종 이벤트 경품 : 10,000,000원*1식</t>
    <phoneticPr fontId="12" type="noConversion"/>
  </si>
  <si>
    <t>621 상품등판매수익</t>
    <phoneticPr fontId="12" type="noConversion"/>
  </si>
  <si>
    <t>01 상품판매수익</t>
    <phoneticPr fontId="12" type="noConversion"/>
  </si>
  <si>
    <t>624 입장료수익</t>
    <phoneticPr fontId="12" type="noConversion"/>
  </si>
  <si>
    <t>01 입장료수익</t>
    <phoneticPr fontId="12" type="noConversion"/>
  </si>
  <si>
    <t>661 기타영업수익</t>
    <phoneticPr fontId="12" type="noConversion"/>
  </si>
  <si>
    <t>05 부대시설임대수익</t>
    <phoneticPr fontId="12" type="noConversion"/>
  </si>
  <si>
    <t>[운영수당]</t>
    <phoneticPr fontId="12" type="noConversion"/>
  </si>
  <si>
    <t xml:space="preserve"> ○ 휘장업무 추진 사무용품 등 구입 : 110,000원*10월</t>
    <phoneticPr fontId="12" type="noConversion"/>
  </si>
  <si>
    <t xml:space="preserve"> ○ 공식공급권자 선정 심사위원 교통비 등 기타실비 : 700,000원*1식</t>
    <phoneticPr fontId="12" type="noConversion"/>
  </si>
  <si>
    <t xml:space="preserve"> ○ 입장권 판촉 홍보물 제작 : 15,000,000원*1식  </t>
    <phoneticPr fontId="12" type="noConversion"/>
  </si>
  <si>
    <t>=</t>
    <phoneticPr fontId="12" type="noConversion"/>
  </si>
  <si>
    <t xml:space="preserve"> ○ 입장권 제휴 할인 홍보물 제작 : 3,000,000원*1식</t>
    <phoneticPr fontId="12" type="noConversion"/>
  </si>
  <si>
    <t xml:space="preserve"> ○ 입장권 사업 추진 사무용품 구입 : 216,000원*10월</t>
    <phoneticPr fontId="12" type="noConversion"/>
  </si>
  <si>
    <t xml:space="preserve"> ○ 입장권 구매보상금 지급 : 40,000,000원*1식</t>
    <phoneticPr fontId="12" type="noConversion"/>
  </si>
  <si>
    <t xml:space="preserve"> ○ 박람회 굿즈 제작 100,000,000원*1식</t>
    <phoneticPr fontId="12" type="noConversion"/>
  </si>
  <si>
    <t xml:space="preserve"> ○ 수익사업부 기본업무 수행 관내여비 : 20,000원*6명*2일*10월</t>
    <phoneticPr fontId="12" type="noConversion"/>
  </si>
  <si>
    <t xml:space="preserve"> ○ 수익사업부 기본업무 수행 관외여비 : 110,000원*6명*10월</t>
    <phoneticPr fontId="12" type="noConversion"/>
  </si>
  <si>
    <t xml:space="preserve"> ○ 수익사업부 업무추진 : 1,500,000원*1식</t>
    <phoneticPr fontId="12" type="noConversion"/>
  </si>
  <si>
    <t>여비</t>
    <phoneticPr fontId="12" type="noConversion"/>
  </si>
  <si>
    <t>여비</t>
    <phoneticPr fontId="12" type="noConversion"/>
  </si>
  <si>
    <t>2026여수세계섬박람회 유치</t>
    <phoneticPr fontId="12" type="noConversion"/>
  </si>
  <si>
    <t>국가기업 등 유치</t>
    <phoneticPr fontId="48" type="noConversion"/>
  </si>
  <si>
    <t xml:space="preserve"> ○ 국내·외 관람객 홍보물 등 발송 우편료 : 2,500원*2,000개소</t>
    <phoneticPr fontId="12" type="noConversion"/>
  </si>
  <si>
    <t xml:space="preserve"> ○ 부서 운영을 위한 소모품 구입 : 200,000원*10월</t>
    <phoneticPr fontId="12" type="noConversion"/>
  </si>
  <si>
    <t xml:space="preserve"> ○ 기본업무수행 급량비 : 9,000원*7명*8일*10월</t>
    <phoneticPr fontId="12" type="noConversion"/>
  </si>
  <si>
    <t xml:space="preserve"> ○ 유치협력부 업무추진 : 1,500,000원*1식</t>
    <phoneticPr fontId="12" type="noConversion"/>
  </si>
  <si>
    <t xml:space="preserve"> ○ 협력관 업무추진 : 1,500,000원*1식</t>
    <phoneticPr fontId="12" type="noConversion"/>
  </si>
  <si>
    <t>국가 기업 등 유치</t>
    <phoneticPr fontId="12" type="noConversion"/>
  </si>
  <si>
    <t>공공운영비</t>
    <phoneticPr fontId="12" type="noConversion"/>
  </si>
  <si>
    <t>국외업무여비</t>
    <phoneticPr fontId="12" type="noConversion"/>
  </si>
  <si>
    <t xml:space="preserve"> ○ 공식여행사 인센티브 지급 250,000,000원*1식</t>
    <phoneticPr fontId="12" type="noConversion"/>
  </si>
  <si>
    <t>[행사운영비]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</si>
  <si>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</si>
  <si>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</si>
  <si>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참가국 초청대상자 등 외빈 초청 730,000,000원*1식</t>
    <phoneticPr fontId="12" type="noConversion"/>
  </si>
  <si>
    <t>2026국제섬포럼in Yeosu</t>
    <phoneticPr fontId="48" type="noConversion"/>
  </si>
  <si>
    <t xml:space="preserve"> ○ 대행사 선정 심사수당 : 300,000원*10명</t>
    <phoneticPr fontId="12" type="noConversion"/>
  </si>
  <si>
    <t xml:space="preserve"> ○ 대행사 선정 심사위원 기타실비 : 1,000,000원*1식</t>
    <phoneticPr fontId="12" type="noConversion"/>
  </si>
  <si>
    <t xml:space="preserve"> ○ 2026 국제 섬 포럼 in Yeosu 개최 : 220,000,000원*1식</t>
    <phoneticPr fontId="12" type="noConversion"/>
  </si>
  <si>
    <t xml:space="preserve"> ○ 2026 국제 섬 포럼 in Yeosu 참가자 및 외빈 초청 : 46,000,000원*1식</t>
    <phoneticPr fontId="12" type="noConversion"/>
  </si>
  <si>
    <t>세계섬도시대회</t>
    <phoneticPr fontId="48" type="noConversion"/>
  </si>
  <si>
    <t xml:space="preserve"> ○ 세계섬도시대회 개최 : 354,000,000원*1식</t>
    <phoneticPr fontId="12" type="noConversion"/>
  </si>
  <si>
    <t xml:space="preserve"> ○ 세계섬도시대회 참가자 및 외빈 초청 : 242,000,000원*1식</t>
    <phoneticPr fontId="12" type="noConversion"/>
  </si>
  <si>
    <t>기업관 부스 운영</t>
    <phoneticPr fontId="12" type="noConversion"/>
  </si>
  <si>
    <t>참가국 지원</t>
    <phoneticPr fontId="12" type="noConversion"/>
  </si>
  <si>
    <t>2026국제섬포럼 in Yeosu</t>
    <phoneticPr fontId="12" type="noConversion"/>
  </si>
  <si>
    <t>사무관리비</t>
    <phoneticPr fontId="12" type="noConversion"/>
  </si>
  <si>
    <t>세계섬도시대회</t>
    <phoneticPr fontId="12" type="noConversion"/>
  </si>
  <si>
    <t>03 행사운영비</t>
    <phoneticPr fontId="12" type="noConversion"/>
  </si>
  <si>
    <t>[임차료]</t>
    <phoneticPr fontId="12" type="noConversion"/>
  </si>
  <si>
    <t>200 물건비</t>
    <phoneticPr fontId="12" type="noConversion"/>
  </si>
  <si>
    <t xml:space="preserve"> ○ 운영부 기본업무 수행 관외여비 : 110,000원*6명*11월</t>
    <phoneticPr fontId="12" type="noConversion"/>
  </si>
  <si>
    <t xml:space="preserve"> ○ 운영부 기본업무 수행 관내여비 : 20,000원*7명*2일*10월</t>
    <phoneticPr fontId="12" type="noConversion"/>
  </si>
  <si>
    <t xml:space="preserve"> ○ 운영본부 정원가산총액계상 : 80,000원*30명</t>
    <phoneticPr fontId="12" type="noConversion"/>
  </si>
  <si>
    <t xml:space="preserve"> ○ 부서운영을 위한 소모품 구입 : 200,000원*10월</t>
    <phoneticPr fontId="12" type="noConversion"/>
  </si>
  <si>
    <t xml:space="preserve"> ○ 행사부 업무추진 :1,500,000원*1식</t>
    <phoneticPr fontId="12" type="noConversion"/>
  </si>
  <si>
    <t xml:space="preserve"> ○ 기본업무수행 급량비 : 9,000원*7명*8일*12월</t>
    <phoneticPr fontId="12" type="noConversion"/>
  </si>
  <si>
    <t xml:space="preserve"> ○ 부서운영을 위한 소모품 구입 : 200,000원*10월</t>
    <phoneticPr fontId="12" type="noConversion"/>
  </si>
  <si>
    <t>2026여수세계섬박람회 시설조성(수익)</t>
    <phoneticPr fontId="12" type="noConversion"/>
  </si>
  <si>
    <t>전시관 및 운영·부대시설 설치</t>
    <phoneticPr fontId="48" type="noConversion"/>
  </si>
  <si>
    <t>[행사운영비]</t>
    <phoneticPr fontId="12" type="noConversion"/>
  </si>
  <si>
    <t>섬박람회 랜드마크 조성사업(수익)</t>
  </si>
  <si>
    <t>랜드마크 조성(수익)</t>
    <phoneticPr fontId="12" type="noConversion"/>
  </si>
  <si>
    <t>랜드마크 조성(수익)</t>
    <phoneticPr fontId="48" type="noConversion"/>
  </si>
  <si>
    <t>섬박람회 안전시설물 설치사업(수익)</t>
    <phoneticPr fontId="12" type="noConversion"/>
  </si>
  <si>
    <t>안전시설물 설치(수익)</t>
    <phoneticPr fontId="12" type="noConversion"/>
  </si>
  <si>
    <t>섬박람회 랜드마크 조성사업(수익)</t>
    <phoneticPr fontId="12" type="noConversion"/>
  </si>
  <si>
    <t>박람회 전시연출</t>
  </si>
  <si>
    <t>박람회 전시연출</t>
    <phoneticPr fontId="48" type="noConversion"/>
  </si>
  <si>
    <t>03 행사운영비</t>
    <phoneticPr fontId="12" type="noConversion"/>
  </si>
  <si>
    <t>[행사운영비]</t>
    <phoneticPr fontId="12" type="noConversion"/>
  </si>
  <si>
    <t xml:space="preserve"> ○ 전시연출 콘텐츠 개발 2,098,000,000원*1식</t>
    <phoneticPr fontId="12" type="noConversion"/>
  </si>
  <si>
    <t>01 사무관리비</t>
    <phoneticPr fontId="12" type="noConversion"/>
  </si>
  <si>
    <t xml:space="preserve"> ○ 기본업무수행 급량비 : 9,000원*7명*8일*11월</t>
    <phoneticPr fontId="12" type="noConversion"/>
  </si>
  <si>
    <t xml:space="preserve"> ○ 전시연출부 업무추진 : 1,500,000원*1식</t>
    <phoneticPr fontId="12" type="noConversion"/>
  </si>
  <si>
    <t xml:space="preserve"> ○ 종합상황실 부서운영 총액계상 : 100,000원*12월</t>
    <phoneticPr fontId="12" type="noConversion"/>
  </si>
  <si>
    <t xml:space="preserve"> ○ 산재보험 : 11,100,000원*1.4%*11월 </t>
    <phoneticPr fontId="12" type="noConversion"/>
  </si>
  <si>
    <t>섬박람회 안전시설물 설치사업(수익)</t>
  </si>
  <si>
    <t>직접사업비(사업예산+자본예산)</t>
    <phoneticPr fontId="12" type="noConversion"/>
  </si>
  <si>
    <t>전시관 및 운영·부대시설 설치</t>
  </si>
  <si>
    <t>행사운영비</t>
    <phoneticPr fontId="12" type="noConversion"/>
  </si>
  <si>
    <t xml:space="preserve"> ○ 기본업무수행 급량비 : 9,000원*8명*8일*12월</t>
    <phoneticPr fontId="12" type="noConversion"/>
  </si>
  <si>
    <t xml:space="preserve"> ○ 기본업무수행 급량비 : 9,000원*10명*8일*12월</t>
    <phoneticPr fontId="12" type="noConversion"/>
  </si>
  <si>
    <t xml:space="preserve"> ○ 기관공통운영 국외업무여비 : 50,000,000원*1식</t>
    <phoneticPr fontId="12" type="noConversion"/>
  </si>
  <si>
    <t xml:space="preserve"> ○ 회의실 임차료 : 400,000원*4회</t>
    <phoneticPr fontId="12" type="noConversion"/>
  </si>
  <si>
    <t xml:space="preserve"> ○ 회의실 임차료 : 400,000원*4회</t>
    <phoneticPr fontId="12" type="noConversion"/>
  </si>
  <si>
    <t xml:space="preserve"> ○ 입장권 판촉활동 등 관외여비 : 110,000원*2명*3일*5월</t>
    <phoneticPr fontId="12" type="noConversion"/>
  </si>
  <si>
    <t xml:space="preserve"> ○ 박람회 홍보 관외여비 110,000원*2명*3일*5월</t>
    <phoneticPr fontId="12" type="noConversion"/>
  </si>
  <si>
    <t xml:space="preserve"> ○ 국가·기업 등 유치활동을 위한 관외여비 : 110,000원*2명*3일*5월</t>
    <phoneticPr fontId="12" type="noConversion"/>
  </si>
  <si>
    <t xml:space="preserve"> ○ 후원 유치를 위한 홍보물 등 제작 : 4,000,000원*1식</t>
    <phoneticPr fontId="12" type="noConversion"/>
  </si>
  <si>
    <t xml:space="preserve"> ○ 비상임 급여 : 7,000,000원*2월</t>
    <phoneticPr fontId="12" type="noConversion"/>
  </si>
  <si>
    <t xml:space="preserve"> ○ 월급여 : 12,000,000원*9월</t>
    <phoneticPr fontId="12" type="noConversion"/>
  </si>
  <si>
    <t xml:space="preserve"> ○ 복사용지 등 사무용품 구입 : 6,000,000원*1식 </t>
  </si>
  <si>
    <t xml:space="preserve"> ○ 복사기 및 프린터토너 구입 : 7,000,000원*1식</t>
  </si>
  <si>
    <t xml:space="preserve"> ○ 사무실 환경정비용품 구입 : 5,000,000원*1식</t>
  </si>
  <si>
    <t xml:space="preserve"> ○ 방문차량 주차요금 : 1,000,000원*1식 </t>
  </si>
  <si>
    <t xml:space="preserve"> ○ 정수기 렌탈 요금 : 175,000원*12월</t>
  </si>
  <si>
    <t xml:space="preserve"> ○ 공기청정기 렌탈요금 : 341,600원*12월</t>
  </si>
  <si>
    <t xml:space="preserve"> ○ 무인경비시스템 이용료 : 330,000원*12월</t>
  </si>
  <si>
    <t xml:space="preserve"> ○ 공용차량 하이패스 이용료 : 50,000원*2대*12월</t>
  </si>
  <si>
    <t xml:space="preserve"> ○ 조달청 이용 수수료 : 500,000원*1식</t>
  </si>
  <si>
    <t xml:space="preserve"> ○ 4급이상 : 600,000원*2명*11월</t>
    <phoneticPr fontId="12" type="noConversion"/>
  </si>
  <si>
    <t xml:space="preserve"> ○ 5급이하 : 400,000원*66명*11월</t>
    <phoneticPr fontId="12" type="noConversion"/>
  </si>
  <si>
    <t xml:space="preserve"> ○ 타시군(도) 주거지원비 : 500,000원*18명*11월</t>
    <phoneticPr fontId="12" type="noConversion"/>
  </si>
  <si>
    <t xml:space="preserve"> ○ 사무총장 정액급식비 : 140,000원*11월</t>
    <phoneticPr fontId="12" type="noConversion"/>
  </si>
  <si>
    <t xml:space="preserve"> ○ 사무총장 직급보조비 : 300,000원*11월</t>
    <phoneticPr fontId="12" type="noConversion"/>
  </si>
  <si>
    <t xml:space="preserve"> ○ 사무총장 직책급업무수행비 : 600,000원*11월</t>
    <phoneticPr fontId="12" type="noConversion"/>
  </si>
  <si>
    <t xml:space="preserve"> ○ 장기요양보험 : 304,870원*14%*11월</t>
    <phoneticPr fontId="12" type="noConversion"/>
  </si>
  <si>
    <t xml:space="preserve"> ○ 장기요양보험 : 399,600원*14%*11월</t>
    <phoneticPr fontId="12" type="noConversion"/>
  </si>
  <si>
    <t>=</t>
    <phoneticPr fontId="12" type="noConversion"/>
  </si>
  <si>
    <t xml:space="preserve"> ○ 행정관리부 부서운영 총액계상 : 175,000원*12월</t>
    <phoneticPr fontId="12" type="noConversion"/>
  </si>
  <si>
    <t xml:space="preserve"> ○ 박람회 조직위원회 업무추진(3급) : 14,500,000원*1식</t>
    <phoneticPr fontId="12" type="noConversion"/>
  </si>
  <si>
    <t xml:space="preserve"> ○ 박람회 홍보 및 유치 업무추진(4급) : 4,000,000원*1식</t>
    <phoneticPr fontId="12" type="noConversion"/>
  </si>
  <si>
    <t xml:space="preserve"> ○ 행정관리부 업무추진 : 1,500,000원*1식</t>
    <phoneticPr fontId="12" type="noConversion"/>
  </si>
  <si>
    <t xml:space="preserve"> ○ 자문위원회 회의 운영비 : 100,000원*2회</t>
    <phoneticPr fontId="12" type="noConversion"/>
  </si>
  <si>
    <t xml:space="preserve"> ○ 부서 운영을 위한 소모품 구입 : 200,000원*10월</t>
    <phoneticPr fontId="12" type="noConversion"/>
  </si>
  <si>
    <t xml:space="preserve"> ○ 기획홍보부 기본업무 수행 관내여비 : 20,000원*6명*2일*10월</t>
    <phoneticPr fontId="12" type="noConversion"/>
  </si>
  <si>
    <t xml:space="preserve"> ○ 기획홍보부 기본업무 수행 관외여비 : 110,000원*6명*10월</t>
    <phoneticPr fontId="12" type="noConversion"/>
  </si>
  <si>
    <t xml:space="preserve"> ○ 기획홍보부 업무추진 : 1,500,000원*1식</t>
    <phoneticPr fontId="12" type="noConversion"/>
  </si>
  <si>
    <t xml:space="preserve"> ○ 홍보부스 참가비 : 40,000,000원*1식</t>
    <phoneticPr fontId="12" type="noConversion"/>
  </si>
  <si>
    <t xml:space="preserve"> ○ 공식공급권자 선정 심사수당 : 250,000원*10명*1회 </t>
    <phoneticPr fontId="12" type="noConversion"/>
  </si>
  <si>
    <t xml:space="preserve"> ○ 국제교류 등 각종 국제행사 참가 : 3,000,000원*2명*3회</t>
    <phoneticPr fontId="12" type="noConversion"/>
  </si>
  <si>
    <t xml:space="preserve"> ○ 유치협력부 기본업무 수행 관내여비 : 20,000원*6명*2일*10월</t>
    <phoneticPr fontId="12" type="noConversion"/>
  </si>
  <si>
    <t xml:space="preserve"> ○ 유치협력부 기본업무 수행 관외여비 : 110,000원*6명*10월</t>
    <phoneticPr fontId="12" type="noConversion"/>
  </si>
  <si>
    <t xml:space="preserve"> ○ 박람회 운영 및 조성 업무추진(4급) : 4,000,000원*1식</t>
    <phoneticPr fontId="12" type="noConversion"/>
  </si>
  <si>
    <t xml:space="preserve"> ○ 운영부 업무추진 : 1,500,000원*1식</t>
    <phoneticPr fontId="12" type="noConversion"/>
  </si>
  <si>
    <t xml:space="preserve"> ○ 행사부 기본업무 수행 관내여비 : 20,000원*6명*2일*10월</t>
    <phoneticPr fontId="12" type="noConversion"/>
  </si>
  <si>
    <t xml:space="preserve"> ○ 행사부 기본업무 수행 관외여비 : 110,000원*6명*10월</t>
    <phoneticPr fontId="12" type="noConversion"/>
  </si>
  <si>
    <t xml:space="preserve"> ○ 시설조성부 기본업무 수행 관내여비 : 20,000원*6명*2일*10월</t>
    <phoneticPr fontId="12" type="noConversion"/>
  </si>
  <si>
    <t xml:space="preserve"> ○ 시설조성부 기본업무 수행 관외여비 : 110,000원*6명*10월</t>
    <phoneticPr fontId="12" type="noConversion"/>
  </si>
  <si>
    <t xml:space="preserve"> ○ 시설조성부 업무추진 : 1,500,000원*1식</t>
    <phoneticPr fontId="12" type="noConversion"/>
  </si>
  <si>
    <t xml:space="preserve"> ○ 부서운영을 위한 소모품 구입 : 200,000원*10월</t>
    <phoneticPr fontId="12" type="noConversion"/>
  </si>
  <si>
    <t xml:space="preserve"> ○ 전시연출부 기본업무 수행 관내여비 : 20,000원*6명*2일*10월</t>
    <phoneticPr fontId="12" type="noConversion"/>
  </si>
  <si>
    <t xml:space="preserve"> ○ 전시연출부 기본업무 수행 관외여비 : 110,000원*6명*10월</t>
    <phoneticPr fontId="12" type="noConversion"/>
  </si>
  <si>
    <t xml:space="preserve"> ○ 종합상황실 기본업무 수행 관내여비 : 20,000원*6명*2일*10월</t>
    <phoneticPr fontId="12" type="noConversion"/>
  </si>
  <si>
    <t xml:space="preserve"> ○ 종합상황실 기본업무 수행 관외여비 : 110,000원*6명*10월</t>
    <phoneticPr fontId="12" type="noConversion"/>
  </si>
  <si>
    <t xml:space="preserve"> ○ 종합상황실 업무추진 : 1,500,000원*1식</t>
    <phoneticPr fontId="12" type="noConversion"/>
  </si>
  <si>
    <t xml:space="preserve"> ○ 중대재해예방 안전관리 용역 : 10,000,000원*1식</t>
    <phoneticPr fontId="12" type="noConversion"/>
  </si>
  <si>
    <t xml:space="preserve"> ○ 회계감사 및 세무조정 용역 : 18,000,000원*1식</t>
    <phoneticPr fontId="12" type="noConversion"/>
  </si>
  <si>
    <t xml:space="preserve"> ○ 회의실 임차료 : 400,000원*7회</t>
    <phoneticPr fontId="12" type="noConversion"/>
  </si>
  <si>
    <t xml:space="preserve"> ○ 이사회 등 보고회 개최 현수막 제작 : 80,000원*7회</t>
    <phoneticPr fontId="12" type="noConversion"/>
  </si>
  <si>
    <t xml:space="preserve"> ○ 세계의 섬·한국의 섬 테마존 조성 : 1,200,000,000원*1식
     [도 1,200,000]</t>
    <phoneticPr fontId="12" type="noConversion"/>
  </si>
  <si>
    <t xml:space="preserve"> ○ 전시연출 콘텐츠 개발 : 경정 2,092,400,000원</t>
    <phoneticPr fontId="12" type="noConversion"/>
  </si>
  <si>
    <t>[임차료]</t>
  </si>
  <si>
    <t xml:space="preserve"> ○ 제안서 평가위원 심사수당 300,000원*10명</t>
    <phoneticPr fontId="12" type="noConversion"/>
  </si>
  <si>
    <t xml:space="preserve"> ○ 제안서 평가위원 실비 1,000,000원*1식</t>
    <phoneticPr fontId="12" type="noConversion"/>
  </si>
  <si>
    <t>[세출예산 변경사용] - 2026. 3. 10.</t>
    <phoneticPr fontId="12" type="noConversion"/>
  </si>
  <si>
    <t>[세출예산 변경사용] - 2026. 3. 10.</t>
    <phoneticPr fontId="12" type="noConversion"/>
  </si>
  <si>
    <t>02 감리비</t>
    <phoneticPr fontId="12" type="noConversion"/>
  </si>
  <si>
    <t>[세출예산 변경사용] - 2026. 4. 8.</t>
    <phoneticPr fontId="12" type="noConversion"/>
  </si>
  <si>
    <t>[감리비]</t>
    <phoneticPr fontId="12" type="noConversion"/>
  </si>
  <si>
    <t>추경1회</t>
    <phoneticPr fontId="12" type="noConversion"/>
  </si>
  <si>
    <t>경정액
(A)</t>
    <phoneticPr fontId="12" type="noConversion"/>
  </si>
  <si>
    <t>기정액(본예산)
(B)</t>
    <phoneticPr fontId="12" type="noConversion"/>
  </si>
  <si>
    <t xml:space="preserve"> ○ 세부실행계획 추진상황 보고회 등 운영비 500,000원*4회</t>
    <phoneticPr fontId="12" type="noConversion"/>
  </si>
  <si>
    <t xml:space="preserve"> ○ 운영본부 사무용품 등 구입 : 6,000,000원*1식 </t>
    <phoneticPr fontId="12" type="noConversion"/>
  </si>
  <si>
    <t xml:space="preserve"> ○ 운영본부 환경정비 및 청소용품 구입 : 5,000,000원*1식</t>
    <phoneticPr fontId="12" type="noConversion"/>
  </si>
  <si>
    <t xml:space="preserve"> ○ 세부실행계획 보고회 등 참석수당 : 100,000원*10명*4회</t>
    <phoneticPr fontId="12" type="noConversion"/>
  </si>
  <si>
    <t xml:space="preserve"> ○ 세부실행계획 보고회 회의실 임차비 : 250,000원*4회</t>
    <phoneticPr fontId="12" type="noConversion"/>
  </si>
  <si>
    <t xml:space="preserve"> ○ 운영본부 복사용지 및 토너 구입 : 7,000,000원*1식</t>
    <phoneticPr fontId="12" type="noConversion"/>
  </si>
  <si>
    <t xml:space="preserve"> ○ 기본업무수행 급량비 : 9,000원*9명*8일*11월</t>
    <phoneticPr fontId="12" type="noConversion"/>
  </si>
  <si>
    <t xml:space="preserve"> ○ 인사위원회 위원 참석수당 : 100,000원*3명*1회</t>
    <phoneticPr fontId="12" type="noConversion"/>
  </si>
  <si>
    <t xml:space="preserve"> ○ 기본업무수행 급량비 : 9,000원*3명*8일*12월</t>
  </si>
  <si>
    <t xml:space="preserve"> ○ 기본업무수행 급량비 : 경정 4,320,000원</t>
    <phoneticPr fontId="12" type="noConversion"/>
  </si>
  <si>
    <t>01 정원가산업무비</t>
    <phoneticPr fontId="12" type="noConversion"/>
  </si>
  <si>
    <t xml:space="preserve"> ○ 종합상황실 정원가산 총액계상 : 80,000원*5명</t>
    <phoneticPr fontId="12" type="noConversion"/>
  </si>
  <si>
    <t>[정원가산업무비]</t>
    <phoneticPr fontId="12" type="noConversion"/>
  </si>
  <si>
    <t>정원가산업무비</t>
    <phoneticPr fontId="12" type="noConversion"/>
  </si>
  <si>
    <t>=</t>
    <phoneticPr fontId="12" type="noConversion"/>
  </si>
  <si>
    <t xml:space="preserve"> ○ 연봉 : 경정 94,041,000원</t>
    <phoneticPr fontId="12" type="noConversion"/>
  </si>
  <si>
    <t xml:space="preserve"> ○ 연차수당 : 경정 4,167,000원</t>
    <phoneticPr fontId="12" type="noConversion"/>
  </si>
  <si>
    <t xml:space="preserve"> ○ 사무실 환경정비용품 구입 : 경정 9,000,000원</t>
    <phoneticPr fontId="12" type="noConversion"/>
  </si>
  <si>
    <t xml:space="preserve"> ○ 사무처이전비(이사비용) : 21,000,000원*2회</t>
    <phoneticPr fontId="12" type="noConversion"/>
  </si>
  <si>
    <t xml:space="preserve"> ○ 사무처 내·외부 청소 : 15,000,000원*1식</t>
    <phoneticPr fontId="12" type="noConversion"/>
  </si>
  <si>
    <t xml:space="preserve"> ○ 사무총장 정액급식비 : 경정 1,760,000원</t>
    <phoneticPr fontId="12" type="noConversion"/>
  </si>
  <si>
    <t xml:space="preserve"> ○ 기획본부 정원가산총액계상 : 경정 2,880,000원</t>
    <phoneticPr fontId="12" type="noConversion"/>
  </si>
  <si>
    <t xml:space="preserve"> ○ 건강보험 : 경정 3,386,000원</t>
    <phoneticPr fontId="12" type="noConversion"/>
  </si>
  <si>
    <t xml:space="preserve"> ○ 고용연금 : 경정 1,411,000원</t>
    <phoneticPr fontId="12" type="noConversion"/>
  </si>
  <si>
    <t xml:space="preserve"> ○ 산재보험 : 경정 1,317,000원</t>
    <phoneticPr fontId="12" type="noConversion"/>
  </si>
  <si>
    <t xml:space="preserve"> ○ 장기요양보험 : 경정 474,000원</t>
    <phoneticPr fontId="12" type="noConversion"/>
  </si>
  <si>
    <t>추경1회</t>
    <phoneticPr fontId="12" type="noConversion"/>
  </si>
  <si>
    <t xml:space="preserve"> ○ 추진상황 보고 PPT 제작 : 2,500,000원*2회</t>
    <phoneticPr fontId="12" type="noConversion"/>
  </si>
  <si>
    <t xml:space="preserve"> ○ 추진상황 보고 PPT 제작 : 경정 10,000,000원</t>
    <phoneticPr fontId="12" type="noConversion"/>
  </si>
  <si>
    <t xml:space="preserve"> ○ 후원 관련 협약식 등 소모품 구입  : 500,000원*6회</t>
    <phoneticPr fontId="12" type="noConversion"/>
  </si>
  <si>
    <t>추경1회</t>
    <phoneticPr fontId="12" type="noConversion"/>
  </si>
  <si>
    <t xml:space="preserve"> ○ 공식공급권자 선정 심사수당 : 경정 0원</t>
    <phoneticPr fontId="12" type="noConversion"/>
  </si>
  <si>
    <t xml:space="preserve"> ○ 공식공급권자 선정 심사위원 교통비 등 기타실비 : 경정 0원</t>
    <phoneticPr fontId="12" type="noConversion"/>
  </si>
  <si>
    <t>기타 수익사업</t>
    <phoneticPr fontId="48" type="noConversion"/>
  </si>
  <si>
    <t xml:space="preserve"> ○ 임대사업(식당) 제안서 평가위원 수당 350,000원*10명*1회</t>
    <phoneticPr fontId="12" type="noConversion"/>
  </si>
  <si>
    <t xml:space="preserve"> ○ 임대사업(판매) 제안서 평가위원 수당 300,000원*10명*2회</t>
    <phoneticPr fontId="12" type="noConversion"/>
  </si>
  <si>
    <t xml:space="preserve"> ○ 제안서 평가위원 기타실비 : 1,000,000원*3회</t>
    <phoneticPr fontId="12" type="noConversion"/>
  </si>
  <si>
    <t xml:space="preserve"> ○ 전문 자문위원 수당 : 250,000원*4명*1회</t>
    <phoneticPr fontId="12" type="noConversion"/>
  </si>
  <si>
    <t xml:space="preserve"> ○ POS 등 통합결제시스템 구축비 22,000,000원*1식</t>
    <phoneticPr fontId="12" type="noConversion"/>
  </si>
  <si>
    <t xml:space="preserve"> ○ 수익사업 관련 우편물 발송료 : 2,500원*200회 </t>
  </si>
  <si>
    <t xml:space="preserve"> ○ 수익사업 관련 우편물 발송료 : 경정 3,000,000원</t>
    <phoneticPr fontId="12" type="noConversion"/>
  </si>
  <si>
    <t>기타 수익사업</t>
    <phoneticPr fontId="12" type="noConversion"/>
  </si>
  <si>
    <t>학술회의 유치</t>
    <phoneticPr fontId="12" type="noConversion"/>
  </si>
  <si>
    <t>학술회의 유치</t>
    <phoneticPr fontId="48" type="noConversion"/>
  </si>
  <si>
    <t>770 영업외비용</t>
    <phoneticPr fontId="12" type="noConversion"/>
  </si>
  <si>
    <t>751 반환금</t>
    <phoneticPr fontId="12" type="noConversion"/>
  </si>
  <si>
    <t>04 대행사업비반환금</t>
    <phoneticPr fontId="12" type="noConversion"/>
  </si>
  <si>
    <t>추경1회</t>
    <phoneticPr fontId="12" type="noConversion"/>
  </si>
  <si>
    <t xml:space="preserve"> ○ 2025국제섬포럼 in YEOSU 이자발생액 반납 1,207,700원*1식</t>
    <phoneticPr fontId="12" type="noConversion"/>
  </si>
  <si>
    <t>반환금</t>
    <phoneticPr fontId="12" type="noConversion"/>
  </si>
  <si>
    <t>대행사업비반환금</t>
    <phoneticPr fontId="12" type="noConversion"/>
  </si>
  <si>
    <t>여수공항 국제선 부정기편 운항</t>
    <phoneticPr fontId="12" type="noConversion"/>
  </si>
  <si>
    <t>기타보상금</t>
    <phoneticPr fontId="12" type="noConversion"/>
  </si>
  <si>
    <t>여수공항 국제선 부정기편 운항</t>
    <phoneticPr fontId="48" type="noConversion"/>
  </si>
  <si>
    <t>301 일반보상금</t>
    <phoneticPr fontId="12" type="noConversion"/>
  </si>
  <si>
    <t>14 기타보상금</t>
    <phoneticPr fontId="12" type="noConversion"/>
  </si>
  <si>
    <t>추경1회</t>
    <phoneticPr fontId="12" type="noConversion"/>
  </si>
  <si>
    <t>[임차료]</t>
    <phoneticPr fontId="12" type="noConversion"/>
  </si>
  <si>
    <t xml:space="preserve"> ○ 관광설명회, 팸투어 개최 등 : 5,000,000원*2회</t>
    <phoneticPr fontId="12" type="noConversion"/>
  </si>
  <si>
    <t xml:space="preserve"> ○ 여수공항 국제선 부정기편 운항 인센티브 지급 : 200,000,000원*1식</t>
    <phoneticPr fontId="12" type="noConversion"/>
  </si>
  <si>
    <t xml:space="preserve"> ○ 홍보콘텐츠 등 제작 : 100,000,000원*1식</t>
    <phoneticPr fontId="12" type="noConversion"/>
  </si>
  <si>
    <t xml:space="preserve"> ○ 제안서, 공모전 평가위원 수당 : 4,000,000원*1식</t>
    <phoneticPr fontId="12" type="noConversion"/>
  </si>
  <si>
    <t xml:space="preserve"> ○ 제안서, 공모전 평가위원 실비 : 1,000,000원*1식</t>
    <phoneticPr fontId="12" type="noConversion"/>
  </si>
  <si>
    <t xml:space="preserve"> ○ 홍보부스 운영 : 5,000,000원*10회</t>
    <phoneticPr fontId="12" type="noConversion"/>
  </si>
  <si>
    <t xml:space="preserve"> ○ 홍보대사, 서포터즈 등 실비 : 100,000원*20명*5회</t>
    <phoneticPr fontId="12" type="noConversion"/>
  </si>
  <si>
    <t xml:space="preserve"> ○ 공모전 시상금 : 5,000,000원*3회</t>
    <phoneticPr fontId="12" type="noConversion"/>
  </si>
  <si>
    <t>추경1회</t>
    <phoneticPr fontId="12" type="noConversion"/>
  </si>
  <si>
    <t>섬박람회 해외관람객 유치 인센티브(위탁)</t>
    <phoneticPr fontId="12" type="noConversion"/>
  </si>
  <si>
    <t>추경1회</t>
    <phoneticPr fontId="12" type="noConversion"/>
  </si>
  <si>
    <t>추경1회</t>
    <phoneticPr fontId="12" type="noConversion"/>
  </si>
  <si>
    <t xml:space="preserve"> ○ 2026여수세계섬박람회 회장운영 대행 용역비(2차분) : 3,628,156,000원*1식</t>
    <phoneticPr fontId="12" type="noConversion"/>
  </si>
  <si>
    <t>2026여수세계섬박람회 문화행사 운영(수익)</t>
    <phoneticPr fontId="12" type="noConversion"/>
  </si>
  <si>
    <t>2026여수세계섬박람회 시설조성(수익)</t>
    <phoneticPr fontId="12" type="noConversion"/>
  </si>
  <si>
    <t>2026여수세계섬박람회 문화행사 운영(수익)</t>
    <phoneticPr fontId="12" type="noConversion"/>
  </si>
  <si>
    <t>문화행사 추진</t>
    <phoneticPr fontId="12" type="noConversion"/>
  </si>
  <si>
    <t xml:space="preserve"> ○ 섬박람회 전시관 및 운영·부대시설 설치 1,745,000,000원*1식</t>
    <phoneticPr fontId="12" type="noConversion"/>
  </si>
  <si>
    <t xml:space="preserve"> ○ 2026여수세계섬박람회 주행사장 조성사업 : 3,233,000,000원*1식</t>
    <phoneticPr fontId="12" type="noConversion"/>
  </si>
  <si>
    <t>[국 3,249,015]</t>
    <phoneticPr fontId="12" type="noConversion"/>
  </si>
  <si>
    <t xml:space="preserve"> ○ 섬박람회 랜드마크 조성사업(추가분) 1,000,000,000원*1식</t>
  </si>
  <si>
    <t>[사업수익 0]</t>
    <phoneticPr fontId="12" type="noConversion"/>
  </si>
  <si>
    <t>추경1회</t>
    <phoneticPr fontId="12" type="noConversion"/>
  </si>
  <si>
    <t xml:space="preserve"> ○ 섬박람회 안전시설물 설치사업(추가분) 2,000,000,000원*1식</t>
  </si>
  <si>
    <t xml:space="preserve"> ○ 섬박람회 랜드마크 조성사업(추가분) : 경정 0원</t>
    <phoneticPr fontId="12" type="noConversion"/>
  </si>
  <si>
    <t xml:space="preserve"> ○ 섬박람회 안전시설물 설치사업(추가분) : 경정 300,000,000원</t>
    <phoneticPr fontId="12" type="noConversion"/>
  </si>
  <si>
    <t xml:space="preserve"> ○ 2026여수세계섬박람회 문화행사 운영 : 5,500,000,000원*1식</t>
    <phoneticPr fontId="12" type="noConversion"/>
  </si>
  <si>
    <t xml:space="preserve"> ○ 섬박람회장 입구게이트 조성 : 90,000,000원*1식</t>
    <phoneticPr fontId="12" type="noConversion"/>
  </si>
  <si>
    <t xml:space="preserve"> ○ 섬박람회장 열린문화공간 조성 390,000,000원*1식</t>
    <phoneticPr fontId="12" type="noConversion"/>
  </si>
  <si>
    <t xml:space="preserve"> ○ 세계의 섬·한국의 섬 테마존 조성 감리비 : 22,000,000원*1식</t>
    <phoneticPr fontId="12" type="noConversion"/>
  </si>
  <si>
    <t xml:space="preserve"> ○ 세계의 섬·한국의 섬 테마존 조성 : 경정 1,178,000,000원*1식</t>
    <phoneticPr fontId="12" type="noConversion"/>
  </si>
  <si>
    <t xml:space="preserve"> ○ 섬박람회 상징 아트 포토존 조성 : 390,000,000원*1식</t>
    <phoneticPr fontId="12" type="noConversion"/>
  </si>
  <si>
    <t xml:space="preserve"> ○ 섬박람회 랜드마크 조성사업 : 경정 2,200,000,000원*1식
     [도 1,500,000, 시 700,000]</t>
    <phoneticPr fontId="12" type="noConversion"/>
  </si>
  <si>
    <t>03 시설부대비</t>
    <phoneticPr fontId="12" type="noConversion"/>
  </si>
  <si>
    <t xml:space="preserve"> ○ 섬박람회 랜드마크 조성사업 : 1,200,000,000원*1식 [도 1,200,000]</t>
    <phoneticPr fontId="12" type="noConversion"/>
  </si>
  <si>
    <t>[시설부대비]</t>
    <phoneticPr fontId="12" type="noConversion"/>
  </si>
  <si>
    <t xml:space="preserve"> ○ 섬박람회장 안전시설물 설치사업 : 9,044,000원*1식</t>
    <phoneticPr fontId="12" type="noConversion"/>
  </si>
  <si>
    <t>시설부대비</t>
    <phoneticPr fontId="12" type="noConversion"/>
  </si>
  <si>
    <t>679 기타영업외수익</t>
    <phoneticPr fontId="12" type="noConversion"/>
  </si>
  <si>
    <t>09 기타영업외수익</t>
    <phoneticPr fontId="12" type="noConversion"/>
  </si>
  <si>
    <t>행사운영비</t>
    <phoneticPr fontId="12" type="noConversion"/>
  </si>
  <si>
    <t>기업관 부스 운영(자체)</t>
    <phoneticPr fontId="12" type="noConversion"/>
  </si>
  <si>
    <t>참가국 지원(자체)</t>
    <phoneticPr fontId="48" type="noConversion"/>
  </si>
  <si>
    <t>기업관 부스 운영(자체)</t>
    <phoneticPr fontId="12" type="noConversion"/>
  </si>
  <si>
    <t>참가국 지원(자체)</t>
    <phoneticPr fontId="48" type="noConversion"/>
  </si>
  <si>
    <t>기업관 부스 운영</t>
    <phoneticPr fontId="12" type="noConversion"/>
  </si>
  <si>
    <t>200 물건비</t>
    <phoneticPr fontId="12" type="noConversion"/>
  </si>
  <si>
    <t>[행사운영비]</t>
    <phoneticPr fontId="12" type="noConversion"/>
  </si>
  <si>
    <t xml:space="preserve"> ○ 기업관 부스 운영 인력지원 등 60,000,000원*1식</t>
    <phoneticPr fontId="12" type="noConversion"/>
  </si>
  <si>
    <t>참가국 지원</t>
    <phoneticPr fontId="48" type="noConversion"/>
  </si>
  <si>
    <t>301 일반보상금</t>
    <phoneticPr fontId="12" type="noConversion"/>
  </si>
  <si>
    <t>[외빈초청여비]</t>
    <phoneticPr fontId="12" type="noConversion"/>
  </si>
  <si>
    <t>추경1회</t>
  </si>
  <si>
    <t xml:space="preserve"> ○ 예비비 : 596,200,000원*1식</t>
    <phoneticPr fontId="12" type="noConversion"/>
  </si>
  <si>
    <t>02 재해·재난목적예비비</t>
    <phoneticPr fontId="12" type="noConversion"/>
  </si>
  <si>
    <t>재해·재난목적예비비</t>
    <phoneticPr fontId="12" type="noConversion"/>
  </si>
  <si>
    <t xml:space="preserve"> ○ 2026여수세계섬박람회 주행사장 조성사업 : 경정 3,249,101,120원</t>
    <phoneticPr fontId="12" type="noConversion"/>
  </si>
  <si>
    <t xml:space="preserve"> ○ 홍보물품 제작 : 10,000원*2,000개</t>
    <phoneticPr fontId="12" type="noConversion"/>
  </si>
  <si>
    <t xml:space="preserve"> ○ CIQ시설, 통신·네트워크 장비 임차료 등 20,000,000원*1식</t>
    <phoneticPr fontId="12" type="noConversion"/>
  </si>
  <si>
    <t xml:space="preserve"> ○ 섬박람회 백서 제작 용역 50,000,000원*1식</t>
    <phoneticPr fontId="12" type="noConversion"/>
  </si>
  <si>
    <t>종합상황실 시설운영</t>
    <phoneticPr fontId="12" type="noConversion"/>
  </si>
  <si>
    <t>종합상황실 시설운영</t>
    <phoneticPr fontId="48" type="noConversion"/>
  </si>
  <si>
    <t xml:space="preserve"> ○ 콜센터 대표회선 운영 : 2,000,000원*1식</t>
    <phoneticPr fontId="12" type="noConversion"/>
  </si>
  <si>
    <t xml:space="preserve"> ○ 전자상황판 운영 : 750,000원*2월</t>
    <phoneticPr fontId="12" type="noConversion"/>
  </si>
  <si>
    <t xml:space="preserve"> ○ 사무처 운영 사무비품 및 장비 임차 : 10,000,000원*1식</t>
    <phoneticPr fontId="12" type="noConversion"/>
  </si>
  <si>
    <t>03 행사운영비</t>
    <phoneticPr fontId="12" type="noConversion"/>
  </si>
  <si>
    <t>행사운영비</t>
    <phoneticPr fontId="12" type="noConversion"/>
  </si>
  <si>
    <t xml:space="preserve"> ○ 사무실 통신선 등 수선유지비 : 경정 28,000,000원</t>
    <phoneticPr fontId="12" type="noConversion"/>
  </si>
  <si>
    <t xml:space="preserve"> ○ 기업관 부스 운영 인력지원 등 : 50,000,000원*1식</t>
    <phoneticPr fontId="12" type="noConversion"/>
  </si>
  <si>
    <t xml:space="preserve"> ○ 2026여수세계섬박람회 문화행사 운영 76,000,000원*1식</t>
    <phoneticPr fontId="12" type="noConversion"/>
  </si>
  <si>
    <t>섬박람회장 전기·소방 안전관리대행</t>
    <phoneticPr fontId="48" type="noConversion"/>
  </si>
  <si>
    <t>2026여수세계섬박람회 시설조성</t>
    <phoneticPr fontId="12" type="noConversion"/>
  </si>
  <si>
    <t>2026여수세계섬박람회 시설조성</t>
    <phoneticPr fontId="12" type="noConversion"/>
  </si>
  <si>
    <t xml:space="preserve"> ○ 참가국, 기업 유치 및 운영 2,340,000,000원*1식</t>
    <phoneticPr fontId="12" type="noConversion"/>
  </si>
  <si>
    <t xml:space="preserve"> ○ 2026여수세계섬박람회 회장운영 대행 용역비(2차분) : 경정 3,816,156,000원</t>
    <phoneticPr fontId="12" type="noConversion"/>
  </si>
  <si>
    <t>총계(직접사업비+위탁사업비)</t>
    <phoneticPr fontId="12" type="noConversion"/>
  </si>
  <si>
    <t xml:space="preserve"> ○ 참가국, 기업 유치 및 운영 : 210,000,000원*1식</t>
    <phoneticPr fontId="12" type="noConversion"/>
  </si>
  <si>
    <t xml:space="preserve"> ○ 예비비 : 경정 3,119,546,000원</t>
    <phoneticPr fontId="12" type="noConversion"/>
  </si>
  <si>
    <t>재해·재난·안전 목적 예비비</t>
    <phoneticPr fontId="48" type="noConversion"/>
  </si>
  <si>
    <t xml:space="preserve"> ○ 재해·재난·안전 목적 예비비 : 70,300,000원*1식</t>
    <phoneticPr fontId="12" type="noConversion"/>
  </si>
  <si>
    <t xml:space="preserve"> (재)2026여수세계섬박람회 조직위원회</t>
    <phoneticPr fontId="53" type="noConversion"/>
  </si>
  <si>
    <t>추경2회</t>
    <phoneticPr fontId="12" type="noConversion"/>
  </si>
  <si>
    <t xml:space="preserve"> ○ 콜센터 대표회선 운영 : 경정 0원</t>
    <phoneticPr fontId="12" type="noConversion"/>
  </si>
  <si>
    <t>추경2회</t>
    <phoneticPr fontId="12" type="noConversion"/>
  </si>
  <si>
    <t xml:space="preserve"> ○ 콜센터 대표번호 사용료 : 500,000원*1식</t>
    <phoneticPr fontId="12" type="noConversion"/>
  </si>
  <si>
    <t xml:space="preserve"> ○ 안심비상벨 설치·운영 : 14,760,000원*1식</t>
    <phoneticPr fontId="12" type="noConversion"/>
  </si>
  <si>
    <t xml:space="preserve"> ○ 안전관리 안내 현수막 등 제작 : 2,500,000원*1식</t>
    <phoneticPr fontId="12" type="noConversion"/>
  </si>
  <si>
    <t xml:space="preserve"> ○ 임시 헬기장 사용 시설 보강 물품 구입 : 3,000,000원*1식</t>
    <phoneticPr fontId="12" type="noConversion"/>
  </si>
  <si>
    <t>[임차료]</t>
    <phoneticPr fontId="12" type="noConversion"/>
  </si>
  <si>
    <t xml:space="preserve"> ○ 응급환자 해상이송 민간구조선박(원) 임차·운영 : 300,000원*28일</t>
    <phoneticPr fontId="12" type="noConversion"/>
  </si>
  <si>
    <t>섬박람회 안전관리</t>
    <phoneticPr fontId="48" type="noConversion"/>
  </si>
  <si>
    <t>안전관리</t>
    <phoneticPr fontId="12" type="noConversion"/>
  </si>
  <si>
    <t>안전관리</t>
    <phoneticPr fontId="12" type="noConversion"/>
  </si>
  <si>
    <t>섬박람회 안전관리</t>
    <phoneticPr fontId="12" type="noConversion"/>
  </si>
  <si>
    <t>공공운영비</t>
    <phoneticPr fontId="12" type="noConversion"/>
  </si>
  <si>
    <t xml:space="preserve"> ○ 이사회 등 회의 운영비 : 경정 2,000,000원</t>
    <phoneticPr fontId="12" type="noConversion"/>
  </si>
  <si>
    <t>추경2회</t>
    <phoneticPr fontId="12" type="noConversion"/>
  </si>
  <si>
    <t xml:space="preserve"> ○ 비상임 급여 : 경정 49,000,000원</t>
    <phoneticPr fontId="12" type="noConversion"/>
  </si>
  <si>
    <t xml:space="preserve"> ○ 월급여 : 경정 48,000,000원</t>
    <phoneticPr fontId="12" type="noConversion"/>
  </si>
  <si>
    <t xml:space="preserve"> ○ 복사기 및 프린터토너 구입 : 경정 14,000,000원</t>
    <phoneticPr fontId="12" type="noConversion"/>
  </si>
  <si>
    <t>=</t>
    <phoneticPr fontId="12" type="noConversion"/>
  </si>
  <si>
    <t xml:space="preserve"> ○ 사무처 운영 사무비품 및 장비 임차 : 경정 7,000,000원</t>
    <phoneticPr fontId="12" type="noConversion"/>
  </si>
  <si>
    <t xml:space="preserve"> ○ 현장점검 및 행사운영용 행사복 제작 50,000원*30벌</t>
    <phoneticPr fontId="12" type="noConversion"/>
  </si>
  <si>
    <t xml:space="preserve"> ○ 입장권 판촉 홍보물 제작 : 경정 20,000,000원</t>
    <phoneticPr fontId="12" type="noConversion"/>
  </si>
  <si>
    <t>02 공공운영비</t>
    <phoneticPr fontId="12" type="noConversion"/>
  </si>
  <si>
    <t xml:space="preserve"> ○ 박람회장 내 공공요금 : 745,000,000원*1식</t>
    <phoneticPr fontId="12" type="noConversion"/>
  </si>
  <si>
    <t>추경2회</t>
    <phoneticPr fontId="12" type="noConversion"/>
  </si>
  <si>
    <t>[공공요금 및 제세]</t>
  </si>
  <si>
    <t>[공공요금 및 제세]</t>
    <phoneticPr fontId="12" type="noConversion"/>
  </si>
  <si>
    <t xml:space="preserve"> ○ 운영본부 복사용지 및 토너 구입 : 경정 9,800,000원</t>
    <phoneticPr fontId="12" type="noConversion"/>
  </si>
  <si>
    <t xml:space="preserve"> ○ 섬박람회장 전기·소방 안전관리대행 용역 : 경정 83,000,000원</t>
    <phoneticPr fontId="12" type="noConversion"/>
  </si>
  <si>
    <t xml:space="preserve"> ○ 섬박람회장 전기·소방 안전관리대행 용역 58,000,000원*1식</t>
    <phoneticPr fontId="12" type="noConversion"/>
  </si>
  <si>
    <t xml:space="preserve"> ○ 섬박람회 전시관 및 운영·부대시설 설치 : 경정 3,020,620,000원</t>
    <phoneticPr fontId="12" type="noConversion"/>
  </si>
  <si>
    <t xml:space="preserve"> ○ 회의실 임차료 : 경정 1,200,000원</t>
    <phoneticPr fontId="12" type="noConversion"/>
  </si>
  <si>
    <t xml:space="preserve"> ○ 제안서 평가위원 실비 : 경정 585,000원</t>
    <phoneticPr fontId="12" type="noConversion"/>
  </si>
  <si>
    <t xml:space="preserve"> ○ 전문가 자문수당 150,000원*1회*2명</t>
    <phoneticPr fontId="12" type="noConversion"/>
  </si>
  <si>
    <t>=</t>
    <phoneticPr fontId="12" type="noConversion"/>
  </si>
  <si>
    <t>[일반수용비]</t>
    <phoneticPr fontId="12" type="noConversion"/>
  </si>
  <si>
    <t xml:space="preserve"> ○ 전시연출 업무추진을 위한 소모품 구입 515,000원*1식</t>
    <phoneticPr fontId="12" type="noConversion"/>
  </si>
  <si>
    <t xml:space="preserve"> ○ 운영대행 용역 사후원가 검토 용역 : 40,000,000원*1식</t>
    <phoneticPr fontId="12" type="noConversion"/>
  </si>
  <si>
    <t xml:space="preserve"> ○ 2026여수세계섬박람회 회장운영 대행 용역비(2차분) : 경정 4,282,524,000원</t>
    <phoneticPr fontId="12" type="noConversion"/>
  </si>
  <si>
    <t xml:space="preserve"> ○ 예비비 : 경정 519,298,000원</t>
    <phoneticPr fontId="12" type="noConversion"/>
  </si>
  <si>
    <t xml:space="preserve"> ○ 전기요금 등 공공요금 납부 : 경정 54,000,000원*1식</t>
    <phoneticPr fontId="12" type="noConversion"/>
  </si>
  <si>
    <t xml:space="preserve"> ○ 사무처 내·외부 청소 : 경정 13,000,000원</t>
    <phoneticPr fontId="12" type="noConversion"/>
  </si>
  <si>
    <t xml:space="preserve"> ○ 사무실 환경정비용품 구입 : 경정 7,000,000원</t>
    <phoneticPr fontId="12" type="noConversion"/>
  </si>
  <si>
    <t>주행사장 운영</t>
    <phoneticPr fontId="48" type="noConversion"/>
  </si>
  <si>
    <t>주행사장 운영</t>
    <phoneticPr fontId="12" type="noConversion"/>
  </si>
  <si>
    <t>공공운영비</t>
    <phoneticPr fontId="12" type="noConversion"/>
  </si>
  <si>
    <t>추경3회</t>
    <phoneticPr fontId="12" type="noConversion"/>
  </si>
  <si>
    <t xml:space="preserve"> ○ 자문위원회 자문수당(대면) : 경정 5,250,000원</t>
    <phoneticPr fontId="12" type="noConversion"/>
  </si>
  <si>
    <t>기정액(제2추)
(B)</t>
    <phoneticPr fontId="12" type="noConversion"/>
  </si>
  <si>
    <t>기정액(제2추)
(B)</t>
    <phoneticPr fontId="12" type="noConversion"/>
  </si>
  <si>
    <t>기정액(제2추)
(B)</t>
    <phoneticPr fontId="12" type="noConversion"/>
  </si>
  <si>
    <t>기정액(제2추)
(B)</t>
    <phoneticPr fontId="12" type="noConversion"/>
  </si>
  <si>
    <t xml:space="preserve"> ○ 자문위원회 참석자 실비 보상 : 경정 2,350,000원</t>
    <phoneticPr fontId="12" type="noConversion"/>
  </si>
  <si>
    <t xml:space="preserve"> ○ 자문위원회 자문수당(서면) : 경정 4,400,000원</t>
    <phoneticPr fontId="12" type="noConversion"/>
  </si>
  <si>
    <t xml:space="preserve"> ○ 추진상황 보고 PPT 제작 : 경정 7,000,000원</t>
    <phoneticPr fontId="12" type="noConversion"/>
  </si>
  <si>
    <t>추경3회</t>
    <phoneticPr fontId="12" type="noConversion"/>
  </si>
  <si>
    <t xml:space="preserve"> ○ 섬박람회 공통행사 운영지원 25,000,000원*1식</t>
    <phoneticPr fontId="12" type="noConversion"/>
  </si>
  <si>
    <t xml:space="preserve"> ○ 섬박람회 공통행사 운영지원 경정 22,000,000원</t>
    <phoneticPr fontId="12" type="noConversion"/>
  </si>
  <si>
    <t xml:space="preserve"> ○ 전문 통역용역 운영 300,000원*10회</t>
    <phoneticPr fontId="12" type="noConversion"/>
  </si>
  <si>
    <t>추경3회</t>
    <phoneticPr fontId="12" type="noConversion"/>
  </si>
  <si>
    <t>추경3회</t>
    <phoneticPr fontId="12" type="noConversion"/>
  </si>
  <si>
    <t xml:space="preserve"> ○ 섬박람회 안전시설물 설치사업(추가분) : 경정 150,000,000원</t>
    <phoneticPr fontId="12" type="noConversion"/>
  </si>
  <si>
    <t>추경3회</t>
    <phoneticPr fontId="12" type="noConversion"/>
  </si>
  <si>
    <t xml:space="preserve"> ○ 공식여행사 해외 개별여행객 유치 전세버스 임차비 지원 : 100,000,000원*1식</t>
    <phoneticPr fontId="12" type="noConversion"/>
  </si>
  <si>
    <t>해외 개별여행객 유치 전세버스 임차비 지원</t>
    <phoneticPr fontId="48" type="noConversion"/>
  </si>
  <si>
    <t>해외 개별여행객 유치 전세버스 임차비 지원</t>
    <phoneticPr fontId="12" type="noConversion"/>
  </si>
  <si>
    <t xml:space="preserve"> ○ 2026여수세계섬박람회 문화행사 운영 : 경정 6,260,000,000원*1식</t>
    <phoneticPr fontId="12" type="noConversion"/>
  </si>
  <si>
    <t>단위 : 천원</t>
    <phoneticPr fontId="12" type="noConversion"/>
  </si>
  <si>
    <t xml:space="preserve"> ○ 총감독 : 경정 24,000,000원</t>
    <phoneticPr fontId="12" type="noConversion"/>
  </si>
  <si>
    <t xml:space="preserve"> ○ 섬박람회 방문 주요내빈 기념품 등 구입 14,000,000원*1식</t>
    <phoneticPr fontId="12" type="noConversion"/>
  </si>
  <si>
    <t xml:space="preserve"> ○ 입장권 판촉 홍보물 제작 : 경정 28,000,000원</t>
    <phoneticPr fontId="12" type="noConversion"/>
  </si>
  <si>
    <t>추경3회</t>
    <phoneticPr fontId="12" type="noConversion"/>
  </si>
  <si>
    <t xml:space="preserve"> ○ 안심비상벨 설치·운영 : 경정 17,760,000원</t>
    <phoneticPr fontId="12" type="noConversion"/>
  </si>
  <si>
    <t xml:space="preserve"> ○ 임대사업(식당) 제안서 평가위원 수당 : 경정 2,400,000원</t>
    <phoneticPr fontId="12" type="noConversion"/>
  </si>
  <si>
    <t xml:space="preserve"> ○ 임대사업(판매) 제안서 평가위원 수당 : 경정 1,500,000원</t>
    <phoneticPr fontId="12" type="noConversion"/>
  </si>
  <si>
    <t xml:space="preserve"> ○ 제안서 평가위원 기타실비 : 경정 845,000원</t>
    <phoneticPr fontId="12" type="noConversion"/>
  </si>
  <si>
    <t xml:space="preserve"> ○ 기관공통운영 국외업무여비 : 경정 30,000,000원</t>
    <phoneticPr fontId="12" type="noConversion"/>
  </si>
  <si>
    <t>[국외업무여비]</t>
    <phoneticPr fontId="12" type="noConversion"/>
  </si>
  <si>
    <t>섬박람회 조직위원회 2026년 제3회 추경예산서</t>
    <phoneticPr fontId="53" type="noConversion"/>
  </si>
  <si>
    <t>[세출예산 전용] - 2026. 8. 19.</t>
    <phoneticPr fontId="12" type="noConversion"/>
  </si>
  <si>
    <t>[세출예산 전용] - 2026. 8. 19.</t>
    <phoneticPr fontId="12" type="noConversion"/>
  </si>
  <si>
    <t xml:space="preserve"> ○ 세부실행계획 보고회 등 참석수당 : 경정 800,000원</t>
    <phoneticPr fontId="12" type="noConversion"/>
  </si>
  <si>
    <t>=</t>
    <phoneticPr fontId="12" type="noConversion"/>
  </si>
  <si>
    <t xml:space="preserve"> ○ 세부실행계획 보고회 회의실 임차비 : 경정 464,000원</t>
    <phoneticPr fontId="12" type="noConversion"/>
  </si>
  <si>
    <t>[세출예산 전용] - 2026. 8. 19.</t>
    <phoneticPr fontId="12" type="noConversion"/>
  </si>
  <si>
    <t xml:space="preserve"> ○ 세부실행계획 추진상황 보고회 등 운영비 : 경정 0원</t>
    <phoneticPr fontId="12" type="noConversion"/>
  </si>
  <si>
    <t xml:space="preserve"> ○ 운영본부 사무용품 등 구입 : 경정 11,736,000원</t>
    <phoneticPr fontId="12" type="noConversion"/>
  </si>
  <si>
    <t xml:space="preserve"> ○ 예산결산계약 실무담당직원 : 80,000원*7명*12월</t>
    <phoneticPr fontId="12" type="noConversion"/>
  </si>
  <si>
    <t xml:space="preserve"> ○ 예비비 : 경정 684,053,000원</t>
    <phoneticPr fontId="12" type="noConversion"/>
  </si>
  <si>
    <t>2026. 9. 4.</t>
    <phoneticPr fontId="53" type="noConversion"/>
  </si>
  <si>
    <t xml:space="preserve"> ○ 섬박람회장 안전시설물 설치사업 : 300,000,000원*1식 </t>
    <phoneticPr fontId="12" type="noConversion"/>
  </si>
  <si>
    <t xml:space="preserve"> ○ 섬박람회장 안전시설물 설치사업 : 경정 1,990,956,000원*1식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</si>
</sst>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6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theme="1"/>
      <name val="맑은 고딕 Semilight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  <scheme val="major"/>
    </font>
    <font>
      <sz val="8"/>
      <name val="굴림"/>
      <family val="3"/>
      <charset val="129"/>
    </font>
    <font>
      <sz val="28"/>
      <name val="HY헤드라인M"/>
      <family val="1"/>
      <charset val="129"/>
    </font>
    <font>
      <sz val="12"/>
      <color rgb="FFFF0000"/>
      <name val="굴림"/>
      <family val="3"/>
      <charset val="129"/>
    </font>
    <font>
      <b/>
      <sz val="20"/>
      <name val="HY견명조"/>
      <family val="1"/>
      <charset val="129"/>
    </font>
    <font>
      <b/>
      <sz val="16"/>
      <color rgb="FF0000FF"/>
      <name val="함초롬돋움"/>
      <family val="3"/>
      <charset val="129"/>
    </font>
    <font>
      <b/>
      <sz val="22"/>
      <color theme="2" tint="-0.749992370372631"/>
      <name val="HY견고딕"/>
      <family val="1"/>
      <charset val="129"/>
    </font>
    <font>
      <b/>
      <sz val="10"/>
      <name val="맑은 고딕 Semilight"/>
      <family val="3"/>
      <charset val="129"/>
    </font>
    <font>
      <b/>
      <sz val="10"/>
      <color rgb="FF0000FF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2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6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5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4" applyNumberFormat="0" applyFill="0" applyAlignment="0" applyProtection="0">
      <alignment vertical="center"/>
    </xf>
    <xf numFmtId="0" fontId="35" fillId="0" borderId="57" applyNumberFormat="0" applyFill="0" applyAlignment="0" applyProtection="0">
      <alignment vertical="center"/>
    </xf>
    <xf numFmtId="0" fontId="41" fillId="8" borderId="5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8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3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742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6" fontId="15" fillId="0" borderId="3" xfId="12" applyNumberFormat="1" applyFont="1" applyFill="1" applyBorder="1" applyAlignment="1">
      <alignment vertical="center"/>
    </xf>
    <xf numFmtId="176" fontId="18" fillId="0" borderId="3" xfId="12" applyNumberFormat="1" applyFont="1" applyFill="1" applyBorder="1" applyAlignment="1">
      <alignment vertical="center"/>
    </xf>
    <xf numFmtId="176" fontId="15" fillId="2" borderId="3" xfId="12" applyNumberFormat="1" applyFont="1" applyFill="1" applyBorder="1" applyAlignment="1">
      <alignment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177" fontId="15" fillId="2" borderId="44" xfId="0" applyNumberFormat="1" applyFont="1" applyFill="1" applyBorder="1" applyAlignment="1">
      <alignment vertical="center"/>
    </xf>
    <xf numFmtId="176" fontId="15" fillId="2" borderId="46" xfId="12" applyNumberFormat="1" applyFont="1" applyFill="1" applyBorder="1" applyAlignment="1">
      <alignment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1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178" fontId="20" fillId="0" borderId="8" xfId="10" applyNumberFormat="1" applyFont="1" applyBorder="1" applyAlignment="1">
      <alignment horizontal="right" vertical="center"/>
    </xf>
    <xf numFmtId="178" fontId="20" fillId="0" borderId="26" xfId="12" applyNumberFormat="1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8" xfId="12" applyNumberFormat="1" applyFont="1" applyFill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176" fontId="15" fillId="2" borderId="35" xfId="12" applyNumberFormat="1" applyFont="1" applyFill="1" applyBorder="1" applyAlignment="1">
      <alignment horizontal="right" vertical="center" shrinkToFit="1"/>
    </xf>
    <xf numFmtId="176" fontId="15" fillId="2" borderId="43" xfId="12" applyNumberFormat="1" applyFont="1" applyFill="1" applyBorder="1" applyAlignment="1">
      <alignment vertical="center"/>
    </xf>
    <xf numFmtId="176" fontId="15" fillId="2" borderId="40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2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3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1" xfId="12" applyNumberFormat="1" applyFont="1" applyFill="1" applyBorder="1" applyAlignment="1">
      <alignment horizontal="right" vertical="center"/>
    </xf>
    <xf numFmtId="177" fontId="18" fillId="2" borderId="47" xfId="0" applyNumberFormat="1" applyFont="1" applyFill="1" applyBorder="1" applyAlignment="1">
      <alignment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5" fillId="2" borderId="2" xfId="0" applyNumberFormat="1" applyFont="1" applyFill="1" applyBorder="1" applyAlignment="1">
      <alignment horizontal="left" vertical="center"/>
    </xf>
    <xf numFmtId="177" fontId="15" fillId="2" borderId="12" xfId="0" applyNumberFormat="1" applyFont="1" applyFill="1" applyBorder="1" applyAlignment="1">
      <alignment horizontal="left" vertical="center"/>
    </xf>
    <xf numFmtId="177" fontId="15" fillId="2" borderId="7" xfId="0" applyNumberFormat="1" applyFont="1" applyFill="1" applyBorder="1" applyAlignment="1">
      <alignment horizontal="left" vertical="center"/>
    </xf>
    <xf numFmtId="177" fontId="15" fillId="2" borderId="3" xfId="0" applyNumberFormat="1" applyFont="1" applyFill="1" applyBorder="1" applyAlignment="1">
      <alignment horizontal="left" vertical="center"/>
    </xf>
    <xf numFmtId="177" fontId="15" fillId="2" borderId="8" xfId="0" applyNumberFormat="1" applyFont="1" applyFill="1" applyBorder="1" applyAlignment="1">
      <alignment horizontal="left" vertical="center"/>
    </xf>
    <xf numFmtId="177" fontId="15" fillId="2" borderId="19" xfId="0" applyNumberFormat="1" applyFont="1" applyFill="1" applyBorder="1" applyAlignment="1">
      <alignment horizontal="left" vertical="center"/>
    </xf>
    <xf numFmtId="177" fontId="15" fillId="2" borderId="46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6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18" fillId="0" borderId="7" xfId="12" applyNumberFormat="1" applyFont="1" applyFill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20" fillId="0" borderId="4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77" fontId="15" fillId="2" borderId="24" xfId="0" applyNumberFormat="1" applyFont="1" applyFill="1" applyBorder="1" applyAlignment="1">
      <alignment vertical="center"/>
    </xf>
    <xf numFmtId="177" fontId="15" fillId="2" borderId="25" xfId="0" applyNumberFormat="1" applyFont="1" applyFill="1" applyBorder="1" applyAlignment="1">
      <alignment horizontal="left" vertical="center"/>
    </xf>
    <xf numFmtId="177" fontId="18" fillId="2" borderId="42" xfId="0" applyNumberFormat="1" applyFont="1" applyFill="1" applyBorder="1" applyAlignment="1">
      <alignment vertical="center"/>
    </xf>
    <xf numFmtId="176" fontId="15" fillId="0" borderId="46" xfId="12" applyNumberFormat="1" applyFont="1" applyFill="1" applyBorder="1" applyAlignment="1">
      <alignment vertical="center"/>
    </xf>
    <xf numFmtId="3" fontId="20" fillId="0" borderId="28" xfId="5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lef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6" fontId="18" fillId="3" borderId="50" xfId="12" applyNumberFormat="1" applyFont="1" applyFill="1" applyBorder="1" applyAlignment="1">
      <alignment vertical="center"/>
    </xf>
    <xf numFmtId="177" fontId="15" fillId="2" borderId="7" xfId="0" applyNumberFormat="1" applyFont="1" applyFill="1" applyBorder="1" applyAlignment="1">
      <alignment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69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0" xfId="11" applyNumberFormat="1" applyFont="1" applyFill="1" applyBorder="1" applyAlignment="1">
      <alignment vertical="top"/>
    </xf>
    <xf numFmtId="176" fontId="18" fillId="3" borderId="2" xfId="12" applyNumberFormat="1" applyFont="1" applyFill="1" applyBorder="1" applyAlignment="1">
      <alignment vertical="center"/>
    </xf>
    <xf numFmtId="177" fontId="18" fillId="35" borderId="65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6" xfId="12" applyNumberFormat="1" applyFont="1" applyFill="1" applyBorder="1" applyAlignment="1">
      <alignment horizontal="right" vertical="center"/>
    </xf>
    <xf numFmtId="177" fontId="18" fillId="35" borderId="71" xfId="0" applyNumberFormat="1" applyFont="1" applyFill="1" applyBorder="1" applyAlignment="1">
      <alignment vertical="center"/>
    </xf>
    <xf numFmtId="177" fontId="18" fillId="2" borderId="69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3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0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177" fontId="15" fillId="2" borderId="16" xfId="0" applyNumberFormat="1" applyFont="1" applyFill="1" applyBorder="1" applyAlignment="1">
      <alignment vertical="center"/>
    </xf>
    <xf numFmtId="177" fontId="18" fillId="35" borderId="4" xfId="0" applyNumberFormat="1" applyFont="1" applyFill="1" applyBorder="1" applyAlignment="1">
      <alignment vertical="center"/>
    </xf>
    <xf numFmtId="177" fontId="18" fillId="35" borderId="9" xfId="0" applyNumberFormat="1" applyFont="1" applyFill="1" applyBorder="1" applyAlignment="1">
      <alignment vertical="center"/>
    </xf>
    <xf numFmtId="176" fontId="18" fillId="35" borderId="73" xfId="12" applyNumberFormat="1" applyFont="1" applyFill="1" applyBorder="1" applyAlignment="1">
      <alignment horizontal="right" vertical="center" shrinkToFit="1"/>
    </xf>
    <xf numFmtId="176" fontId="15" fillId="2" borderId="7" xfId="12" applyNumberFormat="1" applyFont="1" applyFill="1" applyBorder="1" applyAlignment="1">
      <alignment vertical="center"/>
    </xf>
    <xf numFmtId="176" fontId="18" fillId="35" borderId="19" xfId="12" applyNumberFormat="1" applyFont="1" applyFill="1" applyBorder="1" applyAlignment="1">
      <alignment vertical="center"/>
    </xf>
    <xf numFmtId="177" fontId="18" fillId="2" borderId="8" xfId="0" applyNumberFormat="1" applyFont="1" applyFill="1" applyBorder="1" applyAlignment="1">
      <alignment vertical="center"/>
    </xf>
    <xf numFmtId="177" fontId="18" fillId="2" borderId="2" xfId="0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0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0" xfId="5" applyFont="1" applyBorder="1" applyAlignment="1">
      <alignment vertical="top"/>
    </xf>
    <xf numFmtId="178" fontId="0" fillId="0" borderId="0" xfId="0" applyNumberForma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68" xfId="0" applyNumberFormat="1" applyFont="1" applyFill="1" applyBorder="1" applyAlignment="1">
      <alignment vertical="center"/>
    </xf>
    <xf numFmtId="177" fontId="18" fillId="36" borderId="72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177" fontId="18" fillId="2" borderId="8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vertical="center"/>
    </xf>
    <xf numFmtId="0" fontId="0" fillId="0" borderId="0" xfId="0" applyNumberFormat="1" applyBorder="1">
      <alignment vertical="center"/>
    </xf>
    <xf numFmtId="177" fontId="15" fillId="2" borderId="3" xfId="0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18" fillId="0" borderId="23" xfId="2" applyNumberFormat="1" applyFont="1" applyFill="1" applyBorder="1" applyAlignment="1">
      <alignment vertical="center"/>
    </xf>
    <xf numFmtId="0" fontId="15" fillId="0" borderId="0" xfId="3" applyNumberFormat="1" applyFont="1" applyFill="1" applyBorder="1" applyAlignment="1">
      <alignment horizontal="left" vertical="center"/>
    </xf>
    <xf numFmtId="0" fontId="18" fillId="0" borderId="6" xfId="2" applyNumberFormat="1" applyFont="1" applyFill="1" applyBorder="1" applyAlignment="1">
      <alignment horizontal="left" vertical="center" shrinkToFit="1"/>
    </xf>
    <xf numFmtId="41" fontId="15" fillId="0" borderId="1" xfId="65" applyNumberFormat="1" applyFont="1" applyFill="1" applyBorder="1" applyAlignment="1">
      <alignment horizontal="center" vertical="center"/>
    </xf>
    <xf numFmtId="41" fontId="20" fillId="0" borderId="1" xfId="65" applyNumberFormat="1" applyFont="1" applyFill="1" applyBorder="1" applyAlignment="1">
      <alignment horizontal="center" vertical="center"/>
    </xf>
    <xf numFmtId="180" fontId="20" fillId="0" borderId="15" xfId="65" applyNumberFormat="1" applyFont="1" applyFill="1" applyBorder="1" applyAlignment="1">
      <alignment horizontal="right" vertical="center"/>
    </xf>
    <xf numFmtId="180" fontId="19" fillId="0" borderId="17" xfId="65" applyNumberFormat="1" applyFont="1" applyFill="1" applyBorder="1" applyAlignment="1">
      <alignment horizontal="right" vertical="center"/>
    </xf>
    <xf numFmtId="0" fontId="18" fillId="0" borderId="12" xfId="65" applyNumberFormat="1" applyFont="1" applyFill="1" applyBorder="1" applyAlignment="1">
      <alignment horizontal="left" vertical="center"/>
    </xf>
    <xf numFmtId="0" fontId="15" fillId="0" borderId="16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center"/>
    </xf>
    <xf numFmtId="0" fontId="51" fillId="0" borderId="0" xfId="0" applyNumberFormat="1" applyFont="1">
      <alignment vertical="center"/>
    </xf>
    <xf numFmtId="3" fontId="51" fillId="0" borderId="0" xfId="0" applyNumberFormat="1" applyFont="1">
      <alignment vertical="center"/>
    </xf>
    <xf numFmtId="0" fontId="18" fillId="2" borderId="19" xfId="0" applyNumberFormat="1" applyFont="1" applyFill="1" applyBorder="1" applyAlignment="1">
      <alignment vertical="center"/>
    </xf>
    <xf numFmtId="0" fontId="18" fillId="2" borderId="3" xfId="0" applyNumberFormat="1" applyFont="1" applyFill="1" applyBorder="1" applyAlignment="1">
      <alignment vertical="center"/>
    </xf>
    <xf numFmtId="0" fontId="15" fillId="2" borderId="7" xfId="0" applyNumberFormat="1" applyFont="1" applyFill="1" applyBorder="1" applyAlignment="1">
      <alignment vertical="center"/>
    </xf>
    <xf numFmtId="176" fontId="15" fillId="2" borderId="29" xfId="12" applyNumberFormat="1" applyFont="1" applyFill="1" applyBorder="1" applyAlignment="1">
      <alignment vertical="center"/>
    </xf>
    <xf numFmtId="0" fontId="15" fillId="2" borderId="19" xfId="0" applyNumberFormat="1" applyFont="1" applyFill="1" applyBorder="1" applyAlignment="1">
      <alignment vertical="center"/>
    </xf>
    <xf numFmtId="176" fontId="15" fillId="2" borderId="19" xfId="12" applyNumberFormat="1" applyFont="1" applyFill="1" applyBorder="1" applyAlignment="1">
      <alignment vertical="center"/>
    </xf>
    <xf numFmtId="176" fontId="15" fillId="2" borderId="67" xfId="12" applyNumberFormat="1" applyFont="1" applyFill="1" applyBorder="1" applyAlignment="1">
      <alignment horizontal="right" vertical="center" shrinkToFit="1"/>
    </xf>
    <xf numFmtId="176" fontId="15" fillId="0" borderId="7" xfId="12" applyNumberFormat="1" applyFont="1" applyFill="1" applyBorder="1" applyAlignment="1">
      <alignment vertical="center"/>
    </xf>
    <xf numFmtId="0" fontId="15" fillId="0" borderId="4" xfId="5" quotePrefix="1" applyFont="1" applyBorder="1" applyAlignment="1">
      <alignment horizontal="justify" vertical="center"/>
    </xf>
    <xf numFmtId="0" fontId="15" fillId="0" borderId="5" xfId="11" applyFont="1" applyFill="1" applyBorder="1" applyAlignment="1">
      <alignment horizontal="center" vertical="center"/>
    </xf>
    <xf numFmtId="3" fontId="15" fillId="0" borderId="10" xfId="5" applyNumberFormat="1" applyFont="1" applyFill="1" applyBorder="1" applyAlignment="1">
      <alignment horizontal="right" vertical="center"/>
    </xf>
    <xf numFmtId="0" fontId="15" fillId="0" borderId="0" xfId="11" applyNumberFormat="1" applyFont="1" applyFill="1" applyBorder="1" applyAlignment="1">
      <alignment horizontal="center" vertical="center"/>
    </xf>
    <xf numFmtId="0" fontId="15" fillId="0" borderId="4" xfId="2" applyNumberFormat="1" applyFont="1" applyBorder="1" applyAlignment="1">
      <alignment horizontal="left" vertical="center" shrinkToFit="1"/>
    </xf>
    <xf numFmtId="0" fontId="15" fillId="0" borderId="5" xfId="11" applyNumberFormat="1" applyFont="1" applyFill="1" applyBorder="1" applyAlignment="1">
      <alignment horizontal="center" vertical="center"/>
    </xf>
    <xf numFmtId="0" fontId="15" fillId="0" borderId="0" xfId="11" applyFont="1" applyFill="1" applyBorder="1" applyAlignment="1">
      <alignment horizontal="center" vertical="center"/>
    </xf>
    <xf numFmtId="3" fontId="18" fillId="0" borderId="10" xfId="5" applyNumberFormat="1" applyFont="1" applyFill="1" applyBorder="1" applyAlignment="1">
      <alignment horizontal="right" vertical="center"/>
    </xf>
    <xf numFmtId="0" fontId="15" fillId="0" borderId="4" xfId="65" applyNumberFormat="1" applyFont="1" applyFill="1" applyBorder="1" applyAlignment="1">
      <alignment horizontal="left" vertical="center"/>
    </xf>
    <xf numFmtId="3" fontId="15" fillId="0" borderId="11" xfId="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/>
    </xf>
    <xf numFmtId="0" fontId="18" fillId="0" borderId="6" xfId="11" applyFont="1" applyFill="1" applyBorder="1" applyAlignment="1">
      <alignment vertical="center" shrinkToFit="1"/>
    </xf>
    <xf numFmtId="0" fontId="15" fillId="0" borderId="6" xfId="65" applyNumberFormat="1" applyFont="1" applyFill="1" applyBorder="1" applyAlignment="1">
      <alignment horizontal="center" vertical="center" shrinkToFit="1"/>
    </xf>
    <xf numFmtId="41" fontId="18" fillId="0" borderId="15" xfId="65" applyFont="1" applyFill="1" applyBorder="1" applyAlignment="1">
      <alignment horizontal="right" vertical="center"/>
    </xf>
    <xf numFmtId="0" fontId="18" fillId="0" borderId="27" xfId="65" applyNumberFormat="1" applyFont="1" applyFill="1" applyBorder="1" applyAlignment="1">
      <alignment horizontal="left" vertical="center"/>
    </xf>
    <xf numFmtId="0" fontId="15" fillId="0" borderId="1" xfId="11" applyNumberFormat="1" applyFont="1" applyFill="1" applyBorder="1" applyAlignment="1">
      <alignment horizontal="center" vertical="center"/>
    </xf>
    <xf numFmtId="3" fontId="18" fillId="0" borderId="17" xfId="5" applyNumberFormat="1" applyFont="1" applyFill="1" applyBorder="1" applyAlignment="1">
      <alignment horizontal="right" vertical="center"/>
    </xf>
    <xf numFmtId="0" fontId="15" fillId="0" borderId="6" xfId="3" applyNumberFormat="1" applyFont="1" applyFill="1" applyBorder="1" applyAlignment="1">
      <alignment horizontal="left" vertical="center"/>
    </xf>
    <xf numFmtId="41" fontId="15" fillId="0" borderId="6" xfId="3" applyNumberFormat="1" applyFont="1" applyFill="1" applyBorder="1" applyAlignment="1">
      <alignment horizontal="center" vertical="center"/>
    </xf>
    <xf numFmtId="0" fontId="18" fillId="0" borderId="6" xfId="2" applyNumberFormat="1" applyFont="1" applyFill="1" applyBorder="1" applyAlignment="1">
      <alignment horizontal="center" vertical="center"/>
    </xf>
    <xf numFmtId="41" fontId="18" fillId="0" borderId="15" xfId="3" applyNumberFormat="1" applyFont="1" applyFill="1" applyBorder="1" applyAlignment="1">
      <alignment vertical="center"/>
    </xf>
    <xf numFmtId="41" fontId="15" fillId="0" borderId="27" xfId="65" applyNumberFormat="1" applyFont="1" applyFill="1" applyBorder="1" applyAlignment="1">
      <alignment vertical="center"/>
    </xf>
    <xf numFmtId="41" fontId="15" fillId="0" borderId="15" xfId="65" applyNumberFormat="1" applyFont="1" applyFill="1" applyBorder="1" applyAlignment="1">
      <alignment horizontal="right" vertical="center"/>
    </xf>
    <xf numFmtId="3" fontId="15" fillId="0" borderId="11" xfId="11" applyNumberFormat="1" applyFont="1" applyFill="1" applyBorder="1" applyAlignment="1">
      <alignment horizontal="right" vertical="center"/>
    </xf>
    <xf numFmtId="41" fontId="15" fillId="0" borderId="6" xfId="3" applyNumberFormat="1" applyFont="1" applyFill="1" applyBorder="1" applyAlignment="1">
      <alignment horizontal="left" vertical="center"/>
    </xf>
    <xf numFmtId="41" fontId="15" fillId="0" borderId="15" xfId="3" applyNumberFormat="1" applyFont="1" applyFill="1" applyBorder="1" applyAlignment="1">
      <alignment horizontal="right" vertical="center"/>
    </xf>
    <xf numFmtId="41" fontId="18" fillId="0" borderId="15" xfId="65" applyFont="1" applyFill="1" applyBorder="1" applyAlignment="1">
      <alignment vertical="center"/>
    </xf>
    <xf numFmtId="3" fontId="15" fillId="0" borderId="10" xfId="11" applyNumberFormat="1" applyFont="1" applyFill="1" applyBorder="1" applyAlignment="1">
      <alignment horizontal="right" vertical="center"/>
    </xf>
    <xf numFmtId="3" fontId="15" fillId="0" borderId="28" xfId="5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center" vertical="center"/>
    </xf>
    <xf numFmtId="180" fontId="15" fillId="0" borderId="11" xfId="3" applyNumberFormat="1" applyFont="1" applyFill="1" applyBorder="1" applyAlignment="1">
      <alignment horizontal="right" vertical="center"/>
    </xf>
    <xf numFmtId="41" fontId="15" fillId="0" borderId="0" xfId="3" applyNumberFormat="1" applyFont="1" applyFill="1" applyBorder="1" applyAlignment="1">
      <alignment horizontal="center" vertical="center"/>
    </xf>
    <xf numFmtId="180" fontId="18" fillId="0" borderId="15" xfId="3" applyNumberFormat="1" applyFont="1" applyFill="1" applyBorder="1" applyAlignment="1">
      <alignment vertical="center"/>
    </xf>
    <xf numFmtId="180" fontId="15" fillId="0" borderId="15" xfId="65" applyNumberFormat="1" applyFont="1" applyFill="1" applyBorder="1" applyAlignment="1">
      <alignment horizontal="right" vertical="center"/>
    </xf>
    <xf numFmtId="180" fontId="18" fillId="0" borderId="17" xfId="5" applyNumberFormat="1" applyFont="1" applyFill="1" applyBorder="1" applyAlignment="1">
      <alignment horizontal="right" vertical="center"/>
    </xf>
    <xf numFmtId="3" fontId="18" fillId="0" borderId="10" xfId="11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center" vertical="center" shrinkToFit="1"/>
    </xf>
    <xf numFmtId="0" fontId="15" fillId="0" borderId="1" xfId="65" applyNumberFormat="1" applyFont="1" applyFill="1" applyBorder="1" applyAlignment="1">
      <alignment horizontal="center" vertical="center" shrinkToFit="1"/>
    </xf>
    <xf numFmtId="0" fontId="15" fillId="0" borderId="1" xfId="17" applyFont="1" applyFill="1" applyBorder="1" applyAlignment="1">
      <alignment horizontal="center" vertical="center" shrinkToFit="1"/>
    </xf>
    <xf numFmtId="0" fontId="18" fillId="0" borderId="0" xfId="65" applyNumberFormat="1" applyFont="1" applyFill="1" applyBorder="1" applyAlignment="1">
      <alignment horizontal="left" vertical="center"/>
    </xf>
    <xf numFmtId="41" fontId="15" fillId="2" borderId="4" xfId="65" applyNumberFormat="1" applyFont="1" applyFill="1" applyBorder="1" applyAlignment="1">
      <alignment vertical="center" shrinkToFit="1"/>
    </xf>
    <xf numFmtId="41" fontId="15" fillId="2" borderId="5" xfId="65" applyNumberFormat="1" applyFont="1" applyFill="1" applyBorder="1" applyAlignment="1">
      <alignment horizontal="center" vertical="center" shrinkToFit="1"/>
    </xf>
    <xf numFmtId="41" fontId="18" fillId="2" borderId="15" xfId="65" applyFont="1" applyFill="1" applyBorder="1" applyAlignment="1">
      <alignment horizontal="right" vertical="center"/>
    </xf>
    <xf numFmtId="176" fontId="15" fillId="0" borderId="1" xfId="12" applyNumberFormat="1" applyFont="1" applyBorder="1" applyAlignment="1">
      <alignment vertical="center"/>
    </xf>
    <xf numFmtId="0" fontId="15" fillId="0" borderId="0" xfId="17" applyFont="1" applyFill="1" applyBorder="1" applyAlignment="1">
      <alignment horizontal="center" vertical="center" shrinkToFit="1"/>
    </xf>
    <xf numFmtId="41" fontId="15" fillId="0" borderId="11" xfId="3" applyNumberFormat="1" applyFont="1" applyFill="1" applyBorder="1" applyAlignment="1">
      <alignment horizontal="right" vertical="center"/>
    </xf>
    <xf numFmtId="41" fontId="15" fillId="0" borderId="23" xfId="65" applyNumberFormat="1" applyFont="1" applyFill="1" applyBorder="1" applyAlignment="1">
      <alignment horizontal="center" vertical="center"/>
    </xf>
    <xf numFmtId="0" fontId="18" fillId="0" borderId="0" xfId="2" applyNumberFormat="1" applyFont="1" applyBorder="1" applyAlignment="1">
      <alignment horizontal="left" vertical="center" shrinkToFit="1"/>
    </xf>
    <xf numFmtId="0" fontId="15" fillId="0" borderId="12" xfId="2" applyNumberFormat="1" applyFont="1" applyBorder="1" applyAlignment="1">
      <alignment horizontal="left" vertical="center" shrinkToFit="1"/>
    </xf>
    <xf numFmtId="0" fontId="15" fillId="0" borderId="12" xfId="2" applyNumberFormat="1" applyFont="1" applyFill="1" applyBorder="1" applyAlignment="1">
      <alignment horizontal="left" vertical="center" shrinkToFit="1"/>
    </xf>
    <xf numFmtId="0" fontId="15" fillId="0" borderId="0" xfId="2" applyNumberFormat="1" applyFont="1" applyBorder="1" applyAlignment="1">
      <alignment horizontal="left" vertical="center" shrinkToFit="1"/>
    </xf>
    <xf numFmtId="177" fontId="15" fillId="2" borderId="29" xfId="0" applyNumberFormat="1" applyFont="1" applyFill="1" applyBorder="1" applyAlignment="1">
      <alignment vertical="center"/>
    </xf>
    <xf numFmtId="177" fontId="18" fillId="2" borderId="3" xfId="0" applyNumberFormat="1" applyFont="1" applyFill="1" applyBorder="1" applyAlignment="1">
      <alignment vertical="center"/>
    </xf>
    <xf numFmtId="0" fontId="24" fillId="0" borderId="10" xfId="11" applyNumberFormat="1" applyFont="1" applyFill="1" applyBorder="1" applyAlignment="1">
      <alignment vertical="center"/>
    </xf>
    <xf numFmtId="0" fontId="24" fillId="0" borderId="17" xfId="11" applyNumberFormat="1" applyFont="1" applyFill="1" applyBorder="1" applyAlignment="1">
      <alignment vertical="center"/>
    </xf>
    <xf numFmtId="0" fontId="15" fillId="0" borderId="10" xfId="11" applyNumberFormat="1" applyFont="1" applyFill="1" applyBorder="1" applyAlignment="1">
      <alignment vertical="center"/>
    </xf>
    <xf numFmtId="0" fontId="10" fillId="0" borderId="17" xfId="11" applyFont="1" applyFill="1" applyBorder="1" applyAlignment="1">
      <alignment vertical="center"/>
    </xf>
    <xf numFmtId="0" fontId="20" fillId="0" borderId="15" xfId="11" applyFont="1" applyBorder="1" applyAlignment="1">
      <alignment vertical="center"/>
    </xf>
    <xf numFmtId="49" fontId="20" fillId="0" borderId="15" xfId="11" applyNumberFormat="1" applyFont="1" applyBorder="1" applyAlignment="1">
      <alignment vertical="center"/>
    </xf>
    <xf numFmtId="0" fontId="20" fillId="0" borderId="10" xfId="5" applyFont="1" applyFill="1" applyBorder="1" applyAlignment="1">
      <alignment vertical="center" wrapText="1"/>
    </xf>
    <xf numFmtId="0" fontId="20" fillId="0" borderId="10" xfId="5" applyFont="1" applyFill="1" applyBorder="1" applyAlignment="1">
      <alignment vertical="center" shrinkToFit="1"/>
    </xf>
    <xf numFmtId="0" fontId="20" fillId="2" borderId="15" xfId="11" applyFont="1" applyFill="1" applyBorder="1" applyAlignment="1">
      <alignment vertical="center"/>
    </xf>
    <xf numFmtId="0" fontId="20" fillId="2" borderId="15" xfId="5" applyFont="1" applyFill="1" applyBorder="1" applyAlignment="1">
      <alignment vertical="center"/>
    </xf>
    <xf numFmtId="0" fontId="20" fillId="2" borderId="10" xfId="5" applyFont="1" applyFill="1" applyBorder="1" applyAlignment="1">
      <alignment horizontal="justify" vertical="center" wrapText="1"/>
    </xf>
    <xf numFmtId="0" fontId="20" fillId="0" borderId="15" xfId="5" applyFont="1" applyBorder="1" applyAlignment="1">
      <alignment horizontal="justify" vertical="center" wrapText="1"/>
    </xf>
    <xf numFmtId="0" fontId="20" fillId="0" borderId="10" xfId="5" applyFont="1" applyBorder="1" applyAlignment="1">
      <alignment horizontal="justify" vertical="center" wrapText="1"/>
    </xf>
    <xf numFmtId="177" fontId="18" fillId="35" borderId="1" xfId="0" applyNumberFormat="1" applyFont="1" applyFill="1" applyBorder="1" applyAlignment="1">
      <alignment vertical="center"/>
    </xf>
    <xf numFmtId="177" fontId="18" fillId="35" borderId="20" xfId="0" applyNumberFormat="1" applyFont="1" applyFill="1" applyBorder="1" applyAlignment="1">
      <alignment vertical="center"/>
    </xf>
    <xf numFmtId="0" fontId="6" fillId="0" borderId="0" xfId="2"/>
    <xf numFmtId="0" fontId="52" fillId="0" borderId="0" xfId="2" applyFont="1" applyAlignment="1">
      <alignment horizontal="right"/>
    </xf>
    <xf numFmtId="0" fontId="6" fillId="37" borderId="0" xfId="2" applyFill="1"/>
    <xf numFmtId="0" fontId="6" fillId="37" borderId="0" xfId="2" applyFill="1" applyAlignment="1">
      <alignment horizontal="center"/>
    </xf>
    <xf numFmtId="0" fontId="6" fillId="0" borderId="0" xfId="2" applyAlignment="1"/>
    <xf numFmtId="0" fontId="56" fillId="0" borderId="0" xfId="2" applyFont="1" applyAlignment="1">
      <alignment horizontal="center" vertical="center"/>
    </xf>
    <xf numFmtId="0" fontId="18" fillId="0" borderId="32" xfId="2" applyNumberFormat="1" applyFont="1" applyFill="1" applyBorder="1" applyAlignment="1">
      <alignment vertical="center"/>
    </xf>
    <xf numFmtId="0" fontId="18" fillId="0" borderId="33" xfId="2" applyNumberFormat="1" applyFont="1" applyFill="1" applyBorder="1" applyAlignment="1">
      <alignment vertical="center"/>
    </xf>
    <xf numFmtId="0" fontId="18" fillId="0" borderId="21" xfId="2" applyNumberFormat="1" applyFont="1" applyFill="1" applyBorder="1" applyAlignment="1">
      <alignment vertical="center"/>
    </xf>
    <xf numFmtId="0" fontId="18" fillId="0" borderId="30" xfId="2" applyNumberFormat="1" applyFont="1" applyFill="1" applyBorder="1" applyAlignment="1">
      <alignment vertical="center"/>
    </xf>
    <xf numFmtId="0" fontId="15" fillId="0" borderId="16" xfId="2" applyNumberFormat="1" applyFont="1" applyFill="1" applyBorder="1" applyAlignment="1">
      <alignment vertical="center"/>
    </xf>
    <xf numFmtId="0" fontId="18" fillId="0" borderId="6" xfId="2" applyNumberFormat="1" applyFont="1" applyFill="1" applyBorder="1" applyAlignment="1">
      <alignment vertical="center"/>
    </xf>
    <xf numFmtId="0" fontId="18" fillId="0" borderId="29" xfId="2" applyNumberFormat="1" applyFont="1" applyFill="1" applyBorder="1" applyAlignment="1">
      <alignment vertical="center"/>
    </xf>
    <xf numFmtId="0" fontId="15" fillId="0" borderId="2" xfId="2" applyNumberFormat="1" applyFont="1" applyFill="1" applyBorder="1" applyAlignment="1">
      <alignment vertical="center"/>
    </xf>
    <xf numFmtId="176" fontId="18" fillId="0" borderId="7" xfId="3" applyNumberFormat="1" applyFont="1" applyFill="1" applyBorder="1" applyAlignment="1">
      <alignment vertical="center"/>
    </xf>
    <xf numFmtId="0" fontId="18" fillId="0" borderId="62" xfId="2" applyNumberFormat="1" applyFont="1" applyFill="1" applyBorder="1" applyAlignment="1">
      <alignment vertical="center"/>
    </xf>
    <xf numFmtId="0" fontId="18" fillId="0" borderId="3" xfId="2" applyNumberFormat="1" applyFont="1" applyFill="1" applyBorder="1" applyAlignment="1">
      <alignment vertical="center"/>
    </xf>
    <xf numFmtId="41" fontId="18" fillId="0" borderId="15" xfId="3" applyNumberFormat="1" applyFont="1" applyFill="1" applyBorder="1" applyAlignment="1">
      <alignment horizontal="right" vertical="center"/>
    </xf>
    <xf numFmtId="0" fontId="18" fillId="0" borderId="12" xfId="11" applyNumberFormat="1" applyFont="1" applyFill="1" applyBorder="1" applyAlignment="1">
      <alignment horizontal="left" vertical="center"/>
    </xf>
    <xf numFmtId="0" fontId="18" fillId="0" borderId="2" xfId="11" applyNumberFormat="1" applyFont="1" applyFill="1" applyBorder="1" applyAlignment="1">
      <alignment horizontal="left" vertical="center"/>
    </xf>
    <xf numFmtId="0" fontId="18" fillId="0" borderId="1" xfId="11" applyNumberFormat="1" applyFont="1" applyFill="1" applyBorder="1" applyAlignment="1">
      <alignment horizontal="left" vertical="center"/>
    </xf>
    <xf numFmtId="0" fontId="15" fillId="0" borderId="23" xfId="11" applyNumberFormat="1" applyFont="1" applyFill="1" applyBorder="1" applyAlignment="1">
      <alignment vertical="center"/>
    </xf>
    <xf numFmtId="0" fontId="18" fillId="0" borderId="29" xfId="11" applyNumberFormat="1" applyFont="1" applyFill="1" applyBorder="1" applyAlignment="1">
      <alignment horizontal="left" vertical="center"/>
    </xf>
    <xf numFmtId="0" fontId="15" fillId="0" borderId="31" xfId="11" applyNumberFormat="1" applyFont="1" applyFill="1" applyBorder="1" applyAlignment="1">
      <alignment vertical="center"/>
    </xf>
    <xf numFmtId="0" fontId="15" fillId="0" borderId="29" xfId="11" applyNumberFormat="1" applyFont="1" applyFill="1" applyBorder="1" applyAlignment="1">
      <alignment vertical="center"/>
    </xf>
    <xf numFmtId="0" fontId="15" fillId="0" borderId="12" xfId="11" applyNumberFormat="1" applyFont="1" applyFill="1" applyBorder="1" applyAlignment="1">
      <alignment vertical="center"/>
    </xf>
    <xf numFmtId="179" fontId="15" fillId="0" borderId="26" xfId="65" applyNumberFormat="1" applyFont="1" applyFill="1" applyBorder="1" applyAlignment="1">
      <alignment horizontal="right" vertical="center"/>
    </xf>
    <xf numFmtId="0" fontId="15" fillId="0" borderId="8" xfId="11" applyNumberFormat="1" applyFont="1" applyFill="1" applyBorder="1" applyAlignment="1">
      <alignment vertical="center"/>
    </xf>
    <xf numFmtId="179" fontId="15" fillId="0" borderId="9" xfId="65" applyNumberFormat="1" applyFont="1" applyFill="1" applyBorder="1" applyAlignment="1">
      <alignment horizontal="right" vertical="center"/>
    </xf>
    <xf numFmtId="0" fontId="15" fillId="0" borderId="3" xfId="5" applyFont="1" applyBorder="1" applyAlignment="1">
      <alignment vertical="top"/>
    </xf>
    <xf numFmtId="0" fontId="15" fillId="0" borderId="2" xfId="5" applyFont="1" applyBorder="1" applyAlignment="1">
      <alignment vertical="top"/>
    </xf>
    <xf numFmtId="0" fontId="15" fillId="0" borderId="63" xfId="2" applyNumberFormat="1" applyFont="1" applyFill="1" applyBorder="1" applyAlignment="1">
      <alignment vertical="center"/>
    </xf>
    <xf numFmtId="0" fontId="15" fillId="0" borderId="16" xfId="11" applyFont="1" applyBorder="1" applyAlignment="1">
      <alignment vertical="center"/>
    </xf>
    <xf numFmtId="0" fontId="15" fillId="0" borderId="2" xfId="11" applyFont="1" applyBorder="1" applyAlignment="1">
      <alignment vertical="center"/>
    </xf>
    <xf numFmtId="0" fontId="15" fillId="0" borderId="3" xfId="17" applyFont="1" applyBorder="1" applyAlignment="1">
      <alignment horizontal="left" vertical="top"/>
    </xf>
    <xf numFmtId="0" fontId="15" fillId="0" borderId="3" xfId="17" applyFont="1" applyBorder="1" applyAlignment="1">
      <alignment vertical="center"/>
    </xf>
    <xf numFmtId="178" fontId="15" fillId="0" borderId="3" xfId="10" applyNumberFormat="1" applyFont="1" applyBorder="1" applyAlignment="1">
      <alignment horizontal="right" vertical="center"/>
    </xf>
    <xf numFmtId="0" fontId="15" fillId="0" borderId="2" xfId="17" applyFont="1" applyBorder="1" applyAlignment="1">
      <alignment horizontal="left" vertical="top"/>
    </xf>
    <xf numFmtId="0" fontId="15" fillId="0" borderId="2" xfId="17" applyFont="1" applyBorder="1" applyAlignment="1">
      <alignment vertical="center"/>
    </xf>
    <xf numFmtId="178" fontId="15" fillId="0" borderId="2" xfId="10" applyNumberFormat="1" applyFont="1" applyBorder="1" applyAlignment="1">
      <alignment horizontal="right" vertical="center"/>
    </xf>
    <xf numFmtId="0" fontId="18" fillId="0" borderId="2" xfId="2" applyNumberFormat="1" applyFont="1" applyFill="1" applyBorder="1" applyAlignment="1">
      <alignment vertical="center"/>
    </xf>
    <xf numFmtId="0" fontId="15" fillId="0" borderId="8" xfId="17" applyFont="1" applyBorder="1" applyAlignment="1">
      <alignment vertical="center"/>
    </xf>
    <xf numFmtId="179" fontId="15" fillId="0" borderId="2" xfId="10" applyNumberFormat="1" applyFont="1" applyBorder="1" applyAlignment="1">
      <alignment vertical="center"/>
    </xf>
    <xf numFmtId="0" fontId="15" fillId="0" borderId="2" xfId="5" applyFont="1" applyBorder="1" applyAlignment="1">
      <alignment vertical="center"/>
    </xf>
    <xf numFmtId="178" fontId="15" fillId="0" borderId="3" xfId="12" applyNumberFormat="1" applyFont="1" applyBorder="1" applyAlignment="1">
      <alignment vertical="center"/>
    </xf>
    <xf numFmtId="176" fontId="15" fillId="0" borderId="3" xfId="12" applyNumberFormat="1" applyFont="1" applyBorder="1" applyAlignment="1">
      <alignment vertical="center"/>
    </xf>
    <xf numFmtId="178" fontId="15" fillId="0" borderId="2" xfId="12" applyNumberFormat="1" applyFont="1" applyBorder="1" applyAlignment="1">
      <alignment vertical="center"/>
    </xf>
    <xf numFmtId="178" fontId="15" fillId="0" borderId="26" xfId="10" applyNumberFormat="1" applyFont="1" applyBorder="1" applyAlignment="1">
      <alignment horizontal="right" vertical="center"/>
    </xf>
    <xf numFmtId="176" fontId="15" fillId="0" borderId="2" xfId="12" applyNumberFormat="1" applyFont="1" applyBorder="1" applyAlignment="1">
      <alignment vertical="center"/>
    </xf>
    <xf numFmtId="0" fontId="15" fillId="0" borderId="8" xfId="5" applyFont="1" applyBorder="1" applyAlignment="1">
      <alignment vertical="top"/>
    </xf>
    <xf numFmtId="178" fontId="15" fillId="0" borderId="8" xfId="12" applyNumberFormat="1" applyFont="1" applyBorder="1" applyAlignment="1">
      <alignment vertical="center"/>
    </xf>
    <xf numFmtId="178" fontId="15" fillId="0" borderId="9" xfId="10" applyNumberFormat="1" applyFont="1" applyBorder="1" applyAlignment="1">
      <alignment horizontal="right" vertical="center"/>
    </xf>
    <xf numFmtId="176" fontId="15" fillId="0" borderId="8" xfId="12" applyNumberFormat="1" applyFont="1" applyBorder="1" applyAlignment="1">
      <alignment vertical="center"/>
    </xf>
    <xf numFmtId="0" fontId="15" fillId="0" borderId="26" xfId="5" applyFont="1" applyBorder="1" applyAlignment="1">
      <alignment vertical="top"/>
    </xf>
    <xf numFmtId="0" fontId="15" fillId="0" borderId="8" xfId="5" applyFont="1" applyBorder="1" applyAlignment="1">
      <alignment vertical="center"/>
    </xf>
    <xf numFmtId="0" fontId="18" fillId="0" borderId="0" xfId="11" applyNumberFormat="1" applyFont="1" applyFill="1" applyBorder="1" applyAlignment="1">
      <alignment horizontal="left" vertical="center"/>
    </xf>
    <xf numFmtId="0" fontId="15" fillId="0" borderId="8" xfId="11" applyNumberFormat="1" applyFont="1" applyFill="1" applyBorder="1" applyAlignment="1">
      <alignment vertical="top"/>
    </xf>
    <xf numFmtId="0" fontId="18" fillId="0" borderId="26" xfId="11" applyNumberFormat="1" applyFont="1" applyFill="1" applyBorder="1" applyAlignment="1">
      <alignment horizontal="left" vertical="center"/>
    </xf>
    <xf numFmtId="0" fontId="15" fillId="2" borderId="26" xfId="5" applyFont="1" applyFill="1" applyBorder="1" applyAlignment="1">
      <alignment vertical="top"/>
    </xf>
    <xf numFmtId="0" fontId="15" fillId="0" borderId="9" xfId="5" applyFont="1" applyBorder="1" applyAlignment="1">
      <alignment vertical="top"/>
    </xf>
    <xf numFmtId="0" fontId="15" fillId="0" borderId="18" xfId="11" applyFont="1" applyBorder="1" applyAlignment="1">
      <alignment vertical="center"/>
    </xf>
    <xf numFmtId="0" fontId="15" fillId="0" borderId="19" xfId="11" applyFont="1" applyBorder="1" applyAlignment="1">
      <alignment vertical="center"/>
    </xf>
    <xf numFmtId="0" fontId="15" fillId="0" borderId="19" xfId="11" applyNumberFormat="1" applyFont="1" applyFill="1" applyBorder="1" applyAlignment="1">
      <alignment vertical="center"/>
    </xf>
    <xf numFmtId="0" fontId="15" fillId="0" borderId="19" xfId="17" applyFont="1" applyBorder="1" applyAlignment="1">
      <alignment horizontal="left" vertical="top"/>
    </xf>
    <xf numFmtId="0" fontId="15" fillId="0" borderId="19" xfId="17" applyFont="1" applyBorder="1" applyAlignment="1">
      <alignment vertical="center"/>
    </xf>
    <xf numFmtId="178" fontId="15" fillId="0" borderId="19" xfId="10" applyNumberFormat="1" applyFont="1" applyBorder="1" applyAlignment="1">
      <alignment horizontal="right" vertical="center"/>
    </xf>
    <xf numFmtId="0" fontId="15" fillId="0" borderId="25" xfId="65" applyNumberFormat="1" applyFont="1" applyFill="1" applyBorder="1" applyAlignment="1">
      <alignment horizontal="left" vertical="center"/>
    </xf>
    <xf numFmtId="0" fontId="15" fillId="0" borderId="20" xfId="11" applyFont="1" applyFill="1" applyBorder="1" applyAlignment="1">
      <alignment horizontal="center" vertical="center"/>
    </xf>
    <xf numFmtId="0" fontId="15" fillId="0" borderId="4" xfId="11" applyNumberFormat="1" applyFont="1" applyFill="1" applyBorder="1" applyAlignment="1">
      <alignment vertical="center"/>
    </xf>
    <xf numFmtId="38" fontId="15" fillId="0" borderId="7" xfId="65" applyNumberFormat="1" applyFont="1" applyBorder="1" applyAlignment="1">
      <alignment vertical="center"/>
    </xf>
    <xf numFmtId="176" fontId="15" fillId="0" borderId="7" xfId="65" applyNumberFormat="1" applyFont="1" applyBorder="1" applyAlignment="1">
      <alignment horizontal="right" vertical="center"/>
    </xf>
    <xf numFmtId="0" fontId="15" fillId="0" borderId="3" xfId="5" applyFont="1" applyBorder="1" applyAlignment="1">
      <alignment vertical="center"/>
    </xf>
    <xf numFmtId="0" fontId="15" fillId="2" borderId="16" xfId="11" applyFont="1" applyFill="1" applyBorder="1" applyAlignment="1">
      <alignment vertical="center"/>
    </xf>
    <xf numFmtId="0" fontId="15" fillId="2" borderId="2" xfId="11" applyFont="1" applyFill="1" applyBorder="1" applyAlignment="1">
      <alignment vertical="center"/>
    </xf>
    <xf numFmtId="178" fontId="15" fillId="0" borderId="8" xfId="10" applyNumberFormat="1" applyFont="1" applyBorder="1" applyAlignment="1">
      <alignment horizontal="right" vertical="center"/>
    </xf>
    <xf numFmtId="179" fontId="15" fillId="0" borderId="8" xfId="10" applyNumberFormat="1" applyFont="1" applyBorder="1" applyAlignment="1">
      <alignment vertical="center"/>
    </xf>
    <xf numFmtId="0" fontId="15" fillId="0" borderId="4" xfId="5" applyFont="1" applyFill="1" applyBorder="1" applyAlignment="1">
      <alignment horizontal="justify" vertical="center"/>
    </xf>
    <xf numFmtId="0" fontId="15" fillId="0" borderId="5" xfId="17" applyFont="1" applyFill="1" applyBorder="1" applyAlignment="1">
      <alignment horizontal="center" vertical="center" shrinkToFit="1"/>
    </xf>
    <xf numFmtId="0" fontId="18" fillId="0" borderId="1" xfId="65" applyNumberFormat="1" applyFont="1" applyFill="1" applyBorder="1" applyAlignment="1">
      <alignment horizontal="left" vertical="center"/>
    </xf>
    <xf numFmtId="0" fontId="15" fillId="0" borderId="1" xfId="11" applyFont="1" applyFill="1" applyBorder="1" applyAlignment="1">
      <alignment horizontal="center" vertical="center"/>
    </xf>
    <xf numFmtId="178" fontId="15" fillId="0" borderId="26" xfId="12" applyNumberFormat="1" applyFont="1" applyBorder="1" applyAlignment="1">
      <alignment vertical="center"/>
    </xf>
    <xf numFmtId="178" fontId="15" fillId="0" borderId="9" xfId="12" applyNumberFormat="1" applyFont="1" applyBorder="1" applyAlignment="1">
      <alignment vertical="center"/>
    </xf>
    <xf numFmtId="0" fontId="15" fillId="0" borderId="9" xfId="11" applyNumberFormat="1" applyFont="1" applyFill="1" applyBorder="1" applyAlignment="1">
      <alignment vertical="center"/>
    </xf>
    <xf numFmtId="0" fontId="18" fillId="0" borderId="5" xfId="11" applyFont="1" applyFill="1" applyBorder="1" applyAlignment="1">
      <alignment vertical="center" shrinkToFit="1"/>
    </xf>
    <xf numFmtId="0" fontId="15" fillId="0" borderId="5" xfId="65" applyNumberFormat="1" applyFont="1" applyFill="1" applyBorder="1" applyAlignment="1">
      <alignment horizontal="center" vertical="center" shrinkToFit="1"/>
    </xf>
    <xf numFmtId="41" fontId="18" fillId="0" borderId="11" xfId="65" applyFont="1" applyFill="1" applyBorder="1" applyAlignment="1">
      <alignment horizontal="right" vertical="center"/>
    </xf>
    <xf numFmtId="0" fontId="15" fillId="0" borderId="19" xfId="11" applyNumberFormat="1" applyFont="1" applyFill="1" applyBorder="1" applyAlignment="1">
      <alignment vertical="top"/>
    </xf>
    <xf numFmtId="0" fontId="15" fillId="0" borderId="70" xfId="11" applyNumberFormat="1" applyFont="1" applyFill="1" applyBorder="1" applyAlignment="1">
      <alignment vertical="top"/>
    </xf>
    <xf numFmtId="41" fontId="15" fillId="0" borderId="23" xfId="3" applyNumberFormat="1" applyFont="1" applyFill="1" applyBorder="1" applyAlignment="1">
      <alignment horizontal="left" vertical="center"/>
    </xf>
    <xf numFmtId="180" fontId="15" fillId="0" borderId="15" xfId="3" applyNumberFormat="1" applyFont="1" applyFill="1" applyBorder="1" applyAlignment="1">
      <alignment horizontal="right" vertical="center"/>
    </xf>
    <xf numFmtId="180" fontId="18" fillId="0" borderId="15" xfId="3" applyNumberFormat="1" applyFont="1" applyFill="1" applyBorder="1" applyAlignment="1">
      <alignment horizontal="right" vertical="center"/>
    </xf>
    <xf numFmtId="180" fontId="18" fillId="0" borderId="15" xfId="65" applyNumberFormat="1" applyFont="1" applyFill="1" applyBorder="1" applyAlignment="1">
      <alignment horizontal="right" vertical="center"/>
    </xf>
    <xf numFmtId="0" fontId="18" fillId="0" borderId="4" xfId="2" applyNumberFormat="1" applyFont="1" applyFill="1" applyBorder="1" applyAlignment="1">
      <alignment vertical="center"/>
    </xf>
    <xf numFmtId="0" fontId="15" fillId="0" borderId="3" xfId="2" applyNumberFormat="1" applyFont="1" applyFill="1" applyBorder="1" applyAlignment="1">
      <alignment vertical="center"/>
    </xf>
    <xf numFmtId="0" fontId="15" fillId="0" borderId="9" xfId="11" applyNumberFormat="1" applyFont="1" applyFill="1" applyBorder="1" applyAlignment="1">
      <alignment vertical="top"/>
    </xf>
    <xf numFmtId="0" fontId="18" fillId="0" borderId="5" xfId="2" applyNumberFormat="1" applyFont="1" applyFill="1" applyBorder="1" applyAlignment="1">
      <alignment vertical="center"/>
    </xf>
    <xf numFmtId="0" fontId="18" fillId="0" borderId="9" xfId="2" applyNumberFormat="1" applyFont="1" applyFill="1" applyBorder="1" applyAlignment="1">
      <alignment vertical="center"/>
    </xf>
    <xf numFmtId="176" fontId="18" fillId="0" borderId="8" xfId="12" applyNumberFormat="1" applyFont="1" applyFill="1" applyBorder="1" applyAlignment="1">
      <alignment horizontal="right" vertical="center"/>
    </xf>
    <xf numFmtId="0" fontId="15" fillId="0" borderId="3" xfId="11" applyNumberFormat="1" applyFont="1" applyFill="1" applyBorder="1" applyAlignment="1">
      <alignment vertical="center"/>
    </xf>
    <xf numFmtId="0" fontId="18" fillId="0" borderId="1" xfId="2" applyNumberFormat="1" applyFont="1" applyBorder="1" applyAlignment="1">
      <alignment horizontal="left" vertical="center" shrinkToFit="1"/>
    </xf>
    <xf numFmtId="176" fontId="18" fillId="0" borderId="8" xfId="3" applyNumberFormat="1" applyFont="1" applyFill="1" applyBorder="1" applyAlignment="1">
      <alignment vertical="center"/>
    </xf>
    <xf numFmtId="0" fontId="15" fillId="0" borderId="23" xfId="3" applyNumberFormat="1" applyFont="1" applyFill="1" applyBorder="1" applyAlignment="1">
      <alignment horizontal="left" vertical="center"/>
    </xf>
    <xf numFmtId="177" fontId="18" fillId="2" borderId="23" xfId="0" applyNumberFormat="1" applyFont="1" applyFill="1" applyBorder="1" applyAlignment="1">
      <alignment horizontal="left" vertical="center"/>
    </xf>
    <xf numFmtId="0" fontId="18" fillId="0" borderId="5" xfId="2" applyNumberFormat="1" applyFont="1" applyFill="1" applyBorder="1" applyAlignment="1">
      <alignment horizontal="left" vertical="center" shrinkToFit="1"/>
    </xf>
    <xf numFmtId="41" fontId="20" fillId="0" borderId="1" xfId="3" applyNumberFormat="1" applyFont="1" applyFill="1" applyBorder="1" applyAlignment="1">
      <alignment horizontal="center" vertical="center"/>
    </xf>
    <xf numFmtId="0" fontId="18" fillId="0" borderId="5" xfId="2" applyNumberFormat="1" applyFont="1" applyFill="1" applyBorder="1" applyAlignment="1">
      <alignment horizontal="center" vertical="center"/>
    </xf>
    <xf numFmtId="41" fontId="18" fillId="0" borderId="11" xfId="3" applyNumberFormat="1" applyFont="1" applyFill="1" applyBorder="1" applyAlignment="1">
      <alignment vertical="center"/>
    </xf>
    <xf numFmtId="0" fontId="15" fillId="0" borderId="44" xfId="11" applyNumberFormat="1" applyFont="1" applyFill="1" applyBorder="1" applyAlignment="1">
      <alignment vertical="center"/>
    </xf>
    <xf numFmtId="0" fontId="15" fillId="0" borderId="0" xfId="11" applyNumberFormat="1" applyFont="1" applyFill="1" applyAlignment="1">
      <alignment vertical="center"/>
    </xf>
    <xf numFmtId="41" fontId="19" fillId="2" borderId="11" xfId="65" applyFont="1" applyFill="1" applyBorder="1" applyAlignment="1">
      <alignment horizontal="right" vertical="center"/>
    </xf>
    <xf numFmtId="0" fontId="19" fillId="0" borderId="27" xfId="2" applyNumberFormat="1" applyFont="1" applyBorder="1" applyAlignment="1">
      <alignment horizontal="left" vertical="center" shrinkToFit="1"/>
    </xf>
    <xf numFmtId="0" fontId="9" fillId="0" borderId="69" xfId="2" applyNumberFormat="1" applyFont="1" applyFill="1" applyBorder="1" applyAlignment="1">
      <alignment vertical="center"/>
    </xf>
    <xf numFmtId="179" fontId="20" fillId="0" borderId="31" xfId="65" applyNumberFormat="1" applyFont="1" applyFill="1" applyBorder="1" applyAlignment="1">
      <alignment horizontal="right" vertical="center"/>
    </xf>
    <xf numFmtId="179" fontId="24" fillId="0" borderId="3" xfId="65" applyNumberFormat="1" applyFont="1" applyFill="1" applyBorder="1" applyAlignment="1">
      <alignment horizontal="right" vertical="center"/>
    </xf>
    <xf numFmtId="41" fontId="24" fillId="0" borderId="23" xfId="65" applyNumberFormat="1" applyFont="1" applyFill="1" applyBorder="1" applyAlignment="1">
      <alignment vertical="center"/>
    </xf>
    <xf numFmtId="41" fontId="24" fillId="0" borderId="6" xfId="65" applyNumberFormat="1" applyFont="1" applyFill="1" applyBorder="1" applyAlignment="1">
      <alignment horizontal="center" vertical="center"/>
    </xf>
    <xf numFmtId="0" fontId="15" fillId="0" borderId="4" xfId="65" applyNumberFormat="1" applyFont="1" applyFill="1" applyBorder="1" applyAlignment="1">
      <alignment horizontal="left" vertical="center" wrapText="1"/>
    </xf>
    <xf numFmtId="0" fontId="19" fillId="0" borderId="32" xfId="2" applyNumberFormat="1" applyFont="1" applyFill="1" applyBorder="1" applyAlignment="1">
      <alignment vertical="center"/>
    </xf>
    <xf numFmtId="0" fontId="19" fillId="0" borderId="33" xfId="2" applyNumberFormat="1" applyFont="1" applyFill="1" applyBorder="1" applyAlignment="1">
      <alignment vertical="center"/>
    </xf>
    <xf numFmtId="176" fontId="18" fillId="0" borderId="45" xfId="3" applyNumberFormat="1" applyFont="1" applyFill="1" applyBorder="1" applyAlignment="1">
      <alignment horizontal="right" vertical="center"/>
    </xf>
    <xf numFmtId="176" fontId="26" fillId="0" borderId="22" xfId="12" applyNumberFormat="1" applyFont="1" applyFill="1" applyBorder="1" applyAlignment="1">
      <alignment horizontal="right" vertical="center"/>
    </xf>
    <xf numFmtId="41" fontId="20" fillId="0" borderId="21" xfId="3" applyNumberFormat="1" applyFont="1" applyFill="1" applyBorder="1" applyAlignment="1">
      <alignment horizontal="left" vertical="center"/>
    </xf>
    <xf numFmtId="41" fontId="20" fillId="0" borderId="21" xfId="3" applyNumberFormat="1" applyFont="1" applyFill="1" applyBorder="1" applyAlignment="1">
      <alignment horizontal="center" vertical="center"/>
    </xf>
    <xf numFmtId="41" fontId="20" fillId="0" borderId="74" xfId="3" applyNumberFormat="1" applyFont="1" applyFill="1" applyBorder="1" applyAlignment="1">
      <alignment horizontal="right" vertical="center"/>
    </xf>
    <xf numFmtId="0" fontId="24" fillId="0" borderId="69" xfId="11" applyNumberFormat="1" applyFont="1" applyFill="1" applyBorder="1" applyAlignment="1">
      <alignment vertical="center"/>
    </xf>
    <xf numFmtId="0" fontId="15" fillId="0" borderId="4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center" vertical="center"/>
    </xf>
    <xf numFmtId="41" fontId="15" fillId="0" borderId="74" xfId="3" applyNumberFormat="1" applyFont="1" applyFill="1" applyBorder="1" applyAlignment="1">
      <alignment horizontal="right" vertical="center"/>
    </xf>
    <xf numFmtId="177" fontId="18" fillId="35" borderId="25" xfId="0" applyNumberFormat="1" applyFont="1" applyFill="1" applyBorder="1" applyAlignment="1">
      <alignment vertical="center"/>
    </xf>
    <xf numFmtId="177" fontId="18" fillId="35" borderId="27" xfId="0" applyNumberFormat="1" applyFont="1" applyFill="1" applyBorder="1" applyAlignment="1">
      <alignment vertical="center"/>
    </xf>
    <xf numFmtId="176" fontId="18" fillId="35" borderId="40" xfId="12" applyNumberFormat="1" applyFont="1" applyFill="1" applyBorder="1" applyAlignment="1">
      <alignment horizontal="right" vertical="center" shrinkToFit="1"/>
    </xf>
    <xf numFmtId="0" fontId="15" fillId="0" borderId="12" xfId="2" applyNumberFormat="1" applyFont="1" applyBorder="1" applyAlignment="1">
      <alignment horizontal="left" vertical="center" wrapText="1" shrinkToFit="1"/>
    </xf>
    <xf numFmtId="41" fontId="0" fillId="0" borderId="0" xfId="0" applyNumberFormat="1">
      <alignment vertical="center"/>
    </xf>
    <xf numFmtId="41" fontId="11" fillId="0" borderId="0" xfId="1">
      <alignment vertical="center"/>
    </xf>
    <xf numFmtId="41" fontId="24" fillId="0" borderId="0" xfId="11" applyNumberFormat="1" applyFont="1" applyFill="1" applyAlignment="1">
      <alignment vertical="center"/>
    </xf>
    <xf numFmtId="41" fontId="11" fillId="0" borderId="0" xfId="1" applyAlignment="1">
      <alignment vertical="center"/>
    </xf>
    <xf numFmtId="179" fontId="20" fillId="0" borderId="46" xfId="65" applyNumberFormat="1" applyFont="1" applyFill="1" applyBorder="1" applyAlignment="1">
      <alignment horizontal="right" vertical="center"/>
    </xf>
    <xf numFmtId="177" fontId="18" fillId="2" borderId="25" xfId="0" applyNumberFormat="1" applyFont="1" applyFill="1" applyBorder="1" applyAlignment="1">
      <alignment vertical="center"/>
    </xf>
    <xf numFmtId="177" fontId="15" fillId="2" borderId="46" xfId="0" applyNumberFormat="1" applyFont="1" applyFill="1" applyBorder="1" applyAlignment="1">
      <alignment vertical="center"/>
    </xf>
    <xf numFmtId="41" fontId="11" fillId="0" borderId="0" xfId="1">
      <alignment vertical="center"/>
    </xf>
    <xf numFmtId="180" fontId="15" fillId="0" borderId="10" xfId="6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 shrinkToFit="1"/>
    </xf>
    <xf numFmtId="41" fontId="15" fillId="2" borderId="23" xfId="65" applyNumberFormat="1" applyFont="1" applyFill="1" applyBorder="1" applyAlignment="1">
      <alignment vertical="center" shrinkToFit="1"/>
    </xf>
    <xf numFmtId="0" fontId="15" fillId="0" borderId="12" xfId="5" quotePrefix="1" applyFont="1" applyFill="1" applyBorder="1" applyAlignment="1">
      <alignment horizontal="justify" vertical="center"/>
    </xf>
    <xf numFmtId="41" fontId="15" fillId="0" borderId="4" xfId="65" applyNumberFormat="1" applyFont="1" applyFill="1" applyBorder="1" applyAlignment="1">
      <alignment vertical="center" shrinkToFit="1"/>
    </xf>
    <xf numFmtId="41" fontId="15" fillId="0" borderId="5" xfId="65" applyNumberFormat="1" applyFont="1" applyFill="1" applyBorder="1" applyAlignment="1">
      <alignment horizontal="center" vertical="center" shrinkToFit="1"/>
    </xf>
    <xf numFmtId="176" fontId="15" fillId="0" borderId="1" xfId="12" applyNumberFormat="1" applyFont="1" applyFill="1" applyBorder="1" applyAlignment="1">
      <alignment vertical="center"/>
    </xf>
    <xf numFmtId="0" fontId="18" fillId="0" borderId="1" xfId="2" applyNumberFormat="1" applyFont="1" applyFill="1" applyBorder="1" applyAlignment="1">
      <alignment horizontal="left" vertical="center" shrinkToFit="1"/>
    </xf>
    <xf numFmtId="0" fontId="18" fillId="0" borderId="0" xfId="2" applyNumberFormat="1" applyFont="1" applyFill="1" applyBorder="1" applyAlignment="1">
      <alignment horizontal="left" vertical="center" shrinkToFit="1"/>
    </xf>
    <xf numFmtId="0" fontId="15" fillId="0" borderId="68" xfId="65" applyNumberFormat="1" applyFont="1" applyFill="1" applyBorder="1" applyAlignment="1">
      <alignment horizontal="left" vertical="center" wrapText="1"/>
    </xf>
    <xf numFmtId="0" fontId="15" fillId="0" borderId="72" xfId="11" applyNumberFormat="1" applyFont="1" applyFill="1" applyBorder="1" applyAlignment="1">
      <alignment horizontal="center" vertical="center"/>
    </xf>
    <xf numFmtId="3" fontId="15" fillId="0" borderId="75" xfId="5" applyNumberFormat="1" applyFont="1" applyFill="1" applyBorder="1" applyAlignment="1">
      <alignment horizontal="right" vertical="center"/>
    </xf>
    <xf numFmtId="0" fontId="18" fillId="0" borderId="27" xfId="11" applyNumberFormat="1" applyFont="1" applyFill="1" applyBorder="1" applyAlignment="1">
      <alignment horizontal="left" vertical="center"/>
    </xf>
    <xf numFmtId="41" fontId="11" fillId="0" borderId="0" xfId="1">
      <alignment vertical="center"/>
    </xf>
    <xf numFmtId="0" fontId="20" fillId="0" borderId="26" xfId="17" applyFont="1" applyBorder="1" applyAlignment="1">
      <alignment vertical="center"/>
    </xf>
    <xf numFmtId="0" fontId="24" fillId="0" borderId="6" xfId="11" applyNumberFormat="1" applyFont="1" applyFill="1" applyBorder="1" applyAlignment="1">
      <alignment vertical="center"/>
    </xf>
    <xf numFmtId="0" fontId="26" fillId="0" borderId="3" xfId="11" applyNumberFormat="1" applyFont="1" applyFill="1" applyBorder="1" applyAlignment="1">
      <alignment horizontal="left" vertical="center"/>
    </xf>
    <xf numFmtId="0" fontId="24" fillId="0" borderId="3" xfId="11" applyNumberFormat="1" applyFont="1" applyFill="1" applyBorder="1" applyAlignment="1">
      <alignment vertical="top"/>
    </xf>
    <xf numFmtId="0" fontId="15" fillId="0" borderId="12" xfId="65" applyNumberFormat="1" applyFont="1" applyFill="1" applyBorder="1" applyAlignment="1">
      <alignment horizontal="left" vertical="center" wrapText="1"/>
    </xf>
    <xf numFmtId="0" fontId="15" fillId="0" borderId="0" xfId="5" quotePrefix="1" applyFont="1" applyFill="1" applyBorder="1" applyAlignment="1">
      <alignment horizontal="justify" vertical="center"/>
    </xf>
    <xf numFmtId="41" fontId="11" fillId="0" borderId="0" xfId="1">
      <alignment vertical="center"/>
    </xf>
    <xf numFmtId="0" fontId="60" fillId="0" borderId="12" xfId="65" applyNumberFormat="1" applyFont="1" applyFill="1" applyBorder="1" applyAlignment="1">
      <alignment horizontal="left" vertical="center"/>
    </xf>
    <xf numFmtId="177" fontId="15" fillId="2" borderId="29" xfId="0" applyNumberFormat="1" applyFont="1" applyFill="1" applyBorder="1" applyAlignment="1">
      <alignment horizontal="left" vertical="center"/>
    </xf>
    <xf numFmtId="0" fontId="60" fillId="0" borderId="12" xfId="2" applyNumberFormat="1" applyFont="1" applyFill="1" applyBorder="1" applyAlignment="1">
      <alignment horizontal="left" vertical="center" shrinkToFit="1"/>
    </xf>
    <xf numFmtId="0" fontId="60" fillId="0" borderId="27" xfId="65" applyNumberFormat="1" applyFont="1" applyFill="1" applyBorder="1" applyAlignment="1">
      <alignment horizontal="left" vertical="center"/>
    </xf>
    <xf numFmtId="0" fontId="15" fillId="0" borderId="5" xfId="3" applyNumberFormat="1" applyFont="1" applyFill="1" applyBorder="1" applyAlignment="1">
      <alignment horizontal="left" vertical="center"/>
    </xf>
    <xf numFmtId="0" fontId="15" fillId="0" borderId="5" xfId="2" applyNumberFormat="1" applyFont="1" applyBorder="1" applyAlignment="1">
      <alignment horizontal="left" vertical="center" shrinkToFit="1"/>
    </xf>
    <xf numFmtId="0" fontId="60" fillId="0" borderId="23" xfId="2" applyNumberFormat="1" applyFont="1" applyFill="1" applyBorder="1" applyAlignment="1">
      <alignment vertical="center"/>
    </xf>
    <xf numFmtId="177" fontId="60" fillId="2" borderId="23" xfId="0" applyNumberFormat="1" applyFont="1" applyFill="1" applyBorder="1" applyAlignment="1">
      <alignment vertical="center"/>
    </xf>
    <xf numFmtId="0" fontId="10" fillId="0" borderId="9" xfId="11" applyNumberFormat="1" applyFont="1" applyFill="1" applyBorder="1" applyAlignment="1">
      <alignment vertical="center"/>
    </xf>
    <xf numFmtId="179" fontId="10" fillId="0" borderId="8" xfId="65" applyNumberFormat="1" applyFont="1" applyFill="1" applyBorder="1" applyAlignment="1">
      <alignment horizontal="right" vertical="center"/>
    </xf>
    <xf numFmtId="0" fontId="10" fillId="0" borderId="2" xfId="11" applyNumberFormat="1" applyFont="1" applyFill="1" applyBorder="1" applyAlignment="1">
      <alignment vertical="center"/>
    </xf>
    <xf numFmtId="0" fontId="10" fillId="0" borderId="26" xfId="11" applyNumberFormat="1" applyFont="1" applyFill="1" applyBorder="1" applyAlignment="1">
      <alignment vertical="center"/>
    </xf>
    <xf numFmtId="0" fontId="60" fillId="0" borderId="12" xfId="65" applyNumberFormat="1" applyFont="1" applyFill="1" applyBorder="1" applyAlignment="1">
      <alignment horizontal="left" vertical="center" wrapText="1"/>
    </xf>
    <xf numFmtId="0" fontId="10" fillId="0" borderId="70" xfId="11" applyNumberFormat="1" applyFont="1" applyFill="1" applyBorder="1" applyAlignment="1">
      <alignment vertical="top"/>
    </xf>
    <xf numFmtId="180" fontId="18" fillId="0" borderId="10" xfId="5" applyNumberFormat="1" applyFont="1" applyFill="1" applyBorder="1" applyAlignment="1">
      <alignment horizontal="right" vertical="center"/>
    </xf>
    <xf numFmtId="180" fontId="15" fillId="0" borderId="10" xfId="11" applyNumberFormat="1" applyFont="1" applyFill="1" applyBorder="1" applyAlignment="1">
      <alignment horizontal="right" vertical="center"/>
    </xf>
    <xf numFmtId="180" fontId="15" fillId="0" borderId="10" xfId="5" applyNumberFormat="1" applyFont="1" applyFill="1" applyBorder="1" applyAlignment="1">
      <alignment horizontal="right" vertical="center"/>
    </xf>
    <xf numFmtId="0" fontId="15" fillId="0" borderId="0" xfId="2" applyNumberFormat="1" applyFont="1" applyFill="1" applyBorder="1" applyAlignment="1">
      <alignment horizontal="left" vertical="center" shrinkToFit="1"/>
    </xf>
    <xf numFmtId="0" fontId="60" fillId="0" borderId="0" xfId="2" applyNumberFormat="1" applyFont="1" applyFill="1" applyBorder="1" applyAlignment="1">
      <alignment horizontal="left" vertical="center" shrinkToFit="1"/>
    </xf>
    <xf numFmtId="0" fontId="18" fillId="39" borderId="12" xfId="65" applyNumberFormat="1" applyFont="1" applyFill="1" applyBorder="1" applyAlignment="1">
      <alignment horizontal="left" vertical="center"/>
    </xf>
    <xf numFmtId="0" fontId="15" fillId="39" borderId="0" xfId="11" applyNumberFormat="1" applyFont="1" applyFill="1" applyBorder="1" applyAlignment="1">
      <alignment horizontal="center" vertical="center"/>
    </xf>
    <xf numFmtId="3" fontId="15" fillId="39" borderId="10" xfId="5" applyNumberFormat="1" applyFont="1" applyFill="1" applyBorder="1" applyAlignment="1">
      <alignment horizontal="right" vertical="center"/>
    </xf>
    <xf numFmtId="41" fontId="11" fillId="0" borderId="0" xfId="1">
      <alignment vertical="center"/>
    </xf>
    <xf numFmtId="0" fontId="15" fillId="0" borderId="26" xfId="17" applyFont="1" applyBorder="1" applyAlignment="1">
      <alignment vertical="center"/>
    </xf>
    <xf numFmtId="0" fontId="15" fillId="0" borderId="8" xfId="17" applyFont="1" applyBorder="1" applyAlignment="1">
      <alignment horizontal="left" vertical="top"/>
    </xf>
    <xf numFmtId="0" fontId="15" fillId="0" borderId="19" xfId="17" applyFont="1" applyBorder="1" applyAlignment="1">
      <alignment vertical="top"/>
    </xf>
    <xf numFmtId="176" fontId="15" fillId="2" borderId="70" xfId="12" applyNumberFormat="1" applyFont="1" applyFill="1" applyBorder="1" applyAlignment="1">
      <alignment vertical="center"/>
    </xf>
    <xf numFmtId="41" fontId="11" fillId="0" borderId="0" xfId="1">
      <alignment vertical="center"/>
    </xf>
    <xf numFmtId="0" fontId="20" fillId="0" borderId="8" xfId="17" applyFont="1" applyBorder="1" applyAlignment="1">
      <alignment vertical="center"/>
    </xf>
    <xf numFmtId="0" fontId="10" fillId="0" borderId="2" xfId="17" applyFont="1" applyBorder="1" applyAlignment="1">
      <alignment vertical="center"/>
    </xf>
    <xf numFmtId="41" fontId="11" fillId="0" borderId="0" xfId="1">
      <alignment vertical="center"/>
    </xf>
    <xf numFmtId="41" fontId="11" fillId="0" borderId="0" xfId="1">
      <alignment vertical="center"/>
    </xf>
    <xf numFmtId="177" fontId="15" fillId="2" borderId="31" xfId="0" applyNumberFormat="1" applyFont="1" applyFill="1" applyBorder="1" applyAlignment="1">
      <alignment horizontal="left" vertical="center"/>
    </xf>
    <xf numFmtId="0" fontId="15" fillId="0" borderId="5" xfId="65" applyNumberFormat="1" applyFont="1" applyFill="1" applyBorder="1" applyAlignment="1">
      <alignment horizontal="left" vertical="center"/>
    </xf>
    <xf numFmtId="176" fontId="15" fillId="0" borderId="0" xfId="12" applyNumberFormat="1" applyFont="1" applyFill="1" applyBorder="1" applyAlignment="1">
      <alignment vertical="center"/>
    </xf>
    <xf numFmtId="0" fontId="10" fillId="0" borderId="2" xfId="5" applyFont="1" applyBorder="1" applyAlignment="1">
      <alignment vertical="top"/>
    </xf>
    <xf numFmtId="0" fontId="15" fillId="0" borderId="12" xfId="5" quotePrefix="1" applyFont="1" applyFill="1" applyBorder="1" applyAlignment="1">
      <alignment vertical="center" shrinkToFit="1"/>
    </xf>
    <xf numFmtId="3" fontId="20" fillId="0" borderId="10" xfId="11" applyNumberFormat="1" applyFont="1" applyFill="1" applyBorder="1" applyAlignment="1">
      <alignment horizontal="right" vertical="center"/>
    </xf>
    <xf numFmtId="0" fontId="18" fillId="0" borderId="27" xfId="2" applyNumberFormat="1" applyFont="1" applyFill="1" applyBorder="1" applyAlignment="1">
      <alignment horizontal="left" vertical="center" shrinkToFit="1"/>
    </xf>
    <xf numFmtId="0" fontId="15" fillId="0" borderId="4" xfId="2" applyNumberFormat="1" applyFont="1" applyFill="1" applyBorder="1" applyAlignment="1">
      <alignment horizontal="left" vertical="center" shrinkToFit="1"/>
    </xf>
    <xf numFmtId="0" fontId="18" fillId="0" borderId="12" xfId="65" applyNumberFormat="1" applyFont="1" applyFill="1" applyBorder="1" applyAlignment="1">
      <alignment horizontal="left" vertical="center" wrapText="1"/>
    </xf>
    <xf numFmtId="0" fontId="10" fillId="0" borderId="26" xfId="11" applyNumberFormat="1" applyFont="1" applyFill="1" applyBorder="1" applyAlignment="1">
      <alignment vertical="top" shrinkToFit="1"/>
    </xf>
    <xf numFmtId="0" fontId="10" fillId="0" borderId="26" xfId="17" applyFont="1" applyBorder="1" applyAlignment="1">
      <alignment vertical="center"/>
    </xf>
    <xf numFmtId="41" fontId="20" fillId="0" borderId="33" xfId="3" applyNumberFormat="1" applyFont="1" applyFill="1" applyBorder="1" applyAlignment="1">
      <alignment horizontal="left" vertical="center"/>
    </xf>
    <xf numFmtId="41" fontId="20" fillId="0" borderId="4" xfId="3" applyNumberFormat="1" applyFont="1" applyFill="1" applyBorder="1" applyAlignment="1">
      <alignment horizontal="left" vertical="center"/>
    </xf>
    <xf numFmtId="0" fontId="20" fillId="0" borderId="12" xfId="3" applyNumberFormat="1" applyFont="1" applyFill="1" applyBorder="1" applyAlignment="1">
      <alignment horizontal="left" vertical="center"/>
    </xf>
    <xf numFmtId="0" fontId="19" fillId="0" borderId="23" xfId="2" applyNumberFormat="1" applyFont="1" applyFill="1" applyBorder="1" applyAlignment="1">
      <alignment horizontal="left" vertical="center" shrinkToFit="1"/>
    </xf>
    <xf numFmtId="0" fontId="15" fillId="0" borderId="25" xfId="65" applyNumberFormat="1" applyFont="1" applyFill="1" applyBorder="1" applyAlignment="1">
      <alignment horizontal="left" vertical="center" wrapText="1"/>
    </xf>
    <xf numFmtId="0" fontId="15" fillId="0" borderId="20" xfId="11" applyNumberFormat="1" applyFont="1" applyFill="1" applyBorder="1" applyAlignment="1">
      <alignment horizontal="center" vertical="center"/>
    </xf>
    <xf numFmtId="180" fontId="15" fillId="0" borderId="28" xfId="11" applyNumberFormat="1" applyFont="1" applyFill="1" applyBorder="1" applyAlignment="1">
      <alignment horizontal="right" vertical="center"/>
    </xf>
    <xf numFmtId="0" fontId="10" fillId="0" borderId="26" xfId="17" applyFont="1" applyBorder="1" applyAlignment="1">
      <alignment vertical="center" shrinkToFit="1"/>
    </xf>
    <xf numFmtId="0" fontId="15" fillId="0" borderId="4" xfId="5" quotePrefix="1" applyFont="1" applyFill="1" applyBorder="1" applyAlignment="1">
      <alignment horizontal="justify" vertical="center"/>
    </xf>
    <xf numFmtId="180" fontId="15" fillId="0" borderId="11" xfId="11" applyNumberFormat="1" applyFont="1" applyFill="1" applyBorder="1" applyAlignment="1">
      <alignment horizontal="right" vertical="center"/>
    </xf>
    <xf numFmtId="41" fontId="11" fillId="0" borderId="0" xfId="1">
      <alignment vertical="center"/>
    </xf>
    <xf numFmtId="41" fontId="11" fillId="0" borderId="0" xfId="1">
      <alignment vertical="center"/>
    </xf>
    <xf numFmtId="41" fontId="11" fillId="0" borderId="0" xfId="1">
      <alignment vertical="center"/>
    </xf>
    <xf numFmtId="0" fontId="60" fillId="0" borderId="12" xfId="5" quotePrefix="1" applyFont="1" applyFill="1" applyBorder="1" applyAlignment="1">
      <alignment horizontal="justify" vertical="center"/>
    </xf>
    <xf numFmtId="0" fontId="18" fillId="0" borderId="0" xfId="5" quotePrefix="1" applyFont="1" applyFill="1" applyBorder="1" applyAlignment="1">
      <alignment horizontal="justify" vertical="center"/>
    </xf>
    <xf numFmtId="176" fontId="15" fillId="0" borderId="7" xfId="65" applyNumberFormat="1" applyFont="1" applyFill="1" applyBorder="1" applyAlignment="1">
      <alignment horizontal="right" vertical="center"/>
    </xf>
    <xf numFmtId="179" fontId="15" fillId="0" borderId="2" xfId="10" applyNumberFormat="1" applyFont="1" applyFill="1" applyBorder="1" applyAlignment="1">
      <alignment vertical="center"/>
    </xf>
    <xf numFmtId="179" fontId="15" fillId="0" borderId="3" xfId="10" applyNumberFormat="1" applyFont="1" applyFill="1" applyBorder="1" applyAlignment="1">
      <alignment vertical="center"/>
    </xf>
    <xf numFmtId="179" fontId="15" fillId="0" borderId="8" xfId="10" applyNumberFormat="1" applyFont="1" applyFill="1" applyBorder="1" applyAlignment="1">
      <alignment vertical="center"/>
    </xf>
    <xf numFmtId="0" fontId="10" fillId="0" borderId="26" xfId="11" applyNumberFormat="1" applyFont="1" applyFill="1" applyBorder="1" applyAlignment="1">
      <alignment vertical="top"/>
    </xf>
    <xf numFmtId="0" fontId="15" fillId="0" borderId="5" xfId="2" applyNumberFormat="1" applyFont="1" applyFill="1" applyBorder="1" applyAlignment="1">
      <alignment horizontal="left" vertical="center" shrinkToFit="1"/>
    </xf>
    <xf numFmtId="0" fontId="20" fillId="0" borderId="12" xfId="65" applyNumberFormat="1" applyFont="1" applyFill="1" applyBorder="1" applyAlignment="1">
      <alignment horizontal="left" vertical="center" wrapText="1"/>
    </xf>
    <xf numFmtId="0" fontId="15" fillId="0" borderId="46" xfId="11" applyNumberFormat="1" applyFont="1" applyFill="1" applyBorder="1" applyAlignment="1">
      <alignment vertical="top"/>
    </xf>
    <xf numFmtId="41" fontId="11" fillId="0" borderId="0" xfId="1">
      <alignment vertical="center"/>
    </xf>
    <xf numFmtId="41" fontId="11" fillId="0" borderId="0" xfId="1">
      <alignment vertical="center"/>
    </xf>
    <xf numFmtId="41" fontId="11" fillId="0" borderId="0" xfId="1">
      <alignment vertical="center"/>
    </xf>
    <xf numFmtId="0" fontId="18" fillId="40" borderId="12" xfId="65" applyNumberFormat="1" applyFont="1" applyFill="1" applyBorder="1" applyAlignment="1">
      <alignment horizontal="left" vertical="center"/>
    </xf>
    <xf numFmtId="0" fontId="15" fillId="40" borderId="0" xfId="11" applyFont="1" applyFill="1" applyBorder="1" applyAlignment="1">
      <alignment horizontal="center" vertical="center"/>
    </xf>
    <xf numFmtId="3" fontId="15" fillId="40" borderId="10" xfId="5" applyNumberFormat="1" applyFont="1" applyFill="1" applyBorder="1" applyAlignment="1">
      <alignment horizontal="right" vertical="center"/>
    </xf>
    <xf numFmtId="0" fontId="54" fillId="0" borderId="0" xfId="2" applyFont="1" applyAlignment="1">
      <alignment horizontal="center" vertical="center" shrinkToFit="1"/>
    </xf>
    <xf numFmtId="0" fontId="55" fillId="37" borderId="0" xfId="2" applyFont="1" applyFill="1" applyAlignment="1">
      <alignment horizontal="center"/>
    </xf>
    <xf numFmtId="0" fontId="57" fillId="0" borderId="0" xfId="2" applyFont="1" applyAlignment="1">
      <alignment horizontal="center" vertical="center"/>
    </xf>
    <xf numFmtId="0" fontId="58" fillId="38" borderId="0" xfId="2" applyFont="1" applyFill="1" applyAlignment="1">
      <alignment horizontal="center"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72" xfId="0" applyNumberFormat="1" applyFont="1" applyFill="1" applyBorder="1" applyAlignment="1">
      <alignment horizontal="center" vertical="center"/>
    </xf>
    <xf numFmtId="177" fontId="15" fillId="3" borderId="64" xfId="0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0" fontId="15" fillId="0" borderId="23" xfId="11" applyFont="1" applyBorder="1" applyAlignment="1">
      <alignment horizontal="left" vertical="center"/>
    </xf>
    <xf numFmtId="0" fontId="15" fillId="0" borderId="29" xfId="11" applyFont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left" vertical="center"/>
    </xf>
    <xf numFmtId="41" fontId="11" fillId="0" borderId="0" xfId="1">
      <alignment vertical="center"/>
    </xf>
    <xf numFmtId="177" fontId="15" fillId="3" borderId="65" xfId="0" applyNumberFormat="1" applyFont="1" applyFill="1" applyBorder="1" applyAlignment="1">
      <alignment horizontal="center" vertical="center"/>
    </xf>
    <xf numFmtId="177" fontId="15" fillId="3" borderId="21" xfId="0" applyNumberFormat="1" applyFont="1" applyFill="1" applyBorder="1" applyAlignment="1">
      <alignment horizontal="center" vertical="center"/>
    </xf>
    <xf numFmtId="177" fontId="15" fillId="3" borderId="30" xfId="0" applyNumberFormat="1" applyFont="1" applyFill="1" applyBorder="1" applyAlignment="1">
      <alignment horizontal="center" vertical="center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  <xf numFmtId="41" fontId="51" fillId="0" borderId="0" xfId="1" applyFont="1">
      <alignment vertical="center"/>
    </xf>
    <xf numFmtId="0" fontId="15" fillId="36" borderId="12" xfId="5" quotePrefix="1" applyFont="1" applyFill="1" applyBorder="1" applyAlignment="1">
      <alignment horizontal="justify" vertical="center"/>
    </xf>
    <xf numFmtId="0" fontId="15" fillId="36" borderId="0" xfId="11" applyFont="1" applyFill="1" applyBorder="1" applyAlignment="1">
      <alignment horizontal="center" vertical="center"/>
    </xf>
    <xf numFmtId="3" fontId="15" fillId="36" borderId="10" xfId="5" applyNumberFormat="1" applyFont="1" applyFill="1" applyBorder="1" applyAlignment="1">
      <alignment horizontal="right" vertical="center"/>
    </xf>
    <xf numFmtId="0" fontId="15" fillId="36" borderId="12" xfId="65" applyNumberFormat="1" applyFont="1" applyFill="1" applyBorder="1" applyAlignment="1">
      <alignment horizontal="left" vertical="center"/>
    </xf>
    <xf numFmtId="0" fontId="15" fillId="36" borderId="12" xfId="5" quotePrefix="1" applyFont="1" applyFill="1" applyBorder="1" applyAlignment="1">
      <alignment vertical="center" shrinkToFit="1"/>
    </xf>
    <xf numFmtId="0" fontId="15" fillId="36" borderId="5" xfId="65" applyNumberFormat="1" applyFont="1" applyFill="1" applyBorder="1" applyAlignment="1">
      <alignment horizontal="left" vertical="center"/>
    </xf>
    <xf numFmtId="0" fontId="15" fillId="36" borderId="5" xfId="11" applyFont="1" applyFill="1" applyBorder="1" applyAlignment="1">
      <alignment horizontal="center" vertical="center"/>
    </xf>
    <xf numFmtId="3" fontId="15" fillId="36" borderId="11" xfId="5" applyNumberFormat="1" applyFont="1" applyFill="1" applyBorder="1" applyAlignment="1">
      <alignment horizontal="right" vertical="center"/>
    </xf>
    <xf numFmtId="0" fontId="15" fillId="36" borderId="4" xfId="65" applyNumberFormat="1" applyFont="1" applyFill="1" applyBorder="1" applyAlignment="1">
      <alignment horizontal="left" vertical="center"/>
    </xf>
    <xf numFmtId="0" fontId="15" fillId="36" borderId="5" xfId="11" applyNumberFormat="1" applyFont="1" applyFill="1" applyBorder="1" applyAlignment="1">
      <alignment horizontal="center" vertical="center"/>
    </xf>
    <xf numFmtId="3" fontId="15" fillId="36" borderId="11" xfId="11" applyNumberFormat="1" applyFont="1" applyFill="1" applyBorder="1" applyAlignment="1">
      <alignment horizontal="right" vertical="center"/>
    </xf>
    <xf numFmtId="0" fontId="15" fillId="36" borderId="0" xfId="11" applyNumberFormat="1" applyFont="1" applyFill="1" applyBorder="1" applyAlignment="1">
      <alignment horizontal="center" vertical="center"/>
    </xf>
    <xf numFmtId="3" fontId="15" fillId="36" borderId="10" xfId="11" applyNumberFormat="1" applyFont="1" applyFill="1" applyBorder="1" applyAlignment="1">
      <alignment horizontal="right" vertical="center"/>
    </xf>
    <xf numFmtId="0" fontId="15" fillId="36" borderId="25" xfId="65" applyNumberFormat="1" applyFont="1" applyFill="1" applyBorder="1" applyAlignment="1">
      <alignment horizontal="left" vertical="center" wrapText="1"/>
    </xf>
    <xf numFmtId="0" fontId="15" fillId="36" borderId="20" xfId="11" applyNumberFormat="1" applyFont="1" applyFill="1" applyBorder="1" applyAlignment="1">
      <alignment horizontal="center" vertical="center"/>
    </xf>
    <xf numFmtId="180" fontId="15" fillId="36" borderId="28" xfId="11" applyNumberFormat="1" applyFont="1" applyFill="1" applyBorder="1" applyAlignment="1">
      <alignment horizontal="right" vertical="center"/>
    </xf>
    <xf numFmtId="0" fontId="15" fillId="36" borderId="4" xfId="65" applyNumberFormat="1" applyFont="1" applyFill="1" applyBorder="1" applyAlignment="1">
      <alignment horizontal="left" vertical="center" wrapText="1"/>
    </xf>
    <xf numFmtId="180" fontId="15" fillId="36" borderId="11" xfId="11" applyNumberFormat="1" applyFont="1" applyFill="1" applyBorder="1" applyAlignment="1">
      <alignment horizontal="right" vertical="center"/>
    </xf>
    <xf numFmtId="0" fontId="15" fillId="0" borderId="70" xfId="11" applyNumberFormat="1" applyFont="1" applyFill="1" applyBorder="1" applyAlignment="1">
      <alignment vertical="center"/>
    </xf>
    <xf numFmtId="0" fontId="15" fillId="36" borderId="20" xfId="2" applyNumberFormat="1" applyFont="1" applyFill="1" applyBorder="1" applyAlignment="1">
      <alignment horizontal="left" vertical="center" shrinkToFit="1"/>
    </xf>
    <xf numFmtId="3" fontId="15" fillId="36" borderId="28" xfId="5" applyNumberFormat="1" applyFont="1" applyFill="1" applyBorder="1" applyAlignment="1">
      <alignment horizontal="right" vertical="center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240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0000FF"/>
      <color rgb="FFFF6699"/>
      <color rgb="FFFF99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582705</xdr:colOff>
      <xdr:row>21</xdr:row>
      <xdr:rowOff>145678</xdr:rowOff>
    </xdr:from>
    <xdr:to>
      <xdr:col>3</xdr:col>
      <xdr:colOff>98551</xdr:colOff>
      <xdr:row>24</xdr:row>
      <xdr:rowOff>80923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255058" y="5031443"/>
          <a:ext cx="860552" cy="59639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40229)%202024&#45380;%202&#54924;%20&#52628;&#44221;(&#49464;&#485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3:M25"/>
  <sheetViews>
    <sheetView tabSelected="1" zoomScale="85" zoomScaleNormal="85" workbookViewId="0">
      <selection activeCell="F7" sqref="F7"/>
    </sheetView>
  </sheetViews>
  <sheetFormatPr defaultRowHeight="13.5"/>
  <cols>
    <col min="1" max="13" width="8.75" style="442" customWidth="1"/>
    <col min="14" max="16384" width="9" style="442"/>
  </cols>
  <sheetData>
    <row r="3" spans="1:13" ht="26.25">
      <c r="M3" s="443" t="s">
        <v>935</v>
      </c>
    </row>
    <row r="11" spans="1:13">
      <c r="K11" s="444"/>
      <c r="L11" s="445"/>
      <c r="M11" s="445"/>
    </row>
    <row r="13" spans="1:13" ht="35.25">
      <c r="A13" s="676" t="s">
        <v>924</v>
      </c>
      <c r="B13" s="676"/>
      <c r="C13" s="676"/>
      <c r="D13" s="676"/>
      <c r="E13" s="676"/>
      <c r="F13" s="676"/>
      <c r="G13" s="676"/>
      <c r="H13" s="676"/>
      <c r="I13" s="676"/>
      <c r="J13" s="676"/>
      <c r="K13" s="676"/>
      <c r="L13" s="676"/>
      <c r="M13" s="676"/>
    </row>
    <row r="15" spans="1:13" ht="14.25">
      <c r="A15" s="677"/>
      <c r="B15" s="677"/>
      <c r="C15" s="677"/>
    </row>
    <row r="16" spans="1:13" ht="25.5">
      <c r="C16" s="446"/>
      <c r="D16" s="447"/>
      <c r="E16" s="447"/>
      <c r="F16" s="447"/>
      <c r="G16" s="447"/>
      <c r="H16" s="447"/>
      <c r="I16" s="447"/>
      <c r="J16" s="447"/>
    </row>
    <row r="17" spans="1:13" ht="25.5">
      <c r="C17" s="446"/>
      <c r="D17" s="447"/>
      <c r="E17" s="447"/>
      <c r="F17" s="447"/>
      <c r="G17" s="447"/>
      <c r="H17" s="447"/>
      <c r="I17" s="447"/>
      <c r="J17" s="447"/>
    </row>
    <row r="18" spans="1:13" ht="25.5">
      <c r="C18" s="446"/>
      <c r="D18" s="447"/>
      <c r="E18" s="447"/>
      <c r="F18" s="447"/>
      <c r="G18" s="447"/>
      <c r="H18" s="447"/>
      <c r="I18" s="447"/>
      <c r="J18" s="447"/>
    </row>
    <row r="19" spans="1:13" ht="25.5">
      <c r="C19" s="446"/>
      <c r="D19" s="447"/>
      <c r="E19" s="447"/>
      <c r="F19" s="447"/>
      <c r="G19" s="447"/>
      <c r="H19" s="447"/>
      <c r="I19" s="447"/>
      <c r="J19" s="447"/>
    </row>
    <row r="20" spans="1:13" ht="21.75">
      <c r="A20" s="678"/>
      <c r="B20" s="678"/>
      <c r="C20" s="678"/>
      <c r="D20" s="678"/>
      <c r="E20" s="678"/>
      <c r="F20" s="678"/>
      <c r="G20" s="678"/>
      <c r="H20" s="678"/>
      <c r="I20" s="678"/>
      <c r="J20" s="678"/>
      <c r="K20" s="678"/>
      <c r="L20" s="678"/>
      <c r="M20" s="678"/>
    </row>
    <row r="21" spans="1:13" ht="25.5">
      <c r="C21" s="446"/>
      <c r="D21" s="447"/>
      <c r="E21" s="447"/>
      <c r="F21" s="447"/>
      <c r="G21" s="447"/>
      <c r="H21" s="447"/>
      <c r="I21" s="447"/>
      <c r="J21" s="447"/>
    </row>
    <row r="22" spans="1:13" ht="25.5" customHeight="1">
      <c r="C22" s="446"/>
      <c r="D22" s="679" t="s">
        <v>844</v>
      </c>
      <c r="E22" s="679"/>
      <c r="F22" s="679"/>
      <c r="G22" s="679"/>
      <c r="H22" s="679"/>
      <c r="I22" s="679"/>
      <c r="J22" s="679"/>
      <c r="K22" s="679"/>
    </row>
    <row r="23" spans="1:13" ht="13.5" customHeight="1">
      <c r="D23" s="679"/>
      <c r="E23" s="679"/>
      <c r="F23" s="679"/>
      <c r="G23" s="679"/>
      <c r="H23" s="679"/>
      <c r="I23" s="679"/>
      <c r="J23" s="679"/>
      <c r="K23" s="679"/>
    </row>
    <row r="24" spans="1:13" ht="13.5" customHeight="1">
      <c r="D24" s="679"/>
      <c r="E24" s="679"/>
      <c r="F24" s="679"/>
      <c r="G24" s="679"/>
      <c r="H24" s="679"/>
      <c r="I24" s="679"/>
      <c r="J24" s="679"/>
      <c r="K24" s="679"/>
    </row>
    <row r="25" spans="1:13">
      <c r="D25" s="679"/>
      <c r="E25" s="679"/>
      <c r="F25" s="679"/>
      <c r="G25" s="679"/>
      <c r="H25" s="679"/>
      <c r="I25" s="679"/>
      <c r="J25" s="679"/>
      <c r="K25" s="679"/>
    </row>
  </sheetData>
  <mergeCells count="4">
    <mergeCell ref="A13:M13"/>
    <mergeCell ref="A15:C15"/>
    <mergeCell ref="A20:M20"/>
    <mergeCell ref="D22:K25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FF"/>
    <pageSetUpPr fitToPage="1"/>
  </sheetPr>
  <dimension ref="A1:J35"/>
  <sheetViews>
    <sheetView zoomScale="115" zoomScaleNormal="115" workbookViewId="0">
      <selection activeCell="D8" sqref="D8"/>
    </sheetView>
  </sheetViews>
  <sheetFormatPr defaultRowHeight="16.5"/>
  <cols>
    <col min="1" max="4" width="4.625" customWidth="1"/>
    <col min="5" max="5" width="21" customWidth="1"/>
    <col min="6" max="7" width="14.375" customWidth="1"/>
    <col min="8" max="8" width="12.125" customWidth="1"/>
    <col min="10" max="10" width="10.875" bestFit="1" customWidth="1"/>
  </cols>
  <sheetData>
    <row r="1" spans="1:10" ht="18" customHeight="1">
      <c r="A1" s="27" t="s">
        <v>146</v>
      </c>
      <c r="B1" s="27"/>
      <c r="C1" s="28"/>
      <c r="D1" s="28"/>
      <c r="E1" s="28"/>
      <c r="F1" s="29"/>
      <c r="G1" s="29"/>
      <c r="H1" s="29"/>
    </row>
    <row r="2" spans="1:10" ht="17.25" thickBot="1">
      <c r="A2" s="30"/>
      <c r="B2" s="30"/>
      <c r="C2" s="30"/>
      <c r="D2" s="30"/>
      <c r="E2" s="30"/>
      <c r="F2" s="30"/>
      <c r="G2" s="30"/>
      <c r="H2" s="31" t="s">
        <v>147</v>
      </c>
    </row>
    <row r="3" spans="1:10" ht="18" customHeight="1">
      <c r="A3" s="680" t="s">
        <v>5</v>
      </c>
      <c r="B3" s="681"/>
      <c r="C3" s="681"/>
      <c r="D3" s="681"/>
      <c r="E3" s="681"/>
      <c r="F3" s="682" t="s">
        <v>704</v>
      </c>
      <c r="G3" s="682" t="s">
        <v>894</v>
      </c>
      <c r="H3" s="684" t="s">
        <v>148</v>
      </c>
    </row>
    <row r="4" spans="1:10" ht="18" thickBot="1">
      <c r="A4" s="85" t="s">
        <v>12</v>
      </c>
      <c r="B4" s="32" t="s">
        <v>149</v>
      </c>
      <c r="C4" s="32" t="s">
        <v>150</v>
      </c>
      <c r="D4" s="32" t="s">
        <v>151</v>
      </c>
      <c r="E4" s="32" t="s">
        <v>6</v>
      </c>
      <c r="F4" s="683"/>
      <c r="G4" s="683"/>
      <c r="H4" s="685"/>
      <c r="J4" s="244"/>
    </row>
    <row r="5" spans="1:10" ht="18" thickBot="1">
      <c r="A5" s="686" t="s">
        <v>152</v>
      </c>
      <c r="B5" s="687"/>
      <c r="C5" s="687"/>
      <c r="D5" s="687"/>
      <c r="E5" s="687"/>
      <c r="F5" s="160">
        <f>F6</f>
        <v>34659578</v>
      </c>
      <c r="G5" s="160">
        <v>33799578</v>
      </c>
      <c r="H5" s="161">
        <f>F5-G5</f>
        <v>860000</v>
      </c>
      <c r="J5" s="244"/>
    </row>
    <row r="6" spans="1:10" ht="17.25">
      <c r="A6" s="245" t="s">
        <v>153</v>
      </c>
      <c r="B6" s="176"/>
      <c r="C6" s="176"/>
      <c r="D6" s="176"/>
      <c r="E6" s="176"/>
      <c r="F6" s="246">
        <f>SUM(F7,F28)</f>
        <v>34659578</v>
      </c>
      <c r="G6" s="246">
        <v>33799578</v>
      </c>
      <c r="H6" s="115">
        <f t="shared" ref="H6:H34" si="0">F6-G6</f>
        <v>860000</v>
      </c>
      <c r="J6" s="247"/>
    </row>
    <row r="7" spans="1:10" ht="17.25">
      <c r="A7" s="238"/>
      <c r="B7" s="175" t="s">
        <v>154</v>
      </c>
      <c r="C7" s="176"/>
      <c r="D7" s="176"/>
      <c r="E7" s="176"/>
      <c r="F7" s="113">
        <f>SUM(F8,F23)</f>
        <v>28079881</v>
      </c>
      <c r="G7" s="113">
        <v>27219881</v>
      </c>
      <c r="H7" s="115">
        <f>F7-G7</f>
        <v>860000</v>
      </c>
      <c r="J7" s="247"/>
    </row>
    <row r="8" spans="1:10" ht="18" customHeight="1">
      <c r="A8" s="248"/>
      <c r="B8" s="249"/>
      <c r="C8" s="175" t="s">
        <v>155</v>
      </c>
      <c r="D8" s="176"/>
      <c r="E8" s="176"/>
      <c r="F8" s="113">
        <f>SUM(F9,F11,F13,F15,F17,F19,F21)</f>
        <v>27822100</v>
      </c>
      <c r="G8" s="113">
        <v>26962100</v>
      </c>
      <c r="H8" s="115">
        <f t="shared" si="0"/>
        <v>860000</v>
      </c>
      <c r="J8" s="247"/>
    </row>
    <row r="9" spans="1:10" ht="18" customHeight="1">
      <c r="A9" s="163"/>
      <c r="B9" s="165"/>
      <c r="C9" s="33"/>
      <c r="D9" s="33" t="s">
        <v>552</v>
      </c>
      <c r="E9" s="251"/>
      <c r="F9" s="111">
        <f>F10</f>
        <v>120000</v>
      </c>
      <c r="G9" s="111">
        <v>120000</v>
      </c>
      <c r="H9" s="114">
        <f t="shared" ref="H9:H10" si="1">F9-G9</f>
        <v>0</v>
      </c>
    </row>
    <row r="10" spans="1:10" ht="18" customHeight="1">
      <c r="A10" s="163"/>
      <c r="B10" s="165"/>
      <c r="C10" s="165"/>
      <c r="D10" s="252"/>
      <c r="E10" s="366" t="s">
        <v>553</v>
      </c>
      <c r="F10" s="367">
        <v>120000</v>
      </c>
      <c r="G10" s="16">
        <v>120000</v>
      </c>
      <c r="H10" s="116">
        <f t="shared" si="1"/>
        <v>0</v>
      </c>
    </row>
    <row r="11" spans="1:10" ht="18" customHeight="1">
      <c r="A11" s="163"/>
      <c r="B11" s="165"/>
      <c r="C11" s="328"/>
      <c r="D11" s="33" t="s">
        <v>156</v>
      </c>
      <c r="E11" s="251"/>
      <c r="F11" s="111">
        <f>F12</f>
        <v>18130000</v>
      </c>
      <c r="G11" s="111">
        <v>17270000</v>
      </c>
      <c r="H11" s="114">
        <f t="shared" si="0"/>
        <v>860000</v>
      </c>
    </row>
    <row r="12" spans="1:10" ht="18" customHeight="1">
      <c r="A12" s="163"/>
      <c r="B12" s="165"/>
      <c r="C12" s="165"/>
      <c r="D12" s="252"/>
      <c r="E12" s="366" t="s">
        <v>157</v>
      </c>
      <c r="F12" s="367">
        <f>17270000+100000+760000</f>
        <v>18130000</v>
      </c>
      <c r="G12" s="16">
        <v>17270000</v>
      </c>
      <c r="H12" s="116">
        <f t="shared" si="0"/>
        <v>860000</v>
      </c>
    </row>
    <row r="13" spans="1:10" ht="18" customHeight="1">
      <c r="A13" s="163"/>
      <c r="B13" s="165"/>
      <c r="C13" s="328"/>
      <c r="D13" s="33" t="s">
        <v>554</v>
      </c>
      <c r="E13" s="251"/>
      <c r="F13" s="111">
        <f>F14</f>
        <v>6600000</v>
      </c>
      <c r="G13" s="111">
        <v>6600000</v>
      </c>
      <c r="H13" s="114">
        <f t="shared" ref="H13:H14" si="2">F13-G13</f>
        <v>0</v>
      </c>
    </row>
    <row r="14" spans="1:10" ht="18" customHeight="1">
      <c r="A14" s="163"/>
      <c r="B14" s="165"/>
      <c r="C14" s="165"/>
      <c r="D14" s="252"/>
      <c r="E14" s="366" t="s">
        <v>555</v>
      </c>
      <c r="F14" s="367">
        <v>6600000</v>
      </c>
      <c r="G14" s="16">
        <v>6600000</v>
      </c>
      <c r="H14" s="116">
        <f t="shared" si="2"/>
        <v>0</v>
      </c>
    </row>
    <row r="15" spans="1:10" ht="18" customHeight="1">
      <c r="A15" s="163"/>
      <c r="B15" s="164"/>
      <c r="C15" s="328"/>
      <c r="D15" s="178" t="s">
        <v>460</v>
      </c>
      <c r="E15" s="180"/>
      <c r="F15" s="111">
        <f>F16</f>
        <v>689000</v>
      </c>
      <c r="G15" s="111">
        <v>689000</v>
      </c>
      <c r="H15" s="114">
        <f t="shared" si="0"/>
        <v>0</v>
      </c>
    </row>
    <row r="16" spans="1:10" ht="18" customHeight="1">
      <c r="A16" s="163"/>
      <c r="B16" s="165"/>
      <c r="C16" s="164"/>
      <c r="D16" s="254"/>
      <c r="E16" s="366" t="s">
        <v>158</v>
      </c>
      <c r="F16" s="367">
        <v>689000</v>
      </c>
      <c r="G16" s="16">
        <v>689000</v>
      </c>
      <c r="H16" s="116">
        <f t="shared" si="0"/>
        <v>0</v>
      </c>
      <c r="J16" s="348"/>
    </row>
    <row r="17" spans="1:8" ht="18" customHeight="1">
      <c r="A17" s="163"/>
      <c r="B17" s="164"/>
      <c r="C17" s="253"/>
      <c r="D17" s="178" t="s">
        <v>159</v>
      </c>
      <c r="E17" s="180"/>
      <c r="F17" s="111">
        <f>F18</f>
        <v>1245100</v>
      </c>
      <c r="G17" s="111">
        <v>1245100</v>
      </c>
      <c r="H17" s="114">
        <f t="shared" si="0"/>
        <v>0</v>
      </c>
    </row>
    <row r="18" spans="1:8" ht="18" customHeight="1">
      <c r="A18" s="163"/>
      <c r="B18" s="165"/>
      <c r="C18" s="164"/>
      <c r="D18" s="254"/>
      <c r="E18" s="366" t="s">
        <v>160</v>
      </c>
      <c r="F18" s="367">
        <v>1245100</v>
      </c>
      <c r="G18" s="16">
        <v>1245100</v>
      </c>
      <c r="H18" s="116">
        <f>F18-G18</f>
        <v>0</v>
      </c>
    </row>
    <row r="19" spans="1:8" ht="18" customHeight="1">
      <c r="A19" s="163"/>
      <c r="B19" s="164"/>
      <c r="C19" s="253"/>
      <c r="D19" s="178" t="s">
        <v>434</v>
      </c>
      <c r="E19" s="180"/>
      <c r="F19" s="111">
        <f>F20</f>
        <v>410000</v>
      </c>
      <c r="G19" s="111">
        <v>410000</v>
      </c>
      <c r="H19" s="114">
        <f>F19-G19</f>
        <v>0</v>
      </c>
    </row>
    <row r="20" spans="1:8" ht="18" customHeight="1">
      <c r="A20" s="163"/>
      <c r="B20" s="165"/>
      <c r="C20" s="164"/>
      <c r="D20" s="254"/>
      <c r="E20" s="366" t="s">
        <v>435</v>
      </c>
      <c r="F20" s="367">
        <v>410000</v>
      </c>
      <c r="G20" s="16">
        <v>410000</v>
      </c>
      <c r="H20" s="116">
        <f t="shared" ref="H20" si="3">F20-G20</f>
        <v>0</v>
      </c>
    </row>
    <row r="21" spans="1:8" ht="18" customHeight="1">
      <c r="A21" s="163"/>
      <c r="B21" s="164"/>
      <c r="C21" s="253"/>
      <c r="D21" s="178" t="s">
        <v>556</v>
      </c>
      <c r="E21" s="180"/>
      <c r="F21" s="111">
        <f>F22</f>
        <v>628000</v>
      </c>
      <c r="G21" s="111">
        <v>628000</v>
      </c>
      <c r="H21" s="114">
        <f>F21-G21</f>
        <v>0</v>
      </c>
    </row>
    <row r="22" spans="1:8" ht="18" customHeight="1">
      <c r="A22" s="163"/>
      <c r="B22" s="165"/>
      <c r="C22" s="164"/>
      <c r="D22" s="254"/>
      <c r="E22" s="366" t="s">
        <v>557</v>
      </c>
      <c r="F22" s="367">
        <v>628000</v>
      </c>
      <c r="G22" s="16">
        <v>628000</v>
      </c>
      <c r="H22" s="116">
        <f t="shared" ref="H22" si="4">F22-G22</f>
        <v>0</v>
      </c>
    </row>
    <row r="23" spans="1:8" ht="18" customHeight="1">
      <c r="A23" s="248"/>
      <c r="B23" s="255"/>
      <c r="C23" s="175" t="s">
        <v>161</v>
      </c>
      <c r="D23" s="176"/>
      <c r="E23" s="176"/>
      <c r="F23" s="113">
        <f>F24+F26</f>
        <v>257781</v>
      </c>
      <c r="G23" s="113">
        <v>257781</v>
      </c>
      <c r="H23" s="115">
        <f t="shared" si="0"/>
        <v>0</v>
      </c>
    </row>
    <row r="24" spans="1:8" ht="18" customHeight="1">
      <c r="A24" s="163"/>
      <c r="B24" s="165"/>
      <c r="C24" s="33"/>
      <c r="D24" s="33" t="s">
        <v>162</v>
      </c>
      <c r="E24" s="251"/>
      <c r="F24" s="111">
        <f>F25</f>
        <v>200000</v>
      </c>
      <c r="G24" s="111">
        <v>200000</v>
      </c>
      <c r="H24" s="114">
        <f t="shared" si="0"/>
        <v>0</v>
      </c>
    </row>
    <row r="25" spans="1:8" ht="18" customHeight="1">
      <c r="A25" s="163"/>
      <c r="B25" s="165"/>
      <c r="C25" s="165"/>
      <c r="D25" s="252"/>
      <c r="E25" s="366" t="s">
        <v>163</v>
      </c>
      <c r="F25" s="367">
        <v>200000</v>
      </c>
      <c r="G25" s="16">
        <v>200000</v>
      </c>
      <c r="H25" s="116">
        <f t="shared" si="0"/>
        <v>0</v>
      </c>
    </row>
    <row r="26" spans="1:8" ht="18" customHeight="1">
      <c r="A26" s="163"/>
      <c r="B26" s="165"/>
      <c r="C26" s="328"/>
      <c r="D26" s="33" t="s">
        <v>802</v>
      </c>
      <c r="E26" s="251"/>
      <c r="F26" s="111">
        <f>F27</f>
        <v>57781</v>
      </c>
      <c r="G26" s="111">
        <v>57781</v>
      </c>
      <c r="H26" s="114">
        <f t="shared" ref="H26" si="5">F26-G26</f>
        <v>0</v>
      </c>
    </row>
    <row r="27" spans="1:8" ht="18" customHeight="1">
      <c r="A27" s="163"/>
      <c r="B27" s="165"/>
      <c r="C27" s="164"/>
      <c r="D27" s="252"/>
      <c r="E27" s="366" t="s">
        <v>803</v>
      </c>
      <c r="F27" s="367">
        <f>41680+16101</f>
        <v>57781</v>
      </c>
      <c r="G27" s="16">
        <v>57781</v>
      </c>
      <c r="H27" s="116">
        <f>F27-G27</f>
        <v>0</v>
      </c>
    </row>
    <row r="28" spans="1:8" ht="18" customHeight="1">
      <c r="A28" s="248"/>
      <c r="B28" s="175" t="s">
        <v>164</v>
      </c>
      <c r="C28" s="176"/>
      <c r="D28" s="256"/>
      <c r="E28" s="256"/>
      <c r="F28" s="113">
        <f>F29+F32</f>
        <v>6579697</v>
      </c>
      <c r="G28" s="113">
        <v>6579697</v>
      </c>
      <c r="H28" s="115">
        <f t="shared" si="0"/>
        <v>0</v>
      </c>
    </row>
    <row r="29" spans="1:8">
      <c r="A29" s="248"/>
      <c r="B29" s="249"/>
      <c r="C29" s="175" t="s">
        <v>165</v>
      </c>
      <c r="D29" s="176"/>
      <c r="E29" s="176"/>
      <c r="F29" s="113">
        <f>F30</f>
        <v>3233000</v>
      </c>
      <c r="G29" s="113">
        <v>3233000</v>
      </c>
      <c r="H29" s="115">
        <f t="shared" ref="H29:H31" si="6">F29-G29</f>
        <v>0</v>
      </c>
    </row>
    <row r="30" spans="1:8">
      <c r="A30" s="163"/>
      <c r="B30" s="165"/>
      <c r="C30" s="33"/>
      <c r="D30" s="33" t="s">
        <v>166</v>
      </c>
      <c r="E30" s="251"/>
      <c r="F30" s="111">
        <f>F31</f>
        <v>3233000</v>
      </c>
      <c r="G30" s="111">
        <v>3233000</v>
      </c>
      <c r="H30" s="114">
        <f t="shared" si="6"/>
        <v>0</v>
      </c>
    </row>
    <row r="31" spans="1:8">
      <c r="A31" s="163"/>
      <c r="B31" s="165"/>
      <c r="C31" s="343"/>
      <c r="D31" s="252"/>
      <c r="E31" s="366" t="s">
        <v>167</v>
      </c>
      <c r="F31" s="367">
        <v>3233000</v>
      </c>
      <c r="G31" s="325">
        <v>3233000</v>
      </c>
      <c r="H31" s="116">
        <f t="shared" si="6"/>
        <v>0</v>
      </c>
    </row>
    <row r="32" spans="1:8">
      <c r="A32" s="248"/>
      <c r="B32" s="255"/>
      <c r="C32" s="322" t="s">
        <v>471</v>
      </c>
      <c r="D32" s="256"/>
      <c r="E32" s="256"/>
      <c r="F32" s="246">
        <f>F33</f>
        <v>3346697</v>
      </c>
      <c r="G32" s="246">
        <v>3346697</v>
      </c>
      <c r="H32" s="324">
        <f t="shared" si="0"/>
        <v>0</v>
      </c>
    </row>
    <row r="33" spans="1:8">
      <c r="A33" s="163"/>
      <c r="B33" s="165"/>
      <c r="C33" s="33"/>
      <c r="D33" s="33" t="s">
        <v>472</v>
      </c>
      <c r="E33" s="251"/>
      <c r="F33" s="111">
        <f>F34+F35</f>
        <v>3346697</v>
      </c>
      <c r="G33" s="111">
        <v>3346697</v>
      </c>
      <c r="H33" s="114">
        <f t="shared" si="0"/>
        <v>0</v>
      </c>
    </row>
    <row r="34" spans="1:8">
      <c r="A34" s="163"/>
      <c r="B34" s="165"/>
      <c r="C34" s="164"/>
      <c r="D34" s="365"/>
      <c r="E34" s="366" t="s">
        <v>473</v>
      </c>
      <c r="F34" s="367">
        <f>2905047+441650</f>
        <v>3346697</v>
      </c>
      <c r="G34" s="325">
        <v>3346697</v>
      </c>
      <c r="H34" s="116">
        <f t="shared" si="0"/>
        <v>0</v>
      </c>
    </row>
    <row r="35" spans="1:8" ht="17.25" thickBot="1">
      <c r="A35" s="257"/>
      <c r="B35" s="258"/>
      <c r="C35" s="259"/>
      <c r="D35" s="364"/>
      <c r="E35" s="368" t="s">
        <v>474</v>
      </c>
      <c r="F35" s="630">
        <v>0</v>
      </c>
      <c r="G35" s="369">
        <v>0</v>
      </c>
      <c r="H35" s="370">
        <f>F35-G35</f>
        <v>0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2405" priority="1" operator="containsText" text="허하나로">
      <formula>NOT(ISERROR(SEARCH("허하나로",F806)))</formula>
    </cfRule>
    <cfRule type="containsText" dxfId="2404" priority="2" operator="containsText" text="한별">
      <formula>NOT(ISERROR(SEARCH("한별",F806)))</formula>
    </cfRule>
    <cfRule type="containsText" dxfId="2403" priority="3" operator="containsText" text="정홍조">
      <formula>NOT(ISERROR(SEARCH("정홍조",F806)))</formula>
    </cfRule>
    <cfRule type="containsText" dxfId="2402" priority="4" operator="containsText" text="김지윤">
      <formula>NOT(ISERROR(SEARCH("김지윤",F806)))</formula>
    </cfRule>
    <cfRule type="containsText" dxfId="2401" priority="5" operator="containsText" text="전준영">
      <formula>NOT(ISERROR(SEARCH("전준영",F806)))</formula>
    </cfRule>
    <cfRule type="containsText" dxfId="2400" priority="6" operator="containsText" text="차재성">
      <formula>NOT(ISERROR(SEARCH("차재성",F806)))</formula>
    </cfRule>
  </conditionalFormatting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N30"/>
  <sheetViews>
    <sheetView zoomScale="85" zoomScaleNormal="85" workbookViewId="0">
      <selection activeCell="C11" sqref="C11"/>
    </sheetView>
  </sheetViews>
  <sheetFormatPr defaultRowHeight="16.5"/>
  <cols>
    <col min="1" max="1" width="5.625" style="174" customWidth="1"/>
    <col min="2" max="4" width="8" style="174" bestFit="1" customWidth="1"/>
    <col min="5" max="5" width="6.75" style="174" bestFit="1" customWidth="1"/>
    <col min="6" max="6" width="14.875" style="174" customWidth="1"/>
    <col min="7" max="8" width="14.375" style="174" customWidth="1"/>
    <col min="9" max="9" width="12.125" style="174" customWidth="1"/>
    <col min="12" max="12" width="10" bestFit="1" customWidth="1"/>
  </cols>
  <sheetData>
    <row r="1" spans="1:14" ht="18" customHeight="1">
      <c r="A1" s="27" t="s">
        <v>245</v>
      </c>
      <c r="B1" s="28"/>
      <c r="C1" s="28"/>
      <c r="D1" s="28"/>
      <c r="E1" s="28"/>
      <c r="F1" s="28"/>
      <c r="G1" s="29"/>
      <c r="H1" s="29"/>
      <c r="I1" s="29"/>
    </row>
    <row r="2" spans="1:14" ht="17.25" thickBot="1">
      <c r="A2" s="30"/>
      <c r="B2" s="30"/>
      <c r="C2" s="30"/>
      <c r="D2" s="30"/>
      <c r="E2" s="30"/>
      <c r="F2" s="30"/>
      <c r="G2" s="30"/>
      <c r="H2" s="30"/>
      <c r="I2" s="31" t="s">
        <v>147</v>
      </c>
    </row>
    <row r="3" spans="1:14" ht="18" customHeight="1">
      <c r="A3" s="680" t="s">
        <v>5</v>
      </c>
      <c r="B3" s="681"/>
      <c r="C3" s="681"/>
      <c r="D3" s="681"/>
      <c r="E3" s="681"/>
      <c r="F3" s="688"/>
      <c r="G3" s="682" t="s">
        <v>704</v>
      </c>
      <c r="H3" s="682" t="s">
        <v>894</v>
      </c>
      <c r="I3" s="684" t="s">
        <v>246</v>
      </c>
    </row>
    <row r="4" spans="1:14" ht="17.25" thickBot="1">
      <c r="A4" s="85" t="s">
        <v>247</v>
      </c>
      <c r="B4" s="32" t="s">
        <v>13</v>
      </c>
      <c r="C4" s="690"/>
      <c r="D4" s="691"/>
      <c r="E4" s="691"/>
      <c r="F4" s="692"/>
      <c r="G4" s="683"/>
      <c r="H4" s="683"/>
      <c r="I4" s="685"/>
      <c r="L4" s="319"/>
    </row>
    <row r="5" spans="1:14" ht="17.25" thickBot="1">
      <c r="A5" s="686" t="s">
        <v>839</v>
      </c>
      <c r="B5" s="687"/>
      <c r="C5" s="687"/>
      <c r="D5" s="687"/>
      <c r="E5" s="687"/>
      <c r="F5" s="689"/>
      <c r="G5" s="290">
        <f>G6+G23</f>
        <v>34659578</v>
      </c>
      <c r="H5" s="290">
        <v>33799578</v>
      </c>
      <c r="I5" s="161">
        <f>G5-H5</f>
        <v>860000</v>
      </c>
      <c r="K5" s="250"/>
      <c r="L5" s="337"/>
    </row>
    <row r="6" spans="1:14" ht="18" customHeight="1">
      <c r="A6" s="291" t="s">
        <v>630</v>
      </c>
      <c r="B6" s="292"/>
      <c r="C6" s="293"/>
      <c r="D6" s="293"/>
      <c r="E6" s="293"/>
      <c r="F6" s="294"/>
      <c r="G6" s="295">
        <f>SUM(G7,G18)</f>
        <v>16529578</v>
      </c>
      <c r="H6" s="295">
        <v>16529578</v>
      </c>
      <c r="I6" s="296">
        <f>G6-H6</f>
        <v>0</v>
      </c>
      <c r="K6" s="250"/>
      <c r="L6" s="337"/>
      <c r="M6" s="319"/>
      <c r="N6" s="250"/>
    </row>
    <row r="7" spans="1:14" ht="18" customHeight="1">
      <c r="A7" s="297" t="s">
        <v>2</v>
      </c>
      <c r="B7" s="176"/>
      <c r="C7" s="176"/>
      <c r="D7" s="176"/>
      <c r="E7" s="176"/>
      <c r="F7" s="177"/>
      <c r="G7" s="113">
        <f>SUM(G8:G17)</f>
        <v>13130477</v>
      </c>
      <c r="H7" s="113">
        <v>12980477</v>
      </c>
      <c r="I7" s="115">
        <f t="shared" ref="I7:I22" si="0">G7-H7</f>
        <v>150000</v>
      </c>
      <c r="K7" s="250"/>
      <c r="L7" s="337"/>
    </row>
    <row r="8" spans="1:14" ht="18" customHeight="1">
      <c r="A8" s="163"/>
      <c r="B8" s="175" t="s">
        <v>504</v>
      </c>
      <c r="C8" s="176"/>
      <c r="D8" s="176"/>
      <c r="E8" s="176"/>
      <c r="F8" s="177"/>
      <c r="G8" s="113">
        <f>종합상황실!H5</f>
        <v>52080</v>
      </c>
      <c r="H8" s="113">
        <v>49080</v>
      </c>
      <c r="I8" s="115">
        <f>G8-H8</f>
        <v>3000</v>
      </c>
    </row>
    <row r="9" spans="1:14" ht="18" customHeight="1">
      <c r="A9" s="248"/>
      <c r="B9" s="175" t="s">
        <v>251</v>
      </c>
      <c r="C9" s="176"/>
      <c r="D9" s="176"/>
      <c r="E9" s="176"/>
      <c r="F9" s="177"/>
      <c r="G9" s="113">
        <f>행정관리부!H5</f>
        <v>1107331</v>
      </c>
      <c r="H9" s="113">
        <v>1099331</v>
      </c>
      <c r="I9" s="115">
        <f t="shared" si="0"/>
        <v>8000</v>
      </c>
      <c r="J9" s="250"/>
      <c r="K9" s="250"/>
      <c r="L9" s="337"/>
      <c r="M9" s="319"/>
    </row>
    <row r="10" spans="1:14" ht="18" customHeight="1">
      <c r="A10" s="248"/>
      <c r="B10" s="175" t="s">
        <v>252</v>
      </c>
      <c r="C10" s="176"/>
      <c r="D10" s="176"/>
      <c r="E10" s="176"/>
      <c r="F10" s="177"/>
      <c r="G10" s="113">
        <f>기획홍보부!H5</f>
        <v>199012</v>
      </c>
      <c r="H10" s="113">
        <v>225012</v>
      </c>
      <c r="I10" s="115">
        <f t="shared" si="0"/>
        <v>-26000</v>
      </c>
      <c r="J10" s="250"/>
      <c r="K10" s="250"/>
      <c r="L10" s="337"/>
      <c r="M10" s="319"/>
    </row>
    <row r="11" spans="1:14" ht="18" customHeight="1">
      <c r="A11" s="163"/>
      <c r="B11" s="175" t="s">
        <v>253</v>
      </c>
      <c r="C11" s="176"/>
      <c r="D11" s="176"/>
      <c r="E11" s="176"/>
      <c r="F11" s="177"/>
      <c r="G11" s="113">
        <f>수익사업부!H5</f>
        <v>237681</v>
      </c>
      <c r="H11" s="113">
        <v>237436</v>
      </c>
      <c r="I11" s="115">
        <f t="shared" si="0"/>
        <v>245</v>
      </c>
      <c r="K11" s="250"/>
      <c r="L11" s="337"/>
      <c r="M11" s="319"/>
    </row>
    <row r="12" spans="1:14" ht="18" customHeight="1">
      <c r="A12" s="163"/>
      <c r="B12" s="175" t="s">
        <v>254</v>
      </c>
      <c r="C12" s="176"/>
      <c r="D12" s="176"/>
      <c r="E12" s="176"/>
      <c r="F12" s="177"/>
      <c r="G12" s="113">
        <f>유치협력부!H5</f>
        <v>308648</v>
      </c>
      <c r="H12" s="113">
        <v>308648</v>
      </c>
      <c r="I12" s="115">
        <f t="shared" si="0"/>
        <v>0</v>
      </c>
      <c r="K12" s="250"/>
      <c r="L12" s="337"/>
      <c r="M12" s="319"/>
    </row>
    <row r="13" spans="1:14" ht="18" customHeight="1">
      <c r="A13" s="248"/>
      <c r="B13" s="175" t="s">
        <v>255</v>
      </c>
      <c r="C13" s="176"/>
      <c r="D13" s="176"/>
      <c r="E13" s="176"/>
      <c r="F13" s="177"/>
      <c r="G13" s="113">
        <f>운영부!H5</f>
        <v>5129112</v>
      </c>
      <c r="H13" s="113">
        <v>5129112</v>
      </c>
      <c r="I13" s="115">
        <f t="shared" ref="I13:I16" si="1">G13-H13</f>
        <v>0</v>
      </c>
      <c r="K13" s="250"/>
      <c r="L13" s="337"/>
      <c r="M13" s="319"/>
    </row>
    <row r="14" spans="1:14" ht="18" customHeight="1">
      <c r="A14" s="248"/>
      <c r="B14" s="175" t="s">
        <v>256</v>
      </c>
      <c r="C14" s="176"/>
      <c r="D14" s="176"/>
      <c r="E14" s="176"/>
      <c r="F14" s="177"/>
      <c r="G14" s="113">
        <f>행사부!H5</f>
        <v>96648</v>
      </c>
      <c r="H14" s="113">
        <v>96648</v>
      </c>
      <c r="I14" s="115">
        <f t="shared" si="1"/>
        <v>0</v>
      </c>
      <c r="K14" s="250"/>
      <c r="L14" s="337"/>
    </row>
    <row r="15" spans="1:14" ht="18" customHeight="1">
      <c r="A15" s="163"/>
      <c r="B15" s="175" t="s">
        <v>257</v>
      </c>
      <c r="C15" s="176"/>
      <c r="D15" s="176"/>
      <c r="E15" s="176"/>
      <c r="F15" s="177"/>
      <c r="G15" s="113">
        <f>시설조성부!H5</f>
        <v>3124268</v>
      </c>
      <c r="H15" s="113">
        <v>3124268</v>
      </c>
      <c r="I15" s="115">
        <f t="shared" si="1"/>
        <v>0</v>
      </c>
    </row>
    <row r="16" spans="1:14" ht="18" customHeight="1">
      <c r="A16" s="163"/>
      <c r="B16" s="175" t="s">
        <v>258</v>
      </c>
      <c r="C16" s="176"/>
      <c r="D16" s="176"/>
      <c r="E16" s="176"/>
      <c r="F16" s="177"/>
      <c r="G16" s="113">
        <f>전시연출부!H5</f>
        <v>2121344</v>
      </c>
      <c r="H16" s="113">
        <v>2121344</v>
      </c>
      <c r="I16" s="115">
        <f t="shared" si="1"/>
        <v>0</v>
      </c>
    </row>
    <row r="17" spans="1:9" ht="18" customHeight="1">
      <c r="A17" s="298"/>
      <c r="B17" s="175" t="s">
        <v>3</v>
      </c>
      <c r="C17" s="176"/>
      <c r="D17" s="176"/>
      <c r="E17" s="176"/>
      <c r="F17" s="177"/>
      <c r="G17" s="113">
        <f>예비비!H5</f>
        <v>754353</v>
      </c>
      <c r="H17" s="113">
        <v>589598</v>
      </c>
      <c r="I17" s="115">
        <f t="shared" si="0"/>
        <v>164755</v>
      </c>
    </row>
    <row r="18" spans="1:9" s="299" customFormat="1" ht="18" customHeight="1">
      <c r="A18" s="297" t="s">
        <v>188</v>
      </c>
      <c r="B18" s="176"/>
      <c r="C18" s="176"/>
      <c r="D18" s="176"/>
      <c r="E18" s="176"/>
      <c r="F18" s="177"/>
      <c r="G18" s="113">
        <f>시설조성부!H42</f>
        <v>3399101</v>
      </c>
      <c r="H18" s="113">
        <v>3549101</v>
      </c>
      <c r="I18" s="115">
        <f t="shared" si="0"/>
        <v>-150000</v>
      </c>
    </row>
    <row r="19" spans="1:9" s="299" customFormat="1" ht="18" customHeight="1">
      <c r="A19" s="238"/>
      <c r="B19" s="440" t="s">
        <v>493</v>
      </c>
      <c r="C19" s="440"/>
      <c r="D19" s="440"/>
      <c r="E19" s="440"/>
      <c r="F19" s="176"/>
      <c r="G19" s="113">
        <f>시설조성부!H43</f>
        <v>3249101</v>
      </c>
      <c r="H19" s="113">
        <v>3249101</v>
      </c>
      <c r="I19" s="115">
        <f t="shared" si="0"/>
        <v>0</v>
      </c>
    </row>
    <row r="20" spans="1:9" s="299" customFormat="1" ht="18" customHeight="1">
      <c r="A20" s="248"/>
      <c r="B20" s="572" t="s">
        <v>613</v>
      </c>
      <c r="C20" s="440"/>
      <c r="D20" s="176"/>
      <c r="E20" s="176"/>
      <c r="F20" s="176"/>
      <c r="G20" s="113">
        <f>시설조성부!H52</f>
        <v>0</v>
      </c>
      <c r="H20" s="113">
        <v>0</v>
      </c>
      <c r="I20" s="115">
        <f t="shared" si="0"/>
        <v>0</v>
      </c>
    </row>
    <row r="21" spans="1:9" s="299" customFormat="1" ht="18" customHeight="1">
      <c r="A21" s="248"/>
      <c r="B21" s="175" t="s">
        <v>629</v>
      </c>
      <c r="C21" s="176"/>
      <c r="D21" s="256"/>
      <c r="E21" s="256"/>
      <c r="F21" s="256"/>
      <c r="G21" s="246">
        <f>시설조성부!H61</f>
        <v>150000</v>
      </c>
      <c r="H21" s="246">
        <v>300000</v>
      </c>
      <c r="I21" s="115">
        <f t="shared" si="0"/>
        <v>-150000</v>
      </c>
    </row>
    <row r="22" spans="1:9" ht="17.25" thickBot="1">
      <c r="A22" s="300"/>
      <c r="B22" s="441" t="s">
        <v>190</v>
      </c>
      <c r="C22" s="571"/>
      <c r="D22" s="441"/>
      <c r="E22" s="441"/>
      <c r="F22" s="441"/>
      <c r="G22" s="326">
        <f>예비비!H25</f>
        <v>0</v>
      </c>
      <c r="H22" s="326">
        <v>0</v>
      </c>
      <c r="I22" s="573">
        <f t="shared" si="0"/>
        <v>0</v>
      </c>
    </row>
    <row r="23" spans="1:9" ht="18" customHeight="1">
      <c r="A23" s="301" t="s">
        <v>302</v>
      </c>
      <c r="B23" s="302"/>
      <c r="C23" s="302"/>
      <c r="D23" s="302"/>
      <c r="E23" s="302"/>
      <c r="F23" s="302"/>
      <c r="G23" s="303">
        <f>G24+G28</f>
        <v>18130000</v>
      </c>
      <c r="H23" s="303">
        <v>17270000</v>
      </c>
      <c r="I23" s="304">
        <f t="shared" ref="I23:I25" si="2">G23-H23</f>
        <v>860000</v>
      </c>
    </row>
    <row r="24" spans="1:9" ht="18" customHeight="1">
      <c r="A24" s="305" t="s">
        <v>2</v>
      </c>
      <c r="B24" s="306"/>
      <c r="C24" s="306"/>
      <c r="D24" s="306"/>
      <c r="E24" s="306"/>
      <c r="F24" s="307"/>
      <c r="G24" s="303">
        <f>SUM(G25:G27)</f>
        <v>11860000</v>
      </c>
      <c r="H24" s="303">
        <v>11000000</v>
      </c>
      <c r="I24" s="304">
        <f t="shared" si="2"/>
        <v>860000</v>
      </c>
    </row>
    <row r="25" spans="1:9">
      <c r="A25" s="238"/>
      <c r="B25" s="311" t="s">
        <v>403</v>
      </c>
      <c r="C25" s="306"/>
      <c r="D25" s="306"/>
      <c r="E25" s="306"/>
      <c r="F25" s="307"/>
      <c r="G25" s="312">
        <f>'기획본부(위탁)'!H6</f>
        <v>1000000</v>
      </c>
      <c r="H25" s="312">
        <v>1000000</v>
      </c>
      <c r="I25" s="313">
        <f t="shared" si="2"/>
        <v>0</v>
      </c>
    </row>
    <row r="26" spans="1:9">
      <c r="A26" s="248"/>
      <c r="B26" s="311" t="s">
        <v>404</v>
      </c>
      <c r="C26" s="306"/>
      <c r="D26" s="306"/>
      <c r="E26" s="306"/>
      <c r="F26" s="307"/>
      <c r="G26" s="312">
        <f>'기획본부(위탁)'!H30</f>
        <v>4600000</v>
      </c>
      <c r="H26" s="312">
        <v>4500000</v>
      </c>
      <c r="I26" s="313">
        <f t="shared" ref="I26:I30" si="3">G26-H26</f>
        <v>100000</v>
      </c>
    </row>
    <row r="27" spans="1:9">
      <c r="A27" s="248"/>
      <c r="B27" s="311" t="s">
        <v>405</v>
      </c>
      <c r="C27" s="302"/>
      <c r="D27" s="302"/>
      <c r="E27" s="302"/>
      <c r="F27" s="318"/>
      <c r="G27" s="312">
        <f>'운영본부(위탁)'!H6</f>
        <v>6260000</v>
      </c>
      <c r="H27" s="303">
        <v>5500000</v>
      </c>
      <c r="I27" s="304">
        <f t="shared" si="3"/>
        <v>760000</v>
      </c>
    </row>
    <row r="28" spans="1:9" ht="18" customHeight="1">
      <c r="A28" s="301" t="s">
        <v>273</v>
      </c>
      <c r="B28" s="302"/>
      <c r="C28" s="302"/>
      <c r="D28" s="302"/>
      <c r="E28" s="302"/>
      <c r="F28" s="318"/>
      <c r="G28" s="303">
        <f>SUM(G29:G30)</f>
        <v>6270000</v>
      </c>
      <c r="H28" s="303">
        <v>6270000</v>
      </c>
      <c r="I28" s="304">
        <f t="shared" si="3"/>
        <v>0</v>
      </c>
    </row>
    <row r="29" spans="1:9" ht="18" customHeight="1">
      <c r="A29" s="238"/>
      <c r="B29" s="311" t="s">
        <v>406</v>
      </c>
      <c r="C29" s="338"/>
      <c r="D29" s="306"/>
      <c r="E29" s="306"/>
      <c r="F29" s="307"/>
      <c r="G29" s="312">
        <f>'운영본부(위탁)'!H16</f>
        <v>4680000</v>
      </c>
      <c r="H29" s="312">
        <v>4680000</v>
      </c>
      <c r="I29" s="304">
        <f t="shared" si="3"/>
        <v>0</v>
      </c>
    </row>
    <row r="30" spans="1:9" ht="17.25" thickBot="1">
      <c r="A30" s="300"/>
      <c r="B30" s="339" t="s">
        <v>378</v>
      </c>
      <c r="C30" s="340"/>
      <c r="D30" s="308"/>
      <c r="E30" s="308"/>
      <c r="F30" s="309"/>
      <c r="G30" s="310">
        <f>'운영본부(위탁)'!H45</f>
        <v>1590000</v>
      </c>
      <c r="H30" s="310">
        <v>1590000</v>
      </c>
      <c r="I30" s="341">
        <f t="shared" si="3"/>
        <v>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pageMargins left="0.25" right="0.25" top="0.75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/>
    <pageSetUpPr fitToPage="1"/>
  </sheetPr>
  <dimension ref="A1:I265"/>
  <sheetViews>
    <sheetView zoomScale="85" zoomScaleNormal="85" workbookViewId="0">
      <pane xSplit="8" ySplit="5" topLeftCell="I6" activePane="bottomRight" state="frozen"/>
      <selection activeCell="M4" sqref="M4"/>
      <selection pane="topRight" activeCell="M4" sqref="M4"/>
      <selection pane="bottomLeft" activeCell="M4" sqref="M4"/>
      <selection pane="bottomRight" activeCell="F9" sqref="F9"/>
    </sheetView>
  </sheetViews>
  <sheetFormatPr defaultRowHeight="16.5"/>
  <cols>
    <col min="1" max="5" width="3.875" style="174" customWidth="1"/>
    <col min="6" max="6" width="32.625" style="174" customWidth="1"/>
    <col min="7" max="7" width="14.625" style="174" customWidth="1"/>
    <col min="8" max="8" width="14.875" style="174" customWidth="1"/>
    <col min="9" max="9" width="14.625" style="174" customWidth="1"/>
  </cols>
  <sheetData>
    <row r="1" spans="1:9" ht="18" customHeight="1">
      <c r="A1" s="27" t="s">
        <v>143</v>
      </c>
      <c r="B1" s="28"/>
      <c r="C1" s="28"/>
      <c r="D1" s="28"/>
      <c r="E1" s="28"/>
      <c r="F1" s="28"/>
      <c r="G1" s="29"/>
      <c r="H1" s="29"/>
      <c r="I1" s="29"/>
    </row>
    <row r="2" spans="1:9" ht="18" customHeight="1" thickBot="1">
      <c r="A2" s="30"/>
      <c r="B2" s="30"/>
      <c r="C2" s="30"/>
      <c r="D2" s="30"/>
      <c r="E2" s="30"/>
      <c r="F2" s="30"/>
      <c r="G2" s="30"/>
      <c r="H2" s="30"/>
      <c r="I2" s="31" t="s">
        <v>145</v>
      </c>
    </row>
    <row r="3" spans="1:9" ht="18" customHeight="1">
      <c r="A3" s="680" t="s">
        <v>5</v>
      </c>
      <c r="B3" s="681"/>
      <c r="C3" s="681"/>
      <c r="D3" s="681"/>
      <c r="E3" s="681"/>
      <c r="F3" s="688"/>
      <c r="G3" s="682" t="s">
        <v>704</v>
      </c>
      <c r="H3" s="682" t="s">
        <v>894</v>
      </c>
      <c r="I3" s="684" t="s">
        <v>463</v>
      </c>
    </row>
    <row r="4" spans="1:9" ht="18" customHeight="1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83"/>
      <c r="H4" s="683"/>
      <c r="I4" s="685"/>
    </row>
    <row r="5" spans="1:9" ht="18" customHeight="1" thickBot="1">
      <c r="A5" s="686" t="s">
        <v>137</v>
      </c>
      <c r="B5" s="687"/>
      <c r="C5" s="687"/>
      <c r="D5" s="687"/>
      <c r="E5" s="687"/>
      <c r="F5" s="689"/>
      <c r="G5" s="160">
        <f>G6+G245</f>
        <v>16529578</v>
      </c>
      <c r="H5" s="161">
        <v>16529578</v>
      </c>
      <c r="I5" s="161">
        <f>G5-H5</f>
        <v>0</v>
      </c>
    </row>
    <row r="6" spans="1:9" ht="18" customHeight="1">
      <c r="A6" s="162" t="s">
        <v>133</v>
      </c>
      <c r="B6" s="179"/>
      <c r="C6" s="179"/>
      <c r="D6" s="179"/>
      <c r="E6" s="179"/>
      <c r="F6" s="180"/>
      <c r="G6" s="110">
        <f>SUM(G29,G62,G100,G130,G158,G180,G196,G216,G7,G238)</f>
        <v>13130477</v>
      </c>
      <c r="H6" s="110">
        <v>12980477</v>
      </c>
      <c r="I6" s="114">
        <f>G6-H6</f>
        <v>150000</v>
      </c>
    </row>
    <row r="7" spans="1:9" ht="18" customHeight="1">
      <c r="A7" s="238"/>
      <c r="B7" s="175" t="s">
        <v>498</v>
      </c>
      <c r="C7" s="176"/>
      <c r="D7" s="176"/>
      <c r="E7" s="176"/>
      <c r="F7" s="177"/>
      <c r="G7" s="113">
        <f>종합상황실!H4</f>
        <v>52080</v>
      </c>
      <c r="H7" s="113">
        <v>49080</v>
      </c>
      <c r="I7" s="115">
        <f>G7-H7</f>
        <v>3000</v>
      </c>
    </row>
    <row r="8" spans="1:9" ht="18" customHeight="1">
      <c r="A8" s="163"/>
      <c r="B8" s="164"/>
      <c r="C8" s="178" t="s">
        <v>824</v>
      </c>
      <c r="D8" s="179"/>
      <c r="E8" s="179"/>
      <c r="F8" s="180"/>
      <c r="G8" s="15">
        <f>종합상황실!H7</f>
        <v>2000</v>
      </c>
      <c r="H8" s="15">
        <v>2000</v>
      </c>
      <c r="I8" s="114">
        <f t="shared" ref="I8:I21" si="0">G8-H8</f>
        <v>0</v>
      </c>
    </row>
    <row r="9" spans="1:9" ht="18" customHeight="1">
      <c r="A9" s="163"/>
      <c r="B9" s="165"/>
      <c r="C9" s="166"/>
      <c r="D9" s="178" t="s">
        <v>824</v>
      </c>
      <c r="E9" s="179"/>
      <c r="F9" s="180"/>
      <c r="G9" s="15">
        <f>종합상황실!H8</f>
        <v>2000</v>
      </c>
      <c r="H9" s="15">
        <v>2000</v>
      </c>
      <c r="I9" s="114">
        <f t="shared" si="0"/>
        <v>0</v>
      </c>
    </row>
    <row r="10" spans="1:9" ht="18" customHeight="1">
      <c r="A10" s="163"/>
      <c r="B10" s="165"/>
      <c r="C10" s="164"/>
      <c r="D10" s="166"/>
      <c r="E10" s="178" t="s">
        <v>103</v>
      </c>
      <c r="F10" s="180"/>
      <c r="G10" s="15">
        <f>종합상황실!H10</f>
        <v>2000</v>
      </c>
      <c r="H10" s="15">
        <v>2000</v>
      </c>
      <c r="I10" s="114">
        <f t="shared" si="0"/>
        <v>0</v>
      </c>
    </row>
    <row r="11" spans="1:9" ht="18" customHeight="1">
      <c r="A11" s="86"/>
      <c r="B11" s="167"/>
      <c r="C11" s="167"/>
      <c r="D11" s="167"/>
      <c r="E11" s="170"/>
      <c r="F11" s="636" t="s">
        <v>104</v>
      </c>
      <c r="G11" s="14">
        <f>종합상황실!H11</f>
        <v>1500</v>
      </c>
      <c r="H11" s="14">
        <v>1500</v>
      </c>
      <c r="I11" s="116">
        <f t="shared" si="0"/>
        <v>0</v>
      </c>
    </row>
    <row r="12" spans="1:9" ht="18" customHeight="1">
      <c r="A12" s="86"/>
      <c r="B12" s="168"/>
      <c r="C12" s="171"/>
      <c r="D12" s="171"/>
      <c r="E12" s="171"/>
      <c r="F12" s="636" t="s">
        <v>858</v>
      </c>
      <c r="G12" s="14">
        <f>종합상황실!H17</f>
        <v>500</v>
      </c>
      <c r="H12" s="14">
        <v>500</v>
      </c>
      <c r="I12" s="116">
        <f t="shared" si="0"/>
        <v>0</v>
      </c>
    </row>
    <row r="13" spans="1:9" ht="18" customHeight="1">
      <c r="A13" s="163"/>
      <c r="B13" s="164"/>
      <c r="C13" s="178" t="s">
        <v>856</v>
      </c>
      <c r="D13" s="179"/>
      <c r="E13" s="179"/>
      <c r="F13" s="180"/>
      <c r="G13" s="15">
        <f>종합상황실!H20</f>
        <v>31660</v>
      </c>
      <c r="H13" s="15">
        <v>28660</v>
      </c>
      <c r="I13" s="114">
        <f t="shared" ref="I13:I16" si="1">G13-H13</f>
        <v>3000</v>
      </c>
    </row>
    <row r="14" spans="1:9" ht="18" customHeight="1">
      <c r="A14" s="163"/>
      <c r="B14" s="165"/>
      <c r="C14" s="166"/>
      <c r="D14" s="178" t="s">
        <v>857</v>
      </c>
      <c r="E14" s="179"/>
      <c r="F14" s="180"/>
      <c r="G14" s="15">
        <f>종합상황실!H21</f>
        <v>31660</v>
      </c>
      <c r="H14" s="15">
        <v>28660</v>
      </c>
      <c r="I14" s="114">
        <f t="shared" si="1"/>
        <v>3000</v>
      </c>
    </row>
    <row r="15" spans="1:9" ht="18" customHeight="1">
      <c r="A15" s="163"/>
      <c r="B15" s="165"/>
      <c r="C15" s="164"/>
      <c r="D15" s="166"/>
      <c r="E15" s="178" t="s">
        <v>103</v>
      </c>
      <c r="F15" s="180"/>
      <c r="G15" s="15">
        <f>종합상황실!H23</f>
        <v>31660</v>
      </c>
      <c r="H15" s="15">
        <v>28660</v>
      </c>
      <c r="I15" s="114">
        <f t="shared" si="1"/>
        <v>3000</v>
      </c>
    </row>
    <row r="16" spans="1:9" ht="18" customHeight="1">
      <c r="A16" s="86"/>
      <c r="B16" s="167"/>
      <c r="C16" s="168"/>
      <c r="D16" s="167"/>
      <c r="E16" s="170"/>
      <c r="F16" s="170" t="s">
        <v>104</v>
      </c>
      <c r="G16" s="14">
        <f>종합상황실!H24</f>
        <v>31660</v>
      </c>
      <c r="H16" s="14">
        <v>28660</v>
      </c>
      <c r="I16" s="116">
        <f t="shared" si="1"/>
        <v>3000</v>
      </c>
    </row>
    <row r="17" spans="1:9" ht="18" customHeight="1">
      <c r="A17" s="163"/>
      <c r="B17" s="164"/>
      <c r="C17" s="178" t="s">
        <v>499</v>
      </c>
      <c r="D17" s="179"/>
      <c r="E17" s="179"/>
      <c r="F17" s="180"/>
      <c r="G17" s="15">
        <f>종합상황실!H34</f>
        <v>18420</v>
      </c>
      <c r="H17" s="15">
        <v>18420</v>
      </c>
      <c r="I17" s="114">
        <f t="shared" si="0"/>
        <v>0</v>
      </c>
    </row>
    <row r="18" spans="1:9" ht="18" customHeight="1">
      <c r="A18" s="163"/>
      <c r="B18" s="165"/>
      <c r="C18" s="166"/>
      <c r="D18" s="178" t="s">
        <v>108</v>
      </c>
      <c r="E18" s="179"/>
      <c r="F18" s="180"/>
      <c r="G18" s="15">
        <f>종합상황실!H35</f>
        <v>18420</v>
      </c>
      <c r="H18" s="15">
        <v>18420</v>
      </c>
      <c r="I18" s="114">
        <f t="shared" si="0"/>
        <v>0</v>
      </c>
    </row>
    <row r="19" spans="1:9" ht="18" customHeight="1">
      <c r="A19" s="163"/>
      <c r="B19" s="165"/>
      <c r="C19" s="164"/>
      <c r="D19" s="166"/>
      <c r="E19" s="178" t="s">
        <v>103</v>
      </c>
      <c r="F19" s="180"/>
      <c r="G19" s="15">
        <f>종합상황실!H37</f>
        <v>6320</v>
      </c>
      <c r="H19" s="15">
        <v>6320</v>
      </c>
      <c r="I19" s="114">
        <f t="shared" si="0"/>
        <v>0</v>
      </c>
    </row>
    <row r="20" spans="1:9" ht="18" customHeight="1">
      <c r="A20" s="86"/>
      <c r="B20" s="167"/>
      <c r="C20" s="168"/>
      <c r="D20" s="167"/>
      <c r="E20" s="170"/>
      <c r="F20" s="170" t="s">
        <v>104</v>
      </c>
      <c r="G20" s="14">
        <f>종합상황실!H38</f>
        <v>2000</v>
      </c>
      <c r="H20" s="14">
        <v>2000</v>
      </c>
      <c r="I20" s="116">
        <f t="shared" si="0"/>
        <v>0</v>
      </c>
    </row>
    <row r="21" spans="1:9" ht="18" customHeight="1">
      <c r="A21" s="86"/>
      <c r="B21" s="167"/>
      <c r="C21" s="168"/>
      <c r="D21" s="167"/>
      <c r="E21" s="171"/>
      <c r="F21" s="170" t="s">
        <v>305</v>
      </c>
      <c r="G21" s="14">
        <f>종합상황실!H40</f>
        <v>4320</v>
      </c>
      <c r="H21" s="14">
        <v>4320</v>
      </c>
      <c r="I21" s="116">
        <f t="shared" si="0"/>
        <v>0</v>
      </c>
    </row>
    <row r="22" spans="1:9" ht="18" customHeight="1">
      <c r="A22" s="163"/>
      <c r="B22" s="165"/>
      <c r="C22" s="164"/>
      <c r="D22" s="165"/>
      <c r="E22" s="178" t="s">
        <v>114</v>
      </c>
      <c r="F22" s="180"/>
      <c r="G22" s="15">
        <f>종합상황실!H44</f>
        <v>9000</v>
      </c>
      <c r="H22" s="15">
        <v>9000</v>
      </c>
      <c r="I22" s="114">
        <f t="shared" ref="I22" si="2">G22-H22</f>
        <v>0</v>
      </c>
    </row>
    <row r="23" spans="1:9" ht="18" customHeight="1">
      <c r="A23" s="86"/>
      <c r="B23" s="167"/>
      <c r="C23" s="168"/>
      <c r="D23" s="167"/>
      <c r="E23" s="170"/>
      <c r="F23" s="170" t="s">
        <v>105</v>
      </c>
      <c r="G23" s="14">
        <f>종합상황실!H45</f>
        <v>9000</v>
      </c>
      <c r="H23" s="14">
        <v>9000</v>
      </c>
      <c r="I23" s="116">
        <f>G23-H23</f>
        <v>0</v>
      </c>
    </row>
    <row r="24" spans="1:9" ht="18" customHeight="1">
      <c r="A24" s="163"/>
      <c r="B24" s="165"/>
      <c r="C24" s="164"/>
      <c r="D24" s="165"/>
      <c r="E24" s="178" t="s">
        <v>505</v>
      </c>
      <c r="F24" s="180" t="s">
        <v>476</v>
      </c>
      <c r="G24" s="15">
        <f>종합상황실!H48</f>
        <v>1500</v>
      </c>
      <c r="H24" s="15">
        <v>1500</v>
      </c>
      <c r="I24" s="114">
        <f t="shared" ref="I24:I28" si="3">G24-H24</f>
        <v>0</v>
      </c>
    </row>
    <row r="25" spans="1:9" ht="18" customHeight="1">
      <c r="A25" s="86"/>
      <c r="B25" s="167"/>
      <c r="C25" s="168"/>
      <c r="D25" s="167"/>
      <c r="E25" s="169"/>
      <c r="F25" s="170" t="s">
        <v>117</v>
      </c>
      <c r="G25" s="14">
        <f>종합상황실!H49</f>
        <v>1500</v>
      </c>
      <c r="H25" s="14">
        <v>1500</v>
      </c>
      <c r="I25" s="116">
        <f t="shared" si="3"/>
        <v>0</v>
      </c>
    </row>
    <row r="26" spans="1:9" ht="18" customHeight="1">
      <c r="A26" s="163"/>
      <c r="B26" s="165"/>
      <c r="C26" s="164"/>
      <c r="D26" s="165"/>
      <c r="E26" s="178" t="s">
        <v>413</v>
      </c>
      <c r="F26" s="180"/>
      <c r="G26" s="15">
        <f>종합상황실!H51</f>
        <v>1600</v>
      </c>
      <c r="H26" s="15">
        <v>1600</v>
      </c>
      <c r="I26" s="114">
        <f t="shared" si="3"/>
        <v>0</v>
      </c>
    </row>
    <row r="27" spans="1:9" ht="18" customHeight="1">
      <c r="A27" s="248"/>
      <c r="B27" s="165"/>
      <c r="C27" s="164"/>
      <c r="D27" s="165"/>
      <c r="E27" s="426"/>
      <c r="F27" s="425" t="s">
        <v>719</v>
      </c>
      <c r="G27" s="14">
        <f>종합상황실!H52</f>
        <v>400</v>
      </c>
      <c r="H27" s="14">
        <v>400</v>
      </c>
      <c r="I27" s="116">
        <f t="shared" si="3"/>
        <v>0</v>
      </c>
    </row>
    <row r="28" spans="1:9" ht="18" customHeight="1">
      <c r="A28" s="321"/>
      <c r="B28" s="171"/>
      <c r="C28" s="241"/>
      <c r="D28" s="171"/>
      <c r="E28" s="171"/>
      <c r="F28" s="605" t="s">
        <v>414</v>
      </c>
      <c r="G28" s="371">
        <f>종합상황실!H55</f>
        <v>1200</v>
      </c>
      <c r="H28" s="371">
        <v>1200</v>
      </c>
      <c r="I28" s="116">
        <f t="shared" si="3"/>
        <v>0</v>
      </c>
    </row>
    <row r="29" spans="1:9" ht="18" customHeight="1">
      <c r="A29" s="248"/>
      <c r="B29" s="175" t="s">
        <v>287</v>
      </c>
      <c r="C29" s="176"/>
      <c r="D29" s="176"/>
      <c r="E29" s="176"/>
      <c r="F29" s="177"/>
      <c r="G29" s="113">
        <f>SUM(G30,G35)</f>
        <v>1107331</v>
      </c>
      <c r="H29" s="113">
        <v>1099331</v>
      </c>
      <c r="I29" s="115">
        <f t="shared" ref="I29:I30" si="4">G29-H29</f>
        <v>8000</v>
      </c>
    </row>
    <row r="30" spans="1:9" ht="18" customHeight="1">
      <c r="A30" s="248"/>
      <c r="B30" s="164"/>
      <c r="C30" s="178" t="s">
        <v>330</v>
      </c>
      <c r="D30" s="179"/>
      <c r="E30" s="179"/>
      <c r="F30" s="180"/>
      <c r="G30" s="200">
        <f>SUM(,G31)</f>
        <v>26900</v>
      </c>
      <c r="H30" s="200">
        <v>26900</v>
      </c>
      <c r="I30" s="114">
        <f t="shared" si="4"/>
        <v>0</v>
      </c>
    </row>
    <row r="31" spans="1:9" ht="18" customHeight="1">
      <c r="A31" s="163"/>
      <c r="B31" s="165"/>
      <c r="C31" s="165"/>
      <c r="D31" s="178" t="s">
        <v>331</v>
      </c>
      <c r="E31" s="179"/>
      <c r="F31" s="180"/>
      <c r="G31" s="15">
        <f>G32</f>
        <v>26900</v>
      </c>
      <c r="H31" s="15">
        <v>26900</v>
      </c>
      <c r="I31" s="114">
        <f t="shared" ref="I31:I39" si="5">G31-H31</f>
        <v>0</v>
      </c>
    </row>
    <row r="32" spans="1:9" ht="18" customHeight="1">
      <c r="A32" s="163"/>
      <c r="B32" s="165"/>
      <c r="C32" s="164"/>
      <c r="D32" s="166"/>
      <c r="E32" s="178" t="s">
        <v>103</v>
      </c>
      <c r="F32" s="180"/>
      <c r="G32" s="15">
        <f>행정관리부!H10</f>
        <v>26900</v>
      </c>
      <c r="H32" s="15">
        <v>26900</v>
      </c>
      <c r="I32" s="114">
        <f t="shared" si="5"/>
        <v>0</v>
      </c>
    </row>
    <row r="33" spans="1:9" ht="18" customHeight="1">
      <c r="A33" s="86"/>
      <c r="B33" s="167"/>
      <c r="C33" s="168"/>
      <c r="D33" s="167"/>
      <c r="E33" s="170"/>
      <c r="F33" s="170" t="s">
        <v>104</v>
      </c>
      <c r="G33" s="14">
        <f>행정관리부!H11</f>
        <v>24900</v>
      </c>
      <c r="H33" s="14">
        <v>24900</v>
      </c>
      <c r="I33" s="116">
        <f t="shared" si="5"/>
        <v>0</v>
      </c>
    </row>
    <row r="34" spans="1:9" ht="18" customHeight="1">
      <c r="A34" s="86"/>
      <c r="B34" s="167"/>
      <c r="C34" s="168"/>
      <c r="D34" s="167"/>
      <c r="E34" s="171"/>
      <c r="F34" s="170" t="s">
        <v>107</v>
      </c>
      <c r="G34" s="14">
        <f>행정관리부!H19</f>
        <v>2000</v>
      </c>
      <c r="H34" s="14">
        <v>2000</v>
      </c>
      <c r="I34" s="116">
        <f t="shared" si="5"/>
        <v>0</v>
      </c>
    </row>
    <row r="35" spans="1:9" ht="18" customHeight="1">
      <c r="A35" s="163"/>
      <c r="B35" s="164"/>
      <c r="C35" s="178" t="s">
        <v>278</v>
      </c>
      <c r="D35" s="179"/>
      <c r="E35" s="179"/>
      <c r="F35" s="180"/>
      <c r="G35" s="15">
        <f>G36</f>
        <v>1080431</v>
      </c>
      <c r="H35" s="15">
        <v>1072431</v>
      </c>
      <c r="I35" s="114">
        <f t="shared" si="5"/>
        <v>8000</v>
      </c>
    </row>
    <row r="36" spans="1:9" ht="18" customHeight="1">
      <c r="A36" s="163"/>
      <c r="B36" s="165"/>
      <c r="C36" s="166"/>
      <c r="D36" s="178" t="s">
        <v>279</v>
      </c>
      <c r="E36" s="179"/>
      <c r="F36" s="180"/>
      <c r="G36" s="15">
        <f>SUM(G37,G41,G43,G48,G50,G52,G55,G57,G60)</f>
        <v>1080431</v>
      </c>
      <c r="H36" s="15">
        <v>1072431</v>
      </c>
      <c r="I36" s="114">
        <f t="shared" si="5"/>
        <v>8000</v>
      </c>
    </row>
    <row r="37" spans="1:9" ht="18" customHeight="1">
      <c r="A37" s="163"/>
      <c r="B37" s="165"/>
      <c r="C37" s="164"/>
      <c r="D37" s="166"/>
      <c r="E37" s="178" t="s">
        <v>109</v>
      </c>
      <c r="F37" s="180"/>
      <c r="G37" s="15">
        <f>행정관리부!H26</f>
        <v>627637</v>
      </c>
      <c r="H37" s="15">
        <v>627637</v>
      </c>
      <c r="I37" s="114">
        <f t="shared" si="5"/>
        <v>0</v>
      </c>
    </row>
    <row r="38" spans="1:9" ht="18" customHeight="1">
      <c r="A38" s="86"/>
      <c r="B38" s="167"/>
      <c r="C38" s="168"/>
      <c r="D38" s="167"/>
      <c r="E38" s="170"/>
      <c r="F38" s="170" t="s">
        <v>110</v>
      </c>
      <c r="G38" s="14">
        <f>행정관리부!H27</f>
        <v>402600</v>
      </c>
      <c r="H38" s="14">
        <v>402600</v>
      </c>
      <c r="I38" s="116">
        <f t="shared" si="5"/>
        <v>0</v>
      </c>
    </row>
    <row r="39" spans="1:9" ht="18" customHeight="1">
      <c r="A39" s="86"/>
      <c r="B39" s="167"/>
      <c r="C39" s="168"/>
      <c r="D39" s="167"/>
      <c r="E39" s="167"/>
      <c r="F39" s="170" t="s">
        <v>332</v>
      </c>
      <c r="G39" s="14">
        <f>행정관리부!H32</f>
        <v>195208</v>
      </c>
      <c r="H39" s="14">
        <v>195208</v>
      </c>
      <c r="I39" s="116">
        <f t="shared" si="5"/>
        <v>0</v>
      </c>
    </row>
    <row r="40" spans="1:9" ht="18" customHeight="1">
      <c r="A40" s="86"/>
      <c r="B40" s="167"/>
      <c r="C40" s="168"/>
      <c r="D40" s="167"/>
      <c r="E40" s="171"/>
      <c r="F40" s="170" t="s">
        <v>333</v>
      </c>
      <c r="G40" s="14">
        <f>행정관리부!H44</f>
        <v>29829</v>
      </c>
      <c r="H40" s="14">
        <v>29829</v>
      </c>
      <c r="I40" s="116">
        <f t="shared" ref="I40:I42" si="6">G40-H40</f>
        <v>0</v>
      </c>
    </row>
    <row r="41" spans="1:9" ht="18" customHeight="1">
      <c r="A41" s="163"/>
      <c r="B41" s="165"/>
      <c r="C41" s="164"/>
      <c r="D41" s="165"/>
      <c r="E41" s="178" t="s">
        <v>334</v>
      </c>
      <c r="F41" s="180"/>
      <c r="G41" s="15">
        <f>행정관리부!H48</f>
        <v>46200</v>
      </c>
      <c r="H41" s="15">
        <v>52200</v>
      </c>
      <c r="I41" s="114">
        <f t="shared" si="6"/>
        <v>-6000</v>
      </c>
    </row>
    <row r="42" spans="1:9" ht="18" customHeight="1">
      <c r="A42" s="86"/>
      <c r="B42" s="167"/>
      <c r="C42" s="168"/>
      <c r="D42" s="167"/>
      <c r="E42" s="170"/>
      <c r="F42" s="170" t="s">
        <v>335</v>
      </c>
      <c r="G42" s="14">
        <f>행정관리부!H49</f>
        <v>46200</v>
      </c>
      <c r="H42" s="14">
        <v>52200</v>
      </c>
      <c r="I42" s="116">
        <f t="shared" si="6"/>
        <v>-6000</v>
      </c>
    </row>
    <row r="43" spans="1:9" ht="18" customHeight="1">
      <c r="A43" s="163"/>
      <c r="B43" s="165"/>
      <c r="C43" s="164"/>
      <c r="D43" s="165"/>
      <c r="E43" s="178" t="s">
        <v>111</v>
      </c>
      <c r="F43" s="180"/>
      <c r="G43" s="15">
        <f>행정관리부!H56</f>
        <v>265480</v>
      </c>
      <c r="H43" s="15">
        <v>265480</v>
      </c>
      <c r="I43" s="114">
        <f>G43-H43</f>
        <v>0</v>
      </c>
    </row>
    <row r="44" spans="1:9" ht="18" customHeight="1">
      <c r="A44" s="86"/>
      <c r="B44" s="167"/>
      <c r="C44" s="168"/>
      <c r="D44" s="167"/>
      <c r="E44" s="170"/>
      <c r="F44" s="170" t="s">
        <v>112</v>
      </c>
      <c r="G44" s="14">
        <f>행정관리부!H57</f>
        <v>153220</v>
      </c>
      <c r="H44" s="14">
        <v>153220</v>
      </c>
      <c r="I44" s="116">
        <f>G44-H44</f>
        <v>0</v>
      </c>
    </row>
    <row r="45" spans="1:9" ht="18" customHeight="1">
      <c r="A45" s="86"/>
      <c r="B45" s="167"/>
      <c r="C45" s="168"/>
      <c r="D45" s="167"/>
      <c r="E45" s="167"/>
      <c r="F45" s="170" t="s">
        <v>113</v>
      </c>
      <c r="G45" s="14">
        <f>행정관리부!H84</f>
        <v>65460</v>
      </c>
      <c r="H45" s="14">
        <v>65460</v>
      </c>
      <c r="I45" s="116">
        <f t="shared" ref="I45:I47" si="7">G45-H45</f>
        <v>0</v>
      </c>
    </row>
    <row r="46" spans="1:9" ht="18" customHeight="1">
      <c r="A46" s="86"/>
      <c r="B46" s="167"/>
      <c r="C46" s="168"/>
      <c r="D46" s="167"/>
      <c r="E46" s="167"/>
      <c r="F46" s="170" t="s">
        <v>830</v>
      </c>
      <c r="G46" s="14">
        <f>행정관리부!H93</f>
        <v>26500</v>
      </c>
      <c r="H46" s="14">
        <v>26500</v>
      </c>
      <c r="I46" s="116">
        <f t="shared" si="7"/>
        <v>0</v>
      </c>
    </row>
    <row r="47" spans="1:9" ht="18" customHeight="1">
      <c r="A47" s="86"/>
      <c r="B47" s="167"/>
      <c r="C47" s="168"/>
      <c r="D47" s="167"/>
      <c r="E47" s="171"/>
      <c r="F47" s="170" t="s">
        <v>136</v>
      </c>
      <c r="G47" s="14">
        <f>행정관리부!H101</f>
        <v>20300</v>
      </c>
      <c r="H47" s="14">
        <v>20300</v>
      </c>
      <c r="I47" s="116">
        <f t="shared" si="7"/>
        <v>0</v>
      </c>
    </row>
    <row r="48" spans="1:9" ht="18" customHeight="1">
      <c r="A48" s="163"/>
      <c r="B48" s="165"/>
      <c r="C48" s="164"/>
      <c r="D48" s="165"/>
      <c r="E48" s="178" t="s">
        <v>114</v>
      </c>
      <c r="F48" s="180"/>
      <c r="G48" s="15">
        <f>행정관리부!H109</f>
        <v>11990</v>
      </c>
      <c r="H48" s="15">
        <v>11990</v>
      </c>
      <c r="I48" s="114">
        <f t="shared" ref="I48" si="8">G48-H48</f>
        <v>0</v>
      </c>
    </row>
    <row r="49" spans="1:9" ht="18" customHeight="1">
      <c r="A49" s="86"/>
      <c r="B49" s="167"/>
      <c r="C49" s="168"/>
      <c r="D49" s="167"/>
      <c r="E49" s="170"/>
      <c r="F49" s="170" t="s">
        <v>105</v>
      </c>
      <c r="G49" s="14">
        <f>행정관리부!H110</f>
        <v>11990</v>
      </c>
      <c r="H49" s="14">
        <v>11990</v>
      </c>
      <c r="I49" s="116">
        <f>G49-H49</f>
        <v>0</v>
      </c>
    </row>
    <row r="50" spans="1:9" ht="18" customHeight="1">
      <c r="A50" s="163"/>
      <c r="B50" s="165"/>
      <c r="C50" s="164"/>
      <c r="D50" s="165"/>
      <c r="E50" s="178" t="s">
        <v>116</v>
      </c>
      <c r="F50" s="180"/>
      <c r="G50" s="15">
        <f>행정관리부!H113</f>
        <v>50600</v>
      </c>
      <c r="H50" s="15">
        <v>36600</v>
      </c>
      <c r="I50" s="114">
        <f t="shared" ref="I50:I52" si="9">G50-H50</f>
        <v>14000</v>
      </c>
    </row>
    <row r="51" spans="1:9" ht="18" customHeight="1">
      <c r="A51" s="86"/>
      <c r="B51" s="167"/>
      <c r="C51" s="168"/>
      <c r="D51" s="167"/>
      <c r="E51" s="169"/>
      <c r="F51" s="170" t="s">
        <v>117</v>
      </c>
      <c r="G51" s="14">
        <f>행정관리부!H114</f>
        <v>50600</v>
      </c>
      <c r="H51" s="14">
        <v>36600</v>
      </c>
      <c r="I51" s="116">
        <f t="shared" si="9"/>
        <v>14000</v>
      </c>
    </row>
    <row r="52" spans="1:9" ht="18" customHeight="1">
      <c r="A52" s="163"/>
      <c r="B52" s="165"/>
      <c r="C52" s="164"/>
      <c r="D52" s="165"/>
      <c r="E52" s="178" t="s">
        <v>118</v>
      </c>
      <c r="F52" s="180"/>
      <c r="G52" s="15">
        <f>행정관리부!H123</f>
        <v>27120</v>
      </c>
      <c r="H52" s="15">
        <v>27120</v>
      </c>
      <c r="I52" s="114">
        <f t="shared" si="9"/>
        <v>0</v>
      </c>
    </row>
    <row r="53" spans="1:9" ht="18" customHeight="1">
      <c r="A53" s="163"/>
      <c r="B53" s="165"/>
      <c r="C53" s="164"/>
      <c r="D53" s="165"/>
      <c r="E53" s="33"/>
      <c r="F53" s="170" t="s">
        <v>119</v>
      </c>
      <c r="G53" s="14">
        <f>행정관리부!H124</f>
        <v>20400</v>
      </c>
      <c r="H53" s="14">
        <v>20400</v>
      </c>
      <c r="I53" s="116">
        <f>G53-H53</f>
        <v>0</v>
      </c>
    </row>
    <row r="54" spans="1:9" ht="18" customHeight="1">
      <c r="A54" s="86"/>
      <c r="B54" s="167"/>
      <c r="C54" s="168"/>
      <c r="D54" s="167"/>
      <c r="E54" s="171"/>
      <c r="F54" s="170" t="s">
        <v>138</v>
      </c>
      <c r="G54" s="14">
        <f>행정관리부!H127</f>
        <v>6720</v>
      </c>
      <c r="H54" s="14">
        <v>6720</v>
      </c>
      <c r="I54" s="116">
        <f>G54-H54</f>
        <v>0</v>
      </c>
    </row>
    <row r="55" spans="1:9" ht="18" customHeight="1">
      <c r="A55" s="163"/>
      <c r="B55" s="165"/>
      <c r="C55" s="164"/>
      <c r="D55" s="165"/>
      <c r="E55" s="178" t="s">
        <v>120</v>
      </c>
      <c r="F55" s="180"/>
      <c r="G55" s="15">
        <f>행정관리부!H129</f>
        <v>28000</v>
      </c>
      <c r="H55" s="15">
        <v>28000</v>
      </c>
      <c r="I55" s="114">
        <f t="shared" ref="I55" si="10">G55-H55</f>
        <v>0</v>
      </c>
    </row>
    <row r="56" spans="1:9" ht="18" customHeight="1">
      <c r="A56" s="86"/>
      <c r="B56" s="167"/>
      <c r="C56" s="168"/>
      <c r="D56" s="167"/>
      <c r="E56" s="169"/>
      <c r="F56" s="170" t="s">
        <v>121</v>
      </c>
      <c r="G56" s="14">
        <f>행정관리부!H130</f>
        <v>28000</v>
      </c>
      <c r="H56" s="14">
        <v>28000</v>
      </c>
      <c r="I56" s="116">
        <f>G56-H56</f>
        <v>0</v>
      </c>
    </row>
    <row r="57" spans="1:9" ht="18" customHeight="1">
      <c r="A57" s="163"/>
      <c r="B57" s="165"/>
      <c r="C57" s="164"/>
      <c r="D57" s="165"/>
      <c r="E57" s="178" t="s">
        <v>122</v>
      </c>
      <c r="F57" s="180"/>
      <c r="G57" s="15">
        <f>행정관리부!H134</f>
        <v>4980</v>
      </c>
      <c r="H57" s="15">
        <v>4980</v>
      </c>
      <c r="I57" s="114">
        <f t="shared" ref="I57" si="11">G57-H57</f>
        <v>0</v>
      </c>
    </row>
    <row r="58" spans="1:9" ht="18" customHeight="1">
      <c r="A58" s="86"/>
      <c r="B58" s="167"/>
      <c r="C58" s="168"/>
      <c r="D58" s="167"/>
      <c r="E58" s="170"/>
      <c r="F58" s="170" t="s">
        <v>123</v>
      </c>
      <c r="G58" s="14">
        <f>행정관리부!H135</f>
        <v>2880</v>
      </c>
      <c r="H58" s="14">
        <v>2880</v>
      </c>
      <c r="I58" s="117">
        <f>G58-H58</f>
        <v>0</v>
      </c>
    </row>
    <row r="59" spans="1:9" ht="18" customHeight="1">
      <c r="A59" s="86"/>
      <c r="B59" s="167"/>
      <c r="C59" s="168"/>
      <c r="D59" s="167"/>
      <c r="E59" s="171"/>
      <c r="F59" s="170" t="s">
        <v>124</v>
      </c>
      <c r="G59" s="14">
        <f>행정관리부!H139</f>
        <v>2100</v>
      </c>
      <c r="H59" s="14">
        <v>2100</v>
      </c>
      <c r="I59" s="117">
        <f>G59-H59</f>
        <v>0</v>
      </c>
    </row>
    <row r="60" spans="1:9" ht="18" customHeight="1">
      <c r="A60" s="163"/>
      <c r="B60" s="165"/>
      <c r="C60" s="164"/>
      <c r="D60" s="165"/>
      <c r="E60" s="178" t="s">
        <v>336</v>
      </c>
      <c r="F60" s="180"/>
      <c r="G60" s="15">
        <f>행정관리부!H142</f>
        <v>18424</v>
      </c>
      <c r="H60" s="15">
        <v>18424</v>
      </c>
      <c r="I60" s="114">
        <f t="shared" ref="I60" si="12">G60-H60</f>
        <v>0</v>
      </c>
    </row>
    <row r="61" spans="1:9" ht="18" customHeight="1">
      <c r="A61" s="86"/>
      <c r="B61" s="167"/>
      <c r="C61" s="168"/>
      <c r="D61" s="167"/>
      <c r="E61" s="170"/>
      <c r="F61" s="170" t="s">
        <v>337</v>
      </c>
      <c r="G61" s="14">
        <f>행정관리부!H143</f>
        <v>18424</v>
      </c>
      <c r="H61" s="14">
        <v>18424</v>
      </c>
      <c r="I61" s="117">
        <f>G61-H61</f>
        <v>0</v>
      </c>
    </row>
    <row r="62" spans="1:9" ht="18" customHeight="1">
      <c r="A62" s="248"/>
      <c r="B62" s="175" t="s">
        <v>260</v>
      </c>
      <c r="C62" s="176"/>
      <c r="D62" s="176"/>
      <c r="E62" s="176"/>
      <c r="F62" s="177"/>
      <c r="G62" s="113">
        <f>SUM(G63,G71,G78,G89)</f>
        <v>199012</v>
      </c>
      <c r="H62" s="113">
        <v>225012</v>
      </c>
      <c r="I62" s="115">
        <f t="shared" ref="I62:I71" si="13">G62-H62</f>
        <v>-26000</v>
      </c>
    </row>
    <row r="63" spans="1:9" ht="18" customHeight="1">
      <c r="A63" s="163"/>
      <c r="B63" s="164"/>
      <c r="C63" s="178" t="s">
        <v>277</v>
      </c>
      <c r="D63" s="179"/>
      <c r="E63" s="179"/>
      <c r="F63" s="180"/>
      <c r="G63" s="15">
        <f>기획홍보부!H7</f>
        <v>69200</v>
      </c>
      <c r="H63" s="111">
        <v>75200</v>
      </c>
      <c r="I63" s="114">
        <f>G63-H63</f>
        <v>-6000</v>
      </c>
    </row>
    <row r="64" spans="1:9" ht="18" customHeight="1">
      <c r="A64" s="163"/>
      <c r="B64" s="165"/>
      <c r="C64" s="165"/>
      <c r="D64" s="178" t="s">
        <v>465</v>
      </c>
      <c r="E64" s="179"/>
      <c r="F64" s="180"/>
      <c r="G64" s="15">
        <f>기획홍보부!H8</f>
        <v>57000</v>
      </c>
      <c r="H64" s="112">
        <v>60000</v>
      </c>
      <c r="I64" s="114">
        <f t="shared" ref="I64:I66" si="14">G64-H64</f>
        <v>-3000</v>
      </c>
    </row>
    <row r="65" spans="1:9" ht="18" customHeight="1">
      <c r="A65" s="163"/>
      <c r="B65" s="165"/>
      <c r="C65" s="164"/>
      <c r="D65" s="166"/>
      <c r="E65" s="178" t="s">
        <v>539</v>
      </c>
      <c r="F65" s="180"/>
      <c r="G65" s="15">
        <f>기획홍보부!H10</f>
        <v>57000</v>
      </c>
      <c r="H65" s="112">
        <v>60000</v>
      </c>
      <c r="I65" s="114">
        <f t="shared" si="14"/>
        <v>-3000</v>
      </c>
    </row>
    <row r="66" spans="1:9" ht="18" customHeight="1">
      <c r="A66" s="86"/>
      <c r="B66" s="167"/>
      <c r="C66" s="168"/>
      <c r="D66" s="167"/>
      <c r="E66" s="170"/>
      <c r="F66" s="170" t="s">
        <v>540</v>
      </c>
      <c r="G66" s="14">
        <f>기획홍보부!H11</f>
        <v>57000</v>
      </c>
      <c r="H66" s="16">
        <v>60000</v>
      </c>
      <c r="I66" s="116">
        <f t="shared" si="14"/>
        <v>-3000</v>
      </c>
    </row>
    <row r="67" spans="1:9" ht="18" customHeight="1">
      <c r="A67" s="163"/>
      <c r="B67" s="165"/>
      <c r="C67" s="165"/>
      <c r="D67" s="178" t="s">
        <v>397</v>
      </c>
      <c r="E67" s="179"/>
      <c r="F67" s="180"/>
      <c r="G67" s="15">
        <f>기획홍보부!H18</f>
        <v>12200</v>
      </c>
      <c r="H67" s="112">
        <v>15200</v>
      </c>
      <c r="I67" s="114">
        <f t="shared" ref="I67:I69" si="15">G67-H67</f>
        <v>-3000</v>
      </c>
    </row>
    <row r="68" spans="1:9" ht="18" customHeight="1">
      <c r="A68" s="163"/>
      <c r="B68" s="165"/>
      <c r="C68" s="164"/>
      <c r="D68" s="166"/>
      <c r="E68" s="178" t="s">
        <v>103</v>
      </c>
      <c r="F68" s="180"/>
      <c r="G68" s="15">
        <f>기획홍보부!H20</f>
        <v>12200</v>
      </c>
      <c r="H68" s="112">
        <v>15200</v>
      </c>
      <c r="I68" s="114">
        <f t="shared" si="15"/>
        <v>-3000</v>
      </c>
    </row>
    <row r="69" spans="1:9" ht="18" customHeight="1">
      <c r="A69" s="86"/>
      <c r="B69" s="167"/>
      <c r="C69" s="168"/>
      <c r="D69" s="167"/>
      <c r="E69" s="170"/>
      <c r="F69" s="170" t="s">
        <v>104</v>
      </c>
      <c r="G69" s="14">
        <f>기획홍보부!H21</f>
        <v>12000</v>
      </c>
      <c r="H69" s="16">
        <v>15000</v>
      </c>
      <c r="I69" s="116">
        <f t="shared" si="15"/>
        <v>-3000</v>
      </c>
    </row>
    <row r="70" spans="1:9" ht="18" customHeight="1">
      <c r="A70" s="86"/>
      <c r="B70" s="167"/>
      <c r="C70" s="168"/>
      <c r="D70" s="167"/>
      <c r="E70" s="167"/>
      <c r="F70" s="170" t="s">
        <v>107</v>
      </c>
      <c r="G70" s="14">
        <f>기획홍보부!H29</f>
        <v>200</v>
      </c>
      <c r="H70" s="16">
        <v>200</v>
      </c>
      <c r="I70" s="116">
        <f>G70-H70</f>
        <v>0</v>
      </c>
    </row>
    <row r="71" spans="1:9" ht="18" customHeight="1">
      <c r="A71" s="163"/>
      <c r="B71" s="164"/>
      <c r="C71" s="178" t="s">
        <v>282</v>
      </c>
      <c r="D71" s="179"/>
      <c r="E71" s="179"/>
      <c r="F71" s="180"/>
      <c r="G71" s="15">
        <f>기획홍보부!H31</f>
        <v>53300</v>
      </c>
      <c r="H71" s="111">
        <v>53300</v>
      </c>
      <c r="I71" s="114">
        <f t="shared" si="13"/>
        <v>0</v>
      </c>
    </row>
    <row r="72" spans="1:9" ht="18" customHeight="1">
      <c r="A72" s="163"/>
      <c r="B72" s="165"/>
      <c r="C72" s="165"/>
      <c r="D72" s="178" t="s">
        <v>283</v>
      </c>
      <c r="E72" s="179"/>
      <c r="F72" s="180"/>
      <c r="G72" s="15">
        <f>기획홍보부!H32</f>
        <v>50000</v>
      </c>
      <c r="H72" s="112">
        <v>50000</v>
      </c>
      <c r="I72" s="114">
        <f t="shared" ref="I72:I80" si="16">G72-H72</f>
        <v>0</v>
      </c>
    </row>
    <row r="73" spans="1:9" ht="18" customHeight="1">
      <c r="A73" s="163"/>
      <c r="B73" s="165"/>
      <c r="C73" s="164"/>
      <c r="D73" s="166"/>
      <c r="E73" s="178" t="s">
        <v>129</v>
      </c>
      <c r="F73" s="180"/>
      <c r="G73" s="15">
        <f>기획홍보부!H34</f>
        <v>50000</v>
      </c>
      <c r="H73" s="112">
        <v>50000</v>
      </c>
      <c r="I73" s="114">
        <f t="shared" si="16"/>
        <v>0</v>
      </c>
    </row>
    <row r="74" spans="1:9" ht="18" customHeight="1">
      <c r="A74" s="86"/>
      <c r="B74" s="167"/>
      <c r="C74" s="168"/>
      <c r="D74" s="167"/>
      <c r="E74" s="169"/>
      <c r="F74" s="170" t="s">
        <v>121</v>
      </c>
      <c r="G74" s="14">
        <f>기획홍보부!H35</f>
        <v>50000</v>
      </c>
      <c r="H74" s="16">
        <v>50000</v>
      </c>
      <c r="I74" s="116">
        <f t="shared" si="16"/>
        <v>0</v>
      </c>
    </row>
    <row r="75" spans="1:9" ht="18" customHeight="1">
      <c r="A75" s="163"/>
      <c r="B75" s="165"/>
      <c r="C75" s="165"/>
      <c r="D75" s="178" t="s">
        <v>475</v>
      </c>
      <c r="E75" s="179"/>
      <c r="F75" s="180"/>
      <c r="G75" s="15">
        <f>기획홍보부!H37</f>
        <v>3300</v>
      </c>
      <c r="H75" s="112">
        <v>3300</v>
      </c>
      <c r="I75" s="114">
        <f t="shared" ref="I75:I77" si="17">G75-H75</f>
        <v>0</v>
      </c>
    </row>
    <row r="76" spans="1:9" ht="18" customHeight="1">
      <c r="A76" s="163"/>
      <c r="B76" s="165"/>
      <c r="C76" s="164"/>
      <c r="D76" s="166"/>
      <c r="E76" s="178" t="s">
        <v>114</v>
      </c>
      <c r="F76" s="180"/>
      <c r="G76" s="15">
        <f>기획홍보부!H39</f>
        <v>3300</v>
      </c>
      <c r="H76" s="112">
        <v>3300</v>
      </c>
      <c r="I76" s="114">
        <f>G76-H76</f>
        <v>0</v>
      </c>
    </row>
    <row r="77" spans="1:9" ht="18" customHeight="1">
      <c r="A77" s="86"/>
      <c r="B77" s="167"/>
      <c r="C77" s="168"/>
      <c r="D77" s="167"/>
      <c r="E77" s="169"/>
      <c r="F77" s="170" t="s">
        <v>105</v>
      </c>
      <c r="G77" s="14">
        <f>기획홍보부!H40</f>
        <v>3300</v>
      </c>
      <c r="H77" s="16">
        <v>3300</v>
      </c>
      <c r="I77" s="116">
        <f t="shared" si="17"/>
        <v>0</v>
      </c>
    </row>
    <row r="78" spans="1:9" ht="18" customHeight="1">
      <c r="A78" s="163"/>
      <c r="B78" s="164"/>
      <c r="C78" s="178" t="s">
        <v>293</v>
      </c>
      <c r="D78" s="179"/>
      <c r="E78" s="179"/>
      <c r="F78" s="180"/>
      <c r="G78" s="15">
        <f>기획홍보부!H42</f>
        <v>21512</v>
      </c>
      <c r="H78" s="111">
        <v>21512</v>
      </c>
      <c r="I78" s="114">
        <f t="shared" si="16"/>
        <v>0</v>
      </c>
    </row>
    <row r="79" spans="1:9" ht="18" customHeight="1">
      <c r="A79" s="163"/>
      <c r="B79" s="165"/>
      <c r="C79" s="166"/>
      <c r="D79" s="178" t="s">
        <v>108</v>
      </c>
      <c r="E79" s="179"/>
      <c r="F79" s="180"/>
      <c r="G79" s="15">
        <f>기획홍보부!H43</f>
        <v>21512</v>
      </c>
      <c r="H79" s="112">
        <v>21512</v>
      </c>
      <c r="I79" s="114">
        <f t="shared" si="16"/>
        <v>0</v>
      </c>
    </row>
    <row r="80" spans="1:9" ht="18" customHeight="1">
      <c r="A80" s="163"/>
      <c r="B80" s="165"/>
      <c r="C80" s="164"/>
      <c r="D80" s="166"/>
      <c r="E80" s="178" t="s">
        <v>111</v>
      </c>
      <c r="F80" s="180"/>
      <c r="G80" s="15">
        <f>기획홍보부!H45</f>
        <v>8912</v>
      </c>
      <c r="H80" s="112">
        <v>8912</v>
      </c>
      <c r="I80" s="114">
        <f t="shared" si="16"/>
        <v>0</v>
      </c>
    </row>
    <row r="81" spans="1:9" ht="18" customHeight="1">
      <c r="A81" s="86"/>
      <c r="B81" s="167"/>
      <c r="C81" s="168"/>
      <c r="D81" s="167"/>
      <c r="E81" s="170"/>
      <c r="F81" s="170" t="s">
        <v>112</v>
      </c>
      <c r="G81" s="14">
        <f>기획홍보부!H46</f>
        <v>2000</v>
      </c>
      <c r="H81" s="16">
        <v>2000</v>
      </c>
      <c r="I81" s="116">
        <f>G81-H81</f>
        <v>0</v>
      </c>
    </row>
    <row r="82" spans="1:9" ht="18" customHeight="1">
      <c r="A82" s="86"/>
      <c r="B82" s="167"/>
      <c r="C82" s="168"/>
      <c r="D82" s="167"/>
      <c r="E82" s="171"/>
      <c r="F82" s="170" t="s">
        <v>305</v>
      </c>
      <c r="G82" s="14">
        <f>기획홍보부!H48</f>
        <v>6912</v>
      </c>
      <c r="H82" s="16">
        <v>6912</v>
      </c>
      <c r="I82" s="116">
        <f>G82-H82</f>
        <v>0</v>
      </c>
    </row>
    <row r="83" spans="1:9" ht="18" customHeight="1">
      <c r="A83" s="163"/>
      <c r="B83" s="165"/>
      <c r="C83" s="164"/>
      <c r="D83" s="165"/>
      <c r="E83" s="178" t="s">
        <v>114</v>
      </c>
      <c r="F83" s="180"/>
      <c r="G83" s="15">
        <f>기획홍보부!H50</f>
        <v>9000</v>
      </c>
      <c r="H83" s="112">
        <v>9000</v>
      </c>
      <c r="I83" s="114">
        <f t="shared" ref="I83" si="18">G83-H83</f>
        <v>0</v>
      </c>
    </row>
    <row r="84" spans="1:9" ht="18" customHeight="1">
      <c r="A84" s="86"/>
      <c r="B84" s="167"/>
      <c r="C84" s="168"/>
      <c r="D84" s="167"/>
      <c r="E84" s="169"/>
      <c r="F84" s="170" t="s">
        <v>105</v>
      </c>
      <c r="G84" s="14">
        <f>기획홍보부!H51</f>
        <v>9000</v>
      </c>
      <c r="H84" s="16">
        <v>9000</v>
      </c>
      <c r="I84" s="116">
        <f>G84-H84</f>
        <v>0</v>
      </c>
    </row>
    <row r="85" spans="1:9" ht="18" customHeight="1">
      <c r="A85" s="163"/>
      <c r="B85" s="165"/>
      <c r="C85" s="164"/>
      <c r="D85" s="165"/>
      <c r="E85" s="178" t="s">
        <v>116</v>
      </c>
      <c r="F85" s="180"/>
      <c r="G85" s="15">
        <f>기획홍보부!H54</f>
        <v>1500</v>
      </c>
      <c r="H85" s="112">
        <v>1500</v>
      </c>
      <c r="I85" s="114">
        <f t="shared" ref="I85:I88" si="19">G85-H85</f>
        <v>0</v>
      </c>
    </row>
    <row r="86" spans="1:9" ht="18" customHeight="1">
      <c r="A86" s="86"/>
      <c r="B86" s="167"/>
      <c r="C86" s="168"/>
      <c r="D86" s="167"/>
      <c r="E86" s="169"/>
      <c r="F86" s="170" t="s">
        <v>117</v>
      </c>
      <c r="G86" s="14">
        <f>기획홍보부!H55</f>
        <v>1500</v>
      </c>
      <c r="H86" s="16">
        <v>1500</v>
      </c>
      <c r="I86" s="116">
        <f t="shared" si="19"/>
        <v>0</v>
      </c>
    </row>
    <row r="87" spans="1:9" ht="18" customHeight="1">
      <c r="A87" s="163"/>
      <c r="B87" s="165"/>
      <c r="C87" s="164"/>
      <c r="D87" s="165"/>
      <c r="E87" s="178" t="s">
        <v>413</v>
      </c>
      <c r="F87" s="180"/>
      <c r="G87" s="15">
        <f>기획홍보부!H57</f>
        <v>2100</v>
      </c>
      <c r="H87" s="112">
        <v>2100</v>
      </c>
      <c r="I87" s="114">
        <f t="shared" si="19"/>
        <v>0</v>
      </c>
    </row>
    <row r="88" spans="1:9" ht="18" customHeight="1">
      <c r="A88" s="86"/>
      <c r="B88" s="167"/>
      <c r="C88" s="168"/>
      <c r="D88" s="167"/>
      <c r="E88" s="169"/>
      <c r="F88" s="170" t="s">
        <v>414</v>
      </c>
      <c r="G88" s="14">
        <f>기획홍보부!H58</f>
        <v>2100</v>
      </c>
      <c r="H88" s="16">
        <v>2100</v>
      </c>
      <c r="I88" s="116">
        <f t="shared" si="19"/>
        <v>0</v>
      </c>
    </row>
    <row r="89" spans="1:9" ht="18" customHeight="1">
      <c r="A89" s="163"/>
      <c r="B89" s="164"/>
      <c r="C89" s="178" t="s">
        <v>280</v>
      </c>
      <c r="D89" s="179"/>
      <c r="E89" s="179"/>
      <c r="F89" s="180"/>
      <c r="G89" s="15">
        <f>기획홍보부!H60</f>
        <v>55000</v>
      </c>
      <c r="H89" s="111">
        <v>75000</v>
      </c>
      <c r="I89" s="114">
        <f t="shared" ref="I89:I94" si="20">G89-H89</f>
        <v>-20000</v>
      </c>
    </row>
    <row r="90" spans="1:9" ht="18" customHeight="1">
      <c r="A90" s="163"/>
      <c r="B90" s="165"/>
      <c r="C90" s="166"/>
      <c r="D90" s="178" t="s">
        <v>281</v>
      </c>
      <c r="E90" s="179"/>
      <c r="F90" s="180"/>
      <c r="G90" s="15">
        <f>기획홍보부!H61</f>
        <v>55000</v>
      </c>
      <c r="H90" s="112">
        <v>75000</v>
      </c>
      <c r="I90" s="114">
        <f t="shared" si="20"/>
        <v>-20000</v>
      </c>
    </row>
    <row r="91" spans="1:9" ht="18" customHeight="1">
      <c r="A91" s="163"/>
      <c r="B91" s="165"/>
      <c r="C91" s="164"/>
      <c r="D91" s="166"/>
      <c r="E91" s="178" t="s">
        <v>111</v>
      </c>
      <c r="F91" s="180"/>
      <c r="G91" s="15">
        <f>기획홍보부!H63</f>
        <v>15000</v>
      </c>
      <c r="H91" s="112">
        <v>15000</v>
      </c>
      <c r="I91" s="114">
        <f t="shared" si="20"/>
        <v>0</v>
      </c>
    </row>
    <row r="92" spans="1:9" ht="18" customHeight="1">
      <c r="A92" s="86"/>
      <c r="B92" s="167"/>
      <c r="C92" s="168"/>
      <c r="D92" s="167"/>
      <c r="E92" s="170"/>
      <c r="F92" s="170" t="s">
        <v>112</v>
      </c>
      <c r="G92" s="14">
        <f>기획홍보부!H64</f>
        <v>5000</v>
      </c>
      <c r="H92" s="16">
        <v>5000</v>
      </c>
      <c r="I92" s="116">
        <f t="shared" ref="I92:I93" si="21">G92-H92</f>
        <v>0</v>
      </c>
    </row>
    <row r="93" spans="1:9" ht="18" customHeight="1">
      <c r="A93" s="86"/>
      <c r="B93" s="167"/>
      <c r="C93" s="168"/>
      <c r="D93" s="167"/>
      <c r="E93" s="167"/>
      <c r="F93" s="170" t="s">
        <v>113</v>
      </c>
      <c r="G93" s="14">
        <f>기획홍보부!H66</f>
        <v>5000</v>
      </c>
      <c r="H93" s="16">
        <v>5000</v>
      </c>
      <c r="I93" s="116">
        <f t="shared" si="21"/>
        <v>0</v>
      </c>
    </row>
    <row r="94" spans="1:9" ht="18" customHeight="1">
      <c r="A94" s="86"/>
      <c r="B94" s="167"/>
      <c r="C94" s="168"/>
      <c r="D94" s="167"/>
      <c r="E94" s="171"/>
      <c r="F94" s="169" t="s">
        <v>139</v>
      </c>
      <c r="G94" s="371">
        <f>기획홍보부!H68</f>
        <v>5000</v>
      </c>
      <c r="H94" s="325">
        <v>5000</v>
      </c>
      <c r="I94" s="116">
        <f t="shared" si="20"/>
        <v>0</v>
      </c>
    </row>
    <row r="95" spans="1:9" ht="18" customHeight="1">
      <c r="A95" s="163"/>
      <c r="B95" s="165"/>
      <c r="C95" s="164"/>
      <c r="D95" s="165"/>
      <c r="E95" s="178" t="s">
        <v>114</v>
      </c>
      <c r="F95" s="180"/>
      <c r="G95" s="15">
        <f>기획홍보부!H70</f>
        <v>35000</v>
      </c>
      <c r="H95" s="112">
        <v>55000</v>
      </c>
      <c r="I95" s="114">
        <f t="shared" ref="I95" si="22">G95-H95</f>
        <v>-20000</v>
      </c>
    </row>
    <row r="96" spans="1:9" ht="18" customHeight="1">
      <c r="A96" s="86"/>
      <c r="B96" s="167"/>
      <c r="C96" s="168"/>
      <c r="D96" s="167"/>
      <c r="E96" s="170"/>
      <c r="F96" s="170" t="s">
        <v>105</v>
      </c>
      <c r="G96" s="14">
        <f>기획홍보부!H71</f>
        <v>5000</v>
      </c>
      <c r="H96" s="16">
        <v>5000</v>
      </c>
      <c r="I96" s="116">
        <f>G96-H96</f>
        <v>0</v>
      </c>
    </row>
    <row r="97" spans="1:9" ht="18" customHeight="1">
      <c r="A97" s="86"/>
      <c r="B97" s="167"/>
      <c r="C97" s="168"/>
      <c r="D97" s="167"/>
      <c r="E97" s="171"/>
      <c r="F97" s="170" t="s">
        <v>115</v>
      </c>
      <c r="G97" s="14">
        <f>기획홍보부!H73</f>
        <v>30000</v>
      </c>
      <c r="H97" s="16">
        <v>50000</v>
      </c>
      <c r="I97" s="116">
        <f>G97-H97</f>
        <v>-20000</v>
      </c>
    </row>
    <row r="98" spans="1:9" ht="18" customHeight="1">
      <c r="A98" s="163"/>
      <c r="B98" s="165"/>
      <c r="C98" s="164"/>
      <c r="D98" s="165"/>
      <c r="E98" s="178" t="s">
        <v>116</v>
      </c>
      <c r="F98" s="180"/>
      <c r="G98" s="15">
        <f>기획홍보부!H77</f>
        <v>5000</v>
      </c>
      <c r="H98" s="112">
        <v>5000</v>
      </c>
      <c r="I98" s="114">
        <f t="shared" ref="I98:I99" si="23">G98-H98</f>
        <v>0</v>
      </c>
    </row>
    <row r="99" spans="1:9" ht="18" customHeight="1">
      <c r="A99" s="86"/>
      <c r="B99" s="167"/>
      <c r="C99" s="168"/>
      <c r="D99" s="167"/>
      <c r="E99" s="169"/>
      <c r="F99" s="170" t="s">
        <v>117</v>
      </c>
      <c r="G99" s="14">
        <f>기획홍보부!H78</f>
        <v>5000</v>
      </c>
      <c r="H99" s="16">
        <v>5000</v>
      </c>
      <c r="I99" s="116">
        <f t="shared" si="23"/>
        <v>0</v>
      </c>
    </row>
    <row r="100" spans="1:9" ht="18" customHeight="1">
      <c r="A100" s="163"/>
      <c r="B100" s="175" t="s">
        <v>288</v>
      </c>
      <c r="C100" s="176"/>
      <c r="D100" s="176"/>
      <c r="E100" s="176"/>
      <c r="F100" s="177"/>
      <c r="G100" s="113">
        <f>수익사업부!H6</f>
        <v>237681</v>
      </c>
      <c r="H100" s="113">
        <v>237436</v>
      </c>
      <c r="I100" s="115">
        <f>G100-H100</f>
        <v>245</v>
      </c>
    </row>
    <row r="101" spans="1:9" ht="18" customHeight="1">
      <c r="A101" s="163"/>
      <c r="B101" s="164"/>
      <c r="C101" s="178" t="s">
        <v>289</v>
      </c>
      <c r="D101" s="179"/>
      <c r="E101" s="179"/>
      <c r="F101" s="180"/>
      <c r="G101" s="15">
        <f>수익사업부!H7</f>
        <v>212305</v>
      </c>
      <c r="H101" s="15">
        <v>212060</v>
      </c>
      <c r="I101" s="114">
        <f t="shared" ref="I101:I103" si="24">G101-H101</f>
        <v>245</v>
      </c>
    </row>
    <row r="102" spans="1:9" ht="18" customHeight="1">
      <c r="A102" s="163"/>
      <c r="B102" s="165"/>
      <c r="C102" s="166"/>
      <c r="D102" s="178" t="s">
        <v>442</v>
      </c>
      <c r="E102" s="179"/>
      <c r="F102" s="180"/>
      <c r="G102" s="15">
        <f>수익사업부!H8</f>
        <v>8100</v>
      </c>
      <c r="H102" s="15">
        <v>8100</v>
      </c>
      <c r="I102" s="114">
        <f t="shared" si="24"/>
        <v>0</v>
      </c>
    </row>
    <row r="103" spans="1:9" ht="18" customHeight="1">
      <c r="A103" s="163"/>
      <c r="B103" s="165"/>
      <c r="C103" s="164"/>
      <c r="D103" s="166"/>
      <c r="E103" s="178" t="s">
        <v>443</v>
      </c>
      <c r="F103" s="180"/>
      <c r="G103" s="15">
        <f>수익사업부!H10</f>
        <v>8100</v>
      </c>
      <c r="H103" s="15">
        <v>8100</v>
      </c>
      <c r="I103" s="114">
        <f t="shared" si="24"/>
        <v>0</v>
      </c>
    </row>
    <row r="104" spans="1:9" ht="18" customHeight="1">
      <c r="A104" s="163"/>
      <c r="B104" s="165"/>
      <c r="C104" s="164"/>
      <c r="D104" s="165"/>
      <c r="E104" s="178"/>
      <c r="F104" s="170" t="s">
        <v>444</v>
      </c>
      <c r="G104" s="14">
        <f>수익사업부!H11</f>
        <v>8100</v>
      </c>
      <c r="H104" s="14">
        <v>8100</v>
      </c>
      <c r="I104" s="116">
        <f>G104-H104</f>
        <v>0</v>
      </c>
    </row>
    <row r="105" spans="1:9" ht="18" customHeight="1">
      <c r="A105" s="163"/>
      <c r="B105" s="165"/>
      <c r="C105" s="165"/>
      <c r="D105" s="178" t="s">
        <v>446</v>
      </c>
      <c r="E105" s="179"/>
      <c r="F105" s="180"/>
      <c r="G105" s="15">
        <f>수익사업부!H21</f>
        <v>76460</v>
      </c>
      <c r="H105" s="15">
        <v>68460</v>
      </c>
      <c r="I105" s="114">
        <f t="shared" ref="I105:I124" si="25">G105-H105</f>
        <v>8000</v>
      </c>
    </row>
    <row r="106" spans="1:9" ht="18" customHeight="1">
      <c r="A106" s="163"/>
      <c r="B106" s="165"/>
      <c r="C106" s="164"/>
      <c r="D106" s="166"/>
      <c r="E106" s="178" t="s">
        <v>443</v>
      </c>
      <c r="F106" s="180"/>
      <c r="G106" s="15">
        <f>수익사업부!H23</f>
        <v>33160</v>
      </c>
      <c r="H106" s="15">
        <v>25160</v>
      </c>
      <c r="I106" s="114">
        <f t="shared" si="25"/>
        <v>8000</v>
      </c>
    </row>
    <row r="107" spans="1:9" ht="18" customHeight="1">
      <c r="A107" s="163"/>
      <c r="B107" s="165"/>
      <c r="C107" s="164"/>
      <c r="D107" s="165"/>
      <c r="E107" s="178"/>
      <c r="F107" s="170" t="s">
        <v>445</v>
      </c>
      <c r="G107" s="14">
        <f>수익사업부!H24</f>
        <v>33160</v>
      </c>
      <c r="H107" s="14">
        <v>25160</v>
      </c>
      <c r="I107" s="116">
        <f>G107-H107</f>
        <v>8000</v>
      </c>
    </row>
    <row r="108" spans="1:9" ht="18" customHeight="1">
      <c r="A108" s="163"/>
      <c r="B108" s="165"/>
      <c r="C108" s="164"/>
      <c r="D108" s="165"/>
      <c r="E108" s="178" t="s">
        <v>571</v>
      </c>
      <c r="F108" s="180"/>
      <c r="G108" s="15">
        <f>수익사업부!H32</f>
        <v>3300</v>
      </c>
      <c r="H108" s="15">
        <v>3300</v>
      </c>
      <c r="I108" s="114">
        <f>G108-H108</f>
        <v>0</v>
      </c>
    </row>
    <row r="109" spans="1:9" ht="18" customHeight="1">
      <c r="A109" s="163"/>
      <c r="B109" s="165"/>
      <c r="C109" s="164"/>
      <c r="D109" s="165"/>
      <c r="E109" s="178"/>
      <c r="F109" s="170" t="s">
        <v>570</v>
      </c>
      <c r="G109" s="14">
        <f>수익사업부!H33</f>
        <v>3300</v>
      </c>
      <c r="H109" s="14">
        <v>3300</v>
      </c>
      <c r="I109" s="116">
        <f>G109-H109</f>
        <v>0</v>
      </c>
    </row>
    <row r="110" spans="1:9" ht="18" customHeight="1">
      <c r="A110" s="86"/>
      <c r="B110" s="167"/>
      <c r="C110" s="168"/>
      <c r="D110" s="167"/>
      <c r="E110" s="178" t="s">
        <v>447</v>
      </c>
      <c r="F110" s="170"/>
      <c r="G110" s="15">
        <f>수익사업부!H36</f>
        <v>40000</v>
      </c>
      <c r="H110" s="15">
        <v>40000</v>
      </c>
      <c r="I110" s="114">
        <f t="shared" ref="I110:I111" si="26">G110-H110</f>
        <v>0</v>
      </c>
    </row>
    <row r="111" spans="1:9" ht="18" customHeight="1">
      <c r="A111" s="86"/>
      <c r="B111" s="167"/>
      <c r="C111" s="167"/>
      <c r="D111" s="167"/>
      <c r="E111" s="169"/>
      <c r="F111" s="170" t="s">
        <v>448</v>
      </c>
      <c r="G111" s="14">
        <f>수익사업부!H37</f>
        <v>40000</v>
      </c>
      <c r="H111" s="14">
        <v>40000</v>
      </c>
      <c r="I111" s="116">
        <f t="shared" si="26"/>
        <v>0</v>
      </c>
    </row>
    <row r="112" spans="1:9" ht="18" customHeight="1">
      <c r="A112" s="163"/>
      <c r="B112" s="165"/>
      <c r="C112" s="165"/>
      <c r="D112" s="178" t="s">
        <v>497</v>
      </c>
      <c r="E112" s="179"/>
      <c r="F112" s="180"/>
      <c r="G112" s="15">
        <f>수익사업부!H39</f>
        <v>100000</v>
      </c>
      <c r="H112" s="15">
        <v>100000</v>
      </c>
      <c r="I112" s="114">
        <f t="shared" ref="I112:I113" si="27">G112-H112</f>
        <v>0</v>
      </c>
    </row>
    <row r="113" spans="1:9" ht="18" customHeight="1">
      <c r="A113" s="163"/>
      <c r="B113" s="165"/>
      <c r="C113" s="164"/>
      <c r="D113" s="166"/>
      <c r="E113" s="178" t="s">
        <v>103</v>
      </c>
      <c r="F113" s="180"/>
      <c r="G113" s="15">
        <f>수익사업부!H41</f>
        <v>100000</v>
      </c>
      <c r="H113" s="15">
        <v>100000</v>
      </c>
      <c r="I113" s="114">
        <f t="shared" si="27"/>
        <v>0</v>
      </c>
    </row>
    <row r="114" spans="1:9" ht="18" customHeight="1">
      <c r="A114" s="163"/>
      <c r="B114" s="165"/>
      <c r="C114" s="164"/>
      <c r="D114" s="165"/>
      <c r="E114" s="178"/>
      <c r="F114" s="170" t="s">
        <v>104</v>
      </c>
      <c r="G114" s="14">
        <f>수익사업부!H42</f>
        <v>100000</v>
      </c>
      <c r="H114" s="14">
        <v>100000</v>
      </c>
      <c r="I114" s="116">
        <f>G114-H114</f>
        <v>0</v>
      </c>
    </row>
    <row r="115" spans="1:9" ht="18" customHeight="1">
      <c r="A115" s="163"/>
      <c r="B115" s="165"/>
      <c r="C115" s="165"/>
      <c r="D115" s="178" t="s">
        <v>747</v>
      </c>
      <c r="E115" s="179"/>
      <c r="F115" s="180"/>
      <c r="G115" s="15">
        <f>수익사업부!H44</f>
        <v>27745</v>
      </c>
      <c r="H115" s="15">
        <v>35500</v>
      </c>
      <c r="I115" s="114">
        <f t="shared" ref="I115:I116" si="28">G115-H115</f>
        <v>-7755</v>
      </c>
    </row>
    <row r="116" spans="1:9" ht="18" customHeight="1">
      <c r="A116" s="163"/>
      <c r="B116" s="165"/>
      <c r="C116" s="164"/>
      <c r="D116" s="166"/>
      <c r="E116" s="178" t="s">
        <v>103</v>
      </c>
      <c r="F116" s="180"/>
      <c r="G116" s="15">
        <f>수익사업부!H46</f>
        <v>27745</v>
      </c>
      <c r="H116" s="15">
        <v>35500</v>
      </c>
      <c r="I116" s="114">
        <f t="shared" si="28"/>
        <v>-7755</v>
      </c>
    </row>
    <row r="117" spans="1:9" ht="18" customHeight="1">
      <c r="A117" s="163"/>
      <c r="B117" s="165"/>
      <c r="C117" s="164"/>
      <c r="D117" s="165"/>
      <c r="E117" s="178"/>
      <c r="F117" s="170" t="s">
        <v>104</v>
      </c>
      <c r="G117" s="14">
        <f>수익사업부!H47</f>
        <v>27745</v>
      </c>
      <c r="H117" s="14">
        <v>35500</v>
      </c>
      <c r="I117" s="116">
        <f>G117-H117</f>
        <v>-7755</v>
      </c>
    </row>
    <row r="118" spans="1:9" ht="18" customHeight="1">
      <c r="A118" s="163"/>
      <c r="B118" s="164"/>
      <c r="C118" s="178" t="s">
        <v>294</v>
      </c>
      <c r="D118" s="179"/>
      <c r="E118" s="179"/>
      <c r="F118" s="180"/>
      <c r="G118" s="15">
        <f>SUM(G119)</f>
        <v>25376</v>
      </c>
      <c r="H118" s="15">
        <v>25376</v>
      </c>
      <c r="I118" s="114">
        <f t="shared" si="25"/>
        <v>0</v>
      </c>
    </row>
    <row r="119" spans="1:9" ht="18" customHeight="1">
      <c r="A119" s="163"/>
      <c r="B119" s="165"/>
      <c r="C119" s="166"/>
      <c r="D119" s="178" t="s">
        <v>130</v>
      </c>
      <c r="E119" s="179"/>
      <c r="F119" s="180"/>
      <c r="G119" s="15">
        <f>SUM(G120,G124,G126,G128)</f>
        <v>25376</v>
      </c>
      <c r="H119" s="15">
        <v>25376</v>
      </c>
      <c r="I119" s="114">
        <f t="shared" si="25"/>
        <v>0</v>
      </c>
    </row>
    <row r="120" spans="1:9" ht="18" customHeight="1">
      <c r="A120" s="163"/>
      <c r="B120" s="165"/>
      <c r="C120" s="164"/>
      <c r="D120" s="166"/>
      <c r="E120" s="178" t="s">
        <v>131</v>
      </c>
      <c r="F120" s="180"/>
      <c r="G120" s="15">
        <f>수익사업부!H63</f>
        <v>12776</v>
      </c>
      <c r="H120" s="15">
        <v>12776</v>
      </c>
      <c r="I120" s="114">
        <f t="shared" si="25"/>
        <v>0</v>
      </c>
    </row>
    <row r="121" spans="1:9" ht="18" customHeight="1">
      <c r="A121" s="86"/>
      <c r="B121" s="167"/>
      <c r="C121" s="168"/>
      <c r="D121" s="167"/>
      <c r="E121" s="170"/>
      <c r="F121" s="170" t="s">
        <v>112</v>
      </c>
      <c r="G121" s="14">
        <f>수익사업부!H64</f>
        <v>2000</v>
      </c>
      <c r="H121" s="14">
        <v>2000</v>
      </c>
      <c r="I121" s="116">
        <f t="shared" ref="I121" si="29">G121-H121</f>
        <v>0</v>
      </c>
    </row>
    <row r="122" spans="1:9" ht="18" customHeight="1">
      <c r="A122" s="86"/>
      <c r="B122" s="167"/>
      <c r="C122" s="168"/>
      <c r="D122" s="167"/>
      <c r="E122" s="167"/>
      <c r="F122" s="170" t="s">
        <v>132</v>
      </c>
      <c r="G122" s="14">
        <f>수익사업부!H66</f>
        <v>3000</v>
      </c>
      <c r="H122" s="14">
        <v>3000</v>
      </c>
      <c r="I122" s="116">
        <f t="shared" si="25"/>
        <v>0</v>
      </c>
    </row>
    <row r="123" spans="1:9" ht="18" customHeight="1">
      <c r="A123" s="86"/>
      <c r="B123" s="167"/>
      <c r="C123" s="168"/>
      <c r="D123" s="167"/>
      <c r="E123" s="171"/>
      <c r="F123" s="170" t="s">
        <v>305</v>
      </c>
      <c r="G123" s="14">
        <f>수익사업부!H70</f>
        <v>7776</v>
      </c>
      <c r="H123" s="14">
        <v>7776</v>
      </c>
      <c r="I123" s="116">
        <f>G123-H123</f>
        <v>0</v>
      </c>
    </row>
    <row r="124" spans="1:9" ht="18" customHeight="1">
      <c r="A124" s="163"/>
      <c r="B124" s="165"/>
      <c r="C124" s="164"/>
      <c r="D124" s="165"/>
      <c r="E124" s="178" t="s">
        <v>114</v>
      </c>
      <c r="F124" s="180"/>
      <c r="G124" s="15">
        <f>수익사업부!H72</f>
        <v>9000</v>
      </c>
      <c r="H124" s="15">
        <v>9000</v>
      </c>
      <c r="I124" s="114">
        <f t="shared" si="25"/>
        <v>0</v>
      </c>
    </row>
    <row r="125" spans="1:9" ht="18" customHeight="1">
      <c r="A125" s="86"/>
      <c r="B125" s="167"/>
      <c r="C125" s="168"/>
      <c r="D125" s="167"/>
      <c r="E125" s="170"/>
      <c r="F125" s="170" t="s">
        <v>105</v>
      </c>
      <c r="G125" s="14">
        <f>수익사업부!H73</f>
        <v>9000</v>
      </c>
      <c r="H125" s="14">
        <v>9000</v>
      </c>
      <c r="I125" s="116">
        <f>G125-H125</f>
        <v>0</v>
      </c>
    </row>
    <row r="126" spans="1:9" ht="18" customHeight="1">
      <c r="A126" s="163"/>
      <c r="B126" s="165"/>
      <c r="C126" s="164"/>
      <c r="D126" s="165"/>
      <c r="E126" s="178" t="s">
        <v>116</v>
      </c>
      <c r="F126" s="180"/>
      <c r="G126" s="15">
        <f>수익사업부!H76</f>
        <v>1500</v>
      </c>
      <c r="H126" s="15">
        <v>1500</v>
      </c>
      <c r="I126" s="114">
        <f t="shared" ref="I126:I129" si="30">G126-H126</f>
        <v>0</v>
      </c>
    </row>
    <row r="127" spans="1:9" ht="18" customHeight="1">
      <c r="A127" s="86"/>
      <c r="B127" s="167"/>
      <c r="C127" s="168"/>
      <c r="D127" s="167"/>
      <c r="E127" s="169"/>
      <c r="F127" s="170" t="s">
        <v>117</v>
      </c>
      <c r="G127" s="14">
        <f>수익사업부!H77</f>
        <v>1500</v>
      </c>
      <c r="H127" s="14">
        <v>1500</v>
      </c>
      <c r="I127" s="116">
        <f t="shared" si="30"/>
        <v>0</v>
      </c>
    </row>
    <row r="128" spans="1:9" ht="18" customHeight="1">
      <c r="A128" s="163"/>
      <c r="B128" s="165"/>
      <c r="C128" s="164"/>
      <c r="D128" s="165"/>
      <c r="E128" s="178" t="s">
        <v>413</v>
      </c>
      <c r="F128" s="180"/>
      <c r="G128" s="15">
        <f>수익사업부!H79</f>
        <v>2100</v>
      </c>
      <c r="H128" s="15">
        <v>2100</v>
      </c>
      <c r="I128" s="114">
        <f t="shared" si="30"/>
        <v>0</v>
      </c>
    </row>
    <row r="129" spans="1:9" ht="18" customHeight="1">
      <c r="A129" s="86"/>
      <c r="B129" s="167"/>
      <c r="C129" s="168"/>
      <c r="D129" s="167"/>
      <c r="E129" s="169"/>
      <c r="F129" s="170" t="s">
        <v>414</v>
      </c>
      <c r="G129" s="14">
        <f>수익사업부!H80</f>
        <v>2100</v>
      </c>
      <c r="H129" s="14">
        <v>2100</v>
      </c>
      <c r="I129" s="116">
        <f t="shared" si="30"/>
        <v>0</v>
      </c>
    </row>
    <row r="130" spans="1:9" ht="18" customHeight="1">
      <c r="A130" s="163"/>
      <c r="B130" s="175" t="s">
        <v>248</v>
      </c>
      <c r="C130" s="176"/>
      <c r="D130" s="176"/>
      <c r="E130" s="176"/>
      <c r="F130" s="177"/>
      <c r="G130" s="113">
        <f>SUM(G131,G147)</f>
        <v>308648</v>
      </c>
      <c r="H130" s="113">
        <v>308648</v>
      </c>
      <c r="I130" s="115">
        <f t="shared" ref="I130:I134" si="31">G130-H130</f>
        <v>0</v>
      </c>
    </row>
    <row r="131" spans="1:9" ht="18" customHeight="1">
      <c r="A131" s="163"/>
      <c r="B131" s="164"/>
      <c r="C131" s="178" t="s">
        <v>548</v>
      </c>
      <c r="D131" s="179"/>
      <c r="E131" s="179"/>
      <c r="F131" s="180"/>
      <c r="G131" s="15">
        <f>유치협력부!H7</f>
        <v>287508</v>
      </c>
      <c r="H131" s="111">
        <v>287508</v>
      </c>
      <c r="I131" s="114">
        <f t="shared" si="31"/>
        <v>0</v>
      </c>
    </row>
    <row r="132" spans="1:9" ht="18" customHeight="1">
      <c r="A132" s="163"/>
      <c r="B132" s="165"/>
      <c r="C132" s="166"/>
      <c r="D132" s="178" t="s">
        <v>579</v>
      </c>
      <c r="E132" s="179"/>
      <c r="F132" s="180"/>
      <c r="G132" s="15">
        <f>유치협력부!H8</f>
        <v>26300</v>
      </c>
      <c r="H132" s="112">
        <v>26300</v>
      </c>
      <c r="I132" s="114">
        <f t="shared" si="31"/>
        <v>0</v>
      </c>
    </row>
    <row r="133" spans="1:9" ht="18" customHeight="1">
      <c r="A133" s="163"/>
      <c r="B133" s="165"/>
      <c r="C133" s="164"/>
      <c r="D133" s="166"/>
      <c r="E133" s="178" t="s">
        <v>131</v>
      </c>
      <c r="F133" s="180"/>
      <c r="G133" s="15">
        <f>유치협력부!H10</f>
        <v>5000</v>
      </c>
      <c r="H133" s="112">
        <v>5000</v>
      </c>
      <c r="I133" s="114">
        <f t="shared" si="31"/>
        <v>0</v>
      </c>
    </row>
    <row r="134" spans="1:9" ht="18" customHeight="1">
      <c r="A134" s="86"/>
      <c r="B134" s="167"/>
      <c r="C134" s="168"/>
      <c r="D134" s="167"/>
      <c r="E134" s="170"/>
      <c r="F134" s="170" t="s">
        <v>580</v>
      </c>
      <c r="G134" s="14">
        <f>유치협력부!H11</f>
        <v>5000</v>
      </c>
      <c r="H134" s="16">
        <v>5000</v>
      </c>
      <c r="I134" s="116">
        <f t="shared" si="31"/>
        <v>0</v>
      </c>
    </row>
    <row r="135" spans="1:9" ht="18" customHeight="1">
      <c r="A135" s="163"/>
      <c r="B135" s="165"/>
      <c r="C135" s="164"/>
      <c r="D135" s="165"/>
      <c r="E135" s="178" t="s">
        <v>114</v>
      </c>
      <c r="F135" s="180"/>
      <c r="G135" s="15">
        <f>유치협력부!H13</f>
        <v>21300</v>
      </c>
      <c r="H135" s="112">
        <v>21300</v>
      </c>
      <c r="I135" s="114">
        <f t="shared" ref="I135" si="32">G135-H135</f>
        <v>0</v>
      </c>
    </row>
    <row r="136" spans="1:9" ht="18" customHeight="1">
      <c r="A136" s="86"/>
      <c r="B136" s="167"/>
      <c r="C136" s="168"/>
      <c r="D136" s="167"/>
      <c r="E136" s="170"/>
      <c r="F136" s="170" t="s">
        <v>105</v>
      </c>
      <c r="G136" s="14">
        <f>유치협력부!H14</f>
        <v>3300</v>
      </c>
      <c r="H136" s="16">
        <v>3300</v>
      </c>
      <c r="I136" s="116">
        <f>G136-H136</f>
        <v>0</v>
      </c>
    </row>
    <row r="137" spans="1:9" ht="18" customHeight="1">
      <c r="A137" s="86"/>
      <c r="B137" s="167"/>
      <c r="C137" s="167"/>
      <c r="D137" s="167"/>
      <c r="E137" s="171"/>
      <c r="F137" s="170" t="s">
        <v>581</v>
      </c>
      <c r="G137" s="14">
        <f>유치협력부!H16</f>
        <v>18000</v>
      </c>
      <c r="H137" s="16">
        <v>18000</v>
      </c>
      <c r="I137" s="116">
        <f>G137-H137</f>
        <v>0</v>
      </c>
    </row>
    <row r="138" spans="1:9" ht="18" customHeight="1">
      <c r="A138" s="163"/>
      <c r="B138" s="165"/>
      <c r="C138" s="165"/>
      <c r="D138" s="178" t="s">
        <v>748</v>
      </c>
      <c r="E138" s="179"/>
      <c r="F138" s="180"/>
      <c r="G138" s="15">
        <f>유치협력부!H18</f>
        <v>1208</v>
      </c>
      <c r="H138" s="112">
        <v>1208</v>
      </c>
      <c r="I138" s="114">
        <f t="shared" ref="I138:I143" si="33">G138-H138</f>
        <v>0</v>
      </c>
    </row>
    <row r="139" spans="1:9" ht="18" customHeight="1">
      <c r="A139" s="163"/>
      <c r="B139" s="165"/>
      <c r="C139" s="164"/>
      <c r="D139" s="166"/>
      <c r="E139" s="178" t="s">
        <v>755</v>
      </c>
      <c r="F139" s="180"/>
      <c r="G139" s="15">
        <f>유치협력부!H20</f>
        <v>1208</v>
      </c>
      <c r="H139" s="112">
        <v>1208</v>
      </c>
      <c r="I139" s="114">
        <f t="shared" si="33"/>
        <v>0</v>
      </c>
    </row>
    <row r="140" spans="1:9" ht="18" customHeight="1">
      <c r="A140" s="86"/>
      <c r="B140" s="167"/>
      <c r="C140" s="167"/>
      <c r="D140" s="167"/>
      <c r="E140" s="170"/>
      <c r="F140" s="170" t="s">
        <v>756</v>
      </c>
      <c r="G140" s="14">
        <f>유치협력부!H21</f>
        <v>1208</v>
      </c>
      <c r="H140" s="16">
        <v>1208</v>
      </c>
      <c r="I140" s="116">
        <f t="shared" si="33"/>
        <v>0</v>
      </c>
    </row>
    <row r="141" spans="1:9" ht="18" customHeight="1">
      <c r="A141" s="163"/>
      <c r="B141" s="165"/>
      <c r="C141" s="165"/>
      <c r="D141" s="178" t="s">
        <v>805</v>
      </c>
      <c r="E141" s="179"/>
      <c r="F141" s="180"/>
      <c r="G141" s="15">
        <f>유치협력부!H23</f>
        <v>50000</v>
      </c>
      <c r="H141" s="112">
        <v>50000</v>
      </c>
      <c r="I141" s="114">
        <f t="shared" si="33"/>
        <v>0</v>
      </c>
    </row>
    <row r="142" spans="1:9" ht="18" customHeight="1">
      <c r="A142" s="163"/>
      <c r="B142" s="165"/>
      <c r="C142" s="165"/>
      <c r="D142" s="166"/>
      <c r="E142" s="178" t="s">
        <v>103</v>
      </c>
      <c r="F142" s="180"/>
      <c r="G142" s="15">
        <f>유치협력부!H25</f>
        <v>50000</v>
      </c>
      <c r="H142" s="112">
        <v>50000</v>
      </c>
      <c r="I142" s="114">
        <f t="shared" si="33"/>
        <v>0</v>
      </c>
    </row>
    <row r="143" spans="1:9" ht="18" customHeight="1">
      <c r="A143" s="86"/>
      <c r="B143" s="167"/>
      <c r="C143" s="167"/>
      <c r="D143" s="167"/>
      <c r="E143" s="170"/>
      <c r="F143" s="170" t="s">
        <v>804</v>
      </c>
      <c r="G143" s="14">
        <f>유치협력부!H26</f>
        <v>50000</v>
      </c>
      <c r="H143" s="16">
        <v>50000</v>
      </c>
      <c r="I143" s="116">
        <f t="shared" si="33"/>
        <v>0</v>
      </c>
    </row>
    <row r="144" spans="1:9" ht="18" customHeight="1">
      <c r="A144" s="163"/>
      <c r="B144" s="165"/>
      <c r="C144" s="165"/>
      <c r="D144" s="349" t="s">
        <v>806</v>
      </c>
      <c r="E144" s="179"/>
      <c r="F144" s="180"/>
      <c r="G144" s="15">
        <f>유치협력부!H29</f>
        <v>210000</v>
      </c>
      <c r="H144" s="112">
        <v>210000</v>
      </c>
      <c r="I144" s="114">
        <f t="shared" ref="I144:I146" si="34">G144-H144</f>
        <v>0</v>
      </c>
    </row>
    <row r="145" spans="1:9" ht="18" customHeight="1">
      <c r="A145" s="163"/>
      <c r="B145" s="165"/>
      <c r="C145" s="165"/>
      <c r="D145" s="166"/>
      <c r="E145" s="178" t="s">
        <v>103</v>
      </c>
      <c r="F145" s="180"/>
      <c r="G145" s="15">
        <f>유치협력부!H31</f>
        <v>210000</v>
      </c>
      <c r="H145" s="112">
        <v>210000</v>
      </c>
      <c r="I145" s="114">
        <f t="shared" si="34"/>
        <v>0</v>
      </c>
    </row>
    <row r="146" spans="1:9" ht="18" customHeight="1">
      <c r="A146" s="86"/>
      <c r="B146" s="167"/>
      <c r="C146" s="171"/>
      <c r="D146" s="167"/>
      <c r="E146" s="170"/>
      <c r="F146" s="170" t="s">
        <v>20</v>
      </c>
      <c r="G146" s="14">
        <f>유치협력부!H32</f>
        <v>210000</v>
      </c>
      <c r="H146" s="16">
        <v>210000</v>
      </c>
      <c r="I146" s="116">
        <f t="shared" si="34"/>
        <v>0</v>
      </c>
    </row>
    <row r="147" spans="1:9" ht="18" customHeight="1">
      <c r="A147" s="163"/>
      <c r="B147" s="164"/>
      <c r="C147" s="178" t="s">
        <v>295</v>
      </c>
      <c r="D147" s="179"/>
      <c r="E147" s="179"/>
      <c r="F147" s="180"/>
      <c r="G147" s="15">
        <f>유치협력부!H35</f>
        <v>21140</v>
      </c>
      <c r="H147" s="111">
        <v>21140</v>
      </c>
      <c r="I147" s="114">
        <f t="shared" ref="I147:I150" si="35">G147-H147</f>
        <v>0</v>
      </c>
    </row>
    <row r="148" spans="1:9" ht="18" customHeight="1">
      <c r="A148" s="163"/>
      <c r="B148" s="165"/>
      <c r="C148" s="166"/>
      <c r="D148" s="178" t="s">
        <v>130</v>
      </c>
      <c r="E148" s="179"/>
      <c r="F148" s="180"/>
      <c r="G148" s="15">
        <f>유치협력부!H36</f>
        <v>21140</v>
      </c>
      <c r="H148" s="112">
        <v>21140</v>
      </c>
      <c r="I148" s="114">
        <f t="shared" si="35"/>
        <v>0</v>
      </c>
    </row>
    <row r="149" spans="1:9" ht="18" customHeight="1">
      <c r="A149" s="163"/>
      <c r="B149" s="165"/>
      <c r="C149" s="164"/>
      <c r="D149" s="166"/>
      <c r="E149" s="178" t="s">
        <v>131</v>
      </c>
      <c r="F149" s="180"/>
      <c r="G149" s="15">
        <f>유치협력부!H38</f>
        <v>7040</v>
      </c>
      <c r="H149" s="112">
        <v>7040</v>
      </c>
      <c r="I149" s="114">
        <f t="shared" si="35"/>
        <v>0</v>
      </c>
    </row>
    <row r="150" spans="1:9" ht="18" customHeight="1">
      <c r="A150" s="86"/>
      <c r="B150" s="167"/>
      <c r="C150" s="168"/>
      <c r="D150" s="167"/>
      <c r="E150" s="170"/>
      <c r="F150" s="170" t="s">
        <v>112</v>
      </c>
      <c r="G150" s="14">
        <f>유치협력부!H39</f>
        <v>2000</v>
      </c>
      <c r="H150" s="16">
        <v>2000</v>
      </c>
      <c r="I150" s="116">
        <f t="shared" si="35"/>
        <v>0</v>
      </c>
    </row>
    <row r="151" spans="1:9" ht="18" customHeight="1">
      <c r="A151" s="86"/>
      <c r="B151" s="167"/>
      <c r="C151" s="168"/>
      <c r="D151" s="167"/>
      <c r="E151" s="171"/>
      <c r="F151" s="170" t="s">
        <v>305</v>
      </c>
      <c r="G151" s="14">
        <f>유치협력부!H41</f>
        <v>5040</v>
      </c>
      <c r="H151" s="16">
        <v>5040</v>
      </c>
      <c r="I151" s="116">
        <f>G151-H151</f>
        <v>0</v>
      </c>
    </row>
    <row r="152" spans="1:9" ht="18" customHeight="1">
      <c r="A152" s="163"/>
      <c r="B152" s="165"/>
      <c r="C152" s="164"/>
      <c r="D152" s="165"/>
      <c r="E152" s="178" t="s">
        <v>114</v>
      </c>
      <c r="F152" s="180"/>
      <c r="G152" s="15">
        <f>유치협력부!H43</f>
        <v>9000</v>
      </c>
      <c r="H152" s="112">
        <v>9000</v>
      </c>
      <c r="I152" s="114">
        <f t="shared" ref="I152" si="36">G152-H152</f>
        <v>0</v>
      </c>
    </row>
    <row r="153" spans="1:9" ht="18" customHeight="1">
      <c r="A153" s="86"/>
      <c r="B153" s="167"/>
      <c r="C153" s="168"/>
      <c r="D153" s="167"/>
      <c r="E153" s="170"/>
      <c r="F153" s="170" t="s">
        <v>105</v>
      </c>
      <c r="G153" s="14">
        <f>유치협력부!H44</f>
        <v>9000</v>
      </c>
      <c r="H153" s="16">
        <v>9000</v>
      </c>
      <c r="I153" s="116">
        <f>G153-H153</f>
        <v>0</v>
      </c>
    </row>
    <row r="154" spans="1:9" ht="18" customHeight="1">
      <c r="A154" s="163"/>
      <c r="B154" s="165"/>
      <c r="C154" s="164"/>
      <c r="D154" s="165"/>
      <c r="E154" s="178" t="s">
        <v>116</v>
      </c>
      <c r="F154" s="180"/>
      <c r="G154" s="15">
        <f>유치협력부!H47</f>
        <v>3000</v>
      </c>
      <c r="H154" s="112">
        <v>3000</v>
      </c>
      <c r="I154" s="114">
        <f>G154-H154</f>
        <v>0</v>
      </c>
    </row>
    <row r="155" spans="1:9" ht="18" customHeight="1">
      <c r="A155" s="86"/>
      <c r="B155" s="167"/>
      <c r="C155" s="168"/>
      <c r="D155" s="167"/>
      <c r="E155" s="169"/>
      <c r="F155" s="170" t="s">
        <v>117</v>
      </c>
      <c r="G155" s="14">
        <f>유치협력부!H48</f>
        <v>3000</v>
      </c>
      <c r="H155" s="16">
        <v>3000</v>
      </c>
      <c r="I155" s="116">
        <f>G155-H155</f>
        <v>0</v>
      </c>
    </row>
    <row r="156" spans="1:9" ht="18" customHeight="1">
      <c r="A156" s="163"/>
      <c r="B156" s="165"/>
      <c r="C156" s="164"/>
      <c r="D156" s="165"/>
      <c r="E156" s="178" t="s">
        <v>413</v>
      </c>
      <c r="F156" s="180"/>
      <c r="G156" s="15">
        <f>유치협력부!H51</f>
        <v>2100</v>
      </c>
      <c r="H156" s="112">
        <v>2100</v>
      </c>
      <c r="I156" s="114">
        <f t="shared" ref="I156:I157" si="37">G156-H156</f>
        <v>0</v>
      </c>
    </row>
    <row r="157" spans="1:9" ht="18" customHeight="1">
      <c r="A157" s="86"/>
      <c r="B157" s="167"/>
      <c r="C157" s="168"/>
      <c r="D157" s="167"/>
      <c r="E157" s="169"/>
      <c r="F157" s="170" t="s">
        <v>414</v>
      </c>
      <c r="G157" s="14">
        <f>유치협력부!H52</f>
        <v>2100</v>
      </c>
      <c r="H157" s="14">
        <v>2100</v>
      </c>
      <c r="I157" s="116">
        <f t="shared" si="37"/>
        <v>0</v>
      </c>
    </row>
    <row r="158" spans="1:9" ht="18" customHeight="1">
      <c r="A158" s="163"/>
      <c r="B158" s="175" t="s">
        <v>290</v>
      </c>
      <c r="C158" s="176"/>
      <c r="D158" s="176"/>
      <c r="E158" s="176"/>
      <c r="F158" s="177"/>
      <c r="G158" s="113">
        <f>운영부!H6</f>
        <v>5129112</v>
      </c>
      <c r="H158" s="113">
        <v>5129112</v>
      </c>
      <c r="I158" s="115">
        <f t="shared" ref="I158:I164" si="38">G158-H158</f>
        <v>0</v>
      </c>
    </row>
    <row r="159" spans="1:9" ht="18" customHeight="1">
      <c r="A159" s="163"/>
      <c r="B159" s="164"/>
      <c r="C159" s="178" t="s">
        <v>338</v>
      </c>
      <c r="D159" s="179"/>
      <c r="E159" s="179"/>
      <c r="F159" s="180"/>
      <c r="G159" s="200">
        <f>SUM(G163)</f>
        <v>4323788</v>
      </c>
      <c r="H159" s="200">
        <v>4323788</v>
      </c>
      <c r="I159" s="114">
        <f t="shared" si="38"/>
        <v>0</v>
      </c>
    </row>
    <row r="160" spans="1:9" ht="18" customHeight="1">
      <c r="A160" s="163"/>
      <c r="B160" s="165"/>
      <c r="C160" s="166"/>
      <c r="D160" s="178" t="s">
        <v>890</v>
      </c>
      <c r="E160" s="179"/>
      <c r="F160" s="180"/>
      <c r="G160" s="15">
        <f>운영부!H7</f>
        <v>745000</v>
      </c>
      <c r="H160" s="15">
        <v>745000</v>
      </c>
      <c r="I160" s="114">
        <f t="shared" ref="I160:I161" si="39">G160-H160</f>
        <v>0</v>
      </c>
    </row>
    <row r="161" spans="1:9" ht="18" customHeight="1">
      <c r="A161" s="163"/>
      <c r="B161" s="165"/>
      <c r="C161" s="164"/>
      <c r="D161" s="166"/>
      <c r="E161" s="178" t="s">
        <v>103</v>
      </c>
      <c r="F161" s="180"/>
      <c r="G161" s="15">
        <f>운영부!H8</f>
        <v>745000</v>
      </c>
      <c r="H161" s="15">
        <v>745000</v>
      </c>
      <c r="I161" s="114">
        <f t="shared" si="39"/>
        <v>0</v>
      </c>
    </row>
    <row r="162" spans="1:9" ht="18" customHeight="1">
      <c r="A162" s="163"/>
      <c r="B162" s="165"/>
      <c r="C162" s="165"/>
      <c r="D162" s="165"/>
      <c r="E162" s="33"/>
      <c r="F162" s="170" t="s">
        <v>891</v>
      </c>
      <c r="G162" s="14">
        <f>운영부!H11</f>
        <v>745000</v>
      </c>
      <c r="H162" s="14">
        <v>745000</v>
      </c>
      <c r="I162" s="116">
        <f>G162-H162</f>
        <v>0</v>
      </c>
    </row>
    <row r="163" spans="1:9" ht="18" customHeight="1">
      <c r="A163" s="163"/>
      <c r="B163" s="165"/>
      <c r="C163" s="165"/>
      <c r="D163" s="178" t="s">
        <v>339</v>
      </c>
      <c r="E163" s="179"/>
      <c r="F163" s="180"/>
      <c r="G163" s="15">
        <f>운영부!H14</f>
        <v>4323788</v>
      </c>
      <c r="H163" s="15">
        <v>4323788</v>
      </c>
      <c r="I163" s="114">
        <f t="shared" si="38"/>
        <v>0</v>
      </c>
    </row>
    <row r="164" spans="1:9" ht="18" customHeight="1">
      <c r="A164" s="163"/>
      <c r="B164" s="165"/>
      <c r="C164" s="165"/>
      <c r="D164" s="166"/>
      <c r="E164" s="178" t="s">
        <v>340</v>
      </c>
      <c r="F164" s="180"/>
      <c r="G164" s="15">
        <f>운영부!H16</f>
        <v>4323788</v>
      </c>
      <c r="H164" s="15">
        <v>4323788</v>
      </c>
      <c r="I164" s="114">
        <f t="shared" si="38"/>
        <v>0</v>
      </c>
    </row>
    <row r="165" spans="1:9" ht="18" customHeight="1">
      <c r="A165" s="163"/>
      <c r="B165" s="165"/>
      <c r="C165" s="164"/>
      <c r="D165" s="165"/>
      <c r="E165" s="33"/>
      <c r="F165" s="170" t="s">
        <v>104</v>
      </c>
      <c r="G165" s="14">
        <f>운영부!H17</f>
        <v>41264</v>
      </c>
      <c r="H165" s="14">
        <v>41264</v>
      </c>
      <c r="I165" s="116">
        <f>G165-H165</f>
        <v>0</v>
      </c>
    </row>
    <row r="166" spans="1:9" ht="18" customHeight="1">
      <c r="A166" s="163"/>
      <c r="B166" s="165"/>
      <c r="C166" s="164"/>
      <c r="D166" s="165"/>
      <c r="E166" s="328"/>
      <c r="F166" s="170" t="s">
        <v>341</v>
      </c>
      <c r="G166" s="14">
        <f>운영부!H28</f>
        <v>4282524</v>
      </c>
      <c r="H166" s="14">
        <v>4282524</v>
      </c>
      <c r="I166" s="116">
        <f>G166-H166</f>
        <v>0</v>
      </c>
    </row>
    <row r="167" spans="1:9" ht="18" customHeight="1">
      <c r="A167" s="163"/>
      <c r="B167" s="165"/>
      <c r="C167" s="164"/>
      <c r="D167" s="165"/>
      <c r="E167" s="327"/>
      <c r="F167" s="170" t="s">
        <v>107</v>
      </c>
      <c r="G167" s="14">
        <f>운영부!H34</f>
        <v>0</v>
      </c>
      <c r="H167" s="14">
        <v>0</v>
      </c>
      <c r="I167" s="116">
        <f>G167-H167</f>
        <v>0</v>
      </c>
    </row>
    <row r="168" spans="1:9" ht="18" customHeight="1">
      <c r="A168" s="163"/>
      <c r="B168" s="164"/>
      <c r="C168" s="178" t="s">
        <v>375</v>
      </c>
      <c r="D168" s="179"/>
      <c r="E168" s="179"/>
      <c r="F168" s="180"/>
      <c r="G168" s="15">
        <f>운영부!H38</f>
        <v>60324</v>
      </c>
      <c r="H168" s="15">
        <v>60324</v>
      </c>
      <c r="I168" s="114">
        <f t="shared" ref="I168:I173" si="40">G168-H168</f>
        <v>0</v>
      </c>
    </row>
    <row r="169" spans="1:9" ht="18" customHeight="1">
      <c r="A169" s="163"/>
      <c r="B169" s="165"/>
      <c r="C169" s="166"/>
      <c r="D169" s="178" t="s">
        <v>130</v>
      </c>
      <c r="E169" s="179"/>
      <c r="F169" s="180"/>
      <c r="G169" s="15">
        <f>운영부!H39</f>
        <v>60324</v>
      </c>
      <c r="H169" s="15">
        <v>60324</v>
      </c>
      <c r="I169" s="114">
        <f t="shared" si="40"/>
        <v>0</v>
      </c>
    </row>
    <row r="170" spans="1:9" ht="18" customHeight="1">
      <c r="A170" s="163"/>
      <c r="B170" s="165"/>
      <c r="C170" s="164"/>
      <c r="D170" s="166"/>
      <c r="E170" s="178" t="s">
        <v>131</v>
      </c>
      <c r="F170" s="180"/>
      <c r="G170" s="15">
        <f>운영부!H41</f>
        <v>33664</v>
      </c>
      <c r="H170" s="15">
        <v>33664</v>
      </c>
      <c r="I170" s="114">
        <f t="shared" si="40"/>
        <v>0</v>
      </c>
    </row>
    <row r="171" spans="1:9" ht="18" customHeight="1">
      <c r="A171" s="86"/>
      <c r="B171" s="167"/>
      <c r="C171" s="168"/>
      <c r="D171" s="167"/>
      <c r="E171" s="170"/>
      <c r="F171" s="170" t="s">
        <v>112</v>
      </c>
      <c r="G171" s="14">
        <f>운영부!H42</f>
        <v>26536</v>
      </c>
      <c r="H171" s="14">
        <v>26536</v>
      </c>
      <c r="I171" s="116">
        <f t="shared" si="40"/>
        <v>0</v>
      </c>
    </row>
    <row r="172" spans="1:9" ht="18" customHeight="1">
      <c r="A172" s="86"/>
      <c r="B172" s="167"/>
      <c r="C172" s="168"/>
      <c r="D172" s="167"/>
      <c r="E172" s="171"/>
      <c r="F172" s="170" t="s">
        <v>305</v>
      </c>
      <c r="G172" s="14">
        <f>운영부!H50</f>
        <v>7128</v>
      </c>
      <c r="H172" s="14">
        <v>7128</v>
      </c>
      <c r="I172" s="116">
        <f>G172-H172</f>
        <v>0</v>
      </c>
    </row>
    <row r="173" spans="1:9" ht="18" customHeight="1">
      <c r="A173" s="163"/>
      <c r="B173" s="165"/>
      <c r="C173" s="164"/>
      <c r="D173" s="165"/>
      <c r="E173" s="178" t="s">
        <v>114</v>
      </c>
      <c r="F173" s="180"/>
      <c r="G173" s="15">
        <f>운영부!H52</f>
        <v>10060</v>
      </c>
      <c r="H173" s="15">
        <v>10060</v>
      </c>
      <c r="I173" s="114">
        <f t="shared" si="40"/>
        <v>0</v>
      </c>
    </row>
    <row r="174" spans="1:9" ht="18" customHeight="1">
      <c r="A174" s="86"/>
      <c r="B174" s="167"/>
      <c r="C174" s="168"/>
      <c r="D174" s="167"/>
      <c r="E174" s="170"/>
      <c r="F174" s="170" t="s">
        <v>105</v>
      </c>
      <c r="G174" s="14">
        <f>운영부!H53</f>
        <v>10060</v>
      </c>
      <c r="H174" s="14">
        <v>10060</v>
      </c>
      <c r="I174" s="116">
        <f>G174-H174</f>
        <v>0</v>
      </c>
    </row>
    <row r="175" spans="1:9" ht="18" customHeight="1">
      <c r="A175" s="163"/>
      <c r="B175" s="165"/>
      <c r="C175" s="164"/>
      <c r="D175" s="165"/>
      <c r="E175" s="178" t="s">
        <v>116</v>
      </c>
      <c r="F175" s="180"/>
      <c r="G175" s="15">
        <f>운영부!H56</f>
        <v>12100</v>
      </c>
      <c r="H175" s="15">
        <v>12100</v>
      </c>
      <c r="I175" s="114">
        <f t="shared" ref="I175:I176" si="41">G175-H175</f>
        <v>0</v>
      </c>
    </row>
    <row r="176" spans="1:9" ht="18" customHeight="1">
      <c r="A176" s="86"/>
      <c r="B176" s="167"/>
      <c r="C176" s="168"/>
      <c r="D176" s="167"/>
      <c r="E176" s="169"/>
      <c r="F176" s="170" t="s">
        <v>117</v>
      </c>
      <c r="G176" s="14">
        <f>운영부!H57</f>
        <v>12100</v>
      </c>
      <c r="H176" s="14">
        <v>12100</v>
      </c>
      <c r="I176" s="116">
        <f t="shared" si="41"/>
        <v>0</v>
      </c>
    </row>
    <row r="177" spans="1:9" ht="18" customHeight="1">
      <c r="A177" s="163"/>
      <c r="B177" s="165"/>
      <c r="C177" s="164"/>
      <c r="D177" s="165"/>
      <c r="E177" s="178" t="s">
        <v>122</v>
      </c>
      <c r="F177" s="180"/>
      <c r="G177" s="15">
        <f>운영부!H62</f>
        <v>4500</v>
      </c>
      <c r="H177" s="15">
        <v>4500</v>
      </c>
      <c r="I177" s="114">
        <f t="shared" ref="I177:I179" si="42">G177-H177</f>
        <v>0</v>
      </c>
    </row>
    <row r="178" spans="1:9" ht="18" customHeight="1">
      <c r="A178" s="163"/>
      <c r="B178" s="165"/>
      <c r="C178" s="164"/>
      <c r="D178" s="165"/>
      <c r="E178" s="33"/>
      <c r="F178" s="278" t="s">
        <v>376</v>
      </c>
      <c r="G178" s="14">
        <f>운영부!H63</f>
        <v>2400</v>
      </c>
      <c r="H178" s="14">
        <v>2400</v>
      </c>
      <c r="I178" s="116">
        <f t="shared" si="42"/>
        <v>0</v>
      </c>
    </row>
    <row r="179" spans="1:9" ht="18" customHeight="1">
      <c r="A179" s="86"/>
      <c r="B179" s="167"/>
      <c r="C179" s="168"/>
      <c r="D179" s="167"/>
      <c r="E179" s="171"/>
      <c r="F179" s="170" t="s">
        <v>377</v>
      </c>
      <c r="G179" s="14">
        <f>운영부!H65</f>
        <v>2100</v>
      </c>
      <c r="H179" s="14">
        <v>2100</v>
      </c>
      <c r="I179" s="116">
        <f t="shared" si="42"/>
        <v>0</v>
      </c>
    </row>
    <row r="180" spans="1:9" ht="18" customHeight="1">
      <c r="A180" s="163"/>
      <c r="B180" s="175" t="s">
        <v>296</v>
      </c>
      <c r="C180" s="176"/>
      <c r="D180" s="176"/>
      <c r="E180" s="176"/>
      <c r="F180" s="177"/>
      <c r="G180" s="113">
        <f>행사부!H6</f>
        <v>96648</v>
      </c>
      <c r="H180" s="113">
        <v>96648</v>
      </c>
      <c r="I180" s="115">
        <f t="shared" ref="I180" si="43">G180-H180</f>
        <v>0</v>
      </c>
    </row>
    <row r="181" spans="1:9" ht="18" customHeight="1">
      <c r="A181" s="163"/>
      <c r="B181" s="164"/>
      <c r="C181" s="178" t="s">
        <v>297</v>
      </c>
      <c r="D181" s="179"/>
      <c r="E181" s="179"/>
      <c r="F181" s="180"/>
      <c r="G181" s="15">
        <f>행사부!H7</f>
        <v>20648</v>
      </c>
      <c r="H181" s="111">
        <v>20648</v>
      </c>
      <c r="I181" s="114">
        <f t="shared" ref="I181:I186" si="44">G181-H181</f>
        <v>0</v>
      </c>
    </row>
    <row r="182" spans="1:9" ht="18" customHeight="1">
      <c r="A182" s="163"/>
      <c r="B182" s="165"/>
      <c r="C182" s="166"/>
      <c r="D182" s="178" t="s">
        <v>130</v>
      </c>
      <c r="E182" s="179"/>
      <c r="F182" s="180"/>
      <c r="G182" s="15">
        <f>행사부!H8</f>
        <v>20648</v>
      </c>
      <c r="H182" s="112">
        <v>20648</v>
      </c>
      <c r="I182" s="114">
        <f t="shared" si="44"/>
        <v>0</v>
      </c>
    </row>
    <row r="183" spans="1:9" ht="18" customHeight="1">
      <c r="A183" s="163"/>
      <c r="B183" s="165"/>
      <c r="C183" s="164"/>
      <c r="D183" s="166"/>
      <c r="E183" s="178" t="s">
        <v>131</v>
      </c>
      <c r="F183" s="180"/>
      <c r="G183" s="15">
        <f>행사부!H10</f>
        <v>8048</v>
      </c>
      <c r="H183" s="112">
        <v>8048</v>
      </c>
      <c r="I183" s="114">
        <f t="shared" si="44"/>
        <v>0</v>
      </c>
    </row>
    <row r="184" spans="1:9" ht="18" customHeight="1">
      <c r="A184" s="86"/>
      <c r="B184" s="167"/>
      <c r="C184" s="168"/>
      <c r="D184" s="167"/>
      <c r="E184" s="170"/>
      <c r="F184" s="170" t="s">
        <v>112</v>
      </c>
      <c r="G184" s="14">
        <f>행사부!H11</f>
        <v>2000</v>
      </c>
      <c r="H184" s="16">
        <v>2000</v>
      </c>
      <c r="I184" s="116">
        <f t="shared" si="44"/>
        <v>0</v>
      </c>
    </row>
    <row r="185" spans="1:9" ht="18" customHeight="1">
      <c r="A185" s="86"/>
      <c r="B185" s="167"/>
      <c r="C185" s="168"/>
      <c r="D185" s="167"/>
      <c r="E185" s="171"/>
      <c r="F185" s="170" t="s">
        <v>308</v>
      </c>
      <c r="G185" s="14">
        <f>행사부!H13</f>
        <v>6048</v>
      </c>
      <c r="H185" s="16">
        <v>6048</v>
      </c>
      <c r="I185" s="116">
        <f t="shared" ref="I185" si="45">G185-H185</f>
        <v>0</v>
      </c>
    </row>
    <row r="186" spans="1:9" ht="18" customHeight="1">
      <c r="A186" s="163"/>
      <c r="B186" s="165"/>
      <c r="C186" s="164"/>
      <c r="D186" s="165"/>
      <c r="E186" s="178" t="s">
        <v>114</v>
      </c>
      <c r="F186" s="180"/>
      <c r="G186" s="15">
        <f>행사부!H15</f>
        <v>9000</v>
      </c>
      <c r="H186" s="112">
        <v>9000</v>
      </c>
      <c r="I186" s="114">
        <f t="shared" si="44"/>
        <v>0</v>
      </c>
    </row>
    <row r="187" spans="1:9" ht="18" customHeight="1">
      <c r="A187" s="86"/>
      <c r="B187" s="167"/>
      <c r="C187" s="168"/>
      <c r="D187" s="167"/>
      <c r="E187" s="170"/>
      <c r="F187" s="170" t="s">
        <v>105</v>
      </c>
      <c r="G187" s="14">
        <f>행사부!H16</f>
        <v>9000</v>
      </c>
      <c r="H187" s="16">
        <v>9000</v>
      </c>
      <c r="I187" s="116">
        <f>G187-H187</f>
        <v>0</v>
      </c>
    </row>
    <row r="188" spans="1:9" ht="18" customHeight="1">
      <c r="A188" s="163"/>
      <c r="B188" s="165"/>
      <c r="C188" s="164"/>
      <c r="D188" s="165"/>
      <c r="E188" s="178" t="s">
        <v>116</v>
      </c>
      <c r="F188" s="180"/>
      <c r="G188" s="15">
        <f>행사부!H19</f>
        <v>1500</v>
      </c>
      <c r="H188" s="112">
        <v>1500</v>
      </c>
      <c r="I188" s="114">
        <f t="shared" ref="I188:I200" si="46">G188-H188</f>
        <v>0</v>
      </c>
    </row>
    <row r="189" spans="1:9" ht="18" customHeight="1">
      <c r="A189" s="86"/>
      <c r="B189" s="167"/>
      <c r="C189" s="168"/>
      <c r="D189" s="167"/>
      <c r="E189" s="169"/>
      <c r="F189" s="170" t="s">
        <v>117</v>
      </c>
      <c r="G189" s="14">
        <f>행사부!H20</f>
        <v>1500</v>
      </c>
      <c r="H189" s="16">
        <v>1500</v>
      </c>
      <c r="I189" s="116">
        <f t="shared" si="46"/>
        <v>0</v>
      </c>
    </row>
    <row r="190" spans="1:9" ht="18" customHeight="1">
      <c r="A190" s="163"/>
      <c r="B190" s="165"/>
      <c r="C190" s="164"/>
      <c r="D190" s="165"/>
      <c r="E190" s="178" t="s">
        <v>413</v>
      </c>
      <c r="F190" s="180"/>
      <c r="G190" s="15">
        <f>행사부!H22</f>
        <v>2100</v>
      </c>
      <c r="H190" s="112">
        <v>2100</v>
      </c>
      <c r="I190" s="114">
        <f t="shared" ref="I190:I195" si="47">G190-H190</f>
        <v>0</v>
      </c>
    </row>
    <row r="191" spans="1:9" ht="18" customHeight="1">
      <c r="A191" s="86"/>
      <c r="B191" s="167"/>
      <c r="C191" s="168"/>
      <c r="D191" s="167"/>
      <c r="E191" s="169"/>
      <c r="F191" s="170" t="s">
        <v>414</v>
      </c>
      <c r="G191" s="14">
        <f>행사부!H23</f>
        <v>2100</v>
      </c>
      <c r="H191" s="16">
        <v>2100</v>
      </c>
      <c r="I191" s="116">
        <f t="shared" si="47"/>
        <v>0</v>
      </c>
    </row>
    <row r="192" spans="1:9" ht="18" customHeight="1">
      <c r="A192" s="163"/>
      <c r="B192" s="164"/>
      <c r="C192" s="178" t="s">
        <v>779</v>
      </c>
      <c r="D192" s="179"/>
      <c r="E192" s="179"/>
      <c r="F192" s="180"/>
      <c r="G192" s="15">
        <f>행사부!H25</f>
        <v>76000</v>
      </c>
      <c r="H192" s="15">
        <v>76000</v>
      </c>
      <c r="I192" s="114">
        <f t="shared" si="47"/>
        <v>0</v>
      </c>
    </row>
    <row r="193" spans="1:9" ht="18" customHeight="1">
      <c r="A193" s="163"/>
      <c r="B193" s="165"/>
      <c r="C193" s="166"/>
      <c r="D193" s="178" t="s">
        <v>780</v>
      </c>
      <c r="E193" s="179"/>
      <c r="F193" s="180"/>
      <c r="G193" s="15">
        <f>행사부!H26</f>
        <v>76000</v>
      </c>
      <c r="H193" s="15">
        <v>76000</v>
      </c>
      <c r="I193" s="114">
        <f t="shared" si="47"/>
        <v>0</v>
      </c>
    </row>
    <row r="194" spans="1:9" ht="18" customHeight="1">
      <c r="A194" s="163"/>
      <c r="B194" s="165"/>
      <c r="C194" s="164"/>
      <c r="D194" s="166"/>
      <c r="E194" s="178" t="s">
        <v>103</v>
      </c>
      <c r="F194" s="180"/>
      <c r="G194" s="15">
        <f>행사부!H28</f>
        <v>76000</v>
      </c>
      <c r="H194" s="15">
        <v>76000</v>
      </c>
      <c r="I194" s="114">
        <f t="shared" si="47"/>
        <v>0</v>
      </c>
    </row>
    <row r="195" spans="1:9" ht="18" customHeight="1">
      <c r="A195" s="86"/>
      <c r="B195" s="167"/>
      <c r="C195" s="168"/>
      <c r="D195" s="167"/>
      <c r="E195" s="170"/>
      <c r="F195" s="170" t="s">
        <v>632</v>
      </c>
      <c r="G195" s="14">
        <f>행사부!H29</f>
        <v>76000</v>
      </c>
      <c r="H195" s="14">
        <v>76000</v>
      </c>
      <c r="I195" s="116">
        <f t="shared" si="47"/>
        <v>0</v>
      </c>
    </row>
    <row r="196" spans="1:9" ht="18" customHeight="1">
      <c r="A196" s="163"/>
      <c r="B196" s="175" t="s">
        <v>269</v>
      </c>
      <c r="C196" s="176"/>
      <c r="D196" s="176"/>
      <c r="E196" s="176"/>
      <c r="F196" s="177"/>
      <c r="G196" s="113">
        <f>시설조성부!H6</f>
        <v>3124268</v>
      </c>
      <c r="H196" s="113">
        <v>3124268</v>
      </c>
      <c r="I196" s="115">
        <f t="shared" si="46"/>
        <v>0</v>
      </c>
    </row>
    <row r="197" spans="1:9" ht="18" customHeight="1">
      <c r="A197" s="163"/>
      <c r="B197" s="164"/>
      <c r="C197" s="178" t="s">
        <v>836</v>
      </c>
      <c r="D197" s="179"/>
      <c r="E197" s="179"/>
      <c r="F197" s="180"/>
      <c r="G197" s="15">
        <f>시설조성부!H7</f>
        <v>83000</v>
      </c>
      <c r="H197" s="15">
        <v>83000</v>
      </c>
      <c r="I197" s="114">
        <f t="shared" si="46"/>
        <v>0</v>
      </c>
    </row>
    <row r="198" spans="1:9" ht="18" customHeight="1">
      <c r="A198" s="163"/>
      <c r="B198" s="165"/>
      <c r="C198" s="166"/>
      <c r="D198" s="129" t="s">
        <v>834</v>
      </c>
      <c r="E198" s="179"/>
      <c r="F198" s="180"/>
      <c r="G198" s="15">
        <f>시설조성부!H8</f>
        <v>83000</v>
      </c>
      <c r="H198" s="15">
        <v>83000</v>
      </c>
      <c r="I198" s="114">
        <f t="shared" si="46"/>
        <v>0</v>
      </c>
    </row>
    <row r="199" spans="1:9" ht="18" customHeight="1">
      <c r="A199" s="163"/>
      <c r="B199" s="165"/>
      <c r="C199" s="164"/>
      <c r="D199" s="166"/>
      <c r="E199" s="178" t="s">
        <v>103</v>
      </c>
      <c r="F199" s="180"/>
      <c r="G199" s="15">
        <f>시설조성부!H10</f>
        <v>83000</v>
      </c>
      <c r="H199" s="15">
        <v>83000</v>
      </c>
      <c r="I199" s="114">
        <f t="shared" si="46"/>
        <v>0</v>
      </c>
    </row>
    <row r="200" spans="1:9" ht="18" customHeight="1">
      <c r="A200" s="86"/>
      <c r="B200" s="167"/>
      <c r="C200" s="168"/>
      <c r="D200" s="167"/>
      <c r="E200" s="170"/>
      <c r="F200" s="170" t="s">
        <v>104</v>
      </c>
      <c r="G200" s="14">
        <f>시설조성부!H11</f>
        <v>83000</v>
      </c>
      <c r="H200" s="14">
        <v>83000</v>
      </c>
      <c r="I200" s="116">
        <f t="shared" si="46"/>
        <v>0</v>
      </c>
    </row>
    <row r="201" spans="1:9" ht="18" customHeight="1">
      <c r="A201" s="163"/>
      <c r="B201" s="164"/>
      <c r="C201" s="178" t="s">
        <v>298</v>
      </c>
      <c r="D201" s="179"/>
      <c r="E201" s="179"/>
      <c r="F201" s="180"/>
      <c r="G201" s="15">
        <f>시설조성부!H16</f>
        <v>20648</v>
      </c>
      <c r="H201" s="15">
        <v>20648</v>
      </c>
      <c r="I201" s="114">
        <f t="shared" ref="I201:I206" si="48">G201-H201</f>
        <v>0</v>
      </c>
    </row>
    <row r="202" spans="1:9" ht="18" customHeight="1">
      <c r="A202" s="163"/>
      <c r="B202" s="165"/>
      <c r="C202" s="166"/>
      <c r="D202" s="178" t="s">
        <v>130</v>
      </c>
      <c r="E202" s="179"/>
      <c r="F202" s="180"/>
      <c r="G202" s="15">
        <f>시설조성부!H17</f>
        <v>20648</v>
      </c>
      <c r="H202" s="15">
        <v>20648</v>
      </c>
      <c r="I202" s="114">
        <f t="shared" si="48"/>
        <v>0</v>
      </c>
    </row>
    <row r="203" spans="1:9" ht="18" customHeight="1">
      <c r="A203" s="163"/>
      <c r="B203" s="165"/>
      <c r="C203" s="164"/>
      <c r="D203" s="166"/>
      <c r="E203" s="178" t="s">
        <v>131</v>
      </c>
      <c r="F203" s="180"/>
      <c r="G203" s="15">
        <f>시설조성부!H19</f>
        <v>8048</v>
      </c>
      <c r="H203" s="15">
        <v>8048</v>
      </c>
      <c r="I203" s="114">
        <f t="shared" si="48"/>
        <v>0</v>
      </c>
    </row>
    <row r="204" spans="1:9" ht="18" customHeight="1">
      <c r="A204" s="86"/>
      <c r="B204" s="167"/>
      <c r="C204" s="168"/>
      <c r="D204" s="167"/>
      <c r="E204" s="170"/>
      <c r="F204" s="170" t="s">
        <v>112</v>
      </c>
      <c r="G204" s="14">
        <f>시설조성부!H20</f>
        <v>2000</v>
      </c>
      <c r="H204" s="14">
        <v>2000</v>
      </c>
      <c r="I204" s="116">
        <f t="shared" si="48"/>
        <v>0</v>
      </c>
    </row>
    <row r="205" spans="1:9" ht="18" customHeight="1">
      <c r="A205" s="86"/>
      <c r="B205" s="167"/>
      <c r="C205" s="168"/>
      <c r="D205" s="167"/>
      <c r="E205" s="171"/>
      <c r="F205" s="170" t="s">
        <v>305</v>
      </c>
      <c r="G205" s="14">
        <f>시설조성부!H22</f>
        <v>6048</v>
      </c>
      <c r="H205" s="14">
        <v>6048</v>
      </c>
      <c r="I205" s="116">
        <f>G205-H205</f>
        <v>0</v>
      </c>
    </row>
    <row r="206" spans="1:9" ht="18" customHeight="1">
      <c r="A206" s="163"/>
      <c r="B206" s="165"/>
      <c r="C206" s="164"/>
      <c r="D206" s="165"/>
      <c r="E206" s="178" t="s">
        <v>114</v>
      </c>
      <c r="F206" s="180"/>
      <c r="G206" s="15">
        <f>시설조성부!H24</f>
        <v>9000</v>
      </c>
      <c r="H206" s="15">
        <v>9000</v>
      </c>
      <c r="I206" s="114">
        <f t="shared" si="48"/>
        <v>0</v>
      </c>
    </row>
    <row r="207" spans="1:9" ht="18" customHeight="1">
      <c r="A207" s="86"/>
      <c r="B207" s="167"/>
      <c r="C207" s="168"/>
      <c r="D207" s="167"/>
      <c r="E207" s="170"/>
      <c r="F207" s="170" t="s">
        <v>105</v>
      </c>
      <c r="G207" s="14">
        <f>시설조성부!H25</f>
        <v>9000</v>
      </c>
      <c r="H207" s="14">
        <v>9000</v>
      </c>
      <c r="I207" s="116">
        <f>G207-H207</f>
        <v>0</v>
      </c>
    </row>
    <row r="208" spans="1:9" ht="18" customHeight="1">
      <c r="A208" s="163"/>
      <c r="B208" s="165"/>
      <c r="C208" s="164"/>
      <c r="D208" s="165"/>
      <c r="E208" s="544" t="s">
        <v>116</v>
      </c>
      <c r="F208" s="180" t="s">
        <v>476</v>
      </c>
      <c r="G208" s="15">
        <f>시설조성부!H28</f>
        <v>1500</v>
      </c>
      <c r="H208" s="15">
        <v>1500</v>
      </c>
      <c r="I208" s="114">
        <f t="shared" ref="I208:I216" si="49">G208-H208</f>
        <v>0</v>
      </c>
    </row>
    <row r="209" spans="1:9" ht="18" customHeight="1">
      <c r="A209" s="86"/>
      <c r="B209" s="167"/>
      <c r="C209" s="168"/>
      <c r="D209" s="167"/>
      <c r="E209" s="169"/>
      <c r="F209" s="170" t="s">
        <v>117</v>
      </c>
      <c r="G209" s="14">
        <f>시설조성부!H29</f>
        <v>1500</v>
      </c>
      <c r="H209" s="14">
        <v>1500</v>
      </c>
      <c r="I209" s="116">
        <f t="shared" si="49"/>
        <v>0</v>
      </c>
    </row>
    <row r="210" spans="1:9" ht="18" customHeight="1">
      <c r="A210" s="163"/>
      <c r="B210" s="165"/>
      <c r="C210" s="164"/>
      <c r="D210" s="165"/>
      <c r="E210" s="178" t="s">
        <v>413</v>
      </c>
      <c r="F210" s="180"/>
      <c r="G210" s="15">
        <f>시설조성부!H31</f>
        <v>2100</v>
      </c>
      <c r="H210" s="15">
        <v>2100</v>
      </c>
      <c r="I210" s="114">
        <f t="shared" si="49"/>
        <v>0</v>
      </c>
    </row>
    <row r="211" spans="1:9" ht="18" customHeight="1">
      <c r="A211" s="86"/>
      <c r="B211" s="167"/>
      <c r="C211" s="168"/>
      <c r="D211" s="167"/>
      <c r="E211" s="169"/>
      <c r="F211" s="170" t="s">
        <v>414</v>
      </c>
      <c r="G211" s="14">
        <f>시설조성부!H32</f>
        <v>2100</v>
      </c>
      <c r="H211" s="14">
        <v>2100</v>
      </c>
      <c r="I211" s="116">
        <f t="shared" si="49"/>
        <v>0</v>
      </c>
    </row>
    <row r="212" spans="1:9" ht="18" customHeight="1">
      <c r="A212" s="163"/>
      <c r="B212" s="164"/>
      <c r="C212" s="178" t="s">
        <v>778</v>
      </c>
      <c r="D212" s="179"/>
      <c r="E212" s="179"/>
      <c r="F212" s="180"/>
      <c r="G212" s="15">
        <f>시설조성부!H34</f>
        <v>3020620</v>
      </c>
      <c r="H212" s="15">
        <v>3020620</v>
      </c>
      <c r="I212" s="114">
        <f t="shared" si="49"/>
        <v>0</v>
      </c>
    </row>
    <row r="213" spans="1:9" ht="18" customHeight="1">
      <c r="A213" s="163"/>
      <c r="B213" s="165"/>
      <c r="C213" s="166"/>
      <c r="D213" s="178" t="s">
        <v>631</v>
      </c>
      <c r="E213" s="179"/>
      <c r="F213" s="180"/>
      <c r="G213" s="15">
        <f>시설조성부!H35</f>
        <v>3020620</v>
      </c>
      <c r="H213" s="15">
        <v>3020620</v>
      </c>
      <c r="I213" s="114">
        <f t="shared" si="49"/>
        <v>0</v>
      </c>
    </row>
    <row r="214" spans="1:9" ht="18" customHeight="1">
      <c r="A214" s="163"/>
      <c r="B214" s="165"/>
      <c r="C214" s="164"/>
      <c r="D214" s="166"/>
      <c r="E214" s="178" t="s">
        <v>103</v>
      </c>
      <c r="F214" s="180"/>
      <c r="G214" s="15">
        <f>시설조성부!H37</f>
        <v>3020620</v>
      </c>
      <c r="H214" s="15">
        <v>3020620</v>
      </c>
      <c r="I214" s="114">
        <f t="shared" si="49"/>
        <v>0</v>
      </c>
    </row>
    <row r="215" spans="1:9" ht="18" customHeight="1">
      <c r="A215" s="86"/>
      <c r="B215" s="167"/>
      <c r="C215" s="168"/>
      <c r="D215" s="167"/>
      <c r="E215" s="170"/>
      <c r="F215" s="170" t="s">
        <v>632</v>
      </c>
      <c r="G215" s="14">
        <f>시설조성부!H38</f>
        <v>3020620</v>
      </c>
      <c r="H215" s="14">
        <v>3020620</v>
      </c>
      <c r="I215" s="116">
        <f t="shared" si="49"/>
        <v>0</v>
      </c>
    </row>
    <row r="216" spans="1:9" ht="18" customHeight="1">
      <c r="A216" s="163"/>
      <c r="B216" s="175" t="s">
        <v>299</v>
      </c>
      <c r="C216" s="176"/>
      <c r="D216" s="176"/>
      <c r="E216" s="176"/>
      <c r="F216" s="177"/>
      <c r="G216" s="113">
        <f>전시연출부!H5</f>
        <v>2121344</v>
      </c>
      <c r="H216" s="113">
        <v>2121344</v>
      </c>
      <c r="I216" s="115">
        <f t="shared" si="49"/>
        <v>0</v>
      </c>
    </row>
    <row r="217" spans="1:9" ht="18" customHeight="1">
      <c r="A217" s="163"/>
      <c r="B217" s="164"/>
      <c r="C217" s="178" t="s">
        <v>470</v>
      </c>
      <c r="D217" s="179"/>
      <c r="E217" s="179"/>
      <c r="F217" s="180"/>
      <c r="G217" s="15">
        <f>전시연출부!H7</f>
        <v>2101200</v>
      </c>
      <c r="H217" s="15">
        <v>2101200</v>
      </c>
      <c r="I217" s="114">
        <f>G217-H217</f>
        <v>0</v>
      </c>
    </row>
    <row r="218" spans="1:9" ht="18" customHeight="1">
      <c r="A218" s="163"/>
      <c r="B218" s="165"/>
      <c r="C218" s="166"/>
      <c r="D218" s="349" t="s">
        <v>619</v>
      </c>
      <c r="E218" s="179"/>
      <c r="F218" s="180"/>
      <c r="G218" s="15">
        <f>전시연출부!H8</f>
        <v>2098000</v>
      </c>
      <c r="H218" s="15">
        <v>2098000</v>
      </c>
      <c r="I218" s="114">
        <f t="shared" ref="I218:I220" si="50">G218-H218</f>
        <v>0</v>
      </c>
    </row>
    <row r="219" spans="1:9" ht="18" customHeight="1">
      <c r="A219" s="163"/>
      <c r="B219" s="165"/>
      <c r="C219" s="164"/>
      <c r="D219" s="166"/>
      <c r="E219" s="178" t="s">
        <v>103</v>
      </c>
      <c r="F219" s="180"/>
      <c r="G219" s="15">
        <f>전시연출부!H10</f>
        <v>2098000</v>
      </c>
      <c r="H219" s="15">
        <v>2098000</v>
      </c>
      <c r="I219" s="114">
        <f t="shared" si="50"/>
        <v>0</v>
      </c>
    </row>
    <row r="220" spans="1:9" ht="18" customHeight="1">
      <c r="A220" s="86"/>
      <c r="B220" s="167"/>
      <c r="C220" s="167"/>
      <c r="D220" s="167"/>
      <c r="E220" s="170"/>
      <c r="F220" s="170" t="s">
        <v>104</v>
      </c>
      <c r="G220" s="14">
        <f>전시연출부!H25</f>
        <v>2092400</v>
      </c>
      <c r="H220" s="14">
        <v>2092400</v>
      </c>
      <c r="I220" s="116">
        <f t="shared" si="50"/>
        <v>0</v>
      </c>
    </row>
    <row r="221" spans="1:9" ht="18" customHeight="1">
      <c r="A221" s="163"/>
      <c r="B221" s="165"/>
      <c r="C221" s="165"/>
      <c r="D221" s="349" t="s">
        <v>467</v>
      </c>
      <c r="E221" s="179"/>
      <c r="F221" s="180"/>
      <c r="G221" s="15">
        <f>전시연출부!H29</f>
        <v>1600</v>
      </c>
      <c r="H221" s="15">
        <v>1600</v>
      </c>
      <c r="I221" s="114">
        <f t="shared" ref="I221:I226" si="51">G221-H221</f>
        <v>0</v>
      </c>
    </row>
    <row r="222" spans="1:9" ht="18" customHeight="1">
      <c r="A222" s="163"/>
      <c r="B222" s="165"/>
      <c r="C222" s="164"/>
      <c r="D222" s="166"/>
      <c r="E222" s="178" t="s">
        <v>103</v>
      </c>
      <c r="F222" s="180"/>
      <c r="G222" s="15">
        <f>전시연출부!H31</f>
        <v>1600</v>
      </c>
      <c r="H222" s="15">
        <v>1600</v>
      </c>
      <c r="I222" s="114">
        <f t="shared" si="51"/>
        <v>0</v>
      </c>
    </row>
    <row r="223" spans="1:9" ht="18" customHeight="1">
      <c r="A223" s="86"/>
      <c r="B223" s="167"/>
      <c r="C223" s="167"/>
      <c r="D223" s="167"/>
      <c r="E223" s="170"/>
      <c r="F223" s="170" t="s">
        <v>104</v>
      </c>
      <c r="G223" s="14">
        <f>전시연출부!H32</f>
        <v>1600</v>
      </c>
      <c r="H223" s="14">
        <v>1600</v>
      </c>
      <c r="I223" s="116">
        <f t="shared" si="51"/>
        <v>0</v>
      </c>
    </row>
    <row r="224" spans="1:9" ht="18" customHeight="1">
      <c r="A224" s="163"/>
      <c r="B224" s="165"/>
      <c r="C224" s="165"/>
      <c r="D224" s="349" t="s">
        <v>469</v>
      </c>
      <c r="E224" s="179"/>
      <c r="F224" s="180"/>
      <c r="G224" s="15">
        <f>전시연출부!H34</f>
        <v>1600</v>
      </c>
      <c r="H224" s="15">
        <v>1600</v>
      </c>
      <c r="I224" s="114">
        <f t="shared" si="51"/>
        <v>0</v>
      </c>
    </row>
    <row r="225" spans="1:9" ht="18" customHeight="1">
      <c r="A225" s="163"/>
      <c r="B225" s="165"/>
      <c r="C225" s="164"/>
      <c r="D225" s="166"/>
      <c r="E225" s="178" t="s">
        <v>103</v>
      </c>
      <c r="F225" s="180"/>
      <c r="G225" s="15">
        <f>전시연출부!H36</f>
        <v>1600</v>
      </c>
      <c r="H225" s="15">
        <v>1600</v>
      </c>
      <c r="I225" s="114">
        <f t="shared" si="51"/>
        <v>0</v>
      </c>
    </row>
    <row r="226" spans="1:9" ht="18" customHeight="1">
      <c r="A226" s="86"/>
      <c r="B226" s="167"/>
      <c r="C226" s="168"/>
      <c r="D226" s="167"/>
      <c r="E226" s="170"/>
      <c r="F226" s="170" t="s">
        <v>104</v>
      </c>
      <c r="G226" s="14">
        <f>전시연출부!H37</f>
        <v>1600</v>
      </c>
      <c r="H226" s="14">
        <v>1600</v>
      </c>
      <c r="I226" s="116">
        <f t="shared" si="51"/>
        <v>0</v>
      </c>
    </row>
    <row r="227" spans="1:9" ht="18" customHeight="1">
      <c r="A227" s="163"/>
      <c r="B227" s="164"/>
      <c r="C227" s="178" t="s">
        <v>241</v>
      </c>
      <c r="D227" s="179"/>
      <c r="E227" s="179"/>
      <c r="F227" s="180"/>
      <c r="G227" s="15">
        <f>전시연출부!H39</f>
        <v>20144</v>
      </c>
      <c r="H227" s="15">
        <v>20144</v>
      </c>
      <c r="I227" s="114">
        <f t="shared" ref="I227:I232" si="52">G227-H227</f>
        <v>0</v>
      </c>
    </row>
    <row r="228" spans="1:9" ht="18" customHeight="1">
      <c r="A228" s="163"/>
      <c r="B228" s="165"/>
      <c r="C228" s="166"/>
      <c r="D228" s="178" t="s">
        <v>130</v>
      </c>
      <c r="E228" s="179"/>
      <c r="F228" s="180"/>
      <c r="G228" s="15">
        <f>전시연출부!H40</f>
        <v>20144</v>
      </c>
      <c r="H228" s="15">
        <v>20144</v>
      </c>
      <c r="I228" s="114">
        <f t="shared" si="52"/>
        <v>0</v>
      </c>
    </row>
    <row r="229" spans="1:9" ht="18" customHeight="1">
      <c r="A229" s="163"/>
      <c r="B229" s="165"/>
      <c r="C229" s="164"/>
      <c r="D229" s="166"/>
      <c r="E229" s="178" t="s">
        <v>131</v>
      </c>
      <c r="F229" s="180"/>
      <c r="G229" s="15">
        <f>전시연출부!H42</f>
        <v>7544</v>
      </c>
      <c r="H229" s="15">
        <v>7544</v>
      </c>
      <c r="I229" s="114">
        <f t="shared" si="52"/>
        <v>0</v>
      </c>
    </row>
    <row r="230" spans="1:9" ht="18" customHeight="1">
      <c r="A230" s="86"/>
      <c r="B230" s="167"/>
      <c r="C230" s="168"/>
      <c r="D230" s="167"/>
      <c r="E230" s="170"/>
      <c r="F230" s="170" t="s">
        <v>112</v>
      </c>
      <c r="G230" s="14">
        <f>전시연출부!H43</f>
        <v>2000</v>
      </c>
      <c r="H230" s="14">
        <v>2000</v>
      </c>
      <c r="I230" s="116">
        <f t="shared" si="52"/>
        <v>0</v>
      </c>
    </row>
    <row r="231" spans="1:9" ht="18" customHeight="1">
      <c r="A231" s="86"/>
      <c r="B231" s="167"/>
      <c r="C231" s="168"/>
      <c r="D231" s="167"/>
      <c r="E231" s="171"/>
      <c r="F231" s="170" t="s">
        <v>305</v>
      </c>
      <c r="G231" s="14">
        <f>전시연출부!H45</f>
        <v>5544</v>
      </c>
      <c r="H231" s="14">
        <v>5544</v>
      </c>
      <c r="I231" s="116">
        <f>G231-H231</f>
        <v>0</v>
      </c>
    </row>
    <row r="232" spans="1:9" ht="18" customHeight="1">
      <c r="A232" s="163"/>
      <c r="B232" s="165"/>
      <c r="C232" s="164"/>
      <c r="D232" s="165"/>
      <c r="E232" s="178" t="s">
        <v>114</v>
      </c>
      <c r="F232" s="180"/>
      <c r="G232" s="15">
        <f>전시연출부!H47</f>
        <v>9000</v>
      </c>
      <c r="H232" s="15">
        <v>9000</v>
      </c>
      <c r="I232" s="114">
        <f t="shared" si="52"/>
        <v>0</v>
      </c>
    </row>
    <row r="233" spans="1:9" ht="18" customHeight="1">
      <c r="A233" s="86"/>
      <c r="B233" s="167"/>
      <c r="C233" s="168"/>
      <c r="D233" s="167"/>
      <c r="E233" s="170"/>
      <c r="F233" s="170" t="s">
        <v>105</v>
      </c>
      <c r="G233" s="14">
        <f>전시연출부!H48</f>
        <v>9000</v>
      </c>
      <c r="H233" s="14">
        <v>9000</v>
      </c>
      <c r="I233" s="116">
        <f>G233-H233</f>
        <v>0</v>
      </c>
    </row>
    <row r="234" spans="1:9" ht="18" customHeight="1">
      <c r="A234" s="163"/>
      <c r="B234" s="165"/>
      <c r="C234" s="164"/>
      <c r="D234" s="165"/>
      <c r="E234" s="178" t="s">
        <v>116</v>
      </c>
      <c r="F234" s="180"/>
      <c r="G234" s="15">
        <f>전시연출부!H51</f>
        <v>1500</v>
      </c>
      <c r="H234" s="15">
        <v>1500</v>
      </c>
      <c r="I234" s="114">
        <f t="shared" ref="I234:I237" si="53">G234-H234</f>
        <v>0</v>
      </c>
    </row>
    <row r="235" spans="1:9" ht="18" customHeight="1">
      <c r="A235" s="86"/>
      <c r="B235" s="167"/>
      <c r="C235" s="168"/>
      <c r="D235" s="167"/>
      <c r="E235" s="169"/>
      <c r="F235" s="170" t="s">
        <v>117</v>
      </c>
      <c r="G235" s="14">
        <f>전시연출부!H52</f>
        <v>1500</v>
      </c>
      <c r="H235" s="14">
        <v>1500</v>
      </c>
      <c r="I235" s="116">
        <f t="shared" si="53"/>
        <v>0</v>
      </c>
    </row>
    <row r="236" spans="1:9" ht="18" customHeight="1">
      <c r="A236" s="163"/>
      <c r="B236" s="165"/>
      <c r="C236" s="164"/>
      <c r="D236" s="165"/>
      <c r="E236" s="178" t="s">
        <v>413</v>
      </c>
      <c r="F236" s="180"/>
      <c r="G236" s="15">
        <f>전시연출부!H54</f>
        <v>2100</v>
      </c>
      <c r="H236" s="15">
        <v>2100</v>
      </c>
      <c r="I236" s="114">
        <f t="shared" si="53"/>
        <v>0</v>
      </c>
    </row>
    <row r="237" spans="1:9" ht="18" customHeight="1">
      <c r="A237" s="86"/>
      <c r="B237" s="167"/>
      <c r="C237" s="168"/>
      <c r="D237" s="167"/>
      <c r="E237" s="169"/>
      <c r="F237" s="170" t="s">
        <v>414</v>
      </c>
      <c r="G237" s="14">
        <f>전시연출부!H55</f>
        <v>2100</v>
      </c>
      <c r="H237" s="14">
        <v>2100</v>
      </c>
      <c r="I237" s="116">
        <f t="shared" si="53"/>
        <v>0</v>
      </c>
    </row>
    <row r="238" spans="1:9" ht="18" customHeight="1">
      <c r="A238" s="163"/>
      <c r="B238" s="175" t="s">
        <v>3</v>
      </c>
      <c r="C238" s="176"/>
      <c r="D238" s="176"/>
      <c r="E238" s="176"/>
      <c r="F238" s="177"/>
      <c r="G238" s="113">
        <f>G239</f>
        <v>754353</v>
      </c>
      <c r="H238" s="113">
        <v>589598</v>
      </c>
      <c r="I238" s="115">
        <f t="shared" ref="I238:I250" si="54">G238-H238</f>
        <v>164755</v>
      </c>
    </row>
    <row r="239" spans="1:9" ht="18" customHeight="1">
      <c r="A239" s="163"/>
      <c r="B239" s="164"/>
      <c r="C239" s="178" t="s">
        <v>125</v>
      </c>
      <c r="D239" s="179"/>
      <c r="E239" s="179"/>
      <c r="F239" s="180"/>
      <c r="G239" s="15">
        <f>예비비!H7</f>
        <v>754353</v>
      </c>
      <c r="H239" s="111">
        <v>589598</v>
      </c>
      <c r="I239" s="114">
        <f t="shared" si="54"/>
        <v>164755</v>
      </c>
    </row>
    <row r="240" spans="1:9" ht="18" customHeight="1">
      <c r="A240" s="163"/>
      <c r="B240" s="165"/>
      <c r="C240" s="166"/>
      <c r="D240" s="178" t="s">
        <v>95</v>
      </c>
      <c r="E240" s="179"/>
      <c r="F240" s="180"/>
      <c r="G240" s="15">
        <f>예비비!H8</f>
        <v>684053</v>
      </c>
      <c r="H240" s="112">
        <v>519298</v>
      </c>
      <c r="I240" s="114">
        <f t="shared" si="54"/>
        <v>164755</v>
      </c>
    </row>
    <row r="241" spans="1:9" ht="18" customHeight="1">
      <c r="A241" s="163"/>
      <c r="B241" s="165"/>
      <c r="C241" s="164"/>
      <c r="D241" s="166"/>
      <c r="E241" s="178" t="s">
        <v>3</v>
      </c>
      <c r="F241" s="180"/>
      <c r="G241" s="15">
        <f>예비비!H9</f>
        <v>684053</v>
      </c>
      <c r="H241" s="112">
        <v>519298</v>
      </c>
      <c r="I241" s="114">
        <f t="shared" si="54"/>
        <v>164755</v>
      </c>
    </row>
    <row r="242" spans="1:9" ht="18" customHeight="1">
      <c r="A242" s="86"/>
      <c r="B242" s="167"/>
      <c r="C242" s="168"/>
      <c r="D242" s="167"/>
      <c r="E242" s="169"/>
      <c r="F242" s="169" t="s">
        <v>126</v>
      </c>
      <c r="G242" s="371">
        <f>예비비!H11</f>
        <v>684053</v>
      </c>
      <c r="H242" s="325">
        <v>519298</v>
      </c>
      <c r="I242" s="116">
        <f t="shared" si="54"/>
        <v>164755</v>
      </c>
    </row>
    <row r="243" spans="1:9" ht="18" customHeight="1">
      <c r="A243" s="163"/>
      <c r="B243" s="165"/>
      <c r="C243" s="164"/>
      <c r="D243" s="165"/>
      <c r="E243" s="178" t="s">
        <v>819</v>
      </c>
      <c r="F243" s="180"/>
      <c r="G243" s="200">
        <f>예비비!H19</f>
        <v>70300</v>
      </c>
      <c r="H243" s="111">
        <v>70300</v>
      </c>
      <c r="I243" s="114">
        <f t="shared" ref="I243:I244" si="55">G243-H243</f>
        <v>0</v>
      </c>
    </row>
    <row r="244" spans="1:9" ht="18" customHeight="1" thickBot="1">
      <c r="A244" s="236"/>
      <c r="B244" s="172"/>
      <c r="C244" s="237"/>
      <c r="D244" s="172"/>
      <c r="E244" s="173"/>
      <c r="F244" s="173" t="s">
        <v>126</v>
      </c>
      <c r="G244" s="239">
        <f>예비비!H22</f>
        <v>70300</v>
      </c>
      <c r="H244" s="87">
        <v>70300</v>
      </c>
      <c r="I244" s="118">
        <f t="shared" si="55"/>
        <v>0</v>
      </c>
    </row>
    <row r="245" spans="1:9" ht="18" customHeight="1">
      <c r="A245" s="162" t="s">
        <v>261</v>
      </c>
      <c r="B245" s="179"/>
      <c r="C245" s="179"/>
      <c r="D245" s="179"/>
      <c r="E245" s="179"/>
      <c r="F245" s="180"/>
      <c r="G245" s="110">
        <f>SUM(G246,G251,G256,G261)</f>
        <v>3399101</v>
      </c>
      <c r="H245" s="110">
        <v>3549101</v>
      </c>
      <c r="I245" s="114">
        <f t="shared" si="54"/>
        <v>-150000</v>
      </c>
    </row>
    <row r="246" spans="1:9" ht="18" customHeight="1">
      <c r="A246" s="248"/>
      <c r="B246" s="175" t="s">
        <v>477</v>
      </c>
      <c r="C246" s="176"/>
      <c r="D246" s="176"/>
      <c r="E246" s="176"/>
      <c r="F246" s="177"/>
      <c r="G246" s="113">
        <f>시설조성부!H43</f>
        <v>3249101</v>
      </c>
      <c r="H246" s="113">
        <v>3249101</v>
      </c>
      <c r="I246" s="115">
        <f t="shared" si="54"/>
        <v>0</v>
      </c>
    </row>
    <row r="247" spans="1:9" ht="18" customHeight="1">
      <c r="A247" s="248"/>
      <c r="B247" s="164"/>
      <c r="C247" s="178" t="s">
        <v>478</v>
      </c>
      <c r="D247" s="179"/>
      <c r="E247" s="179"/>
      <c r="F247" s="180"/>
      <c r="G247" s="15">
        <f>시설조성부!H44</f>
        <v>3249101</v>
      </c>
      <c r="H247" s="111">
        <v>3249101</v>
      </c>
      <c r="I247" s="114">
        <f t="shared" si="54"/>
        <v>0</v>
      </c>
    </row>
    <row r="248" spans="1:9">
      <c r="A248" s="248"/>
      <c r="B248" s="165"/>
      <c r="C248" s="166"/>
      <c r="D248" s="178" t="s">
        <v>479</v>
      </c>
      <c r="E248" s="179"/>
      <c r="F248" s="180"/>
      <c r="G248" s="15">
        <f>시설조성부!H45</f>
        <v>3249101</v>
      </c>
      <c r="H248" s="112">
        <v>3249101</v>
      </c>
      <c r="I248" s="114">
        <f t="shared" si="54"/>
        <v>0</v>
      </c>
    </row>
    <row r="249" spans="1:9">
      <c r="A249" s="248"/>
      <c r="B249" s="165"/>
      <c r="C249" s="164"/>
      <c r="D249" s="166"/>
      <c r="E249" s="178" t="s">
        <v>480</v>
      </c>
      <c r="F249" s="180"/>
      <c r="G249" s="15">
        <f>시설조성부!H47</f>
        <v>3249101</v>
      </c>
      <c r="H249" s="112">
        <v>3249101</v>
      </c>
      <c r="I249" s="114">
        <f t="shared" si="54"/>
        <v>0</v>
      </c>
    </row>
    <row r="250" spans="1:9">
      <c r="A250" s="321"/>
      <c r="B250" s="171"/>
      <c r="C250" s="241"/>
      <c r="D250" s="171"/>
      <c r="E250" s="169"/>
      <c r="F250" s="169" t="s">
        <v>481</v>
      </c>
      <c r="G250" s="371">
        <f>시설조성부!H48</f>
        <v>3249101</v>
      </c>
      <c r="H250" s="325">
        <v>3249101</v>
      </c>
      <c r="I250" s="116">
        <f t="shared" si="54"/>
        <v>0</v>
      </c>
    </row>
    <row r="251" spans="1:9" ht="18" customHeight="1">
      <c r="A251" s="248"/>
      <c r="B251" s="175" t="s">
        <v>613</v>
      </c>
      <c r="C251" s="176"/>
      <c r="D251" s="176"/>
      <c r="E251" s="176"/>
      <c r="F251" s="177"/>
      <c r="G251" s="113">
        <f>시설조성부!H52</f>
        <v>0</v>
      </c>
      <c r="H251" s="113">
        <v>0</v>
      </c>
      <c r="I251" s="115">
        <f t="shared" ref="I251:I255" si="56">G251-H251</f>
        <v>0</v>
      </c>
    </row>
    <row r="252" spans="1:9" ht="18" customHeight="1">
      <c r="A252" s="248"/>
      <c r="B252" s="164"/>
      <c r="C252" s="178" t="s">
        <v>614</v>
      </c>
      <c r="D252" s="179"/>
      <c r="E252" s="179"/>
      <c r="F252" s="180"/>
      <c r="G252" s="15">
        <f>시설조성부!H53</f>
        <v>0</v>
      </c>
      <c r="H252" s="111">
        <v>0</v>
      </c>
      <c r="I252" s="114">
        <f t="shared" si="56"/>
        <v>0</v>
      </c>
    </row>
    <row r="253" spans="1:9">
      <c r="A253" s="248"/>
      <c r="B253" s="165"/>
      <c r="C253" s="166"/>
      <c r="D253" s="178" t="s">
        <v>614</v>
      </c>
      <c r="E253" s="179"/>
      <c r="F253" s="180"/>
      <c r="G253" s="15">
        <f>시설조성부!H54</f>
        <v>0</v>
      </c>
      <c r="H253" s="112">
        <v>0</v>
      </c>
      <c r="I253" s="114">
        <f t="shared" si="56"/>
        <v>0</v>
      </c>
    </row>
    <row r="254" spans="1:9">
      <c r="A254" s="248"/>
      <c r="B254" s="165"/>
      <c r="C254" s="164"/>
      <c r="D254" s="166"/>
      <c r="E254" s="178" t="s">
        <v>480</v>
      </c>
      <c r="F254" s="180"/>
      <c r="G254" s="15">
        <f>시설조성부!H56</f>
        <v>0</v>
      </c>
      <c r="H254" s="112">
        <v>0</v>
      </c>
      <c r="I254" s="114">
        <f t="shared" si="56"/>
        <v>0</v>
      </c>
    </row>
    <row r="255" spans="1:9">
      <c r="A255" s="321"/>
      <c r="B255" s="171"/>
      <c r="C255" s="241"/>
      <c r="D255" s="171"/>
      <c r="E255" s="169"/>
      <c r="F255" s="169" t="s">
        <v>481</v>
      </c>
      <c r="G255" s="371">
        <f>시설조성부!H57</f>
        <v>0</v>
      </c>
      <c r="H255" s="325">
        <v>0</v>
      </c>
      <c r="I255" s="116">
        <f t="shared" si="56"/>
        <v>0</v>
      </c>
    </row>
    <row r="256" spans="1:9" ht="18" customHeight="1">
      <c r="A256" s="248"/>
      <c r="B256" s="175" t="s">
        <v>616</v>
      </c>
      <c r="C256" s="176"/>
      <c r="D256" s="176"/>
      <c r="E256" s="176"/>
      <c r="F256" s="177"/>
      <c r="G256" s="113">
        <f>시설조성부!H61</f>
        <v>150000</v>
      </c>
      <c r="H256" s="113">
        <v>300000</v>
      </c>
      <c r="I256" s="115">
        <f t="shared" ref="I256:I260" si="57">G256-H256</f>
        <v>-150000</v>
      </c>
    </row>
    <row r="257" spans="1:9" ht="18" customHeight="1">
      <c r="A257" s="248"/>
      <c r="B257" s="164"/>
      <c r="C257" s="178" t="s">
        <v>617</v>
      </c>
      <c r="D257" s="179"/>
      <c r="E257" s="179"/>
      <c r="F257" s="180"/>
      <c r="G257" s="15">
        <f>시설조성부!H62</f>
        <v>150000</v>
      </c>
      <c r="H257" s="111">
        <v>300000</v>
      </c>
      <c r="I257" s="114">
        <f t="shared" si="57"/>
        <v>-150000</v>
      </c>
    </row>
    <row r="258" spans="1:9">
      <c r="A258" s="248"/>
      <c r="B258" s="165"/>
      <c r="C258" s="166"/>
      <c r="D258" s="178" t="s">
        <v>617</v>
      </c>
      <c r="E258" s="179"/>
      <c r="F258" s="180"/>
      <c r="G258" s="15">
        <f>시설조성부!H63</f>
        <v>150000</v>
      </c>
      <c r="H258" s="112">
        <v>300000</v>
      </c>
      <c r="I258" s="114">
        <f t="shared" si="57"/>
        <v>-150000</v>
      </c>
    </row>
    <row r="259" spans="1:9">
      <c r="A259" s="248"/>
      <c r="B259" s="165"/>
      <c r="C259" s="164"/>
      <c r="D259" s="166"/>
      <c r="E259" s="178" t="s">
        <v>480</v>
      </c>
      <c r="F259" s="180"/>
      <c r="G259" s="15">
        <f>시설조성부!H65</f>
        <v>150000</v>
      </c>
      <c r="H259" s="112">
        <v>300000</v>
      </c>
      <c r="I259" s="114">
        <f t="shared" si="57"/>
        <v>-150000</v>
      </c>
    </row>
    <row r="260" spans="1:9">
      <c r="A260" s="321"/>
      <c r="B260" s="171"/>
      <c r="C260" s="241"/>
      <c r="D260" s="171"/>
      <c r="E260" s="169"/>
      <c r="F260" s="169" t="s">
        <v>481</v>
      </c>
      <c r="G260" s="371">
        <f>시설조성부!H66</f>
        <v>150000</v>
      </c>
      <c r="H260" s="325">
        <v>300000</v>
      </c>
      <c r="I260" s="116">
        <f t="shared" si="57"/>
        <v>-150000</v>
      </c>
    </row>
    <row r="261" spans="1:9" ht="18" customHeight="1">
      <c r="A261" s="248"/>
      <c r="B261" s="322" t="s">
        <v>300</v>
      </c>
      <c r="C261" s="256"/>
      <c r="D261" s="256"/>
      <c r="E261" s="256"/>
      <c r="F261" s="323"/>
      <c r="G261" s="246">
        <f>G262</f>
        <v>0</v>
      </c>
      <c r="H261" s="246">
        <v>0</v>
      </c>
      <c r="I261" s="324">
        <f t="shared" ref="I261:I265" si="58">G261-H261</f>
        <v>0</v>
      </c>
    </row>
    <row r="262" spans="1:9" ht="18" customHeight="1">
      <c r="A262" s="248"/>
      <c r="B262" s="164"/>
      <c r="C262" s="178" t="s">
        <v>125</v>
      </c>
      <c r="D262" s="179"/>
      <c r="E262" s="179"/>
      <c r="F262" s="180"/>
      <c r="G262" s="15">
        <f>예비비!H27</f>
        <v>0</v>
      </c>
      <c r="H262" s="111">
        <v>0</v>
      </c>
      <c r="I262" s="114">
        <f t="shared" si="58"/>
        <v>0</v>
      </c>
    </row>
    <row r="263" spans="1:9">
      <c r="A263" s="163"/>
      <c r="B263" s="165"/>
      <c r="C263" s="166"/>
      <c r="D263" s="178" t="s">
        <v>95</v>
      </c>
      <c r="E263" s="179"/>
      <c r="F263" s="180"/>
      <c r="G263" s="15">
        <f>예비비!H28</f>
        <v>0</v>
      </c>
      <c r="H263" s="112">
        <v>0</v>
      </c>
      <c r="I263" s="114">
        <f t="shared" si="58"/>
        <v>0</v>
      </c>
    </row>
    <row r="264" spans="1:9">
      <c r="A264" s="163"/>
      <c r="B264" s="165"/>
      <c r="C264" s="164"/>
      <c r="D264" s="166"/>
      <c r="E264" s="178" t="s">
        <v>3</v>
      </c>
      <c r="F264" s="180"/>
      <c r="G264" s="15">
        <f>예비비!H29</f>
        <v>0</v>
      </c>
      <c r="H264" s="112">
        <v>0</v>
      </c>
      <c r="I264" s="114">
        <f t="shared" si="58"/>
        <v>0</v>
      </c>
    </row>
    <row r="265" spans="1:9" ht="17.25" thickBot="1">
      <c r="A265" s="236"/>
      <c r="B265" s="172"/>
      <c r="C265" s="237"/>
      <c r="D265" s="172"/>
      <c r="E265" s="173"/>
      <c r="F265" s="173" t="s">
        <v>301</v>
      </c>
      <c r="G265" s="239">
        <f>예비비!H31</f>
        <v>0</v>
      </c>
      <c r="H265" s="87">
        <v>0</v>
      </c>
      <c r="I265" s="118">
        <f t="shared" si="58"/>
        <v>0</v>
      </c>
    </row>
  </sheetData>
  <autoFilter ref="A4:I265"/>
  <mergeCells count="5">
    <mergeCell ref="G3:G4"/>
    <mergeCell ref="H3:H4"/>
    <mergeCell ref="I3:I4"/>
    <mergeCell ref="A3:F3"/>
    <mergeCell ref="A5:F5"/>
  </mergeCells>
  <phoneticPr fontId="12" type="noConversion"/>
  <pageMargins left="0.23622047244094491" right="0.23622047244094491" top="0.74803149606299213" bottom="0.74803149606299213" header="0.31496062992125984" footer="0.31496062992125984"/>
  <pageSetup paperSize="9" scale="95" fitToHeight="0" orientation="portrait" useFirstPageNumber="1" r:id="rId1"/>
  <headerFooter alignWithMargins="0">
    <oddHeader xml:space="preserve">&amp;L&amp;"돋움,굵게"
</oddHeader>
  </headerFooter>
  <rowBreaks count="6" manualBreakCount="6">
    <brk id="42" max="8" man="1"/>
    <brk id="79" max="8" man="1"/>
    <brk id="116" max="8" man="1"/>
    <brk id="153" max="8" man="1"/>
    <brk id="193" max="8" man="1"/>
    <brk id="23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56"/>
  <sheetViews>
    <sheetView zoomScale="85" zoomScaleNormal="85" workbookViewId="0">
      <selection activeCell="G13" sqref="G13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" style="576"/>
  </cols>
  <sheetData>
    <row r="1" spans="1:15" ht="17.25" thickBot="1">
      <c r="A1" s="88" t="s">
        <v>500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</row>
    <row r="2" spans="1:15" ht="16.5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894</v>
      </c>
      <c r="J2" s="709" t="s">
        <v>463</v>
      </c>
      <c r="K2" s="693" t="s">
        <v>1</v>
      </c>
      <c r="L2" s="694"/>
      <c r="M2" s="695"/>
    </row>
    <row r="3" spans="1:15" ht="17.25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</row>
    <row r="4" spans="1:15" ht="17.25" thickBot="1">
      <c r="A4" s="699" t="s">
        <v>30</v>
      </c>
      <c r="B4" s="700"/>
      <c r="C4" s="700"/>
      <c r="D4" s="700"/>
      <c r="E4" s="700"/>
      <c r="F4" s="700"/>
      <c r="G4" s="701"/>
      <c r="H4" s="184">
        <f>H5</f>
        <v>52080</v>
      </c>
      <c r="I4" s="184">
        <v>49080</v>
      </c>
      <c r="J4" s="120">
        <f t="shared" ref="J4:J38" si="0">H4-I4</f>
        <v>3000</v>
      </c>
      <c r="K4" s="89"/>
      <c r="L4" s="90"/>
      <c r="M4" s="121"/>
    </row>
    <row r="5" spans="1:15">
      <c r="A5" s="204" t="s">
        <v>2</v>
      </c>
      <c r="B5" s="122"/>
      <c r="C5" s="123"/>
      <c r="D5" s="123"/>
      <c r="E5" s="123"/>
      <c r="F5" s="123"/>
      <c r="G5" s="124"/>
      <c r="H5" s="94">
        <f>H6</f>
        <v>52080</v>
      </c>
      <c r="I5" s="94">
        <v>49080</v>
      </c>
      <c r="J5" s="95">
        <f t="shared" si="0"/>
        <v>3000</v>
      </c>
      <c r="K5" s="78"/>
      <c r="L5" s="79"/>
      <c r="M5" s="80"/>
    </row>
    <row r="6" spans="1:15">
      <c r="A6" s="10"/>
      <c r="B6" s="349" t="s">
        <v>501</v>
      </c>
      <c r="C6" s="129"/>
      <c r="D6" s="130"/>
      <c r="E6" s="130"/>
      <c r="F6" s="130"/>
      <c r="G6" s="131"/>
      <c r="H6" s="91">
        <f>SUM(H7,H20,H34)</f>
        <v>52080</v>
      </c>
      <c r="I6" s="91">
        <v>49080</v>
      </c>
      <c r="J6" s="92">
        <f>H6-I6</f>
        <v>3000</v>
      </c>
      <c r="K6" s="158"/>
      <c r="L6" s="148"/>
      <c r="M6" s="149"/>
    </row>
    <row r="7" spans="1:15">
      <c r="A7" s="10"/>
      <c r="B7" s="6"/>
      <c r="C7" s="178" t="s">
        <v>824</v>
      </c>
      <c r="D7" s="453"/>
      <c r="E7" s="130"/>
      <c r="F7" s="130"/>
      <c r="G7" s="131"/>
      <c r="H7" s="91">
        <f>H8</f>
        <v>2000</v>
      </c>
      <c r="I7" s="91">
        <v>2000</v>
      </c>
      <c r="J7" s="92">
        <f t="shared" ref="J7:J11" si="1">H7-I7</f>
        <v>0</v>
      </c>
      <c r="K7" s="158"/>
      <c r="L7" s="148"/>
      <c r="M7" s="149"/>
      <c r="N7" s="626"/>
    </row>
    <row r="8" spans="1:15">
      <c r="A8" s="10"/>
      <c r="B8" s="6"/>
      <c r="C8" s="473"/>
      <c r="D8" s="349" t="s">
        <v>825</v>
      </c>
      <c r="E8" s="130"/>
      <c r="F8" s="130"/>
      <c r="G8" s="131"/>
      <c r="H8" s="132">
        <f>H9</f>
        <v>2000</v>
      </c>
      <c r="I8" s="132">
        <v>2000</v>
      </c>
      <c r="J8" s="9">
        <f t="shared" si="1"/>
        <v>0</v>
      </c>
      <c r="K8" s="389"/>
      <c r="L8" s="390"/>
      <c r="M8" s="397"/>
      <c r="N8" s="626"/>
    </row>
    <row r="9" spans="1:15">
      <c r="A9" s="10"/>
      <c r="B9" s="6"/>
      <c r="C9" s="457"/>
      <c r="D9" s="458"/>
      <c r="E9" s="129" t="s">
        <v>31</v>
      </c>
      <c r="F9" s="130"/>
      <c r="G9" s="131"/>
      <c r="H9" s="91">
        <f>H10</f>
        <v>2000</v>
      </c>
      <c r="I9" s="91">
        <v>2000</v>
      </c>
      <c r="J9" s="92">
        <f t="shared" si="1"/>
        <v>0</v>
      </c>
      <c r="K9" s="351"/>
      <c r="L9" s="391"/>
      <c r="M9" s="392"/>
      <c r="N9" s="626"/>
    </row>
    <row r="10" spans="1:15">
      <c r="A10" s="63"/>
      <c r="B10" s="65"/>
      <c r="C10" s="65"/>
      <c r="D10" s="65"/>
      <c r="E10" s="65"/>
      <c r="F10" s="136" t="s">
        <v>35</v>
      </c>
      <c r="G10" s="140"/>
      <c r="H10" s="72">
        <f>SUM(H11,H17)</f>
        <v>2000</v>
      </c>
      <c r="I10" s="72">
        <v>2000</v>
      </c>
      <c r="J10" s="98">
        <f t="shared" si="1"/>
        <v>0</v>
      </c>
      <c r="K10" s="383"/>
      <c r="L10" s="384"/>
      <c r="M10" s="398"/>
      <c r="N10" s="626"/>
    </row>
    <row r="11" spans="1:15">
      <c r="A11" s="55"/>
      <c r="B11" s="57"/>
      <c r="C11" s="65"/>
      <c r="D11" s="65"/>
      <c r="E11" s="65"/>
      <c r="F11" s="191"/>
      <c r="G11" s="205" t="s">
        <v>36</v>
      </c>
      <c r="H11" s="206">
        <f>M11</f>
        <v>1500</v>
      </c>
      <c r="I11" s="206">
        <v>1500</v>
      </c>
      <c r="J11" s="41">
        <f t="shared" si="1"/>
        <v>0</v>
      </c>
      <c r="K11" s="386" t="s">
        <v>52</v>
      </c>
      <c r="L11" s="412"/>
      <c r="M11" s="388">
        <f>SUM(M14,M16)</f>
        <v>1500</v>
      </c>
      <c r="N11" s="626"/>
    </row>
    <row r="12" spans="1:15">
      <c r="A12" s="55"/>
      <c r="B12" s="57"/>
      <c r="C12" s="65"/>
      <c r="D12" s="65"/>
      <c r="E12" s="65"/>
      <c r="F12" s="221"/>
      <c r="G12" s="615"/>
      <c r="H12" s="100"/>
      <c r="I12" s="100"/>
      <c r="J12" s="50"/>
      <c r="K12" s="604" t="s">
        <v>703</v>
      </c>
      <c r="L12" s="418"/>
      <c r="M12" s="379"/>
      <c r="N12" s="626"/>
    </row>
    <row r="13" spans="1:15">
      <c r="A13" s="55"/>
      <c r="B13" s="57"/>
      <c r="C13" s="65"/>
      <c r="D13" s="65"/>
      <c r="E13" s="65"/>
      <c r="F13" s="56"/>
      <c r="G13" s="56"/>
      <c r="H13" s="100"/>
      <c r="I13" s="100"/>
      <c r="J13" s="102"/>
      <c r="K13" s="586" t="s">
        <v>826</v>
      </c>
      <c r="L13" s="378" t="s">
        <v>37</v>
      </c>
      <c r="M13" s="374">
        <v>2000</v>
      </c>
      <c r="N13" s="626"/>
      <c r="O13" s="575"/>
    </row>
    <row r="14" spans="1:15">
      <c r="A14" s="55"/>
      <c r="B14" s="57"/>
      <c r="C14" s="65"/>
      <c r="D14" s="65"/>
      <c r="E14" s="65"/>
      <c r="F14" s="56"/>
      <c r="G14" s="56"/>
      <c r="H14" s="100"/>
      <c r="I14" s="100"/>
      <c r="J14" s="102"/>
      <c r="K14" s="586" t="s">
        <v>827</v>
      </c>
      <c r="L14" s="378" t="s">
        <v>37</v>
      </c>
      <c r="M14" s="374">
        <v>1500</v>
      </c>
      <c r="N14" s="626"/>
      <c r="O14" s="575"/>
    </row>
    <row r="15" spans="1:15">
      <c r="A15" s="55"/>
      <c r="B15" s="57"/>
      <c r="C15" s="65"/>
      <c r="D15" s="65"/>
      <c r="E15" s="65"/>
      <c r="F15" s="56"/>
      <c r="G15" s="56"/>
      <c r="H15" s="100"/>
      <c r="I15" s="100"/>
      <c r="J15" s="102"/>
      <c r="K15" s="660" t="s">
        <v>845</v>
      </c>
      <c r="L15" s="378"/>
      <c r="M15" s="374"/>
      <c r="N15" s="634"/>
      <c r="O15" s="575"/>
    </row>
    <row r="16" spans="1:15">
      <c r="A16" s="55"/>
      <c r="B16" s="57"/>
      <c r="C16" s="65"/>
      <c r="D16" s="65"/>
      <c r="E16" s="65"/>
      <c r="F16" s="56"/>
      <c r="G16" s="56"/>
      <c r="H16" s="100"/>
      <c r="I16" s="100"/>
      <c r="J16" s="102"/>
      <c r="K16" s="586" t="s">
        <v>846</v>
      </c>
      <c r="L16" s="378" t="s">
        <v>0</v>
      </c>
      <c r="M16" s="374">
        <v>0</v>
      </c>
      <c r="N16" s="634"/>
      <c r="O16" s="575"/>
    </row>
    <row r="17" spans="1:15">
      <c r="A17" s="55"/>
      <c r="B17" s="57"/>
      <c r="C17" s="65"/>
      <c r="D17" s="65"/>
      <c r="E17" s="65"/>
      <c r="F17" s="221"/>
      <c r="G17" s="205" t="s">
        <v>7</v>
      </c>
      <c r="H17" s="206">
        <f>M17</f>
        <v>500</v>
      </c>
      <c r="I17" s="206">
        <v>500</v>
      </c>
      <c r="J17" s="41">
        <f t="shared" ref="J17" si="2">H17-I17</f>
        <v>0</v>
      </c>
      <c r="K17" s="386" t="s">
        <v>47</v>
      </c>
      <c r="L17" s="412"/>
      <c r="M17" s="388">
        <f>SUM(M19,M34)</f>
        <v>500</v>
      </c>
      <c r="N17" s="634"/>
    </row>
    <row r="18" spans="1:15">
      <c r="A18" s="55"/>
      <c r="B18" s="57"/>
      <c r="C18" s="65"/>
      <c r="D18" s="65"/>
      <c r="E18" s="65"/>
      <c r="F18" s="221"/>
      <c r="G18" s="615"/>
      <c r="H18" s="100"/>
      <c r="I18" s="100"/>
      <c r="J18" s="50"/>
      <c r="K18" s="604" t="s">
        <v>847</v>
      </c>
      <c r="L18" s="418"/>
      <c r="M18" s="379"/>
      <c r="N18" s="634"/>
    </row>
    <row r="19" spans="1:15">
      <c r="A19" s="55"/>
      <c r="B19" s="57"/>
      <c r="C19" s="65"/>
      <c r="D19" s="65"/>
      <c r="E19" s="65"/>
      <c r="F19" s="56"/>
      <c r="G19" s="56"/>
      <c r="H19" s="100"/>
      <c r="I19" s="100"/>
      <c r="J19" s="102"/>
      <c r="K19" s="586" t="s">
        <v>848</v>
      </c>
      <c r="L19" s="378" t="s">
        <v>37</v>
      </c>
      <c r="M19" s="374">
        <v>500</v>
      </c>
      <c r="N19" s="634"/>
      <c r="O19" s="575"/>
    </row>
    <row r="20" spans="1:15">
      <c r="A20" s="10"/>
      <c r="B20" s="6"/>
      <c r="C20" s="611" t="s">
        <v>855</v>
      </c>
      <c r="D20" s="453"/>
      <c r="E20" s="130"/>
      <c r="F20" s="130"/>
      <c r="G20" s="131"/>
      <c r="H20" s="91">
        <f>H21</f>
        <v>31660</v>
      </c>
      <c r="I20" s="91">
        <v>28660</v>
      </c>
      <c r="J20" s="92">
        <f t="shared" ref="J20" si="3">H20-I20</f>
        <v>3000</v>
      </c>
      <c r="K20" s="158"/>
      <c r="L20" s="148"/>
      <c r="M20" s="149"/>
      <c r="N20" s="634"/>
    </row>
    <row r="21" spans="1:15">
      <c r="A21" s="10"/>
      <c r="B21" s="6"/>
      <c r="C21" s="473"/>
      <c r="D21" s="610" t="s">
        <v>854</v>
      </c>
      <c r="E21" s="130"/>
      <c r="F21" s="130"/>
      <c r="G21" s="131"/>
      <c r="H21" s="132">
        <f>H22</f>
        <v>31660</v>
      </c>
      <c r="I21" s="132">
        <v>28660</v>
      </c>
      <c r="J21" s="9">
        <f t="shared" ref="J21:J24" si="4">H21-I21</f>
        <v>3000</v>
      </c>
      <c r="K21" s="389"/>
      <c r="L21" s="390"/>
      <c r="M21" s="397"/>
      <c r="N21" s="634"/>
    </row>
    <row r="22" spans="1:15">
      <c r="A22" s="10"/>
      <c r="B22" s="6"/>
      <c r="C22" s="457"/>
      <c r="D22" s="458"/>
      <c r="E22" s="129" t="s">
        <v>31</v>
      </c>
      <c r="F22" s="130"/>
      <c r="G22" s="131"/>
      <c r="H22" s="91">
        <f>H23</f>
        <v>31660</v>
      </c>
      <c r="I22" s="91">
        <v>28660</v>
      </c>
      <c r="J22" s="92">
        <f t="shared" si="4"/>
        <v>3000</v>
      </c>
      <c r="K22" s="351"/>
      <c r="L22" s="391"/>
      <c r="M22" s="392"/>
      <c r="N22" s="634"/>
    </row>
    <row r="23" spans="1:15">
      <c r="A23" s="63"/>
      <c r="B23" s="65"/>
      <c r="C23" s="65"/>
      <c r="D23" s="65"/>
      <c r="E23" s="65"/>
      <c r="F23" s="136" t="s">
        <v>35</v>
      </c>
      <c r="G23" s="140"/>
      <c r="H23" s="72">
        <f>H24</f>
        <v>31660</v>
      </c>
      <c r="I23" s="72">
        <v>28660</v>
      </c>
      <c r="J23" s="98">
        <f t="shared" si="4"/>
        <v>3000</v>
      </c>
      <c r="K23" s="383"/>
      <c r="L23" s="384"/>
      <c r="M23" s="398"/>
      <c r="N23" s="634"/>
    </row>
    <row r="24" spans="1:15">
      <c r="A24" s="55"/>
      <c r="B24" s="57"/>
      <c r="C24" s="65"/>
      <c r="D24" s="65"/>
      <c r="E24" s="65"/>
      <c r="F24" s="191"/>
      <c r="G24" s="205" t="s">
        <v>36</v>
      </c>
      <c r="H24" s="206">
        <f>SUM(M24,M31)</f>
        <v>31660</v>
      </c>
      <c r="I24" s="206">
        <v>28660</v>
      </c>
      <c r="J24" s="41">
        <f t="shared" si="4"/>
        <v>3000</v>
      </c>
      <c r="K24" s="386" t="s">
        <v>47</v>
      </c>
      <c r="L24" s="412"/>
      <c r="M24" s="388">
        <f>SUM(M27,M28,M30)</f>
        <v>23260</v>
      </c>
      <c r="N24" s="634"/>
    </row>
    <row r="25" spans="1:15">
      <c r="A25" s="55"/>
      <c r="B25" s="57"/>
      <c r="C25" s="65"/>
      <c r="D25" s="65"/>
      <c r="E25" s="65"/>
      <c r="F25" s="221"/>
      <c r="G25" s="615"/>
      <c r="H25" s="100"/>
      <c r="I25" s="100"/>
      <c r="J25" s="50"/>
      <c r="K25" s="604" t="s">
        <v>847</v>
      </c>
      <c r="L25" s="418"/>
      <c r="M25" s="379"/>
      <c r="N25" s="634"/>
    </row>
    <row r="26" spans="1:15">
      <c r="A26" s="55"/>
      <c r="B26" s="57"/>
      <c r="C26" s="65"/>
      <c r="D26" s="65"/>
      <c r="E26" s="65"/>
      <c r="F26" s="221"/>
      <c r="G26" s="615"/>
      <c r="H26" s="100"/>
      <c r="I26" s="100"/>
      <c r="J26" s="50"/>
      <c r="K26" s="586" t="s">
        <v>849</v>
      </c>
      <c r="L26" s="378" t="s">
        <v>37</v>
      </c>
      <c r="M26" s="374">
        <v>14760</v>
      </c>
      <c r="N26" s="634"/>
    </row>
    <row r="27" spans="1:15">
      <c r="A27" s="55"/>
      <c r="B27" s="57"/>
      <c r="C27" s="65"/>
      <c r="D27" s="65"/>
      <c r="E27" s="65"/>
      <c r="F27" s="221"/>
      <c r="G27" s="615"/>
      <c r="H27" s="100"/>
      <c r="I27" s="100"/>
      <c r="J27" s="50"/>
      <c r="K27" s="586" t="s">
        <v>850</v>
      </c>
      <c r="L27" s="378" t="s">
        <v>37</v>
      </c>
      <c r="M27" s="374">
        <v>2500</v>
      </c>
      <c r="N27" s="634"/>
    </row>
    <row r="28" spans="1:15">
      <c r="A28" s="55"/>
      <c r="B28" s="57"/>
      <c r="C28" s="65"/>
      <c r="D28" s="65"/>
      <c r="E28" s="65"/>
      <c r="F28" s="56"/>
      <c r="G28" s="56"/>
      <c r="H28" s="100"/>
      <c r="I28" s="100"/>
      <c r="J28" s="102"/>
      <c r="K28" s="586" t="s">
        <v>851</v>
      </c>
      <c r="L28" s="378" t="s">
        <v>37</v>
      </c>
      <c r="M28" s="374">
        <v>3000</v>
      </c>
      <c r="N28" s="634"/>
      <c r="O28" s="575"/>
    </row>
    <row r="29" spans="1:15">
      <c r="A29" s="55"/>
      <c r="B29" s="57"/>
      <c r="C29" s="65"/>
      <c r="D29" s="65"/>
      <c r="E29" s="65"/>
      <c r="F29" s="56"/>
      <c r="G29" s="597"/>
      <c r="H29" s="100"/>
      <c r="I29" s="100"/>
      <c r="J29" s="102"/>
      <c r="K29" s="604" t="s">
        <v>917</v>
      </c>
      <c r="L29" s="418"/>
      <c r="M29" s="379"/>
      <c r="N29" s="720"/>
      <c r="O29" s="575"/>
    </row>
    <row r="30" spans="1:15">
      <c r="A30" s="55"/>
      <c r="B30" s="57"/>
      <c r="C30" s="65"/>
      <c r="D30" s="65"/>
      <c r="E30" s="65"/>
      <c r="F30" s="56"/>
      <c r="G30" s="597"/>
      <c r="H30" s="100"/>
      <c r="I30" s="100"/>
      <c r="J30" s="102"/>
      <c r="K30" s="721" t="s">
        <v>918</v>
      </c>
      <c r="L30" s="722" t="s">
        <v>0</v>
      </c>
      <c r="M30" s="723">
        <v>17760</v>
      </c>
      <c r="N30" s="720"/>
      <c r="O30" s="575"/>
    </row>
    <row r="31" spans="1:15">
      <c r="A31" s="55"/>
      <c r="B31" s="57"/>
      <c r="C31" s="65"/>
      <c r="D31" s="65"/>
      <c r="E31" s="65"/>
      <c r="F31" s="56"/>
      <c r="G31" s="597"/>
      <c r="H31" s="100"/>
      <c r="I31" s="100"/>
      <c r="J31" s="102"/>
      <c r="K31" s="661" t="s">
        <v>852</v>
      </c>
      <c r="L31" s="378"/>
      <c r="M31" s="379">
        <f>SUM(M33)</f>
        <v>8400</v>
      </c>
      <c r="N31" s="720"/>
      <c r="O31" s="575"/>
    </row>
    <row r="32" spans="1:15">
      <c r="A32" s="55"/>
      <c r="B32" s="57"/>
      <c r="C32" s="65"/>
      <c r="D32" s="65"/>
      <c r="E32" s="65"/>
      <c r="F32" s="56"/>
      <c r="G32" s="597"/>
      <c r="H32" s="100"/>
      <c r="I32" s="100"/>
      <c r="J32" s="102"/>
      <c r="K32" s="604" t="s">
        <v>847</v>
      </c>
      <c r="L32" s="418"/>
      <c r="M32" s="379"/>
      <c r="N32" s="720"/>
      <c r="O32" s="575"/>
    </row>
    <row r="33" spans="1:15">
      <c r="A33" s="55"/>
      <c r="B33" s="57"/>
      <c r="C33" s="67"/>
      <c r="D33" s="67"/>
      <c r="E33" s="67"/>
      <c r="F33" s="632"/>
      <c r="G33" s="597"/>
      <c r="H33" s="100"/>
      <c r="I33" s="100"/>
      <c r="J33" s="102"/>
      <c r="K33" s="586" t="s">
        <v>853</v>
      </c>
      <c r="L33" s="378" t="s">
        <v>37</v>
      </c>
      <c r="M33" s="374">
        <v>8400</v>
      </c>
      <c r="N33" s="720"/>
      <c r="O33" s="575"/>
    </row>
    <row r="34" spans="1:15">
      <c r="A34" s="10"/>
      <c r="B34" s="6"/>
      <c r="C34" s="178" t="s">
        <v>502</v>
      </c>
      <c r="D34" s="130"/>
      <c r="E34" s="130"/>
      <c r="F34" s="130"/>
      <c r="G34" s="131"/>
      <c r="H34" s="91">
        <f>H35</f>
        <v>18420</v>
      </c>
      <c r="I34" s="91">
        <v>18420</v>
      </c>
      <c r="J34" s="92">
        <f t="shared" si="0"/>
        <v>0</v>
      </c>
      <c r="K34" s="396"/>
      <c r="L34" s="390"/>
      <c r="M34" s="397"/>
      <c r="N34" s="720"/>
    </row>
    <row r="35" spans="1:15">
      <c r="A35" s="10"/>
      <c r="B35" s="6"/>
      <c r="C35" s="146"/>
      <c r="D35" s="129" t="s">
        <v>34</v>
      </c>
      <c r="E35" s="130"/>
      <c r="F35" s="130"/>
      <c r="G35" s="131"/>
      <c r="H35" s="132">
        <f>H36</f>
        <v>18420</v>
      </c>
      <c r="I35" s="132">
        <v>18420</v>
      </c>
      <c r="J35" s="9">
        <f t="shared" si="0"/>
        <v>0</v>
      </c>
      <c r="K35" s="389"/>
      <c r="L35" s="390"/>
      <c r="M35" s="397"/>
      <c r="N35" s="720"/>
    </row>
    <row r="36" spans="1:15">
      <c r="A36" s="10"/>
      <c r="B36" s="6"/>
      <c r="C36" s="134"/>
      <c r="D36" s="135"/>
      <c r="E36" s="129" t="s">
        <v>31</v>
      </c>
      <c r="F36" s="130"/>
      <c r="G36" s="131"/>
      <c r="H36" s="91">
        <f>SUM(H37,H44,H48,H51)</f>
        <v>18420</v>
      </c>
      <c r="I36" s="91">
        <v>18420</v>
      </c>
      <c r="J36" s="92">
        <f t="shared" si="0"/>
        <v>0</v>
      </c>
      <c r="K36" s="351"/>
      <c r="L36" s="391"/>
      <c r="M36" s="392"/>
      <c r="N36" s="720"/>
    </row>
    <row r="37" spans="1:15">
      <c r="A37" s="63"/>
      <c r="B37" s="65"/>
      <c r="C37" s="65"/>
      <c r="D37" s="65"/>
      <c r="E37" s="65"/>
      <c r="F37" s="136" t="s">
        <v>35</v>
      </c>
      <c r="G37" s="140"/>
      <c r="H37" s="72">
        <f>SUM(H38,H40)</f>
        <v>6320</v>
      </c>
      <c r="I37" s="72">
        <v>6320</v>
      </c>
      <c r="J37" s="98">
        <f t="shared" si="0"/>
        <v>0</v>
      </c>
      <c r="K37" s="383"/>
      <c r="L37" s="384"/>
      <c r="M37" s="398"/>
      <c r="N37" s="720"/>
    </row>
    <row r="38" spans="1:15">
      <c r="A38" s="55"/>
      <c r="B38" s="57"/>
      <c r="C38" s="65"/>
      <c r="D38" s="65"/>
      <c r="E38" s="65"/>
      <c r="F38" s="191"/>
      <c r="G38" s="205" t="s">
        <v>36</v>
      </c>
      <c r="H38" s="206">
        <f>M38</f>
        <v>2000</v>
      </c>
      <c r="I38" s="206">
        <v>2000</v>
      </c>
      <c r="J38" s="41">
        <f t="shared" si="0"/>
        <v>0</v>
      </c>
      <c r="K38" s="386" t="s">
        <v>47</v>
      </c>
      <c r="L38" s="412"/>
      <c r="M38" s="388">
        <f>SUM(M39:M39)</f>
        <v>2000</v>
      </c>
    </row>
    <row r="39" spans="1:15">
      <c r="A39" s="55"/>
      <c r="B39" s="57"/>
      <c r="C39" s="65"/>
      <c r="D39" s="65"/>
      <c r="E39" s="65"/>
      <c r="F39" s="56"/>
      <c r="G39" s="56"/>
      <c r="H39" s="100"/>
      <c r="I39" s="100"/>
      <c r="J39" s="102"/>
      <c r="K39" s="586" t="s">
        <v>683</v>
      </c>
      <c r="L39" s="378" t="s">
        <v>37</v>
      </c>
      <c r="M39" s="374">
        <v>2000</v>
      </c>
      <c r="O39" s="575"/>
    </row>
    <row r="40" spans="1:15">
      <c r="A40" s="55"/>
      <c r="B40" s="57"/>
      <c r="C40" s="65"/>
      <c r="D40" s="65"/>
      <c r="E40" s="65"/>
      <c r="F40" s="56"/>
      <c r="G40" s="205" t="s">
        <v>306</v>
      </c>
      <c r="H40" s="206">
        <f>M40</f>
        <v>4320</v>
      </c>
      <c r="I40" s="206">
        <v>4320</v>
      </c>
      <c r="J40" s="207">
        <f>H40-I40</f>
        <v>0</v>
      </c>
      <c r="K40" s="386" t="s">
        <v>307</v>
      </c>
      <c r="L40" s="521"/>
      <c r="M40" s="388">
        <f>M43</f>
        <v>4320</v>
      </c>
    </row>
    <row r="41" spans="1:15">
      <c r="A41" s="55"/>
      <c r="B41" s="57"/>
      <c r="C41" s="65"/>
      <c r="D41" s="65"/>
      <c r="E41" s="65"/>
      <c r="F41" s="56"/>
      <c r="G41" s="56"/>
      <c r="H41" s="100"/>
      <c r="I41" s="100"/>
      <c r="J41" s="102"/>
      <c r="K41" s="382" t="s">
        <v>714</v>
      </c>
      <c r="L41" s="378" t="s">
        <v>0</v>
      </c>
      <c r="M41" s="374">
        <v>2592</v>
      </c>
      <c r="N41" s="603"/>
    </row>
    <row r="42" spans="1:15">
      <c r="A42" s="55"/>
      <c r="B42" s="57"/>
      <c r="C42" s="65"/>
      <c r="D42" s="65"/>
      <c r="E42" s="65"/>
      <c r="F42" s="56"/>
      <c r="G42" s="56"/>
      <c r="H42" s="100"/>
      <c r="I42" s="100"/>
      <c r="J42" s="102"/>
      <c r="K42" s="604" t="s">
        <v>703</v>
      </c>
      <c r="L42" s="378"/>
      <c r="M42" s="379"/>
      <c r="N42" s="603"/>
    </row>
    <row r="43" spans="1:15">
      <c r="A43" s="63"/>
      <c r="B43" s="65"/>
      <c r="C43" s="65"/>
      <c r="D43" s="65"/>
      <c r="E43" s="65"/>
      <c r="F43" s="56"/>
      <c r="G43" s="56"/>
      <c r="H43" s="100"/>
      <c r="I43" s="100"/>
      <c r="J43" s="102"/>
      <c r="K43" s="380" t="s">
        <v>715</v>
      </c>
      <c r="L43" s="373" t="s">
        <v>37</v>
      </c>
      <c r="M43" s="374">
        <v>4320</v>
      </c>
    </row>
    <row r="44" spans="1:15">
      <c r="A44" s="63"/>
      <c r="B44" s="65"/>
      <c r="C44" s="65"/>
      <c r="D44" s="65"/>
      <c r="E44" s="65"/>
      <c r="F44" s="702" t="s">
        <v>40</v>
      </c>
      <c r="G44" s="703"/>
      <c r="H44" s="151">
        <f>H45</f>
        <v>9000</v>
      </c>
      <c r="I44" s="151">
        <v>9000</v>
      </c>
      <c r="J44" s="152">
        <f>H44-I44</f>
        <v>0</v>
      </c>
      <c r="K44" s="587"/>
      <c r="L44" s="588"/>
      <c r="M44" s="385"/>
    </row>
    <row r="45" spans="1:15">
      <c r="A45" s="63"/>
      <c r="B45" s="65"/>
      <c r="C45" s="65"/>
      <c r="D45" s="65"/>
      <c r="E45" s="65"/>
      <c r="F45" s="109"/>
      <c r="G45" s="198" t="s">
        <v>41</v>
      </c>
      <c r="H45" s="209">
        <f>M45</f>
        <v>9000</v>
      </c>
      <c r="I45" s="206">
        <v>9000</v>
      </c>
      <c r="J45" s="201">
        <f>H45-I45</f>
        <v>0</v>
      </c>
      <c r="K45" s="386" t="s">
        <v>49</v>
      </c>
      <c r="L45" s="589"/>
      <c r="M45" s="388">
        <f>SUM(M46:M47)</f>
        <v>9000</v>
      </c>
    </row>
    <row r="46" spans="1:15">
      <c r="A46" s="63"/>
      <c r="B46" s="65"/>
      <c r="C46" s="65"/>
      <c r="D46" s="65"/>
      <c r="E46" s="65"/>
      <c r="F46" s="193"/>
      <c r="G46" s="193"/>
      <c r="H46" s="100"/>
      <c r="I46" s="104"/>
      <c r="J46" s="102"/>
      <c r="K46" s="382" t="s">
        <v>686</v>
      </c>
      <c r="L46" s="418" t="s">
        <v>0</v>
      </c>
      <c r="M46" s="374">
        <v>2400</v>
      </c>
      <c r="O46" s="575"/>
    </row>
    <row r="47" spans="1:15">
      <c r="A47" s="63"/>
      <c r="B47" s="65"/>
      <c r="C47" s="65"/>
      <c r="D47" s="65"/>
      <c r="E47" s="65"/>
      <c r="F47" s="193"/>
      <c r="G47" s="193"/>
      <c r="H47" s="100"/>
      <c r="I47" s="104"/>
      <c r="J47" s="102"/>
      <c r="K47" s="380" t="s">
        <v>687</v>
      </c>
      <c r="L47" s="519" t="s">
        <v>0</v>
      </c>
      <c r="M47" s="374">
        <v>6600</v>
      </c>
      <c r="O47" s="575"/>
    </row>
    <row r="48" spans="1:15">
      <c r="A48" s="63"/>
      <c r="B48" s="65"/>
      <c r="C48" s="65"/>
      <c r="D48" s="65"/>
      <c r="E48" s="65"/>
      <c r="F48" s="702" t="s">
        <v>42</v>
      </c>
      <c r="G48" s="703"/>
      <c r="H48" s="151">
        <f>H49</f>
        <v>1500</v>
      </c>
      <c r="I48" s="151">
        <v>1500</v>
      </c>
      <c r="J48" s="152">
        <f>H48-I48</f>
        <v>0</v>
      </c>
      <c r="K48" s="587"/>
      <c r="L48" s="588"/>
      <c r="M48" s="385"/>
    </row>
    <row r="49" spans="1:15">
      <c r="A49" s="63"/>
      <c r="B49" s="65"/>
      <c r="C49" s="65"/>
      <c r="D49" s="65"/>
      <c r="E49" s="65"/>
      <c r="F49" s="193"/>
      <c r="G49" s="109" t="s">
        <v>43</v>
      </c>
      <c r="H49" s="209">
        <f>M49</f>
        <v>1500</v>
      </c>
      <c r="I49" s="209">
        <v>1500</v>
      </c>
      <c r="J49" s="201">
        <f>H49-I49</f>
        <v>0</v>
      </c>
      <c r="K49" s="386" t="s">
        <v>503</v>
      </c>
      <c r="L49" s="412"/>
      <c r="M49" s="388">
        <f>SUM(M50)</f>
        <v>1500</v>
      </c>
    </row>
    <row r="50" spans="1:15">
      <c r="A50" s="314"/>
      <c r="B50" s="315"/>
      <c r="C50" s="315"/>
      <c r="D50" s="315"/>
      <c r="E50" s="315"/>
      <c r="F50" s="194"/>
      <c r="G50" s="194"/>
      <c r="H50" s="103"/>
      <c r="I50" s="154"/>
      <c r="J50" s="154"/>
      <c r="K50" s="518" t="s">
        <v>688</v>
      </c>
      <c r="L50" s="519" t="s">
        <v>0</v>
      </c>
      <c r="M50" s="374">
        <v>1500</v>
      </c>
      <c r="O50" s="575"/>
    </row>
    <row r="51" spans="1:15">
      <c r="A51" s="63"/>
      <c r="B51" s="65"/>
      <c r="C51" s="65"/>
      <c r="D51" s="65"/>
      <c r="E51" s="65"/>
      <c r="F51" s="330" t="s">
        <v>87</v>
      </c>
      <c r="G51" s="70"/>
      <c r="H51" s="71">
        <f>SUM(H52,H55)</f>
        <v>1600</v>
      </c>
      <c r="I51" s="71">
        <v>1600</v>
      </c>
      <c r="J51" s="145">
        <f>H51-I51</f>
        <v>0</v>
      </c>
      <c r="K51" s="525"/>
      <c r="L51" s="526"/>
      <c r="M51" s="385"/>
    </row>
    <row r="52" spans="1:15">
      <c r="A52" s="63"/>
      <c r="B52" s="65"/>
      <c r="C52" s="65"/>
      <c r="D52" s="65"/>
      <c r="E52" s="65"/>
      <c r="F52" s="65"/>
      <c r="G52" s="65" t="s">
        <v>716</v>
      </c>
      <c r="H52" s="75">
        <f>M52</f>
        <v>400</v>
      </c>
      <c r="I52" s="75">
        <v>400</v>
      </c>
      <c r="J52" s="48">
        <f>H52-I52</f>
        <v>0</v>
      </c>
      <c r="K52" s="386" t="s">
        <v>718</v>
      </c>
      <c r="L52" s="411"/>
      <c r="M52" s="388">
        <f>M54</f>
        <v>400</v>
      </c>
      <c r="N52" s="603"/>
    </row>
    <row r="53" spans="1:15">
      <c r="A53" s="63"/>
      <c r="B53" s="65"/>
      <c r="C53" s="65"/>
      <c r="D53" s="65"/>
      <c r="E53" s="65"/>
      <c r="F53" s="65"/>
      <c r="G53" s="65"/>
      <c r="H53" s="75"/>
      <c r="I53" s="75"/>
      <c r="J53" s="48"/>
      <c r="K53" s="604" t="s">
        <v>703</v>
      </c>
      <c r="L53" s="410"/>
      <c r="M53" s="379"/>
      <c r="N53" s="603"/>
    </row>
    <row r="54" spans="1:15">
      <c r="A54" s="63"/>
      <c r="B54" s="65"/>
      <c r="C54" s="65"/>
      <c r="D54" s="65"/>
      <c r="E54" s="65"/>
      <c r="F54" s="105"/>
      <c r="G54" s="194"/>
      <c r="H54" s="108"/>
      <c r="I54" s="224"/>
      <c r="J54" s="155"/>
      <c r="K54" s="216" t="s">
        <v>717</v>
      </c>
      <c r="L54" s="203" t="s">
        <v>0</v>
      </c>
      <c r="M54" s="195">
        <v>400</v>
      </c>
      <c r="N54" s="603"/>
    </row>
    <row r="55" spans="1:15">
      <c r="A55" s="63"/>
      <c r="B55" s="65"/>
      <c r="C55" s="65"/>
      <c r="D55" s="65"/>
      <c r="E55" s="65"/>
      <c r="F55" s="65"/>
      <c r="G55" s="65" t="s">
        <v>91</v>
      </c>
      <c r="H55" s="75">
        <f>M55</f>
        <v>1200</v>
      </c>
      <c r="I55" s="75">
        <v>1200</v>
      </c>
      <c r="J55" s="48">
        <f>H55-I55</f>
        <v>0</v>
      </c>
      <c r="K55" s="356" t="s">
        <v>383</v>
      </c>
      <c r="L55" s="410"/>
      <c r="M55" s="379">
        <f>M56</f>
        <v>1200</v>
      </c>
    </row>
    <row r="56" spans="1:15" ht="17.25" thickBot="1">
      <c r="A56" s="287"/>
      <c r="B56" s="69"/>
      <c r="C56" s="69"/>
      <c r="D56" s="69"/>
      <c r="E56" s="69"/>
      <c r="F56" s="332"/>
      <c r="G56" s="199"/>
      <c r="H56" s="333"/>
      <c r="I56" s="334"/>
      <c r="J56" s="335"/>
      <c r="K56" s="230" t="s">
        <v>627</v>
      </c>
      <c r="L56" s="231" t="s">
        <v>0</v>
      </c>
      <c r="M56" s="240">
        <v>1200</v>
      </c>
    </row>
  </sheetData>
  <autoFilter ref="A3:M56">
    <filterColumn colId="10" showButton="0"/>
    <filterColumn colId="11" showButton="0"/>
  </autoFilter>
  <mergeCells count="10">
    <mergeCell ref="K2:M3"/>
    <mergeCell ref="A4:G4"/>
    <mergeCell ref="F44:G44"/>
    <mergeCell ref="F48:G48"/>
    <mergeCell ref="A2:A3"/>
    <mergeCell ref="B2:D2"/>
    <mergeCell ref="E2:G2"/>
    <mergeCell ref="H2:H3"/>
    <mergeCell ref="I2:I3"/>
    <mergeCell ref="J2:J3"/>
  </mergeCells>
  <phoneticPr fontId="12" type="noConversion"/>
  <conditionalFormatting sqref="J49:J50 J33">
    <cfRule type="containsText" dxfId="2399" priority="181" operator="containsText" text="허하나로">
      <formula>NOT(ISERROR(SEARCH("허하나로",H1062)))</formula>
    </cfRule>
    <cfRule type="containsText" dxfId="2398" priority="182" operator="containsText" text="한별">
      <formula>NOT(ISERROR(SEARCH("한별",H1062)))</formula>
    </cfRule>
    <cfRule type="containsText" dxfId="2397" priority="183" operator="containsText" text="정홍조">
      <formula>NOT(ISERROR(SEARCH("정홍조",H1062)))</formula>
    </cfRule>
    <cfRule type="containsText" dxfId="2396" priority="184" operator="containsText" text="김지윤">
      <formula>NOT(ISERROR(SEARCH("김지윤",H1062)))</formula>
    </cfRule>
    <cfRule type="containsText" dxfId="2395" priority="185" operator="containsText" text="전준영">
      <formula>NOT(ISERROR(SEARCH("전준영",H1062)))</formula>
    </cfRule>
    <cfRule type="containsText" dxfId="2394" priority="186" operator="containsText" text="차재성">
      <formula>NOT(ISERROR(SEARCH("차재성",H1062)))</formula>
    </cfRule>
  </conditionalFormatting>
  <conditionalFormatting sqref="J6">
    <cfRule type="containsText" dxfId="2393" priority="193" operator="containsText" text="허하나로">
      <formula>NOT(ISERROR(SEARCH("허하나로",H715)))</formula>
    </cfRule>
    <cfRule type="containsText" dxfId="2392" priority="194" operator="containsText" text="한별">
      <formula>NOT(ISERROR(SEARCH("한별",H715)))</formula>
    </cfRule>
    <cfRule type="containsText" dxfId="2391" priority="195" operator="containsText" text="정홍조">
      <formula>NOT(ISERROR(SEARCH("정홍조",H715)))</formula>
    </cfRule>
    <cfRule type="containsText" dxfId="2390" priority="196" operator="containsText" text="김지윤">
      <formula>NOT(ISERROR(SEARCH("김지윤",H715)))</formula>
    </cfRule>
    <cfRule type="containsText" dxfId="2389" priority="197" operator="containsText" text="전준영">
      <formula>NOT(ISERROR(SEARCH("전준영",H715)))</formula>
    </cfRule>
    <cfRule type="containsText" dxfId="2388" priority="198" operator="containsText" text="차재성">
      <formula>NOT(ISERROR(SEARCH("차재성",H715)))</formula>
    </cfRule>
  </conditionalFormatting>
  <conditionalFormatting sqref="J5">
    <cfRule type="containsText" dxfId="2387" priority="187" operator="containsText" text="허하나로">
      <formula>NOT(ISERROR(SEARCH("허하나로",H714)))</formula>
    </cfRule>
    <cfRule type="containsText" dxfId="2386" priority="188" operator="containsText" text="한별">
      <formula>NOT(ISERROR(SEARCH("한별",H714)))</formula>
    </cfRule>
    <cfRule type="containsText" dxfId="2385" priority="189" operator="containsText" text="정홍조">
      <formula>NOT(ISERROR(SEARCH("정홍조",H714)))</formula>
    </cfRule>
    <cfRule type="containsText" dxfId="2384" priority="190" operator="containsText" text="김지윤">
      <formula>NOT(ISERROR(SEARCH("김지윤",H714)))</formula>
    </cfRule>
    <cfRule type="containsText" dxfId="2383" priority="191" operator="containsText" text="전준영">
      <formula>NOT(ISERROR(SEARCH("전준영",H714)))</formula>
    </cfRule>
    <cfRule type="containsText" dxfId="2382" priority="192" operator="containsText" text="차재성">
      <formula>NOT(ISERROR(SEARCH("차재성",H714)))</formula>
    </cfRule>
  </conditionalFormatting>
  <conditionalFormatting sqref="J34">
    <cfRule type="containsText" dxfId="2381" priority="175" operator="containsText" text="허하나로">
      <formula>NOT(ISERROR(SEARCH("허하나로",H848)))</formula>
    </cfRule>
    <cfRule type="containsText" dxfId="2380" priority="176" operator="containsText" text="한별">
      <formula>NOT(ISERROR(SEARCH("한별",H848)))</formula>
    </cfRule>
    <cfRule type="containsText" dxfId="2379" priority="177" operator="containsText" text="정홍조">
      <formula>NOT(ISERROR(SEARCH("정홍조",H848)))</formula>
    </cfRule>
    <cfRule type="containsText" dxfId="2378" priority="178" operator="containsText" text="김지윤">
      <formula>NOT(ISERROR(SEARCH("김지윤",H848)))</formula>
    </cfRule>
    <cfRule type="containsText" dxfId="2377" priority="179" operator="containsText" text="전준영">
      <formula>NOT(ISERROR(SEARCH("전준영",H848)))</formula>
    </cfRule>
    <cfRule type="containsText" dxfId="2376" priority="180" operator="containsText" text="차재성">
      <formula>NOT(ISERROR(SEARCH("차재성",H848)))</formula>
    </cfRule>
  </conditionalFormatting>
  <conditionalFormatting sqref="J37:J38">
    <cfRule type="containsText" dxfId="2375" priority="169" operator="containsText" text="허하나로">
      <formula>NOT(ISERROR(SEARCH("허하나로",H1056)))</formula>
    </cfRule>
    <cfRule type="containsText" dxfId="2374" priority="170" operator="containsText" text="한별">
      <formula>NOT(ISERROR(SEARCH("한별",H1056)))</formula>
    </cfRule>
    <cfRule type="containsText" dxfId="2373" priority="171" operator="containsText" text="정홍조">
      <formula>NOT(ISERROR(SEARCH("정홍조",H1056)))</formula>
    </cfRule>
    <cfRule type="containsText" dxfId="2372" priority="172" operator="containsText" text="김지윤">
      <formula>NOT(ISERROR(SEARCH("김지윤",H1056)))</formula>
    </cfRule>
    <cfRule type="containsText" dxfId="2371" priority="173" operator="containsText" text="전준영">
      <formula>NOT(ISERROR(SEARCH("전준영",H1056)))</formula>
    </cfRule>
    <cfRule type="containsText" dxfId="2370" priority="174" operator="containsText" text="차재성">
      <formula>NOT(ISERROR(SEARCH("차재성",H1056)))</formula>
    </cfRule>
  </conditionalFormatting>
  <conditionalFormatting sqref="J36">
    <cfRule type="containsText" dxfId="2369" priority="199" operator="containsText" text="허하나로">
      <formula>NOT(ISERROR(SEARCH("허하나로",H1045)))</formula>
    </cfRule>
    <cfRule type="containsText" dxfId="2368" priority="200" operator="containsText" text="한별">
      <formula>NOT(ISERROR(SEARCH("한별",H1045)))</formula>
    </cfRule>
    <cfRule type="containsText" dxfId="2367" priority="201" operator="containsText" text="정홍조">
      <formula>NOT(ISERROR(SEARCH("정홍조",H1045)))</formula>
    </cfRule>
    <cfRule type="containsText" dxfId="2366" priority="202" operator="containsText" text="김지윤">
      <formula>NOT(ISERROR(SEARCH("김지윤",H1045)))</formula>
    </cfRule>
    <cfRule type="containsText" dxfId="2365" priority="203" operator="containsText" text="전준영">
      <formula>NOT(ISERROR(SEARCH("전준영",H1045)))</formula>
    </cfRule>
    <cfRule type="containsText" dxfId="2364" priority="204" operator="containsText" text="차재성">
      <formula>NOT(ISERROR(SEARCH("차재성",H1045)))</formula>
    </cfRule>
  </conditionalFormatting>
  <conditionalFormatting sqref="J44:J47 J40:J41">
    <cfRule type="containsText" dxfId="2363" priority="205" operator="containsText" text="허하나로">
      <formula>NOT(ISERROR(SEARCH("허하나로",H1054)))</formula>
    </cfRule>
    <cfRule type="containsText" dxfId="2362" priority="206" operator="containsText" text="한별">
      <formula>NOT(ISERROR(SEARCH("한별",H1054)))</formula>
    </cfRule>
    <cfRule type="containsText" dxfId="2361" priority="207" operator="containsText" text="정홍조">
      <formula>NOT(ISERROR(SEARCH("정홍조",H1054)))</formula>
    </cfRule>
    <cfRule type="containsText" dxfId="2360" priority="208" operator="containsText" text="김지윤">
      <formula>NOT(ISERROR(SEARCH("김지윤",H1054)))</formula>
    </cfRule>
    <cfRule type="containsText" dxfId="2359" priority="209" operator="containsText" text="전준영">
      <formula>NOT(ISERROR(SEARCH("전준영",H1054)))</formula>
    </cfRule>
    <cfRule type="containsText" dxfId="2358" priority="210" operator="containsText" text="차재성">
      <formula>NOT(ISERROR(SEARCH("차재성",H1054)))</formula>
    </cfRule>
  </conditionalFormatting>
  <conditionalFormatting sqref="J48">
    <cfRule type="containsText" dxfId="2357" priority="163" operator="containsText" text="허하나로">
      <formula>NOT(ISERROR(SEARCH("허하나로",H1062)))</formula>
    </cfRule>
    <cfRule type="containsText" dxfId="2356" priority="164" operator="containsText" text="한별">
      <formula>NOT(ISERROR(SEARCH("한별",H1062)))</formula>
    </cfRule>
    <cfRule type="containsText" dxfId="2355" priority="165" operator="containsText" text="정홍조">
      <formula>NOT(ISERROR(SEARCH("정홍조",H1062)))</formula>
    </cfRule>
    <cfRule type="containsText" dxfId="2354" priority="166" operator="containsText" text="김지윤">
      <formula>NOT(ISERROR(SEARCH("김지윤",H1062)))</formula>
    </cfRule>
    <cfRule type="containsText" dxfId="2353" priority="167" operator="containsText" text="전준영">
      <formula>NOT(ISERROR(SEARCH("전준영",H1062)))</formula>
    </cfRule>
    <cfRule type="containsText" dxfId="2352" priority="168" operator="containsText" text="차재성">
      <formula>NOT(ISERROR(SEARCH("차재성",H1062)))</formula>
    </cfRule>
  </conditionalFormatting>
  <conditionalFormatting sqref="L45">
    <cfRule type="containsText" dxfId="2351" priority="157" operator="containsText" text="허하나로">
      <formula>NOT(ISERROR(SEARCH("허하나로",J1193)))</formula>
    </cfRule>
    <cfRule type="containsText" dxfId="2350" priority="158" operator="containsText" text="한별">
      <formula>NOT(ISERROR(SEARCH("한별",J1193)))</formula>
    </cfRule>
    <cfRule type="containsText" dxfId="2349" priority="159" operator="containsText" text="정홍조">
      <formula>NOT(ISERROR(SEARCH("정홍조",J1193)))</formula>
    </cfRule>
    <cfRule type="containsText" dxfId="2348" priority="160" operator="containsText" text="김지윤">
      <formula>NOT(ISERROR(SEARCH("김지윤",J1193)))</formula>
    </cfRule>
    <cfRule type="containsText" dxfId="2347" priority="161" operator="containsText" text="전준영">
      <formula>NOT(ISERROR(SEARCH("전준영",J1193)))</formula>
    </cfRule>
    <cfRule type="containsText" dxfId="2346" priority="162" operator="containsText" text="차재성">
      <formula>NOT(ISERROR(SEARCH("차재성",J1193)))</formula>
    </cfRule>
  </conditionalFormatting>
  <conditionalFormatting sqref="I50">
    <cfRule type="containsText" dxfId="2345" priority="151" operator="containsText" text="허하나로">
      <formula>NOT(ISERROR(SEARCH("허하나로",G1079)))</formula>
    </cfRule>
    <cfRule type="containsText" dxfId="2344" priority="152" operator="containsText" text="한별">
      <formula>NOT(ISERROR(SEARCH("한별",G1079)))</formula>
    </cfRule>
    <cfRule type="containsText" dxfId="2343" priority="153" operator="containsText" text="정홍조">
      <formula>NOT(ISERROR(SEARCH("정홍조",G1079)))</formula>
    </cfRule>
    <cfRule type="containsText" dxfId="2342" priority="154" operator="containsText" text="김지윤">
      <formula>NOT(ISERROR(SEARCH("김지윤",G1079)))</formula>
    </cfRule>
    <cfRule type="containsText" dxfId="2341" priority="155" operator="containsText" text="전준영">
      <formula>NOT(ISERROR(SEARCH("전준영",G1079)))</formula>
    </cfRule>
    <cfRule type="containsText" dxfId="2340" priority="156" operator="containsText" text="차재성">
      <formula>NOT(ISERROR(SEARCH("차재성",G1079)))</formula>
    </cfRule>
  </conditionalFormatting>
  <conditionalFormatting sqref="J43">
    <cfRule type="containsText" dxfId="2339" priority="145" operator="containsText" text="허하나로">
      <formula>NOT(ISERROR(SEARCH("허하나로",H1055)))</formula>
    </cfRule>
    <cfRule type="containsText" dxfId="2338" priority="146" operator="containsText" text="한별">
      <formula>NOT(ISERROR(SEARCH("한별",H1055)))</formula>
    </cfRule>
    <cfRule type="containsText" dxfId="2337" priority="147" operator="containsText" text="정홍조">
      <formula>NOT(ISERROR(SEARCH("정홍조",H1055)))</formula>
    </cfRule>
    <cfRule type="containsText" dxfId="2336" priority="148" operator="containsText" text="김지윤">
      <formula>NOT(ISERROR(SEARCH("김지윤",H1055)))</formula>
    </cfRule>
    <cfRule type="containsText" dxfId="2335" priority="149" operator="containsText" text="전준영">
      <formula>NOT(ISERROR(SEARCH("전준영",H1055)))</formula>
    </cfRule>
    <cfRule type="containsText" dxfId="2334" priority="150" operator="containsText" text="차재성">
      <formula>NOT(ISERROR(SEARCH("차재성",H1055)))</formula>
    </cfRule>
  </conditionalFormatting>
  <conditionalFormatting sqref="J39">
    <cfRule type="containsText" dxfId="2333" priority="211" operator="containsText" text="허하나로">
      <formula>NOT(ISERROR(SEARCH("허하나로",H1047)))</formula>
    </cfRule>
    <cfRule type="containsText" dxfId="2332" priority="212" operator="containsText" text="한별">
      <formula>NOT(ISERROR(SEARCH("한별",H1047)))</formula>
    </cfRule>
    <cfRule type="containsText" dxfId="2331" priority="213" operator="containsText" text="정홍조">
      <formula>NOT(ISERROR(SEARCH("정홍조",H1047)))</formula>
    </cfRule>
    <cfRule type="containsText" dxfId="2330" priority="214" operator="containsText" text="김지윤">
      <formula>NOT(ISERROR(SEARCH("김지윤",H1047)))</formula>
    </cfRule>
    <cfRule type="containsText" dxfId="2329" priority="215" operator="containsText" text="전준영">
      <formula>NOT(ISERROR(SEARCH("전준영",H1047)))</formula>
    </cfRule>
    <cfRule type="containsText" dxfId="2328" priority="216" operator="containsText" text="차재성">
      <formula>NOT(ISERROR(SEARCH("차재성",H1047)))</formula>
    </cfRule>
  </conditionalFormatting>
  <conditionalFormatting sqref="J2:J3">
    <cfRule type="containsText" dxfId="2327" priority="127" operator="containsText" text="허하나로">
      <formula>NOT(ISERROR(SEARCH("허하나로",H794)))</formula>
    </cfRule>
    <cfRule type="containsText" dxfId="2326" priority="128" operator="containsText" text="한별">
      <formula>NOT(ISERROR(SEARCH("한별",H794)))</formula>
    </cfRule>
    <cfRule type="containsText" dxfId="2325" priority="129" operator="containsText" text="정홍조">
      <formula>NOT(ISERROR(SEARCH("정홍조",H794)))</formula>
    </cfRule>
    <cfRule type="containsText" dxfId="2324" priority="130" operator="containsText" text="김지윤">
      <formula>NOT(ISERROR(SEARCH("김지윤",H794)))</formula>
    </cfRule>
    <cfRule type="containsText" dxfId="2323" priority="131" operator="containsText" text="전준영">
      <formula>NOT(ISERROR(SEARCH("전준영",H794)))</formula>
    </cfRule>
    <cfRule type="containsText" dxfId="2322" priority="132" operator="containsText" text="차재성">
      <formula>NOT(ISERROR(SEARCH("차재성",H794)))</formula>
    </cfRule>
  </conditionalFormatting>
  <conditionalFormatting sqref="J42">
    <cfRule type="containsText" dxfId="2321" priority="5011" operator="containsText" text="허하나로">
      <formula>NOT(ISERROR(SEARCH("허하나로",H1055)))</formula>
    </cfRule>
    <cfRule type="containsText" dxfId="2320" priority="5012" operator="containsText" text="한별">
      <formula>NOT(ISERROR(SEARCH("한별",H1055)))</formula>
    </cfRule>
    <cfRule type="containsText" dxfId="2319" priority="5013" operator="containsText" text="정홍조">
      <formula>NOT(ISERROR(SEARCH("정홍조",H1055)))</formula>
    </cfRule>
    <cfRule type="containsText" dxfId="2318" priority="5014" operator="containsText" text="김지윤">
      <formula>NOT(ISERROR(SEARCH("김지윤",H1055)))</formula>
    </cfRule>
    <cfRule type="containsText" dxfId="2317" priority="5015" operator="containsText" text="전준영">
      <formula>NOT(ISERROR(SEARCH("전준영",H1055)))</formula>
    </cfRule>
    <cfRule type="containsText" dxfId="2316" priority="5016" operator="containsText" text="차재성">
      <formula>NOT(ISERROR(SEARCH("차재성",H1055)))</formula>
    </cfRule>
  </conditionalFormatting>
  <conditionalFormatting sqref="J7">
    <cfRule type="containsText" dxfId="2315" priority="61" operator="containsText" text="허하나로">
      <formula>NOT(ISERROR(SEARCH("허하나로",H851)))</formula>
    </cfRule>
    <cfRule type="containsText" dxfId="2314" priority="62" operator="containsText" text="한별">
      <formula>NOT(ISERROR(SEARCH("한별",H851)))</formula>
    </cfRule>
    <cfRule type="containsText" dxfId="2313" priority="63" operator="containsText" text="정홍조">
      <formula>NOT(ISERROR(SEARCH("정홍조",H851)))</formula>
    </cfRule>
    <cfRule type="containsText" dxfId="2312" priority="64" operator="containsText" text="김지윤">
      <formula>NOT(ISERROR(SEARCH("김지윤",H851)))</formula>
    </cfRule>
    <cfRule type="containsText" dxfId="2311" priority="65" operator="containsText" text="전준영">
      <formula>NOT(ISERROR(SEARCH("전준영",H851)))</formula>
    </cfRule>
    <cfRule type="containsText" dxfId="2310" priority="66" operator="containsText" text="차재성">
      <formula>NOT(ISERROR(SEARCH("차재성",H851)))</formula>
    </cfRule>
  </conditionalFormatting>
  <conditionalFormatting sqref="J23:J26">
    <cfRule type="containsText" dxfId="2309" priority="55" operator="containsText" text="허하나로">
      <formula>NOT(ISERROR(SEARCH("허하나로",H1071)))</formula>
    </cfRule>
    <cfRule type="containsText" dxfId="2308" priority="56" operator="containsText" text="한별">
      <formula>NOT(ISERROR(SEARCH("한별",H1071)))</formula>
    </cfRule>
    <cfRule type="containsText" dxfId="2307" priority="57" operator="containsText" text="정홍조">
      <formula>NOT(ISERROR(SEARCH("정홍조",H1071)))</formula>
    </cfRule>
    <cfRule type="containsText" dxfId="2306" priority="58" operator="containsText" text="김지윤">
      <formula>NOT(ISERROR(SEARCH("김지윤",H1071)))</formula>
    </cfRule>
    <cfRule type="containsText" dxfId="2305" priority="59" operator="containsText" text="전준영">
      <formula>NOT(ISERROR(SEARCH("전준영",H1071)))</formula>
    </cfRule>
    <cfRule type="containsText" dxfId="2304" priority="60" operator="containsText" text="차재성">
      <formula>NOT(ISERROR(SEARCH("차재성",H1071)))</formula>
    </cfRule>
  </conditionalFormatting>
  <conditionalFormatting sqref="J9">
    <cfRule type="containsText" dxfId="2303" priority="67" operator="containsText" text="허하나로">
      <formula>NOT(ISERROR(SEARCH("허하나로",H1048)))</formula>
    </cfRule>
    <cfRule type="containsText" dxfId="2302" priority="68" operator="containsText" text="한별">
      <formula>NOT(ISERROR(SEARCH("한별",H1048)))</formula>
    </cfRule>
    <cfRule type="containsText" dxfId="2301" priority="69" operator="containsText" text="정홍조">
      <formula>NOT(ISERROR(SEARCH("정홍조",H1048)))</formula>
    </cfRule>
    <cfRule type="containsText" dxfId="2300" priority="70" operator="containsText" text="김지윤">
      <formula>NOT(ISERROR(SEARCH("김지윤",H1048)))</formula>
    </cfRule>
    <cfRule type="containsText" dxfId="2299" priority="71" operator="containsText" text="전준영">
      <formula>NOT(ISERROR(SEARCH("전준영",H1048)))</formula>
    </cfRule>
    <cfRule type="containsText" dxfId="2298" priority="72" operator="containsText" text="차재성">
      <formula>NOT(ISERROR(SEARCH("차재성",H1048)))</formula>
    </cfRule>
  </conditionalFormatting>
  <conditionalFormatting sqref="J16">
    <cfRule type="containsText" dxfId="2297" priority="73" operator="containsText" text="허하나로">
      <formula>NOT(ISERROR(SEARCH("허하나로",H1051)))</formula>
    </cfRule>
    <cfRule type="containsText" dxfId="2296" priority="74" operator="containsText" text="한별">
      <formula>NOT(ISERROR(SEARCH("한별",H1051)))</formula>
    </cfRule>
    <cfRule type="containsText" dxfId="2295" priority="75" operator="containsText" text="정홍조">
      <formula>NOT(ISERROR(SEARCH("정홍조",H1051)))</formula>
    </cfRule>
    <cfRule type="containsText" dxfId="2294" priority="76" operator="containsText" text="김지윤">
      <formula>NOT(ISERROR(SEARCH("김지윤",H1051)))</formula>
    </cfRule>
    <cfRule type="containsText" dxfId="2293" priority="77" operator="containsText" text="전준영">
      <formula>NOT(ISERROR(SEARCH("전준영",H1051)))</formula>
    </cfRule>
    <cfRule type="containsText" dxfId="2292" priority="78" operator="containsText" text="차재성">
      <formula>NOT(ISERROR(SEARCH("차재성",H1051)))</formula>
    </cfRule>
  </conditionalFormatting>
  <conditionalFormatting sqref="J13:J15">
    <cfRule type="containsText" dxfId="2291" priority="49" operator="containsText" text="허하나로">
      <formula>NOT(ISERROR(SEARCH("허하나로",H1049)))</formula>
    </cfRule>
    <cfRule type="containsText" dxfId="2290" priority="50" operator="containsText" text="한별">
      <formula>NOT(ISERROR(SEARCH("한별",H1049)))</formula>
    </cfRule>
    <cfRule type="containsText" dxfId="2289" priority="51" operator="containsText" text="정홍조">
      <formula>NOT(ISERROR(SEARCH("정홍조",H1049)))</formula>
    </cfRule>
    <cfRule type="containsText" dxfId="2288" priority="52" operator="containsText" text="김지윤">
      <formula>NOT(ISERROR(SEARCH("김지윤",H1049)))</formula>
    </cfRule>
    <cfRule type="containsText" dxfId="2287" priority="53" operator="containsText" text="전준영">
      <formula>NOT(ISERROR(SEARCH("전준영",H1049)))</formula>
    </cfRule>
    <cfRule type="containsText" dxfId="2286" priority="54" operator="containsText" text="차재성">
      <formula>NOT(ISERROR(SEARCH("차재성",H1049)))</formula>
    </cfRule>
  </conditionalFormatting>
  <conditionalFormatting sqref="J17:J18">
    <cfRule type="containsText" dxfId="2285" priority="43" operator="containsText" text="허하나로">
      <formula>NOT(ISERROR(SEARCH("허하나로",H1064)))</formula>
    </cfRule>
    <cfRule type="containsText" dxfId="2284" priority="44" operator="containsText" text="한별">
      <formula>NOT(ISERROR(SEARCH("한별",H1064)))</formula>
    </cfRule>
    <cfRule type="containsText" dxfId="2283" priority="45" operator="containsText" text="정홍조">
      <formula>NOT(ISERROR(SEARCH("정홍조",H1064)))</formula>
    </cfRule>
    <cfRule type="containsText" dxfId="2282" priority="46" operator="containsText" text="김지윤">
      <formula>NOT(ISERROR(SEARCH("김지윤",H1064)))</formula>
    </cfRule>
    <cfRule type="containsText" dxfId="2281" priority="47" operator="containsText" text="전준영">
      <formula>NOT(ISERROR(SEARCH("전준영",H1064)))</formula>
    </cfRule>
    <cfRule type="containsText" dxfId="2280" priority="48" operator="containsText" text="차재성">
      <formula>NOT(ISERROR(SEARCH("차재성",H1064)))</formula>
    </cfRule>
  </conditionalFormatting>
  <conditionalFormatting sqref="J31:J32">
    <cfRule type="containsText" dxfId="2279" priority="37" operator="containsText" text="허하나로">
      <formula>NOT(ISERROR(SEARCH("허하나로",H1062)))</formula>
    </cfRule>
    <cfRule type="containsText" dxfId="2278" priority="38" operator="containsText" text="한별">
      <formula>NOT(ISERROR(SEARCH("한별",H1062)))</formula>
    </cfRule>
    <cfRule type="containsText" dxfId="2277" priority="39" operator="containsText" text="정홍조">
      <formula>NOT(ISERROR(SEARCH("정홍조",H1062)))</formula>
    </cfRule>
    <cfRule type="containsText" dxfId="2276" priority="40" operator="containsText" text="김지윤">
      <formula>NOT(ISERROR(SEARCH("김지윤",H1062)))</formula>
    </cfRule>
    <cfRule type="containsText" dxfId="2275" priority="41" operator="containsText" text="전준영">
      <formula>NOT(ISERROR(SEARCH("전준영",H1062)))</formula>
    </cfRule>
    <cfRule type="containsText" dxfId="2274" priority="42" operator="containsText" text="차재성">
      <formula>NOT(ISERROR(SEARCH("차재성",H1062)))</formula>
    </cfRule>
  </conditionalFormatting>
  <conditionalFormatting sqref="J27">
    <cfRule type="containsText" dxfId="2273" priority="25" operator="containsText" text="허하나로">
      <formula>NOT(ISERROR(SEARCH("허하나로",H1074)))</formula>
    </cfRule>
    <cfRule type="containsText" dxfId="2272" priority="26" operator="containsText" text="한별">
      <formula>NOT(ISERROR(SEARCH("한별",H1074)))</formula>
    </cfRule>
    <cfRule type="containsText" dxfId="2271" priority="27" operator="containsText" text="정홍조">
      <formula>NOT(ISERROR(SEARCH("정홍조",H1074)))</formula>
    </cfRule>
    <cfRule type="containsText" dxfId="2270" priority="28" operator="containsText" text="김지윤">
      <formula>NOT(ISERROR(SEARCH("김지윤",H1074)))</formula>
    </cfRule>
    <cfRule type="containsText" dxfId="2269" priority="29" operator="containsText" text="전준영">
      <formula>NOT(ISERROR(SEARCH("전준영",H1074)))</formula>
    </cfRule>
    <cfRule type="containsText" dxfId="2268" priority="30" operator="containsText" text="차재성">
      <formula>NOT(ISERROR(SEARCH("차재성",H1074)))</formula>
    </cfRule>
  </conditionalFormatting>
  <conditionalFormatting sqref="J22">
    <cfRule type="containsText" dxfId="2267" priority="31" operator="containsText" text="허하나로">
      <formula>NOT(ISERROR(SEARCH("허하나로",H1060)))</formula>
    </cfRule>
    <cfRule type="containsText" dxfId="2266" priority="32" operator="containsText" text="한별">
      <formula>NOT(ISERROR(SEARCH("한별",H1060)))</formula>
    </cfRule>
    <cfRule type="containsText" dxfId="2265" priority="33" operator="containsText" text="정홍조">
      <formula>NOT(ISERROR(SEARCH("정홍조",H1060)))</formula>
    </cfRule>
    <cfRule type="containsText" dxfId="2264" priority="34" operator="containsText" text="김지윤">
      <formula>NOT(ISERROR(SEARCH("김지윤",H1060)))</formula>
    </cfRule>
    <cfRule type="containsText" dxfId="2263" priority="35" operator="containsText" text="전준영">
      <formula>NOT(ISERROR(SEARCH("전준영",H1060)))</formula>
    </cfRule>
    <cfRule type="containsText" dxfId="2262" priority="36" operator="containsText" text="차재성">
      <formula>NOT(ISERROR(SEARCH("차재성",H1060)))</formula>
    </cfRule>
  </conditionalFormatting>
  <conditionalFormatting sqref="J10:J12">
    <cfRule type="containsText" dxfId="2261" priority="5509" operator="containsText" text="허하나로">
      <formula>NOT(ISERROR(SEARCH("허하나로",H1059)))</formula>
    </cfRule>
    <cfRule type="containsText" dxfId="2260" priority="5510" operator="containsText" text="한별">
      <formula>NOT(ISERROR(SEARCH("한별",H1059)))</formula>
    </cfRule>
    <cfRule type="containsText" dxfId="2259" priority="5511" operator="containsText" text="정홍조">
      <formula>NOT(ISERROR(SEARCH("정홍조",H1059)))</formula>
    </cfRule>
    <cfRule type="containsText" dxfId="2258" priority="5512" operator="containsText" text="김지윤">
      <formula>NOT(ISERROR(SEARCH("김지윤",H1059)))</formula>
    </cfRule>
    <cfRule type="containsText" dxfId="2257" priority="5513" operator="containsText" text="전준영">
      <formula>NOT(ISERROR(SEARCH("전준영",H1059)))</formula>
    </cfRule>
    <cfRule type="containsText" dxfId="2256" priority="5514" operator="containsText" text="차재성">
      <formula>NOT(ISERROR(SEARCH("차재성",H1059)))</formula>
    </cfRule>
  </conditionalFormatting>
  <conditionalFormatting sqref="J19">
    <cfRule type="containsText" dxfId="2255" priority="5521" operator="containsText" text="허하나로">
      <formula>NOT(ISERROR(SEARCH("허하나로",H1053)))</formula>
    </cfRule>
    <cfRule type="containsText" dxfId="2254" priority="5522" operator="containsText" text="한별">
      <formula>NOT(ISERROR(SEARCH("한별",H1053)))</formula>
    </cfRule>
    <cfRule type="containsText" dxfId="2253" priority="5523" operator="containsText" text="정홍조">
      <formula>NOT(ISERROR(SEARCH("정홍조",H1053)))</formula>
    </cfRule>
    <cfRule type="containsText" dxfId="2252" priority="5524" operator="containsText" text="김지윤">
      <formula>NOT(ISERROR(SEARCH("김지윤",H1053)))</formula>
    </cfRule>
    <cfRule type="containsText" dxfId="2251" priority="5525" operator="containsText" text="전준영">
      <formula>NOT(ISERROR(SEARCH("전준영",H1053)))</formula>
    </cfRule>
    <cfRule type="containsText" dxfId="2250" priority="5526" operator="containsText" text="차재성">
      <formula>NOT(ISERROR(SEARCH("차재성",H1053)))</formula>
    </cfRule>
  </conditionalFormatting>
  <conditionalFormatting sqref="J20">
    <cfRule type="containsText" dxfId="2249" priority="13" operator="containsText" text="허하나로">
      <formula>NOT(ISERROR(SEARCH("허하나로",H864)))</formula>
    </cfRule>
    <cfRule type="containsText" dxfId="2248" priority="14" operator="containsText" text="한별">
      <formula>NOT(ISERROR(SEARCH("한별",H864)))</formula>
    </cfRule>
    <cfRule type="containsText" dxfId="2247" priority="15" operator="containsText" text="정홍조">
      <formula>NOT(ISERROR(SEARCH("정홍조",H864)))</formula>
    </cfRule>
    <cfRule type="containsText" dxfId="2246" priority="16" operator="containsText" text="김지윤">
      <formula>NOT(ISERROR(SEARCH("김지윤",H864)))</formula>
    </cfRule>
    <cfRule type="containsText" dxfId="2245" priority="17" operator="containsText" text="전준영">
      <formula>NOT(ISERROR(SEARCH("전준영",H864)))</formula>
    </cfRule>
    <cfRule type="containsText" dxfId="2244" priority="18" operator="containsText" text="차재성">
      <formula>NOT(ISERROR(SEARCH("차재성",H864)))</formula>
    </cfRule>
  </conditionalFormatting>
  <conditionalFormatting sqref="J28">
    <cfRule type="containsText" dxfId="2243" priority="6517" operator="containsText" text="허하나로">
      <formula>NOT(ISERROR(SEARCH("허하나로",H1061)))</formula>
    </cfRule>
    <cfRule type="containsText" dxfId="2242" priority="6518" operator="containsText" text="한별">
      <formula>NOT(ISERROR(SEARCH("한별",H1061)))</formula>
    </cfRule>
    <cfRule type="containsText" dxfId="2241" priority="6519" operator="containsText" text="정홍조">
      <formula>NOT(ISERROR(SEARCH("정홍조",H1061)))</formula>
    </cfRule>
    <cfRule type="containsText" dxfId="2240" priority="6520" operator="containsText" text="김지윤">
      <formula>NOT(ISERROR(SEARCH("김지윤",H1061)))</formula>
    </cfRule>
    <cfRule type="containsText" dxfId="2239" priority="6521" operator="containsText" text="전준영">
      <formula>NOT(ISERROR(SEARCH("전준영",H1061)))</formula>
    </cfRule>
    <cfRule type="containsText" dxfId="2238" priority="6522" operator="containsText" text="차재성">
      <formula>NOT(ISERROR(SEARCH("차재성",H1061)))</formula>
    </cfRule>
  </conditionalFormatting>
  <conditionalFormatting sqref="J30">
    <cfRule type="containsText" dxfId="2237" priority="7" operator="containsText" text="허하나로">
      <formula>NOT(ISERROR(SEARCH("허하나로",H1059)))</formula>
    </cfRule>
    <cfRule type="containsText" dxfId="2236" priority="8" operator="containsText" text="한별">
      <formula>NOT(ISERROR(SEARCH("한별",H1059)))</formula>
    </cfRule>
    <cfRule type="containsText" dxfId="2235" priority="9" operator="containsText" text="정홍조">
      <formula>NOT(ISERROR(SEARCH("정홍조",H1059)))</formula>
    </cfRule>
    <cfRule type="containsText" dxfId="2234" priority="10" operator="containsText" text="김지윤">
      <formula>NOT(ISERROR(SEARCH("김지윤",H1059)))</formula>
    </cfRule>
    <cfRule type="containsText" dxfId="2233" priority="11" operator="containsText" text="전준영">
      <formula>NOT(ISERROR(SEARCH("전준영",H1059)))</formula>
    </cfRule>
    <cfRule type="containsText" dxfId="2232" priority="12" operator="containsText" text="차재성">
      <formula>NOT(ISERROR(SEARCH("차재성",H1059)))</formula>
    </cfRule>
  </conditionalFormatting>
  <conditionalFormatting sqref="J29">
    <cfRule type="containsText" dxfId="2231" priority="1" operator="containsText" text="허하나로">
      <formula>NOT(ISERROR(SEARCH("허하나로",H1060)))</formula>
    </cfRule>
    <cfRule type="containsText" dxfId="2230" priority="2" operator="containsText" text="한별">
      <formula>NOT(ISERROR(SEARCH("한별",H1060)))</formula>
    </cfRule>
    <cfRule type="containsText" dxfId="2229" priority="3" operator="containsText" text="정홍조">
      <formula>NOT(ISERROR(SEARCH("정홍조",H1060)))</formula>
    </cfRule>
    <cfRule type="containsText" dxfId="2228" priority="4" operator="containsText" text="김지윤">
      <formula>NOT(ISERROR(SEARCH("김지윤",H1060)))</formula>
    </cfRule>
    <cfRule type="containsText" dxfId="2227" priority="5" operator="containsText" text="전준영">
      <formula>NOT(ISERROR(SEARCH("전준영",H1060)))</formula>
    </cfRule>
    <cfRule type="containsText" dxfId="2226" priority="6" operator="containsText" text="차재성">
      <formula>NOT(ISERROR(SEARCH("차재성",H1060)))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9" operator="containsText" text="허하나로" id="{95120B36-3164-47DE-878C-4F82023BF8D5}">
            <xm:f>NOT(ISERROR(SEARCH("허하나로",행정관리부!H1073)))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0" operator="containsText" text="한별" id="{D185590A-7187-44A2-943C-FD73FE554E4D}">
            <xm:f>NOT(ISERROR(SEARCH("한별",행정관리부!H1073)))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1" operator="containsText" text="정홍조" id="{6AC6A331-9FDC-489C-A304-5ECD53F79C31}">
            <xm:f>NOT(ISERROR(SEARCH("정홍조",행정관리부!H1073)))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2" operator="containsText" text="김지윤" id="{6B08EBCC-36A2-4166-AF2B-5F798FB5BE38}">
            <xm:f>NOT(ISERROR(SEARCH("김지윤",행정관리부!H1073)))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3" operator="containsText" text="전준영" id="{1858AA5C-AF06-4BDC-A28D-73467D4B22C5}">
            <xm:f>NOT(ISERROR(SEARCH("전준영",행정관리부!H1073)))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44" operator="containsText" text="차재성" id="{6AD262E2-8096-498A-B201-0CED1A8D1D2A}">
            <xm:f>NOT(ISERROR(SEARCH("차재성",행정관리부!H1073)))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J56 J54</xm:sqref>
        </x14:conditionalFormatting>
        <x14:conditionalFormatting xmlns:xm="http://schemas.microsoft.com/office/excel/2006/main">
          <x14:cfRule type="containsText" priority="133" operator="containsText" text="허하나로" id="{06743285-5893-415C-8B2B-416879D9216D}">
            <xm:f>NOT(ISERROR(SEARCH("허하나로",행정관리부!H1131)))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34" operator="containsText" text="한별" id="{A5420FC7-7D10-40B5-BB00-FE1EE480D5B2}">
            <xm:f>NOT(ISERROR(SEARCH("한별",행정관리부!H1131)))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35" operator="containsText" text="정홍조" id="{1C42F33B-AEB4-41E2-8362-9AA66780B06F}">
            <xm:f>NOT(ISERROR(SEARCH("정홍조",행정관리부!H1131)))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6" operator="containsText" text="김지윤" id="{579A7546-8240-4E03-BF5A-F7CD2B0DECF0}">
            <xm:f>NOT(ISERROR(SEARCH("김지윤",행정관리부!H1131)))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7" operator="containsText" text="전준영" id="{8A90192D-DE88-4FDC-B4BC-FEF230653292}">
            <xm:f>NOT(ISERROR(SEARCH("전준영",행정관리부!H1131)))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8" operator="containsText" text="차재성" id="{240E1230-3F39-4218-855C-9C66DA702372}">
            <xm:f>NOT(ISERROR(SEARCH("차재성",행정관리부!H1131)))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5029" operator="containsText" text="허하나로" id="{06743285-5893-415C-8B2B-416879D9216D}">
            <xm:f>NOT(ISERROR(SEARCH("허하나로",행정관리부!H1132)))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30" operator="containsText" text="한별" id="{A5420FC7-7D10-40B5-BB00-FE1EE480D5B2}">
            <xm:f>NOT(ISERROR(SEARCH("한별",행정관리부!H1132)))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031" operator="containsText" text="정홍조" id="{1C42F33B-AEB4-41E2-8362-9AA66780B06F}">
            <xm:f>NOT(ISERROR(SEARCH("정홍조",행정관리부!H1132)))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032" operator="containsText" text="김지윤" id="{579A7546-8240-4E03-BF5A-F7CD2B0DECF0}">
            <xm:f>NOT(ISERROR(SEARCH("김지윤",행정관리부!H1132)))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033" operator="containsText" text="전준영" id="{8A90192D-DE88-4FDC-B4BC-FEF230653292}">
            <xm:f>NOT(ISERROR(SEARCH("전준영",행정관리부!H1132)))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034" operator="containsText" text="차재성" id="{240E1230-3F39-4218-855C-9C66DA702372}">
            <xm:f>NOT(ISERROR(SEARCH("차재성",행정관리부!H1132)))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J55</xm:sqref>
        </x14:conditionalFormatting>
        <x14:conditionalFormatting xmlns:xm="http://schemas.microsoft.com/office/excel/2006/main">
          <x14:cfRule type="containsText" priority="85" operator="containsText" text="허하나로" id="{20DE3E9F-38D2-4000-959E-58BDC4B888FF}">
            <xm:f>NOT(ISERROR(SEARCH("허하나로",행정관리부!H1130)))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CE50E4E2-6E8A-4ED5-8E01-9F4AFD45B439}">
            <xm:f>NOT(ISERROR(SEARCH("한별",행정관리부!H1130)))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8B72A368-698B-4CF9-928E-8728E43B9950}">
            <xm:f>NOT(ISERROR(SEARCH("정홍조",행정관리부!H1130)))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196D5516-0532-43D2-9725-8A672A082245}">
            <xm:f>NOT(ISERROR(SEARCH("김지윤",행정관리부!H1130)))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4F45E810-CFE8-470C-B119-0BC4DC95FFC8}">
            <xm:f>NOT(ISERROR(SEARCH("전준영",행정관리부!H1130)))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CCC663D-DDBF-4795-8F3E-204DC951FEA8}">
            <xm:f>NOT(ISERROR(SEARCH("차재성",행정관리부!H1130)))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J52:J53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183"/>
  <sheetViews>
    <sheetView zoomScale="85" zoomScaleNormal="85" workbookViewId="0">
      <selection activeCell="G13" sqref="G13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customWidth="1"/>
    <col min="10" max="10" width="14.625" customWidth="1"/>
    <col min="11" max="11" width="63.125" customWidth="1"/>
    <col min="12" max="12" width="3.875" customWidth="1"/>
    <col min="13" max="13" width="11.625" style="235" customWidth="1"/>
    <col min="14" max="14" width="13.375" style="576" bestFit="1" customWidth="1"/>
    <col min="15" max="15" width="12" bestFit="1" customWidth="1"/>
  </cols>
  <sheetData>
    <row r="1" spans="1:13" ht="17.25" thickBot="1">
      <c r="A1" s="88" t="s">
        <v>170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</row>
    <row r="2" spans="1:13" ht="16.5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894</v>
      </c>
      <c r="J2" s="709" t="s">
        <v>463</v>
      </c>
      <c r="K2" s="693" t="s">
        <v>1</v>
      </c>
      <c r="L2" s="694"/>
      <c r="M2" s="695"/>
    </row>
    <row r="3" spans="1:13" ht="17.25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</row>
    <row r="4" spans="1:13" ht="17.25" thickBot="1">
      <c r="A4" s="699" t="s">
        <v>30</v>
      </c>
      <c r="B4" s="700"/>
      <c r="C4" s="700"/>
      <c r="D4" s="700"/>
      <c r="E4" s="700"/>
      <c r="F4" s="700"/>
      <c r="G4" s="701"/>
      <c r="H4" s="184">
        <f>H5</f>
        <v>1107331</v>
      </c>
      <c r="I4" s="184">
        <v>1099331</v>
      </c>
      <c r="J4" s="120">
        <f>H4-I4</f>
        <v>8000</v>
      </c>
      <c r="K4" s="89"/>
      <c r="L4" s="90"/>
      <c r="M4" s="232"/>
    </row>
    <row r="5" spans="1:13">
      <c r="A5" s="448" t="s">
        <v>2</v>
      </c>
      <c r="B5" s="449"/>
      <c r="C5" s="450"/>
      <c r="D5" s="450"/>
      <c r="E5" s="450"/>
      <c r="F5" s="450"/>
      <c r="G5" s="451"/>
      <c r="H5" s="95">
        <f>H6</f>
        <v>1107331</v>
      </c>
      <c r="I5" s="95">
        <v>1099331</v>
      </c>
      <c r="J5" s="95">
        <f>H5-I5</f>
        <v>8000</v>
      </c>
      <c r="K5" s="402"/>
      <c r="L5" s="403"/>
      <c r="M5" s="419"/>
    </row>
    <row r="6" spans="1:13">
      <c r="A6" s="452"/>
      <c r="B6" s="349" t="s">
        <v>259</v>
      </c>
      <c r="C6" s="349"/>
      <c r="D6" s="453"/>
      <c r="E6" s="453"/>
      <c r="F6" s="453"/>
      <c r="G6" s="454"/>
      <c r="H6" s="95">
        <f>SUM(H7,H23)</f>
        <v>1107331</v>
      </c>
      <c r="I6" s="95">
        <v>1099331</v>
      </c>
      <c r="J6" s="95">
        <f>H6-I6</f>
        <v>8000</v>
      </c>
      <c r="K6" s="402"/>
      <c r="L6" s="403"/>
      <c r="M6" s="419"/>
    </row>
    <row r="7" spans="1:13">
      <c r="A7" s="452"/>
      <c r="B7" s="455"/>
      <c r="C7" s="349" t="s">
        <v>328</v>
      </c>
      <c r="D7" s="453"/>
      <c r="E7" s="453"/>
      <c r="F7" s="453"/>
      <c r="G7" s="454"/>
      <c r="H7" s="95">
        <f>H8</f>
        <v>26900</v>
      </c>
      <c r="I7" s="95">
        <v>26900</v>
      </c>
      <c r="J7" s="95">
        <f t="shared" ref="J7" si="0">H7-I7</f>
        <v>0</v>
      </c>
      <c r="K7" s="402"/>
      <c r="L7" s="403"/>
      <c r="M7" s="419"/>
    </row>
    <row r="8" spans="1:13">
      <c r="A8" s="452"/>
      <c r="B8" s="455"/>
      <c r="C8" s="455"/>
      <c r="D8" s="349" t="s">
        <v>329</v>
      </c>
      <c r="E8" s="453"/>
      <c r="F8" s="453"/>
      <c r="G8" s="454"/>
      <c r="H8" s="456">
        <f>H9</f>
        <v>26900</v>
      </c>
      <c r="I8" s="456">
        <v>26900</v>
      </c>
      <c r="J8" s="92">
        <f>H8-I8</f>
        <v>0</v>
      </c>
      <c r="K8" s="350"/>
      <c r="L8" s="405"/>
      <c r="M8" s="419"/>
    </row>
    <row r="9" spans="1:13">
      <c r="A9" s="452"/>
      <c r="B9" s="455"/>
      <c r="C9" s="457"/>
      <c r="D9" s="458"/>
      <c r="E9" s="349" t="s">
        <v>31</v>
      </c>
      <c r="F9" s="453"/>
      <c r="G9" s="454"/>
      <c r="H9" s="92">
        <f>H10</f>
        <v>26900</v>
      </c>
      <c r="I9" s="92">
        <v>26900</v>
      </c>
      <c r="J9" s="92">
        <f>H9-I9</f>
        <v>0</v>
      </c>
      <c r="K9" s="351"/>
      <c r="L9" s="391"/>
      <c r="M9" s="459"/>
    </row>
    <row r="10" spans="1:13">
      <c r="A10" s="357"/>
      <c r="B10" s="358"/>
      <c r="C10" s="358"/>
      <c r="D10" s="358"/>
      <c r="E10" s="358"/>
      <c r="F10" s="463" t="s">
        <v>61</v>
      </c>
      <c r="G10" s="466"/>
      <c r="H10" s="98">
        <f>SUM(H11,H19)</f>
        <v>26900</v>
      </c>
      <c r="I10" s="98">
        <v>26900</v>
      </c>
      <c r="J10" s="98">
        <f>H10-I10</f>
        <v>0</v>
      </c>
      <c r="K10" s="383"/>
      <c r="L10" s="384"/>
      <c r="M10" s="385"/>
    </row>
    <row r="11" spans="1:13">
      <c r="A11" s="357"/>
      <c r="B11" s="358"/>
      <c r="C11" s="358"/>
      <c r="D11" s="358"/>
      <c r="E11" s="358"/>
      <c r="F11" s="467"/>
      <c r="G11" s="358" t="s">
        <v>36</v>
      </c>
      <c r="H11" s="468">
        <f>SUM(M11,M13,M17)</f>
        <v>24900</v>
      </c>
      <c r="I11" s="468">
        <v>24900</v>
      </c>
      <c r="J11" s="50">
        <f>H11-I11</f>
        <v>0</v>
      </c>
      <c r="K11" s="386" t="s">
        <v>47</v>
      </c>
      <c r="L11" s="411"/>
      <c r="M11" s="388">
        <f>SUM(M12:M12)</f>
        <v>800</v>
      </c>
    </row>
    <row r="12" spans="1:13">
      <c r="A12" s="357"/>
      <c r="B12" s="358"/>
      <c r="C12" s="358"/>
      <c r="D12" s="358"/>
      <c r="E12" s="358"/>
      <c r="F12" s="467"/>
      <c r="G12" s="358"/>
      <c r="H12" s="468"/>
      <c r="I12" s="468"/>
      <c r="J12" s="50"/>
      <c r="K12" s="382" t="s">
        <v>506</v>
      </c>
      <c r="L12" s="378" t="s">
        <v>0</v>
      </c>
      <c r="M12" s="374">
        <v>800</v>
      </c>
    </row>
    <row r="13" spans="1:13">
      <c r="A13" s="357"/>
      <c r="B13" s="358"/>
      <c r="C13" s="358"/>
      <c r="D13" s="358"/>
      <c r="E13" s="358"/>
      <c r="F13" s="467"/>
      <c r="G13" s="358"/>
      <c r="H13" s="468"/>
      <c r="I13" s="468"/>
      <c r="J13" s="50"/>
      <c r="K13" s="356" t="s">
        <v>62</v>
      </c>
      <c r="L13" s="378"/>
      <c r="M13" s="379">
        <f>SUM(M14:M16)</f>
        <v>21300</v>
      </c>
    </row>
    <row r="14" spans="1:13">
      <c r="A14" s="357"/>
      <c r="B14" s="358"/>
      <c r="C14" s="358"/>
      <c r="D14" s="358"/>
      <c r="E14" s="358"/>
      <c r="F14" s="467"/>
      <c r="G14" s="358"/>
      <c r="H14" s="468"/>
      <c r="I14" s="468"/>
      <c r="J14" s="50"/>
      <c r="K14" s="382" t="s">
        <v>507</v>
      </c>
      <c r="L14" s="378" t="s">
        <v>0</v>
      </c>
      <c r="M14" s="374">
        <v>12600</v>
      </c>
    </row>
    <row r="15" spans="1:13">
      <c r="A15" s="357"/>
      <c r="B15" s="358"/>
      <c r="C15" s="358"/>
      <c r="D15" s="358"/>
      <c r="E15" s="358"/>
      <c r="F15" s="467"/>
      <c r="G15" s="358"/>
      <c r="H15" s="468"/>
      <c r="I15" s="468"/>
      <c r="J15" s="50"/>
      <c r="K15" s="382" t="s">
        <v>508</v>
      </c>
      <c r="L15" s="378" t="s">
        <v>0</v>
      </c>
      <c r="M15" s="374">
        <v>8400</v>
      </c>
    </row>
    <row r="16" spans="1:13">
      <c r="A16" s="357"/>
      <c r="B16" s="358"/>
      <c r="C16" s="358"/>
      <c r="D16" s="358"/>
      <c r="E16" s="358"/>
      <c r="F16" s="467"/>
      <c r="G16" s="358"/>
      <c r="H16" s="468"/>
      <c r="I16" s="468"/>
      <c r="J16" s="50"/>
      <c r="K16" s="382" t="s">
        <v>713</v>
      </c>
      <c r="L16" s="378" t="s">
        <v>0</v>
      </c>
      <c r="M16" s="374">
        <v>300</v>
      </c>
    </row>
    <row r="17" spans="1:15">
      <c r="A17" s="357"/>
      <c r="B17" s="358"/>
      <c r="C17" s="358"/>
      <c r="D17" s="358"/>
      <c r="E17" s="358"/>
      <c r="F17" s="467"/>
      <c r="G17" s="358"/>
      <c r="H17" s="50"/>
      <c r="I17" s="50"/>
      <c r="J17" s="50"/>
      <c r="K17" s="356" t="s">
        <v>432</v>
      </c>
      <c r="L17" s="378"/>
      <c r="M17" s="379">
        <f>M18</f>
        <v>2800</v>
      </c>
    </row>
    <row r="18" spans="1:15">
      <c r="A18" s="357"/>
      <c r="B18" s="358"/>
      <c r="C18" s="358"/>
      <c r="D18" s="358"/>
      <c r="E18" s="358"/>
      <c r="F18" s="467"/>
      <c r="G18" s="469"/>
      <c r="H18" s="470"/>
      <c r="I18" s="470"/>
      <c r="J18" s="145"/>
      <c r="K18" s="380" t="s">
        <v>691</v>
      </c>
      <c r="L18" s="373" t="s">
        <v>0</v>
      </c>
      <c r="M18" s="374">
        <v>2800</v>
      </c>
    </row>
    <row r="19" spans="1:15">
      <c r="A19" s="357"/>
      <c r="B19" s="358"/>
      <c r="C19" s="358"/>
      <c r="D19" s="358"/>
      <c r="E19" s="358"/>
      <c r="F19" s="467"/>
      <c r="G19" s="358" t="s">
        <v>65</v>
      </c>
      <c r="H19" s="468">
        <f>M19</f>
        <v>2000</v>
      </c>
      <c r="I19" s="468">
        <v>2000</v>
      </c>
      <c r="J19" s="50">
        <f>H19-I19</f>
        <v>0</v>
      </c>
      <c r="K19" s="386" t="s">
        <v>64</v>
      </c>
      <c r="L19" s="410"/>
      <c r="M19" s="388">
        <f>M22</f>
        <v>2000</v>
      </c>
    </row>
    <row r="20" spans="1:15">
      <c r="A20" s="357"/>
      <c r="B20" s="358"/>
      <c r="C20" s="358"/>
      <c r="D20" s="358"/>
      <c r="E20" s="358"/>
      <c r="F20" s="467"/>
      <c r="G20" s="358"/>
      <c r="H20" s="468"/>
      <c r="I20" s="468"/>
      <c r="J20" s="50"/>
      <c r="K20" s="382" t="s">
        <v>509</v>
      </c>
      <c r="L20" s="378" t="s">
        <v>0</v>
      </c>
      <c r="M20" s="374">
        <v>1200</v>
      </c>
    </row>
    <row r="21" spans="1:15" ht="17.25" customHeight="1">
      <c r="A21" s="474"/>
      <c r="B21" s="475"/>
      <c r="C21" s="358"/>
      <c r="D21" s="358"/>
      <c r="E21" s="358"/>
      <c r="F21" s="479"/>
      <c r="G21" s="480"/>
      <c r="H21" s="481"/>
      <c r="I21" s="481"/>
      <c r="J21" s="50"/>
      <c r="K21" s="604" t="s">
        <v>847</v>
      </c>
      <c r="L21" s="378"/>
      <c r="M21" s="374"/>
      <c r="N21" s="634"/>
      <c r="O21" s="319"/>
    </row>
    <row r="22" spans="1:15" ht="17.25" customHeight="1">
      <c r="A22" s="474"/>
      <c r="B22" s="475"/>
      <c r="C22" s="358"/>
      <c r="D22" s="358"/>
      <c r="E22" s="358"/>
      <c r="F22" s="479"/>
      <c r="G22" s="483"/>
      <c r="H22" s="516"/>
      <c r="I22" s="516"/>
      <c r="J22" s="145"/>
      <c r="K22" s="382" t="s">
        <v>859</v>
      </c>
      <c r="L22" s="378" t="s">
        <v>0</v>
      </c>
      <c r="M22" s="374">
        <v>2000</v>
      </c>
      <c r="N22" s="634"/>
      <c r="O22" s="319"/>
    </row>
    <row r="23" spans="1:15">
      <c r="A23" s="452"/>
      <c r="B23" s="455"/>
      <c r="C23" s="178" t="s">
        <v>66</v>
      </c>
      <c r="D23" s="453"/>
      <c r="E23" s="453"/>
      <c r="F23" s="453"/>
      <c r="G23" s="454"/>
      <c r="H23" s="92">
        <f>H24</f>
        <v>1080431</v>
      </c>
      <c r="I23" s="92">
        <v>1072431</v>
      </c>
      <c r="J23" s="92">
        <f>H23-I23</f>
        <v>8000</v>
      </c>
      <c r="K23" s="396"/>
      <c r="L23" s="390"/>
      <c r="M23" s="397"/>
    </row>
    <row r="24" spans="1:15">
      <c r="A24" s="452"/>
      <c r="B24" s="455"/>
      <c r="C24" s="473"/>
      <c r="D24" s="349" t="s">
        <v>34</v>
      </c>
      <c r="E24" s="453"/>
      <c r="F24" s="453"/>
      <c r="G24" s="454"/>
      <c r="H24" s="456">
        <f>SUM(H25,H55,H141)</f>
        <v>1080431</v>
      </c>
      <c r="I24" s="456">
        <v>1072431</v>
      </c>
      <c r="J24" s="92">
        <f>H24-I24</f>
        <v>8000</v>
      </c>
      <c r="K24" s="389"/>
      <c r="L24" s="390"/>
      <c r="M24" s="397"/>
    </row>
    <row r="25" spans="1:15">
      <c r="A25" s="452"/>
      <c r="B25" s="455"/>
      <c r="C25" s="457"/>
      <c r="D25" s="458"/>
      <c r="E25" s="349" t="s">
        <v>67</v>
      </c>
      <c r="F25" s="453"/>
      <c r="G25" s="454"/>
      <c r="H25" s="92">
        <f>SUM(H26,H48)</f>
        <v>673837</v>
      </c>
      <c r="I25" s="92">
        <v>679837</v>
      </c>
      <c r="J25" s="92">
        <f>H25-I25</f>
        <v>-6000</v>
      </c>
      <c r="K25" s="351"/>
      <c r="L25" s="391"/>
      <c r="M25" s="459"/>
    </row>
    <row r="26" spans="1:15">
      <c r="A26" s="357"/>
      <c r="B26" s="358"/>
      <c r="C26" s="358"/>
      <c r="D26" s="358"/>
      <c r="E26" s="358"/>
      <c r="F26" s="463" t="s">
        <v>68</v>
      </c>
      <c r="G26" s="466"/>
      <c r="H26" s="98">
        <f>SUM(H27,H32,H44)</f>
        <v>627637</v>
      </c>
      <c r="I26" s="98">
        <v>627637</v>
      </c>
      <c r="J26" s="98">
        <f>H26-I26</f>
        <v>0</v>
      </c>
      <c r="K26" s="383"/>
      <c r="L26" s="384"/>
      <c r="M26" s="385"/>
    </row>
    <row r="27" spans="1:15">
      <c r="A27" s="474"/>
      <c r="B27" s="475"/>
      <c r="C27" s="358"/>
      <c r="D27" s="358"/>
      <c r="E27" s="358"/>
      <c r="F27" s="476"/>
      <c r="G27" s="477" t="s">
        <v>69</v>
      </c>
      <c r="H27" s="478">
        <f>SUM(M27,M30)</f>
        <v>402600</v>
      </c>
      <c r="I27" s="478">
        <v>402600</v>
      </c>
      <c r="J27" s="41">
        <f>H27-I27</f>
        <v>0</v>
      </c>
      <c r="K27" s="386" t="s">
        <v>70</v>
      </c>
      <c r="L27" s="412"/>
      <c r="M27" s="388">
        <f>SUM(M28:M29)</f>
        <v>303600</v>
      </c>
    </row>
    <row r="28" spans="1:15">
      <c r="A28" s="474"/>
      <c r="B28" s="475"/>
      <c r="C28" s="358"/>
      <c r="D28" s="358"/>
      <c r="E28" s="358"/>
      <c r="F28" s="479"/>
      <c r="G28" s="480"/>
      <c r="H28" s="481"/>
      <c r="I28" s="481"/>
      <c r="J28" s="50"/>
      <c r="K28" s="382" t="s">
        <v>653</v>
      </c>
      <c r="L28" s="378" t="s">
        <v>0</v>
      </c>
      <c r="M28" s="374">
        <v>13200</v>
      </c>
      <c r="O28" s="575"/>
    </row>
    <row r="29" spans="1:15">
      <c r="A29" s="474"/>
      <c r="B29" s="475"/>
      <c r="C29" s="358"/>
      <c r="D29" s="358"/>
      <c r="E29" s="358"/>
      <c r="F29" s="479"/>
      <c r="G29" s="480"/>
      <c r="H29" s="481"/>
      <c r="I29" s="481"/>
      <c r="J29" s="50"/>
      <c r="K29" s="382" t="s">
        <v>654</v>
      </c>
      <c r="L29" s="378" t="s">
        <v>0</v>
      </c>
      <c r="M29" s="374">
        <v>290400</v>
      </c>
      <c r="O29" s="575"/>
    </row>
    <row r="30" spans="1:15">
      <c r="A30" s="474"/>
      <c r="B30" s="475"/>
      <c r="C30" s="358"/>
      <c r="D30" s="358"/>
      <c r="E30" s="358"/>
      <c r="F30" s="479"/>
      <c r="G30" s="480"/>
      <c r="H30" s="481"/>
      <c r="I30" s="481"/>
      <c r="J30" s="50"/>
      <c r="K30" s="356" t="s">
        <v>71</v>
      </c>
      <c r="L30" s="378"/>
      <c r="M30" s="379">
        <f>M31</f>
        <v>99000</v>
      </c>
    </row>
    <row r="31" spans="1:15">
      <c r="A31" s="474"/>
      <c r="B31" s="475"/>
      <c r="C31" s="358"/>
      <c r="D31" s="358"/>
      <c r="E31" s="358"/>
      <c r="F31" s="479"/>
      <c r="G31" s="480"/>
      <c r="H31" s="481"/>
      <c r="I31" s="481"/>
      <c r="J31" s="50"/>
      <c r="K31" s="382" t="s">
        <v>655</v>
      </c>
      <c r="L31" s="378" t="s">
        <v>0</v>
      </c>
      <c r="M31" s="374">
        <v>99000</v>
      </c>
      <c r="O31" s="575"/>
    </row>
    <row r="32" spans="1:15">
      <c r="A32" s="474"/>
      <c r="B32" s="475"/>
      <c r="C32" s="358"/>
      <c r="D32" s="358"/>
      <c r="E32" s="358"/>
      <c r="F32" s="479"/>
      <c r="G32" s="477" t="s">
        <v>310</v>
      </c>
      <c r="H32" s="478">
        <f>SUM(M32,M38)</f>
        <v>195208</v>
      </c>
      <c r="I32" s="478">
        <v>195208</v>
      </c>
      <c r="J32" s="41">
        <f>H32-I32</f>
        <v>0</v>
      </c>
      <c r="K32" s="386" t="s">
        <v>452</v>
      </c>
      <c r="L32" s="412"/>
      <c r="M32" s="388">
        <f>SUM(M36:M37)</f>
        <v>98208</v>
      </c>
    </row>
    <row r="33" spans="1:15">
      <c r="A33" s="474"/>
      <c r="B33" s="475"/>
      <c r="C33" s="358"/>
      <c r="D33" s="358"/>
      <c r="E33" s="358"/>
      <c r="F33" s="479"/>
      <c r="G33" s="480"/>
      <c r="H33" s="481"/>
      <c r="I33" s="481"/>
      <c r="J33" s="50"/>
      <c r="K33" s="382" t="s">
        <v>510</v>
      </c>
      <c r="L33" s="378" t="s">
        <v>0</v>
      </c>
      <c r="M33" s="374">
        <v>93154</v>
      </c>
      <c r="O33" s="319"/>
    </row>
    <row r="34" spans="1:15" ht="17.25" customHeight="1">
      <c r="A34" s="474"/>
      <c r="B34" s="475"/>
      <c r="C34" s="358"/>
      <c r="D34" s="358"/>
      <c r="E34" s="358"/>
      <c r="F34" s="479"/>
      <c r="G34" s="480"/>
      <c r="H34" s="481"/>
      <c r="I34" s="481"/>
      <c r="J34" s="50"/>
      <c r="K34" s="382" t="s">
        <v>511</v>
      </c>
      <c r="L34" s="378" t="s">
        <v>451</v>
      </c>
      <c r="M34" s="374">
        <v>4127</v>
      </c>
      <c r="O34" s="319"/>
    </row>
    <row r="35" spans="1:15" ht="17.25" customHeight="1">
      <c r="A35" s="474"/>
      <c r="B35" s="475"/>
      <c r="C35" s="358"/>
      <c r="D35" s="358"/>
      <c r="E35" s="358"/>
      <c r="F35" s="479"/>
      <c r="G35" s="480"/>
      <c r="H35" s="481"/>
      <c r="I35" s="481"/>
      <c r="J35" s="50"/>
      <c r="K35" s="604" t="s">
        <v>703</v>
      </c>
      <c r="L35" s="378"/>
      <c r="M35" s="374"/>
      <c r="N35" s="603"/>
      <c r="O35" s="319"/>
    </row>
    <row r="36" spans="1:15" ht="17.25" customHeight="1">
      <c r="A36" s="474"/>
      <c r="B36" s="475"/>
      <c r="C36" s="358"/>
      <c r="D36" s="358"/>
      <c r="E36" s="358"/>
      <c r="F36" s="479"/>
      <c r="G36" s="480"/>
      <c r="H36" s="481"/>
      <c r="I36" s="481"/>
      <c r="J36" s="50"/>
      <c r="K36" s="382" t="s">
        <v>721</v>
      </c>
      <c r="L36" s="378" t="s">
        <v>720</v>
      </c>
      <c r="M36" s="374">
        <v>94041</v>
      </c>
      <c r="N36" s="603"/>
      <c r="O36" s="319"/>
    </row>
    <row r="37" spans="1:15" ht="17.25" customHeight="1">
      <c r="A37" s="474"/>
      <c r="B37" s="475"/>
      <c r="C37" s="358"/>
      <c r="D37" s="358"/>
      <c r="E37" s="358"/>
      <c r="F37" s="479"/>
      <c r="G37" s="480"/>
      <c r="H37" s="481"/>
      <c r="I37" s="481"/>
      <c r="J37" s="50"/>
      <c r="K37" s="382" t="s">
        <v>722</v>
      </c>
      <c r="L37" s="378" t="s">
        <v>720</v>
      </c>
      <c r="M37" s="374">
        <v>4167</v>
      </c>
      <c r="N37" s="603"/>
      <c r="O37" s="319"/>
    </row>
    <row r="38" spans="1:15">
      <c r="A38" s="474"/>
      <c r="B38" s="475"/>
      <c r="C38" s="358"/>
      <c r="D38" s="358"/>
      <c r="E38" s="358"/>
      <c r="F38" s="479"/>
      <c r="G38" s="480"/>
      <c r="H38" s="481"/>
      <c r="I38" s="481"/>
      <c r="J38" s="50"/>
      <c r="K38" s="356" t="s">
        <v>311</v>
      </c>
      <c r="L38" s="378"/>
      <c r="M38" s="379">
        <f>SUM(M42:M43)</f>
        <v>97000</v>
      </c>
    </row>
    <row r="39" spans="1:15">
      <c r="A39" s="474"/>
      <c r="B39" s="475"/>
      <c r="C39" s="358"/>
      <c r="D39" s="358"/>
      <c r="E39" s="358"/>
      <c r="F39" s="479"/>
      <c r="G39" s="480"/>
      <c r="H39" s="481"/>
      <c r="I39" s="481"/>
      <c r="J39" s="50"/>
      <c r="K39" s="382" t="s">
        <v>642</v>
      </c>
      <c r="L39" s="378" t="s">
        <v>39</v>
      </c>
      <c r="M39" s="374">
        <v>14000</v>
      </c>
      <c r="N39" s="582"/>
    </row>
    <row r="40" spans="1:15">
      <c r="A40" s="474"/>
      <c r="B40" s="475"/>
      <c r="C40" s="358"/>
      <c r="D40" s="358"/>
      <c r="E40" s="358"/>
      <c r="F40" s="479"/>
      <c r="G40" s="480"/>
      <c r="H40" s="481"/>
      <c r="I40" s="481"/>
      <c r="J40" s="50"/>
      <c r="K40" s="382" t="s">
        <v>643</v>
      </c>
      <c r="L40" s="378" t="s">
        <v>0</v>
      </c>
      <c r="M40" s="374">
        <v>108000</v>
      </c>
    </row>
    <row r="41" spans="1:15" ht="17.25" customHeight="1">
      <c r="A41" s="474"/>
      <c r="B41" s="475"/>
      <c r="C41" s="358"/>
      <c r="D41" s="358"/>
      <c r="E41" s="358"/>
      <c r="F41" s="479"/>
      <c r="G41" s="480"/>
      <c r="H41" s="481"/>
      <c r="I41" s="481"/>
      <c r="J41" s="50"/>
      <c r="K41" s="604" t="s">
        <v>860</v>
      </c>
      <c r="L41" s="378"/>
      <c r="M41" s="374"/>
      <c r="N41" s="634"/>
      <c r="O41" s="319"/>
    </row>
    <row r="42" spans="1:15" ht="17.25" customHeight="1">
      <c r="A42" s="474"/>
      <c r="B42" s="475"/>
      <c r="C42" s="358"/>
      <c r="D42" s="358"/>
      <c r="E42" s="358"/>
      <c r="F42" s="479"/>
      <c r="G42" s="480"/>
      <c r="H42" s="481"/>
      <c r="I42" s="481"/>
      <c r="J42" s="50"/>
      <c r="K42" s="382" t="s">
        <v>861</v>
      </c>
      <c r="L42" s="378" t="s">
        <v>37</v>
      </c>
      <c r="M42" s="374">
        <v>49000</v>
      </c>
      <c r="N42" s="634"/>
      <c r="O42" s="319"/>
    </row>
    <row r="43" spans="1:15" ht="17.25" customHeight="1">
      <c r="A43" s="474"/>
      <c r="B43" s="475"/>
      <c r="C43" s="358"/>
      <c r="D43" s="358"/>
      <c r="E43" s="358"/>
      <c r="F43" s="479"/>
      <c r="G43" s="480"/>
      <c r="H43" s="481"/>
      <c r="I43" s="481"/>
      <c r="J43" s="50"/>
      <c r="K43" s="382" t="s">
        <v>862</v>
      </c>
      <c r="L43" s="378" t="s">
        <v>37</v>
      </c>
      <c r="M43" s="374">
        <v>48000</v>
      </c>
      <c r="N43" s="634"/>
      <c r="O43" s="319"/>
    </row>
    <row r="44" spans="1:15">
      <c r="A44" s="474"/>
      <c r="B44" s="475"/>
      <c r="C44" s="358"/>
      <c r="D44" s="358"/>
      <c r="E44" s="358"/>
      <c r="F44" s="479"/>
      <c r="G44" s="477" t="s">
        <v>312</v>
      </c>
      <c r="H44" s="478">
        <f>M44</f>
        <v>29829</v>
      </c>
      <c r="I44" s="478">
        <v>29829</v>
      </c>
      <c r="J44" s="41">
        <f>H44-I44</f>
        <v>0</v>
      </c>
      <c r="K44" s="386" t="s">
        <v>313</v>
      </c>
      <c r="L44" s="412"/>
      <c r="M44" s="388">
        <f>SUM(M45:M47)</f>
        <v>29829</v>
      </c>
    </row>
    <row r="45" spans="1:15">
      <c r="A45" s="474"/>
      <c r="B45" s="475"/>
      <c r="C45" s="358"/>
      <c r="D45" s="358"/>
      <c r="E45" s="358"/>
      <c r="F45" s="479"/>
      <c r="G45" s="480"/>
      <c r="H45" s="481"/>
      <c r="I45" s="481"/>
      <c r="J45" s="50"/>
      <c r="K45" s="382" t="s">
        <v>512</v>
      </c>
      <c r="L45" s="418" t="s">
        <v>314</v>
      </c>
      <c r="M45" s="374">
        <v>23823</v>
      </c>
    </row>
    <row r="46" spans="1:15">
      <c r="A46" s="474"/>
      <c r="B46" s="475"/>
      <c r="C46" s="358"/>
      <c r="D46" s="358"/>
      <c r="E46" s="358"/>
      <c r="F46" s="479"/>
      <c r="G46" s="480"/>
      <c r="H46" s="481"/>
      <c r="I46" s="481"/>
      <c r="J46" s="50"/>
      <c r="K46" s="382" t="s">
        <v>513</v>
      </c>
      <c r="L46" s="378" t="s">
        <v>0</v>
      </c>
      <c r="M46" s="374">
        <v>4332</v>
      </c>
    </row>
    <row r="47" spans="1:15">
      <c r="A47" s="474"/>
      <c r="B47" s="475"/>
      <c r="C47" s="358"/>
      <c r="D47" s="358"/>
      <c r="E47" s="358"/>
      <c r="F47" s="479"/>
      <c r="G47" s="480"/>
      <c r="H47" s="481"/>
      <c r="I47" s="481"/>
      <c r="J47" s="50"/>
      <c r="K47" s="382" t="s">
        <v>514</v>
      </c>
      <c r="L47" s="378" t="s">
        <v>0</v>
      </c>
      <c r="M47" s="374">
        <v>1674</v>
      </c>
    </row>
    <row r="48" spans="1:15">
      <c r="A48" s="357"/>
      <c r="B48" s="358"/>
      <c r="C48" s="358"/>
      <c r="D48" s="358"/>
      <c r="E48" s="358"/>
      <c r="F48" s="463" t="s">
        <v>315</v>
      </c>
      <c r="G48" s="466"/>
      <c r="H48" s="98">
        <f>SUM(H49,H58)</f>
        <v>46200</v>
      </c>
      <c r="I48" s="98">
        <v>52200</v>
      </c>
      <c r="J48" s="98">
        <f>H48-I48</f>
        <v>-6000</v>
      </c>
      <c r="K48" s="383"/>
      <c r="L48" s="384"/>
      <c r="M48" s="385"/>
    </row>
    <row r="49" spans="1:15">
      <c r="A49" s="474"/>
      <c r="B49" s="475"/>
      <c r="C49" s="358"/>
      <c r="D49" s="358"/>
      <c r="E49" s="358"/>
      <c r="F49" s="476"/>
      <c r="G49" s="477" t="s">
        <v>316</v>
      </c>
      <c r="H49" s="478">
        <f>M49</f>
        <v>46200</v>
      </c>
      <c r="I49" s="478">
        <v>52200</v>
      </c>
      <c r="J49" s="41">
        <f>H49-I49</f>
        <v>-6000</v>
      </c>
      <c r="K49" s="386" t="s">
        <v>317</v>
      </c>
      <c r="L49" s="412"/>
      <c r="M49" s="388">
        <f>SUM(M50,M52,M54)</f>
        <v>46200</v>
      </c>
    </row>
    <row r="50" spans="1:15">
      <c r="A50" s="474"/>
      <c r="B50" s="475"/>
      <c r="C50" s="358"/>
      <c r="D50" s="358"/>
      <c r="E50" s="358"/>
      <c r="F50" s="479"/>
      <c r="G50" s="480"/>
      <c r="H50" s="481"/>
      <c r="I50" s="481"/>
      <c r="J50" s="50"/>
      <c r="K50" s="382" t="s">
        <v>515</v>
      </c>
      <c r="L50" s="418" t="s">
        <v>516</v>
      </c>
      <c r="M50" s="374">
        <v>17000</v>
      </c>
    </row>
    <row r="51" spans="1:15">
      <c r="A51" s="474"/>
      <c r="B51" s="475"/>
      <c r="C51" s="358"/>
      <c r="D51" s="358"/>
      <c r="E51" s="358"/>
      <c r="F51" s="479"/>
      <c r="G51" s="480"/>
      <c r="H51" s="481"/>
      <c r="I51" s="481"/>
      <c r="J51" s="50"/>
      <c r="K51" s="382" t="s">
        <v>519</v>
      </c>
      <c r="L51" s="418" t="s">
        <v>517</v>
      </c>
      <c r="M51" s="374">
        <v>30000</v>
      </c>
    </row>
    <row r="52" spans="1:15">
      <c r="A52" s="474"/>
      <c r="B52" s="475"/>
      <c r="C52" s="358"/>
      <c r="D52" s="358"/>
      <c r="E52" s="358"/>
      <c r="F52" s="479"/>
      <c r="G52" s="480"/>
      <c r="H52" s="481"/>
      <c r="I52" s="481"/>
      <c r="J52" s="50"/>
      <c r="K52" s="382" t="s">
        <v>518</v>
      </c>
      <c r="L52" s="378" t="s">
        <v>0</v>
      </c>
      <c r="M52" s="374">
        <v>5200</v>
      </c>
    </row>
    <row r="53" spans="1:15" ht="17.25" customHeight="1">
      <c r="A53" s="474"/>
      <c r="B53" s="475"/>
      <c r="C53" s="358"/>
      <c r="D53" s="358"/>
      <c r="E53" s="358"/>
      <c r="F53" s="479"/>
      <c r="G53" s="480"/>
      <c r="H53" s="481"/>
      <c r="I53" s="481"/>
      <c r="J53" s="50"/>
      <c r="K53" s="604" t="s">
        <v>892</v>
      </c>
      <c r="L53" s="378"/>
      <c r="M53" s="374"/>
      <c r="N53" s="659"/>
      <c r="O53" s="319"/>
    </row>
    <row r="54" spans="1:15" ht="17.25" customHeight="1">
      <c r="A54" s="474"/>
      <c r="B54" s="475"/>
      <c r="C54" s="358"/>
      <c r="D54" s="358"/>
      <c r="E54" s="358"/>
      <c r="F54" s="479"/>
      <c r="G54" s="480"/>
      <c r="H54" s="481"/>
      <c r="I54" s="481"/>
      <c r="J54" s="50"/>
      <c r="K54" s="724" t="s">
        <v>914</v>
      </c>
      <c r="L54" s="722" t="s">
        <v>0</v>
      </c>
      <c r="M54" s="723">
        <v>24000</v>
      </c>
      <c r="N54" s="659"/>
      <c r="O54" s="319"/>
    </row>
    <row r="55" spans="1:15">
      <c r="A55" s="452"/>
      <c r="B55" s="455"/>
      <c r="C55" s="457"/>
      <c r="D55" s="482"/>
      <c r="E55" s="349" t="s">
        <v>72</v>
      </c>
      <c r="F55" s="453"/>
      <c r="G55" s="454"/>
      <c r="H55" s="92">
        <f>SUM(H56,H109,H113,H123,H129,H134)</f>
        <v>388170</v>
      </c>
      <c r="I55" s="92">
        <v>374170</v>
      </c>
      <c r="J55" s="92">
        <f>H55-I55</f>
        <v>14000</v>
      </c>
      <c r="K55" s="351"/>
      <c r="L55" s="391"/>
      <c r="M55" s="459"/>
    </row>
    <row r="56" spans="1:15">
      <c r="A56" s="357"/>
      <c r="B56" s="358"/>
      <c r="C56" s="358"/>
      <c r="D56" s="358"/>
      <c r="E56" s="358"/>
      <c r="F56" s="463" t="s">
        <v>61</v>
      </c>
      <c r="G56" s="466"/>
      <c r="H56" s="98">
        <f>SUM(H57,H84,H93,H101)</f>
        <v>265480</v>
      </c>
      <c r="I56" s="98">
        <v>265480</v>
      </c>
      <c r="J56" s="98">
        <f>H56-I56</f>
        <v>0</v>
      </c>
      <c r="K56" s="383"/>
      <c r="L56" s="384"/>
      <c r="M56" s="385"/>
    </row>
    <row r="57" spans="1:15">
      <c r="A57" s="357"/>
      <c r="B57" s="358"/>
      <c r="C57" s="358"/>
      <c r="D57" s="358"/>
      <c r="E57" s="358"/>
      <c r="F57" s="467"/>
      <c r="G57" s="358" t="s">
        <v>36</v>
      </c>
      <c r="H57" s="468">
        <f>SUM(M57,M78)</f>
        <v>153220</v>
      </c>
      <c r="I57" s="468">
        <v>153220</v>
      </c>
      <c r="J57" s="50">
        <f>H57-I57</f>
        <v>0</v>
      </c>
      <c r="K57" s="386" t="s">
        <v>73</v>
      </c>
      <c r="L57" s="411"/>
      <c r="M57" s="388">
        <f>SUM(M58:M59,M62:M69,M72,M75:M77)</f>
        <v>123420</v>
      </c>
    </row>
    <row r="58" spans="1:15">
      <c r="A58" s="474"/>
      <c r="B58" s="475"/>
      <c r="C58" s="358"/>
      <c r="D58" s="358"/>
      <c r="E58" s="358"/>
      <c r="F58" s="479"/>
      <c r="G58" s="480"/>
      <c r="H58" s="481"/>
      <c r="I58" s="481"/>
      <c r="J58" s="50"/>
      <c r="K58" s="382" t="s">
        <v>692</v>
      </c>
      <c r="L58" s="378" t="s">
        <v>0</v>
      </c>
      <c r="M58" s="374">
        <v>560</v>
      </c>
    </row>
    <row r="59" spans="1:15">
      <c r="A59" s="474"/>
      <c r="B59" s="475"/>
      <c r="C59" s="358"/>
      <c r="D59" s="358"/>
      <c r="E59" s="358"/>
      <c r="F59" s="479"/>
      <c r="G59" s="480"/>
      <c r="H59" s="481"/>
      <c r="I59" s="481"/>
      <c r="J59" s="50"/>
      <c r="K59" s="382" t="s">
        <v>644</v>
      </c>
      <c r="L59" s="378" t="s">
        <v>0</v>
      </c>
      <c r="M59" s="374">
        <v>6000</v>
      </c>
      <c r="O59" s="575"/>
    </row>
    <row r="60" spans="1:15">
      <c r="A60" s="474"/>
      <c r="B60" s="475"/>
      <c r="C60" s="358"/>
      <c r="D60" s="358"/>
      <c r="E60" s="358"/>
      <c r="F60" s="479"/>
      <c r="G60" s="480"/>
      <c r="H60" s="481"/>
      <c r="I60" s="481"/>
      <c r="J60" s="50"/>
      <c r="K60" s="382" t="s">
        <v>645</v>
      </c>
      <c r="L60" s="378" t="s">
        <v>0</v>
      </c>
      <c r="M60" s="374">
        <v>7000</v>
      </c>
    </row>
    <row r="61" spans="1:15">
      <c r="A61" s="474"/>
      <c r="B61" s="475"/>
      <c r="C61" s="358"/>
      <c r="D61" s="358"/>
      <c r="E61" s="358"/>
      <c r="F61" s="479"/>
      <c r="G61" s="480"/>
      <c r="H61" s="481"/>
      <c r="I61" s="481"/>
      <c r="J61" s="50"/>
      <c r="K61" s="382" t="s">
        <v>646</v>
      </c>
      <c r="L61" s="378" t="s">
        <v>0</v>
      </c>
      <c r="M61" s="374">
        <v>5000</v>
      </c>
      <c r="O61" s="575"/>
    </row>
    <row r="62" spans="1:15">
      <c r="A62" s="474"/>
      <c r="B62" s="475"/>
      <c r="C62" s="358"/>
      <c r="D62" s="358"/>
      <c r="E62" s="358"/>
      <c r="F62" s="479"/>
      <c r="G62" s="480"/>
      <c r="H62" s="481"/>
      <c r="I62" s="481"/>
      <c r="J62" s="50"/>
      <c r="K62" s="382" t="s">
        <v>647</v>
      </c>
      <c r="L62" s="378" t="s">
        <v>0</v>
      </c>
      <c r="M62" s="374">
        <v>1000</v>
      </c>
    </row>
    <row r="63" spans="1:15">
      <c r="A63" s="474"/>
      <c r="B63" s="475"/>
      <c r="C63" s="358"/>
      <c r="D63" s="358"/>
      <c r="E63" s="358"/>
      <c r="F63" s="479"/>
      <c r="G63" s="480"/>
      <c r="H63" s="481"/>
      <c r="I63" s="481"/>
      <c r="J63" s="50"/>
      <c r="K63" s="382" t="s">
        <v>648</v>
      </c>
      <c r="L63" s="378" t="s">
        <v>0</v>
      </c>
      <c r="M63" s="374">
        <v>2100</v>
      </c>
    </row>
    <row r="64" spans="1:15">
      <c r="A64" s="474"/>
      <c r="B64" s="475"/>
      <c r="C64" s="358"/>
      <c r="D64" s="358"/>
      <c r="E64" s="358"/>
      <c r="F64" s="479"/>
      <c r="G64" s="480"/>
      <c r="H64" s="481"/>
      <c r="I64" s="481"/>
      <c r="J64" s="50"/>
      <c r="K64" s="382" t="s">
        <v>649</v>
      </c>
      <c r="L64" s="378" t="s">
        <v>0</v>
      </c>
      <c r="M64" s="374">
        <v>4100</v>
      </c>
    </row>
    <row r="65" spans="1:14">
      <c r="A65" s="474"/>
      <c r="B65" s="475"/>
      <c r="C65" s="358"/>
      <c r="D65" s="358"/>
      <c r="E65" s="358"/>
      <c r="F65" s="479"/>
      <c r="G65" s="480"/>
      <c r="H65" s="481"/>
      <c r="I65" s="481"/>
      <c r="J65" s="50"/>
      <c r="K65" s="382" t="s">
        <v>650</v>
      </c>
      <c r="L65" s="378" t="s">
        <v>0</v>
      </c>
      <c r="M65" s="374">
        <v>3960</v>
      </c>
    </row>
    <row r="66" spans="1:14">
      <c r="A66" s="474"/>
      <c r="B66" s="475"/>
      <c r="C66" s="358"/>
      <c r="D66" s="358"/>
      <c r="E66" s="358"/>
      <c r="F66" s="479"/>
      <c r="G66" s="480"/>
      <c r="H66" s="481"/>
      <c r="I66" s="481"/>
      <c r="J66" s="50"/>
      <c r="K66" s="382" t="s">
        <v>651</v>
      </c>
      <c r="L66" s="378" t="s">
        <v>0</v>
      </c>
      <c r="M66" s="374">
        <v>1200</v>
      </c>
    </row>
    <row r="67" spans="1:14">
      <c r="A67" s="474"/>
      <c r="B67" s="475"/>
      <c r="C67" s="358"/>
      <c r="D67" s="358"/>
      <c r="E67" s="358"/>
      <c r="F67" s="479"/>
      <c r="G67" s="480"/>
      <c r="H67" s="481"/>
      <c r="I67" s="481"/>
      <c r="J67" s="50"/>
      <c r="K67" s="382" t="s">
        <v>690</v>
      </c>
      <c r="L67" s="378" t="s">
        <v>0</v>
      </c>
      <c r="M67" s="374">
        <v>18000</v>
      </c>
    </row>
    <row r="68" spans="1:14">
      <c r="A68" s="474"/>
      <c r="B68" s="475"/>
      <c r="C68" s="358"/>
      <c r="D68" s="358"/>
      <c r="E68" s="358"/>
      <c r="F68" s="479"/>
      <c r="G68" s="480"/>
      <c r="H68" s="481"/>
      <c r="I68" s="481"/>
      <c r="J68" s="50"/>
      <c r="K68" s="382" t="s">
        <v>652</v>
      </c>
      <c r="L68" s="378" t="s">
        <v>0</v>
      </c>
      <c r="M68" s="374">
        <v>500</v>
      </c>
    </row>
    <row r="69" spans="1:14">
      <c r="A69" s="474"/>
      <c r="B69" s="475"/>
      <c r="C69" s="358"/>
      <c r="D69" s="358"/>
      <c r="E69" s="358"/>
      <c r="F69" s="479"/>
      <c r="G69" s="480"/>
      <c r="H69" s="481"/>
      <c r="I69" s="481"/>
      <c r="J69" s="50"/>
      <c r="K69" s="382" t="s">
        <v>689</v>
      </c>
      <c r="L69" s="378" t="s">
        <v>0</v>
      </c>
      <c r="M69" s="374">
        <v>10000</v>
      </c>
    </row>
    <row r="70" spans="1:14">
      <c r="A70" s="474"/>
      <c r="B70" s="475"/>
      <c r="C70" s="358"/>
      <c r="D70" s="358"/>
      <c r="E70" s="358"/>
      <c r="F70" s="479"/>
      <c r="G70" s="480"/>
      <c r="H70" s="481"/>
      <c r="I70" s="481"/>
      <c r="J70" s="50"/>
      <c r="K70" s="604" t="s">
        <v>703</v>
      </c>
      <c r="L70" s="378"/>
      <c r="M70" s="374"/>
      <c r="N70" s="603"/>
    </row>
    <row r="71" spans="1:14">
      <c r="A71" s="474"/>
      <c r="B71" s="475"/>
      <c r="C71" s="358"/>
      <c r="D71" s="358"/>
      <c r="E71" s="358"/>
      <c r="F71" s="479"/>
      <c r="G71" s="480"/>
      <c r="H71" s="481"/>
      <c r="I71" s="481"/>
      <c r="J71" s="50"/>
      <c r="K71" s="401" t="s">
        <v>723</v>
      </c>
      <c r="L71" s="378" t="s">
        <v>0</v>
      </c>
      <c r="M71" s="374">
        <v>9000</v>
      </c>
      <c r="N71" s="603"/>
    </row>
    <row r="72" spans="1:14">
      <c r="A72" s="474"/>
      <c r="B72" s="475"/>
      <c r="C72" s="358"/>
      <c r="D72" s="358"/>
      <c r="E72" s="358"/>
      <c r="F72" s="479"/>
      <c r="G72" s="480"/>
      <c r="H72" s="481"/>
      <c r="I72" s="481"/>
      <c r="J72" s="50"/>
      <c r="K72" s="401" t="s">
        <v>724</v>
      </c>
      <c r="L72" s="378" t="s">
        <v>0</v>
      </c>
      <c r="M72" s="374">
        <v>42000</v>
      </c>
      <c r="N72" s="603"/>
    </row>
    <row r="73" spans="1:14">
      <c r="A73" s="474"/>
      <c r="B73" s="475"/>
      <c r="C73" s="358"/>
      <c r="D73" s="358"/>
      <c r="E73" s="358"/>
      <c r="F73" s="479"/>
      <c r="G73" s="480"/>
      <c r="H73" s="481"/>
      <c r="I73" s="481"/>
      <c r="J73" s="50"/>
      <c r="K73" s="401" t="s">
        <v>725</v>
      </c>
      <c r="L73" s="378" t="s">
        <v>0</v>
      </c>
      <c r="M73" s="374">
        <v>15000</v>
      </c>
      <c r="N73" s="603"/>
    </row>
    <row r="74" spans="1:14">
      <c r="A74" s="474"/>
      <c r="B74" s="475"/>
      <c r="C74" s="358"/>
      <c r="D74" s="358"/>
      <c r="E74" s="358"/>
      <c r="F74" s="479"/>
      <c r="G74" s="480"/>
      <c r="H74" s="481"/>
      <c r="I74" s="481"/>
      <c r="J74" s="50"/>
      <c r="K74" s="604" t="s">
        <v>860</v>
      </c>
      <c r="L74" s="378"/>
      <c r="M74" s="374"/>
      <c r="N74" s="634"/>
    </row>
    <row r="75" spans="1:14">
      <c r="A75" s="474"/>
      <c r="B75" s="475"/>
      <c r="C75" s="358"/>
      <c r="D75" s="358"/>
      <c r="E75" s="358"/>
      <c r="F75" s="479"/>
      <c r="G75" s="480"/>
      <c r="H75" s="481"/>
      <c r="I75" s="481"/>
      <c r="J75" s="50"/>
      <c r="K75" s="401" t="s">
        <v>863</v>
      </c>
      <c r="L75" s="378" t="s">
        <v>0</v>
      </c>
      <c r="M75" s="374">
        <v>14000</v>
      </c>
      <c r="N75" s="634"/>
    </row>
    <row r="76" spans="1:14">
      <c r="A76" s="474"/>
      <c r="B76" s="475"/>
      <c r="C76" s="358"/>
      <c r="D76" s="358"/>
      <c r="E76" s="358"/>
      <c r="F76" s="479"/>
      <c r="G76" s="480"/>
      <c r="H76" s="481"/>
      <c r="I76" s="481"/>
      <c r="J76" s="50"/>
      <c r="K76" s="401" t="s">
        <v>888</v>
      </c>
      <c r="L76" s="378" t="s">
        <v>864</v>
      </c>
      <c r="M76" s="374">
        <v>7000</v>
      </c>
      <c r="N76" s="634"/>
    </row>
    <row r="77" spans="1:14">
      <c r="A77" s="474"/>
      <c r="B77" s="475"/>
      <c r="C77" s="358"/>
      <c r="D77" s="358"/>
      <c r="E77" s="358"/>
      <c r="F77" s="479"/>
      <c r="G77" s="480"/>
      <c r="H77" s="481"/>
      <c r="I77" s="481"/>
      <c r="J77" s="50"/>
      <c r="K77" s="401" t="s">
        <v>887</v>
      </c>
      <c r="L77" s="378" t="s">
        <v>0</v>
      </c>
      <c r="M77" s="374">
        <v>13000</v>
      </c>
      <c r="N77" s="634"/>
    </row>
    <row r="78" spans="1:14">
      <c r="A78" s="474"/>
      <c r="B78" s="475"/>
      <c r="C78" s="358"/>
      <c r="D78" s="358"/>
      <c r="E78" s="358"/>
      <c r="F78" s="479"/>
      <c r="G78" s="480"/>
      <c r="H78" s="481"/>
      <c r="I78" s="481"/>
      <c r="J78" s="50"/>
      <c r="K78" s="413" t="s">
        <v>74</v>
      </c>
      <c r="L78" s="418"/>
      <c r="M78" s="379">
        <f>SUM(M79,M83)</f>
        <v>29800</v>
      </c>
    </row>
    <row r="79" spans="1:14">
      <c r="A79" s="474"/>
      <c r="B79" s="475"/>
      <c r="C79" s="358"/>
      <c r="D79" s="358"/>
      <c r="E79" s="358"/>
      <c r="F79" s="479"/>
      <c r="G79" s="480"/>
      <c r="H79" s="481"/>
      <c r="I79" s="481"/>
      <c r="J79" s="50"/>
      <c r="K79" s="602" t="s">
        <v>520</v>
      </c>
      <c r="L79" s="378" t="s">
        <v>37</v>
      </c>
      <c r="M79" s="374">
        <v>22800</v>
      </c>
    </row>
    <row r="80" spans="1:14">
      <c r="A80" s="474"/>
      <c r="B80" s="475"/>
      <c r="C80" s="358"/>
      <c r="D80" s="358"/>
      <c r="E80" s="358"/>
      <c r="F80" s="479"/>
      <c r="G80" s="480"/>
      <c r="H80" s="481"/>
      <c r="I80" s="481"/>
      <c r="J80" s="50"/>
      <c r="K80" s="604" t="s">
        <v>703</v>
      </c>
      <c r="L80" s="378"/>
      <c r="M80" s="374"/>
      <c r="N80" s="631"/>
    </row>
    <row r="81" spans="1:15">
      <c r="A81" s="474"/>
      <c r="B81" s="475"/>
      <c r="C81" s="358"/>
      <c r="D81" s="358"/>
      <c r="E81" s="358"/>
      <c r="F81" s="479"/>
      <c r="G81" s="480"/>
      <c r="H81" s="481"/>
      <c r="I81" s="481"/>
      <c r="J81" s="50"/>
      <c r="K81" s="401" t="s">
        <v>828</v>
      </c>
      <c r="L81" s="378" t="s">
        <v>0</v>
      </c>
      <c r="M81" s="374">
        <v>10000</v>
      </c>
      <c r="N81" s="631"/>
    </row>
    <row r="82" spans="1:15">
      <c r="A82" s="474"/>
      <c r="B82" s="475"/>
      <c r="C82" s="358"/>
      <c r="D82" s="358"/>
      <c r="E82" s="358"/>
      <c r="F82" s="479"/>
      <c r="G82" s="480"/>
      <c r="H82" s="481"/>
      <c r="I82" s="481"/>
      <c r="J82" s="50"/>
      <c r="K82" s="604" t="s">
        <v>860</v>
      </c>
      <c r="L82" s="378"/>
      <c r="M82" s="374"/>
      <c r="N82" s="634"/>
    </row>
    <row r="83" spans="1:15">
      <c r="A83" s="474"/>
      <c r="B83" s="475"/>
      <c r="C83" s="358"/>
      <c r="D83" s="358"/>
      <c r="E83" s="358"/>
      <c r="F83" s="479"/>
      <c r="G83" s="480"/>
      <c r="H83" s="481"/>
      <c r="I83" s="481"/>
      <c r="J83" s="50"/>
      <c r="K83" s="401" t="s">
        <v>865</v>
      </c>
      <c r="L83" s="378" t="s">
        <v>0</v>
      </c>
      <c r="M83" s="374">
        <v>7000</v>
      </c>
      <c r="N83" s="634"/>
    </row>
    <row r="84" spans="1:15">
      <c r="A84" s="357"/>
      <c r="B84" s="358"/>
      <c r="C84" s="358"/>
      <c r="D84" s="358"/>
      <c r="E84" s="358"/>
      <c r="F84" s="485"/>
      <c r="G84" s="471" t="s">
        <v>75</v>
      </c>
      <c r="H84" s="486">
        <f>SUM(M84,M90)</f>
        <v>65460</v>
      </c>
      <c r="I84" s="41">
        <v>65460</v>
      </c>
      <c r="J84" s="487">
        <f>H84-I84</f>
        <v>0</v>
      </c>
      <c r="K84" s="386" t="s">
        <v>872</v>
      </c>
      <c r="L84" s="589"/>
      <c r="M84" s="388">
        <f>SUM(M85,M87,M89)</f>
        <v>59460</v>
      </c>
    </row>
    <row r="85" spans="1:15">
      <c r="A85" s="357"/>
      <c r="B85" s="358"/>
      <c r="C85" s="358"/>
      <c r="D85" s="358"/>
      <c r="E85" s="358"/>
      <c r="F85" s="485"/>
      <c r="G85" s="639"/>
      <c r="H85" s="488"/>
      <c r="I85" s="489"/>
      <c r="J85" s="490"/>
      <c r="K85" s="382" t="s">
        <v>459</v>
      </c>
      <c r="L85" s="378" t="s">
        <v>0</v>
      </c>
      <c r="M85" s="374">
        <v>3960</v>
      </c>
    </row>
    <row r="86" spans="1:15">
      <c r="A86" s="357"/>
      <c r="B86" s="358"/>
      <c r="C86" s="358"/>
      <c r="D86" s="358"/>
      <c r="E86" s="358"/>
      <c r="F86" s="485"/>
      <c r="G86" s="639"/>
      <c r="H86" s="488"/>
      <c r="I86" s="489"/>
      <c r="J86" s="490"/>
      <c r="K86" s="382" t="s">
        <v>521</v>
      </c>
      <c r="L86" s="378" t="s">
        <v>0</v>
      </c>
      <c r="M86" s="374">
        <v>24000</v>
      </c>
    </row>
    <row r="87" spans="1:15">
      <c r="A87" s="474"/>
      <c r="B87" s="475"/>
      <c r="C87" s="358"/>
      <c r="D87" s="358"/>
      <c r="E87" s="358"/>
      <c r="F87" s="479"/>
      <c r="G87" s="480"/>
      <c r="H87" s="481"/>
      <c r="I87" s="481"/>
      <c r="J87" s="50"/>
      <c r="K87" s="382" t="s">
        <v>522</v>
      </c>
      <c r="L87" s="378" t="s">
        <v>0</v>
      </c>
      <c r="M87" s="374">
        <v>1500</v>
      </c>
    </row>
    <row r="88" spans="1:15">
      <c r="A88" s="474"/>
      <c r="B88" s="475"/>
      <c r="C88" s="358"/>
      <c r="D88" s="358"/>
      <c r="E88" s="358"/>
      <c r="F88" s="479"/>
      <c r="G88" s="480"/>
      <c r="H88" s="481"/>
      <c r="I88" s="481"/>
      <c r="J88" s="50"/>
      <c r="K88" s="604" t="s">
        <v>860</v>
      </c>
      <c r="L88" s="378"/>
      <c r="M88" s="374"/>
      <c r="N88" s="634"/>
    </row>
    <row r="89" spans="1:15">
      <c r="A89" s="474"/>
      <c r="B89" s="475"/>
      <c r="C89" s="358"/>
      <c r="D89" s="358"/>
      <c r="E89" s="358"/>
      <c r="F89" s="479"/>
      <c r="G89" s="480"/>
      <c r="H89" s="481"/>
      <c r="I89" s="481"/>
      <c r="J89" s="50"/>
      <c r="K89" s="401" t="s">
        <v>886</v>
      </c>
      <c r="L89" s="378" t="s">
        <v>0</v>
      </c>
      <c r="M89" s="374">
        <v>54000</v>
      </c>
      <c r="N89" s="634"/>
    </row>
    <row r="90" spans="1:15">
      <c r="A90" s="357"/>
      <c r="B90" s="358"/>
      <c r="C90" s="358"/>
      <c r="D90" s="358"/>
      <c r="E90" s="358"/>
      <c r="F90" s="485"/>
      <c r="G90" s="472"/>
      <c r="H90" s="488"/>
      <c r="I90" s="489"/>
      <c r="J90" s="490"/>
      <c r="K90" s="356" t="s">
        <v>45</v>
      </c>
      <c r="L90" s="638"/>
      <c r="M90" s="379">
        <f>SUM(M91:M92)</f>
        <v>6000</v>
      </c>
    </row>
    <row r="91" spans="1:15">
      <c r="A91" s="357"/>
      <c r="B91" s="358"/>
      <c r="C91" s="358"/>
      <c r="D91" s="358"/>
      <c r="E91" s="358"/>
      <c r="F91" s="485"/>
      <c r="G91" s="472"/>
      <c r="H91" s="488"/>
      <c r="I91" s="489"/>
      <c r="J91" s="490"/>
      <c r="K91" s="382" t="s">
        <v>523</v>
      </c>
      <c r="L91" s="378" t="s">
        <v>0</v>
      </c>
      <c r="M91" s="374">
        <v>4800</v>
      </c>
    </row>
    <row r="92" spans="1:15">
      <c r="A92" s="357"/>
      <c r="B92" s="358"/>
      <c r="C92" s="358"/>
      <c r="D92" s="358"/>
      <c r="E92" s="358"/>
      <c r="F92" s="485"/>
      <c r="G92" s="491"/>
      <c r="H92" s="492"/>
      <c r="I92" s="493"/>
      <c r="J92" s="494"/>
      <c r="K92" s="380" t="s">
        <v>524</v>
      </c>
      <c r="L92" s="373" t="s">
        <v>0</v>
      </c>
      <c r="M92" s="381">
        <v>1200</v>
      </c>
    </row>
    <row r="93" spans="1:15">
      <c r="A93" s="55"/>
      <c r="B93" s="57"/>
      <c r="C93" s="65"/>
      <c r="D93" s="65"/>
      <c r="E93" s="65"/>
      <c r="F93" s="221"/>
      <c r="G93" s="205" t="s">
        <v>829</v>
      </c>
      <c r="H93" s="206">
        <f>M93</f>
        <v>26500</v>
      </c>
      <c r="I93" s="206">
        <v>26500</v>
      </c>
      <c r="J93" s="41">
        <f t="shared" ref="J93" si="1">H93-I93</f>
        <v>0</v>
      </c>
      <c r="K93" s="386" t="s">
        <v>222</v>
      </c>
      <c r="L93" s="412"/>
      <c r="M93" s="388">
        <f>SUM(M97,M99,M100)</f>
        <v>26500</v>
      </c>
      <c r="N93" s="631"/>
    </row>
    <row r="94" spans="1:15">
      <c r="A94" s="55"/>
      <c r="B94" s="57"/>
      <c r="C94" s="65"/>
      <c r="D94" s="65"/>
      <c r="E94" s="65"/>
      <c r="F94" s="221"/>
      <c r="G94" s="56"/>
      <c r="H94" s="100"/>
      <c r="I94" s="100"/>
      <c r="J94" s="50"/>
      <c r="K94" s="604" t="s">
        <v>703</v>
      </c>
      <c r="L94" s="418"/>
      <c r="M94" s="379"/>
      <c r="N94" s="631"/>
    </row>
    <row r="95" spans="1:15">
      <c r="A95" s="55"/>
      <c r="B95" s="57"/>
      <c r="C95" s="65"/>
      <c r="D95" s="65"/>
      <c r="E95" s="65"/>
      <c r="F95" s="56"/>
      <c r="G95" s="56"/>
      <c r="H95" s="100"/>
      <c r="I95" s="100"/>
      <c r="J95" s="102"/>
      <c r="K95" s="640" t="s">
        <v>902</v>
      </c>
      <c r="L95" s="378" t="s">
        <v>37</v>
      </c>
      <c r="M95" s="374">
        <v>25000</v>
      </c>
      <c r="N95" s="631"/>
      <c r="O95" s="575"/>
    </row>
    <row r="96" spans="1:15">
      <c r="A96" s="474"/>
      <c r="B96" s="475"/>
      <c r="C96" s="358"/>
      <c r="D96" s="358"/>
      <c r="E96" s="358"/>
      <c r="F96" s="479"/>
      <c r="G96" s="480"/>
      <c r="H96" s="481"/>
      <c r="I96" s="481"/>
      <c r="J96" s="50"/>
      <c r="K96" s="604" t="s">
        <v>860</v>
      </c>
      <c r="L96" s="378"/>
      <c r="M96" s="374"/>
      <c r="N96" s="634"/>
    </row>
    <row r="97" spans="1:15">
      <c r="A97" s="474"/>
      <c r="B97" s="475"/>
      <c r="C97" s="358"/>
      <c r="D97" s="358"/>
      <c r="E97" s="358"/>
      <c r="F97" s="479"/>
      <c r="G97" s="480"/>
      <c r="H97" s="481"/>
      <c r="I97" s="481"/>
      <c r="J97" s="50"/>
      <c r="K97" s="401" t="s">
        <v>866</v>
      </c>
      <c r="L97" s="378" t="s">
        <v>0</v>
      </c>
      <c r="M97" s="374">
        <v>1500</v>
      </c>
      <c r="N97" s="634"/>
    </row>
    <row r="98" spans="1:15">
      <c r="A98" s="474"/>
      <c r="B98" s="475"/>
      <c r="C98" s="358"/>
      <c r="D98" s="358"/>
      <c r="E98" s="358"/>
      <c r="F98" s="479"/>
      <c r="G98" s="480"/>
      <c r="H98" s="481"/>
      <c r="I98" s="481"/>
      <c r="J98" s="50"/>
      <c r="K98" s="604" t="s">
        <v>901</v>
      </c>
      <c r="L98" s="378"/>
      <c r="M98" s="374"/>
      <c r="N98" s="658"/>
    </row>
    <row r="99" spans="1:15">
      <c r="A99" s="474"/>
      <c r="B99" s="475"/>
      <c r="C99" s="358"/>
      <c r="D99" s="358"/>
      <c r="E99" s="358"/>
      <c r="F99" s="479"/>
      <c r="G99" s="480"/>
      <c r="H99" s="481"/>
      <c r="I99" s="481"/>
      <c r="J99" s="50"/>
      <c r="K99" s="725" t="s">
        <v>903</v>
      </c>
      <c r="L99" s="722" t="s">
        <v>37</v>
      </c>
      <c r="M99" s="723">
        <v>22000</v>
      </c>
      <c r="N99" s="658"/>
    </row>
    <row r="100" spans="1:15">
      <c r="A100" s="474"/>
      <c r="B100" s="475"/>
      <c r="C100" s="358"/>
      <c r="D100" s="358"/>
      <c r="E100" s="358"/>
      <c r="F100" s="479"/>
      <c r="G100" s="483"/>
      <c r="H100" s="516"/>
      <c r="I100" s="516"/>
      <c r="J100" s="145"/>
      <c r="K100" s="726" t="s">
        <v>904</v>
      </c>
      <c r="L100" s="727" t="s">
        <v>0</v>
      </c>
      <c r="M100" s="728">
        <v>3000</v>
      </c>
      <c r="N100" s="658"/>
    </row>
    <row r="101" spans="1:15">
      <c r="A101" s="357"/>
      <c r="B101" s="358"/>
      <c r="C101" s="358"/>
      <c r="D101" s="358"/>
      <c r="E101" s="358"/>
      <c r="F101" s="485"/>
      <c r="G101" s="472" t="s">
        <v>8</v>
      </c>
      <c r="H101" s="488">
        <f>M101+M107</f>
        <v>20300</v>
      </c>
      <c r="I101" s="468">
        <v>20300</v>
      </c>
      <c r="J101" s="490">
        <f>H101-I101</f>
        <v>0</v>
      </c>
      <c r="K101" s="413" t="s">
        <v>453</v>
      </c>
      <c r="L101" s="378"/>
      <c r="M101" s="379">
        <f>SUM(M103:M104,M106)</f>
        <v>11660</v>
      </c>
    </row>
    <row r="102" spans="1:15">
      <c r="A102" s="357"/>
      <c r="B102" s="358"/>
      <c r="C102" s="358"/>
      <c r="D102" s="358"/>
      <c r="E102" s="358"/>
      <c r="F102" s="485"/>
      <c r="G102" s="495"/>
      <c r="H102" s="488"/>
      <c r="I102" s="489"/>
      <c r="J102" s="490"/>
      <c r="K102" s="382" t="s">
        <v>656</v>
      </c>
      <c r="L102" s="378" t="s">
        <v>0</v>
      </c>
      <c r="M102" s="374">
        <v>1540</v>
      </c>
      <c r="O102" s="575"/>
    </row>
    <row r="103" spans="1:15">
      <c r="A103" s="357"/>
      <c r="B103" s="358"/>
      <c r="C103" s="358"/>
      <c r="D103" s="358"/>
      <c r="E103" s="358"/>
      <c r="F103" s="485"/>
      <c r="G103" s="495"/>
      <c r="H103" s="488"/>
      <c r="I103" s="489"/>
      <c r="J103" s="490"/>
      <c r="K103" s="382" t="s">
        <v>657</v>
      </c>
      <c r="L103" s="378" t="s">
        <v>451</v>
      </c>
      <c r="M103" s="374">
        <v>3300</v>
      </c>
      <c r="O103" s="575"/>
    </row>
    <row r="104" spans="1:15">
      <c r="A104" s="357"/>
      <c r="B104" s="358"/>
      <c r="C104" s="358"/>
      <c r="D104" s="358"/>
      <c r="E104" s="358"/>
      <c r="F104" s="485"/>
      <c r="G104" s="495"/>
      <c r="H104" s="488"/>
      <c r="I104" s="489"/>
      <c r="J104" s="490"/>
      <c r="K104" s="382" t="s">
        <v>658</v>
      </c>
      <c r="L104" s="378" t="s">
        <v>450</v>
      </c>
      <c r="M104" s="374">
        <v>6600</v>
      </c>
      <c r="O104" s="575"/>
    </row>
    <row r="105" spans="1:15">
      <c r="A105" s="357"/>
      <c r="B105" s="358"/>
      <c r="C105" s="358"/>
      <c r="D105" s="358"/>
      <c r="E105" s="358"/>
      <c r="F105" s="485"/>
      <c r="G105" s="495"/>
      <c r="H105" s="488"/>
      <c r="I105" s="489"/>
      <c r="J105" s="490"/>
      <c r="K105" s="604" t="s">
        <v>703</v>
      </c>
      <c r="L105" s="378"/>
      <c r="M105" s="374"/>
      <c r="N105" s="603"/>
      <c r="O105" s="575"/>
    </row>
    <row r="106" spans="1:15">
      <c r="A106" s="357"/>
      <c r="B106" s="358"/>
      <c r="C106" s="358"/>
      <c r="D106" s="358"/>
      <c r="E106" s="358"/>
      <c r="F106" s="485"/>
      <c r="G106" s="495"/>
      <c r="H106" s="488"/>
      <c r="I106" s="489"/>
      <c r="J106" s="490"/>
      <c r="K106" s="382" t="s">
        <v>726</v>
      </c>
      <c r="L106" s="378" t="s">
        <v>0</v>
      </c>
      <c r="M106" s="374">
        <v>1760</v>
      </c>
      <c r="N106" s="603"/>
      <c r="O106" s="575"/>
    </row>
    <row r="107" spans="1:15">
      <c r="A107" s="357"/>
      <c r="B107" s="358"/>
      <c r="C107" s="358"/>
      <c r="D107" s="358"/>
      <c r="E107" s="358"/>
      <c r="F107" s="485"/>
      <c r="G107" s="495"/>
      <c r="H107" s="488"/>
      <c r="I107" s="489"/>
      <c r="J107" s="490"/>
      <c r="K107" s="413" t="s">
        <v>135</v>
      </c>
      <c r="L107" s="378"/>
      <c r="M107" s="379">
        <f>SUM(M108)</f>
        <v>8640</v>
      </c>
    </row>
    <row r="108" spans="1:15">
      <c r="A108" s="357"/>
      <c r="B108" s="358"/>
      <c r="C108" s="358"/>
      <c r="D108" s="358"/>
      <c r="E108" s="358"/>
      <c r="F108" s="496"/>
      <c r="G108" s="495"/>
      <c r="H108" s="488"/>
      <c r="I108" s="489"/>
      <c r="J108" s="490"/>
      <c r="K108" s="382" t="s">
        <v>634</v>
      </c>
      <c r="L108" s="378" t="s">
        <v>37</v>
      </c>
      <c r="M108" s="374">
        <v>8640</v>
      </c>
    </row>
    <row r="109" spans="1:15">
      <c r="A109" s="357"/>
      <c r="B109" s="358"/>
      <c r="C109" s="358"/>
      <c r="D109" s="358"/>
      <c r="E109" s="358"/>
      <c r="F109" s="463" t="s">
        <v>53</v>
      </c>
      <c r="G109" s="466"/>
      <c r="H109" s="98">
        <f>SUM(H110)</f>
        <v>11990</v>
      </c>
      <c r="I109" s="98">
        <v>11990</v>
      </c>
      <c r="J109" s="98">
        <f>H109-I109</f>
        <v>0</v>
      </c>
      <c r="K109" s="383"/>
      <c r="L109" s="384"/>
      <c r="M109" s="385"/>
    </row>
    <row r="110" spans="1:15">
      <c r="A110" s="357"/>
      <c r="B110" s="358"/>
      <c r="C110" s="358"/>
      <c r="D110" s="358"/>
      <c r="E110" s="358"/>
      <c r="F110" s="467"/>
      <c r="G110" s="471" t="s">
        <v>415</v>
      </c>
      <c r="H110" s="468">
        <f>M110</f>
        <v>11990</v>
      </c>
      <c r="I110" s="468">
        <v>11990</v>
      </c>
      <c r="J110" s="50">
        <f>H110-I110</f>
        <v>0</v>
      </c>
      <c r="K110" s="386" t="s">
        <v>76</v>
      </c>
      <c r="L110" s="411"/>
      <c r="M110" s="379">
        <f>SUM(M111:M112)</f>
        <v>11990</v>
      </c>
    </row>
    <row r="111" spans="1:15">
      <c r="A111" s="357"/>
      <c r="B111" s="358"/>
      <c r="C111" s="358"/>
      <c r="D111" s="358"/>
      <c r="E111" s="358"/>
      <c r="F111" s="467"/>
      <c r="G111" s="358"/>
      <c r="H111" s="468"/>
      <c r="I111" s="468"/>
      <c r="J111" s="50"/>
      <c r="K111" s="382" t="s">
        <v>525</v>
      </c>
      <c r="L111" s="410" t="s">
        <v>319</v>
      </c>
      <c r="M111" s="374">
        <v>3520</v>
      </c>
      <c r="O111" s="575"/>
    </row>
    <row r="112" spans="1:15">
      <c r="A112" s="357"/>
      <c r="B112" s="358"/>
      <c r="C112" s="358"/>
      <c r="D112" s="358"/>
      <c r="E112" s="358"/>
      <c r="F112" s="467"/>
      <c r="G112" s="358"/>
      <c r="H112" s="468"/>
      <c r="I112" s="468"/>
      <c r="J112" s="50"/>
      <c r="K112" s="380" t="s">
        <v>526</v>
      </c>
      <c r="L112" s="410" t="s">
        <v>320</v>
      </c>
      <c r="M112" s="374">
        <v>8470</v>
      </c>
      <c r="O112" s="575"/>
    </row>
    <row r="113" spans="1:15">
      <c r="A113" s="357"/>
      <c r="B113" s="358"/>
      <c r="C113" s="358"/>
      <c r="D113" s="358"/>
      <c r="E113" s="358"/>
      <c r="F113" s="463" t="s">
        <v>78</v>
      </c>
      <c r="G113" s="466"/>
      <c r="H113" s="98">
        <f>H114</f>
        <v>50600</v>
      </c>
      <c r="I113" s="98">
        <v>36600</v>
      </c>
      <c r="J113" s="98">
        <f>H113-I113</f>
        <v>14000</v>
      </c>
      <c r="K113" s="383"/>
      <c r="L113" s="384"/>
      <c r="M113" s="385"/>
    </row>
    <row r="114" spans="1:15">
      <c r="A114" s="357"/>
      <c r="B114" s="358"/>
      <c r="C114" s="358"/>
      <c r="D114" s="358"/>
      <c r="E114" s="358"/>
      <c r="F114" s="467"/>
      <c r="G114" s="358" t="s">
        <v>79</v>
      </c>
      <c r="H114" s="468">
        <f>SUM(M114,M117)</f>
        <v>50600</v>
      </c>
      <c r="I114" s="468">
        <v>36600</v>
      </c>
      <c r="J114" s="50">
        <f>H114-I114</f>
        <v>14000</v>
      </c>
      <c r="K114" s="386" t="s">
        <v>80</v>
      </c>
      <c r="L114" s="411"/>
      <c r="M114" s="388">
        <f>SUM(M115:M116)</f>
        <v>16600</v>
      </c>
    </row>
    <row r="115" spans="1:15">
      <c r="A115" s="357"/>
      <c r="B115" s="358"/>
      <c r="C115" s="358"/>
      <c r="D115" s="358"/>
      <c r="E115" s="358"/>
      <c r="F115" s="485"/>
      <c r="G115" s="495"/>
      <c r="H115" s="488"/>
      <c r="I115" s="489"/>
      <c r="J115" s="490"/>
      <c r="K115" s="382" t="s">
        <v>454</v>
      </c>
      <c r="L115" s="378" t="s">
        <v>0</v>
      </c>
      <c r="M115" s="374">
        <v>10000</v>
      </c>
    </row>
    <row r="116" spans="1:15">
      <c r="A116" s="357"/>
      <c r="B116" s="358"/>
      <c r="C116" s="358"/>
      <c r="D116" s="358"/>
      <c r="E116" s="358"/>
      <c r="F116" s="485"/>
      <c r="G116" s="495"/>
      <c r="H116" s="488"/>
      <c r="I116" s="489"/>
      <c r="J116" s="490"/>
      <c r="K116" s="382" t="s">
        <v>318</v>
      </c>
      <c r="L116" s="378" t="s">
        <v>0</v>
      </c>
      <c r="M116" s="374">
        <v>6600</v>
      </c>
    </row>
    <row r="117" spans="1:15">
      <c r="A117" s="357"/>
      <c r="B117" s="358"/>
      <c r="C117" s="358"/>
      <c r="D117" s="358"/>
      <c r="E117" s="358"/>
      <c r="F117" s="485"/>
      <c r="G117" s="495"/>
      <c r="H117" s="488"/>
      <c r="I117" s="489"/>
      <c r="J117" s="490"/>
      <c r="K117" s="356" t="s">
        <v>81</v>
      </c>
      <c r="L117" s="401"/>
      <c r="M117" s="379">
        <f>SUM(M118:M120,M122)</f>
        <v>34000</v>
      </c>
    </row>
    <row r="118" spans="1:15">
      <c r="A118" s="357"/>
      <c r="B118" s="358"/>
      <c r="C118" s="358"/>
      <c r="D118" s="358"/>
      <c r="E118" s="358"/>
      <c r="F118" s="485"/>
      <c r="G118" s="495"/>
      <c r="H118" s="488"/>
      <c r="I118" s="489"/>
      <c r="J118" s="490"/>
      <c r="K118" s="382" t="s">
        <v>663</v>
      </c>
      <c r="L118" s="378" t="s">
        <v>0</v>
      </c>
      <c r="M118" s="374">
        <v>14500</v>
      </c>
      <c r="O118" s="575"/>
    </row>
    <row r="119" spans="1:15">
      <c r="A119" s="357"/>
      <c r="B119" s="358"/>
      <c r="C119" s="358"/>
      <c r="D119" s="358"/>
      <c r="E119" s="358"/>
      <c r="F119" s="485"/>
      <c r="G119" s="495"/>
      <c r="H119" s="488"/>
      <c r="I119" s="489"/>
      <c r="J119" s="490"/>
      <c r="K119" s="382" t="s">
        <v>664</v>
      </c>
      <c r="L119" s="378" t="s">
        <v>0</v>
      </c>
      <c r="M119" s="374">
        <v>4000</v>
      </c>
      <c r="O119" s="575"/>
    </row>
    <row r="120" spans="1:15">
      <c r="A120" s="357"/>
      <c r="B120" s="358"/>
      <c r="C120" s="460"/>
      <c r="D120" s="461"/>
      <c r="E120" s="497"/>
      <c r="F120" s="359"/>
      <c r="G120" s="499"/>
      <c r="H120" s="50"/>
      <c r="I120" s="50"/>
      <c r="J120" s="50"/>
      <c r="K120" s="382" t="s">
        <v>665</v>
      </c>
      <c r="L120" s="375" t="s">
        <v>0</v>
      </c>
      <c r="M120" s="374">
        <v>1500</v>
      </c>
      <c r="O120" s="575"/>
    </row>
    <row r="121" spans="1:15">
      <c r="A121" s="474"/>
      <c r="B121" s="475"/>
      <c r="C121" s="358"/>
      <c r="D121" s="358"/>
      <c r="E121" s="358"/>
      <c r="F121" s="479"/>
      <c r="G121" s="480"/>
      <c r="H121" s="481"/>
      <c r="I121" s="481"/>
      <c r="J121" s="50"/>
      <c r="K121" s="604" t="s">
        <v>892</v>
      </c>
      <c r="L121" s="378"/>
      <c r="M121" s="374"/>
      <c r="N121" s="670"/>
    </row>
    <row r="122" spans="1:15">
      <c r="A122" s="474"/>
      <c r="B122" s="475"/>
      <c r="C122" s="358"/>
      <c r="D122" s="358"/>
      <c r="E122" s="358"/>
      <c r="F122" s="479"/>
      <c r="G122" s="480"/>
      <c r="H122" s="481"/>
      <c r="I122" s="481"/>
      <c r="J122" s="50"/>
      <c r="K122" s="725" t="s">
        <v>915</v>
      </c>
      <c r="L122" s="722" t="s">
        <v>37</v>
      </c>
      <c r="M122" s="723">
        <v>14000</v>
      </c>
      <c r="N122" s="670"/>
    </row>
    <row r="123" spans="1:15">
      <c r="A123" s="357"/>
      <c r="B123" s="358"/>
      <c r="C123" s="358"/>
      <c r="D123" s="358"/>
      <c r="E123" s="358"/>
      <c r="F123" s="463" t="s">
        <v>82</v>
      </c>
      <c r="G123" s="466"/>
      <c r="H123" s="98">
        <f>SUM(H124,H127)</f>
        <v>27120</v>
      </c>
      <c r="I123" s="98">
        <v>27120</v>
      </c>
      <c r="J123" s="98">
        <f>H123-I123</f>
        <v>0</v>
      </c>
      <c r="K123" s="383"/>
      <c r="L123" s="384"/>
      <c r="M123" s="385"/>
    </row>
    <row r="124" spans="1:15">
      <c r="A124" s="357"/>
      <c r="B124" s="358"/>
      <c r="C124" s="358"/>
      <c r="D124" s="358"/>
      <c r="E124" s="358"/>
      <c r="F124" s="467"/>
      <c r="G124" s="358" t="s">
        <v>83</v>
      </c>
      <c r="H124" s="468">
        <f>M124</f>
        <v>20400</v>
      </c>
      <c r="I124" s="468">
        <v>20400</v>
      </c>
      <c r="J124" s="50">
        <f>H124-I124</f>
        <v>0</v>
      </c>
      <c r="K124" s="386" t="s">
        <v>84</v>
      </c>
      <c r="L124" s="411"/>
      <c r="M124" s="388">
        <f>SUM(M125:M126)</f>
        <v>20400</v>
      </c>
    </row>
    <row r="125" spans="1:15">
      <c r="A125" s="357"/>
      <c r="B125" s="358"/>
      <c r="C125" s="358"/>
      <c r="D125" s="358"/>
      <c r="E125" s="358"/>
      <c r="F125" s="485"/>
      <c r="G125" s="495"/>
      <c r="H125" s="488"/>
      <c r="I125" s="489"/>
      <c r="J125" s="490"/>
      <c r="K125" s="382" t="s">
        <v>321</v>
      </c>
      <c r="L125" s="378" t="s">
        <v>0</v>
      </c>
      <c r="M125" s="374">
        <v>8400</v>
      </c>
    </row>
    <row r="126" spans="1:15">
      <c r="A126" s="357"/>
      <c r="B126" s="358"/>
      <c r="C126" s="358"/>
      <c r="D126" s="358"/>
      <c r="E126" s="358"/>
      <c r="F126" s="485"/>
      <c r="G126" s="472"/>
      <c r="H126" s="488"/>
      <c r="I126" s="489"/>
      <c r="J126" s="490"/>
      <c r="K126" s="382" t="s">
        <v>527</v>
      </c>
      <c r="L126" s="378" t="s">
        <v>0</v>
      </c>
      <c r="M126" s="374">
        <v>12000</v>
      </c>
    </row>
    <row r="127" spans="1:15">
      <c r="A127" s="357"/>
      <c r="B127" s="358"/>
      <c r="C127" s="358"/>
      <c r="D127" s="358"/>
      <c r="E127" s="358"/>
      <c r="F127" s="485"/>
      <c r="G127" s="495" t="s">
        <v>134</v>
      </c>
      <c r="H127" s="488">
        <f>M127</f>
        <v>6720</v>
      </c>
      <c r="I127" s="468">
        <v>6720</v>
      </c>
      <c r="J127" s="490">
        <f>H127-I127</f>
        <v>0</v>
      </c>
      <c r="K127" s="356" t="s">
        <v>85</v>
      </c>
      <c r="L127" s="401"/>
      <c r="M127" s="379">
        <f>M128</f>
        <v>6720</v>
      </c>
    </row>
    <row r="128" spans="1:15">
      <c r="A128" s="357"/>
      <c r="B128" s="358"/>
      <c r="C128" s="358"/>
      <c r="D128" s="358"/>
      <c r="E128" s="358"/>
      <c r="F128" s="485"/>
      <c r="G128" s="495"/>
      <c r="H128" s="488"/>
      <c r="I128" s="489"/>
      <c r="J128" s="490"/>
      <c r="K128" s="382" t="s">
        <v>933</v>
      </c>
      <c r="L128" s="378" t="s">
        <v>0</v>
      </c>
      <c r="M128" s="374">
        <v>6720</v>
      </c>
    </row>
    <row r="129" spans="1:15">
      <c r="A129" s="357"/>
      <c r="B129" s="358"/>
      <c r="C129" s="358"/>
      <c r="D129" s="358"/>
      <c r="E129" s="358"/>
      <c r="F129" s="463" t="s">
        <v>86</v>
      </c>
      <c r="G129" s="466"/>
      <c r="H129" s="98">
        <f>H130</f>
        <v>28000</v>
      </c>
      <c r="I129" s="98">
        <v>28000</v>
      </c>
      <c r="J129" s="98">
        <f>H129-I129</f>
        <v>0</v>
      </c>
      <c r="K129" s="383"/>
      <c r="L129" s="384"/>
      <c r="M129" s="385"/>
    </row>
    <row r="130" spans="1:15">
      <c r="A130" s="357"/>
      <c r="B130" s="358"/>
      <c r="C130" s="358"/>
      <c r="D130" s="358"/>
      <c r="E130" s="358"/>
      <c r="F130" s="467"/>
      <c r="G130" s="358" t="s">
        <v>56</v>
      </c>
      <c r="H130" s="468">
        <f>M130</f>
        <v>28000</v>
      </c>
      <c r="I130" s="468">
        <v>28000</v>
      </c>
      <c r="J130" s="50">
        <f>H130-I130</f>
        <v>0</v>
      </c>
      <c r="K130" s="386" t="s">
        <v>89</v>
      </c>
      <c r="L130" s="411"/>
      <c r="M130" s="388">
        <f>M133</f>
        <v>28000</v>
      </c>
    </row>
    <row r="131" spans="1:15">
      <c r="A131" s="357"/>
      <c r="B131" s="358"/>
      <c r="C131" s="358"/>
      <c r="D131" s="358"/>
      <c r="E131" s="358"/>
      <c r="F131" s="485"/>
      <c r="G131" s="495"/>
      <c r="H131" s="488"/>
      <c r="I131" s="489"/>
      <c r="J131" s="490"/>
      <c r="K131" s="382" t="s">
        <v>528</v>
      </c>
      <c r="L131" s="378" t="s">
        <v>0</v>
      </c>
      <c r="M131" s="374">
        <v>8000</v>
      </c>
    </row>
    <row r="132" spans="1:15">
      <c r="A132" s="357"/>
      <c r="B132" s="358"/>
      <c r="C132" s="358"/>
      <c r="D132" s="358"/>
      <c r="E132" s="358"/>
      <c r="F132" s="485"/>
      <c r="G132" s="495"/>
      <c r="H132" s="488"/>
      <c r="I132" s="489"/>
      <c r="J132" s="490"/>
      <c r="K132" s="604" t="s">
        <v>703</v>
      </c>
      <c r="L132" s="378"/>
      <c r="M132" s="374"/>
      <c r="N132" s="603"/>
    </row>
    <row r="133" spans="1:15">
      <c r="A133" s="357"/>
      <c r="B133" s="358"/>
      <c r="C133" s="358"/>
      <c r="D133" s="358"/>
      <c r="E133" s="358"/>
      <c r="F133" s="496"/>
      <c r="G133" s="495"/>
      <c r="H133" s="488"/>
      <c r="I133" s="489"/>
      <c r="J133" s="490"/>
      <c r="K133" s="401" t="s">
        <v>831</v>
      </c>
      <c r="L133" s="378" t="s">
        <v>0</v>
      </c>
      <c r="M133" s="374">
        <v>28000</v>
      </c>
      <c r="N133" s="603"/>
    </row>
    <row r="134" spans="1:15">
      <c r="A134" s="357"/>
      <c r="B134" s="358"/>
      <c r="C134" s="358"/>
      <c r="D134" s="358"/>
      <c r="E134" s="358"/>
      <c r="F134" s="463" t="s">
        <v>87</v>
      </c>
      <c r="G134" s="466"/>
      <c r="H134" s="98">
        <f>SUM(H135,H139)</f>
        <v>4980</v>
      </c>
      <c r="I134" s="98">
        <v>4980</v>
      </c>
      <c r="J134" s="98">
        <f>H134-I134</f>
        <v>0</v>
      </c>
      <c r="K134" s="383"/>
      <c r="L134" s="384"/>
      <c r="M134" s="385"/>
    </row>
    <row r="135" spans="1:15">
      <c r="A135" s="357"/>
      <c r="B135" s="358"/>
      <c r="C135" s="358"/>
      <c r="D135" s="358"/>
      <c r="E135" s="358"/>
      <c r="F135" s="467"/>
      <c r="G135" s="540" t="s">
        <v>88</v>
      </c>
      <c r="H135" s="468">
        <f>M135</f>
        <v>2880</v>
      </c>
      <c r="I135" s="468">
        <v>2880</v>
      </c>
      <c r="J135" s="50">
        <f>H135-I135</f>
        <v>0</v>
      </c>
      <c r="K135" s="386" t="s">
        <v>90</v>
      </c>
      <c r="L135" s="411"/>
      <c r="M135" s="388">
        <f>M138</f>
        <v>2880</v>
      </c>
    </row>
    <row r="136" spans="1:15">
      <c r="A136" s="357"/>
      <c r="B136" s="358"/>
      <c r="C136" s="358"/>
      <c r="D136" s="358"/>
      <c r="E136" s="358"/>
      <c r="F136" s="485"/>
      <c r="G136" s="472"/>
      <c r="H136" s="488"/>
      <c r="I136" s="489"/>
      <c r="J136" s="490"/>
      <c r="K136" s="382" t="s">
        <v>529</v>
      </c>
      <c r="L136" s="378" t="s">
        <v>0</v>
      </c>
      <c r="M136" s="374">
        <v>3040</v>
      </c>
    </row>
    <row r="137" spans="1:15">
      <c r="A137" s="357"/>
      <c r="B137" s="358"/>
      <c r="C137" s="358"/>
      <c r="D137" s="358"/>
      <c r="E137" s="358"/>
      <c r="F137" s="485"/>
      <c r="G137" s="472"/>
      <c r="H137" s="488"/>
      <c r="I137" s="489"/>
      <c r="J137" s="490"/>
      <c r="K137" s="604" t="s">
        <v>703</v>
      </c>
      <c r="L137" s="378"/>
      <c r="M137" s="374"/>
      <c r="N137" s="603"/>
    </row>
    <row r="138" spans="1:15">
      <c r="A138" s="357"/>
      <c r="B138" s="358"/>
      <c r="C138" s="358"/>
      <c r="D138" s="358"/>
      <c r="E138" s="358"/>
      <c r="F138" s="485"/>
      <c r="G138" s="491"/>
      <c r="H138" s="492"/>
      <c r="I138" s="493"/>
      <c r="J138" s="494"/>
      <c r="K138" s="637" t="s">
        <v>727</v>
      </c>
      <c r="L138" s="373" t="s">
        <v>0</v>
      </c>
      <c r="M138" s="381">
        <v>2880</v>
      </c>
      <c r="N138" s="603"/>
    </row>
    <row r="139" spans="1:15">
      <c r="A139" s="357"/>
      <c r="B139" s="358"/>
      <c r="C139" s="358"/>
      <c r="D139" s="358"/>
      <c r="E139" s="358"/>
      <c r="F139" s="485"/>
      <c r="G139" s="500" t="s">
        <v>91</v>
      </c>
      <c r="H139" s="488">
        <f>M139</f>
        <v>2100</v>
      </c>
      <c r="I139" s="468">
        <v>2100</v>
      </c>
      <c r="J139" s="490">
        <f>H139-I139</f>
        <v>0</v>
      </c>
      <c r="K139" s="356" t="s">
        <v>383</v>
      </c>
      <c r="L139" s="401"/>
      <c r="M139" s="379">
        <f>M140</f>
        <v>2100</v>
      </c>
    </row>
    <row r="140" spans="1:15">
      <c r="A140" s="357"/>
      <c r="B140" s="358"/>
      <c r="C140" s="358"/>
      <c r="D140" s="358"/>
      <c r="E140" s="469"/>
      <c r="F140" s="496"/>
      <c r="G140" s="501"/>
      <c r="H140" s="492"/>
      <c r="I140" s="493"/>
      <c r="J140" s="494"/>
      <c r="K140" s="380" t="s">
        <v>662</v>
      </c>
      <c r="L140" s="373" t="s">
        <v>0</v>
      </c>
      <c r="M140" s="381">
        <v>2100</v>
      </c>
      <c r="O140" s="575"/>
    </row>
    <row r="141" spans="1:15">
      <c r="A141" s="452"/>
      <c r="B141" s="455"/>
      <c r="C141" s="482"/>
      <c r="D141" s="482"/>
      <c r="E141" s="349" t="s">
        <v>322</v>
      </c>
      <c r="F141" s="453"/>
      <c r="G141" s="454"/>
      <c r="H141" s="92">
        <f>H142</f>
        <v>18424</v>
      </c>
      <c r="I141" s="92">
        <v>18424</v>
      </c>
      <c r="J141" s="92">
        <f>H141-I141</f>
        <v>0</v>
      </c>
      <c r="K141" s="351"/>
      <c r="L141" s="391"/>
      <c r="M141" s="459"/>
    </row>
    <row r="142" spans="1:15">
      <c r="A142" s="357"/>
      <c r="B142" s="358"/>
      <c r="C142" s="358"/>
      <c r="D142" s="358"/>
      <c r="E142" s="358"/>
      <c r="F142" s="463" t="s">
        <v>323</v>
      </c>
      <c r="G142" s="466"/>
      <c r="H142" s="98">
        <f>H143</f>
        <v>18424</v>
      </c>
      <c r="I142" s="98">
        <v>18424</v>
      </c>
      <c r="J142" s="98">
        <f>H142-I142</f>
        <v>0</v>
      </c>
      <c r="K142" s="383"/>
      <c r="L142" s="384"/>
      <c r="M142" s="385"/>
    </row>
    <row r="143" spans="1:15">
      <c r="A143" s="357"/>
      <c r="B143" s="358"/>
      <c r="C143" s="358"/>
      <c r="D143" s="358"/>
      <c r="E143" s="358"/>
      <c r="F143" s="467"/>
      <c r="G143" s="358" t="s">
        <v>324</v>
      </c>
      <c r="H143" s="468">
        <f>SUM(M143,M153,M158)</f>
        <v>18424</v>
      </c>
      <c r="I143" s="468">
        <v>18424</v>
      </c>
      <c r="J143" s="50">
        <f>H143-I143</f>
        <v>0</v>
      </c>
      <c r="K143" s="386" t="s">
        <v>325</v>
      </c>
      <c r="L143" s="411"/>
      <c r="M143" s="388">
        <f>SUM(M149:M152)</f>
        <v>6588</v>
      </c>
    </row>
    <row r="144" spans="1:15">
      <c r="A144" s="474"/>
      <c r="B144" s="475"/>
      <c r="C144" s="358"/>
      <c r="D144" s="358"/>
      <c r="E144" s="358"/>
      <c r="F144" s="479"/>
      <c r="G144" s="480"/>
      <c r="H144" s="481"/>
      <c r="I144" s="481"/>
      <c r="J144" s="50"/>
      <c r="K144" s="382" t="s">
        <v>530</v>
      </c>
      <c r="L144" s="378" t="s">
        <v>0</v>
      </c>
      <c r="M144" s="374">
        <v>3354</v>
      </c>
    </row>
    <row r="145" spans="1:15">
      <c r="A145" s="474"/>
      <c r="B145" s="475"/>
      <c r="C145" s="358"/>
      <c r="D145" s="358"/>
      <c r="E145" s="358"/>
      <c r="F145" s="479"/>
      <c r="G145" s="480"/>
      <c r="H145" s="481"/>
      <c r="I145" s="481"/>
      <c r="J145" s="50"/>
      <c r="K145" s="382" t="s">
        <v>531</v>
      </c>
      <c r="L145" s="378" t="s">
        <v>0</v>
      </c>
      <c r="M145" s="374">
        <v>1398</v>
      </c>
      <c r="O145" s="575"/>
    </row>
    <row r="146" spans="1:15">
      <c r="A146" s="474"/>
      <c r="B146" s="475"/>
      <c r="C146" s="358"/>
      <c r="D146" s="358"/>
      <c r="E146" s="358"/>
      <c r="F146" s="479"/>
      <c r="G146" s="480"/>
      <c r="H146" s="481"/>
      <c r="I146" s="481"/>
      <c r="J146" s="50"/>
      <c r="K146" s="382" t="s">
        <v>532</v>
      </c>
      <c r="L146" s="378" t="s">
        <v>0</v>
      </c>
      <c r="M146" s="374">
        <v>1305</v>
      </c>
    </row>
    <row r="147" spans="1:15">
      <c r="A147" s="474"/>
      <c r="B147" s="475"/>
      <c r="C147" s="358"/>
      <c r="D147" s="358"/>
      <c r="E147" s="358"/>
      <c r="F147" s="479"/>
      <c r="G147" s="480"/>
      <c r="H147" s="481"/>
      <c r="I147" s="481"/>
      <c r="J147" s="50"/>
      <c r="K147" s="382" t="s">
        <v>659</v>
      </c>
      <c r="L147" s="378" t="s">
        <v>0</v>
      </c>
      <c r="M147" s="374">
        <v>470</v>
      </c>
    </row>
    <row r="148" spans="1:15">
      <c r="A148" s="357"/>
      <c r="B148" s="358"/>
      <c r="C148" s="358"/>
      <c r="D148" s="358"/>
      <c r="E148" s="358"/>
      <c r="F148" s="485"/>
      <c r="G148" s="472"/>
      <c r="H148" s="488"/>
      <c r="I148" s="489"/>
      <c r="J148" s="490"/>
      <c r="K148" s="604" t="s">
        <v>703</v>
      </c>
      <c r="L148" s="378"/>
      <c r="M148" s="374"/>
      <c r="N148" s="603"/>
    </row>
    <row r="149" spans="1:15">
      <c r="A149" s="474"/>
      <c r="B149" s="475"/>
      <c r="C149" s="358"/>
      <c r="D149" s="358"/>
      <c r="E149" s="358"/>
      <c r="F149" s="479"/>
      <c r="G149" s="480"/>
      <c r="H149" s="481"/>
      <c r="I149" s="481"/>
      <c r="J149" s="50"/>
      <c r="K149" s="382" t="s">
        <v>728</v>
      </c>
      <c r="L149" s="378" t="s">
        <v>0</v>
      </c>
      <c r="M149" s="374">
        <v>3386</v>
      </c>
      <c r="N149" s="603"/>
    </row>
    <row r="150" spans="1:15">
      <c r="A150" s="474"/>
      <c r="B150" s="475"/>
      <c r="C150" s="358"/>
      <c r="D150" s="358"/>
      <c r="E150" s="358"/>
      <c r="F150" s="479"/>
      <c r="G150" s="480"/>
      <c r="H150" s="481"/>
      <c r="I150" s="481"/>
      <c r="J150" s="50"/>
      <c r="K150" s="382" t="s">
        <v>729</v>
      </c>
      <c r="L150" s="378" t="s">
        <v>0</v>
      </c>
      <c r="M150" s="374">
        <v>1411</v>
      </c>
      <c r="N150" s="603"/>
      <c r="O150" s="575"/>
    </row>
    <row r="151" spans="1:15">
      <c r="A151" s="474"/>
      <c r="B151" s="475"/>
      <c r="C151" s="358"/>
      <c r="D151" s="358"/>
      <c r="E151" s="358"/>
      <c r="F151" s="479"/>
      <c r="G151" s="480"/>
      <c r="H151" s="481"/>
      <c r="I151" s="481"/>
      <c r="J151" s="50"/>
      <c r="K151" s="382" t="s">
        <v>730</v>
      </c>
      <c r="L151" s="378" t="s">
        <v>0</v>
      </c>
      <c r="M151" s="374">
        <v>1317</v>
      </c>
      <c r="N151" s="603"/>
    </row>
    <row r="152" spans="1:15">
      <c r="A152" s="474"/>
      <c r="B152" s="475"/>
      <c r="C152" s="358"/>
      <c r="D152" s="358"/>
      <c r="E152" s="358"/>
      <c r="F152" s="479"/>
      <c r="G152" s="480"/>
      <c r="H152" s="481"/>
      <c r="I152" s="481"/>
      <c r="J152" s="50"/>
      <c r="K152" s="382" t="s">
        <v>731</v>
      </c>
      <c r="L152" s="378" t="s">
        <v>0</v>
      </c>
      <c r="M152" s="374">
        <v>474</v>
      </c>
      <c r="N152" s="603"/>
    </row>
    <row r="153" spans="1:15">
      <c r="A153" s="474"/>
      <c r="B153" s="475"/>
      <c r="C153" s="358"/>
      <c r="D153" s="358"/>
      <c r="E153" s="358"/>
      <c r="F153" s="479"/>
      <c r="G153" s="480"/>
      <c r="H153" s="481"/>
      <c r="I153" s="481"/>
      <c r="J153" s="50"/>
      <c r="K153" s="356" t="s">
        <v>326</v>
      </c>
      <c r="L153" s="410"/>
      <c r="M153" s="379">
        <f>SUM(M154:M157)</f>
        <v>8554</v>
      </c>
    </row>
    <row r="154" spans="1:15">
      <c r="A154" s="474"/>
      <c r="B154" s="475"/>
      <c r="C154" s="358"/>
      <c r="D154" s="358"/>
      <c r="E154" s="358"/>
      <c r="F154" s="479"/>
      <c r="G154" s="480"/>
      <c r="H154" s="481"/>
      <c r="I154" s="481"/>
      <c r="J154" s="50"/>
      <c r="K154" s="382" t="s">
        <v>533</v>
      </c>
      <c r="L154" s="378" t="s">
        <v>0</v>
      </c>
      <c r="M154" s="374">
        <v>4396</v>
      </c>
    </row>
    <row r="155" spans="1:15">
      <c r="A155" s="474"/>
      <c r="B155" s="475"/>
      <c r="C155" s="358"/>
      <c r="D155" s="358"/>
      <c r="E155" s="358"/>
      <c r="F155" s="479"/>
      <c r="G155" s="480"/>
      <c r="H155" s="481"/>
      <c r="I155" s="481"/>
      <c r="J155" s="50"/>
      <c r="K155" s="382" t="s">
        <v>534</v>
      </c>
      <c r="L155" s="378" t="s">
        <v>0</v>
      </c>
      <c r="M155" s="374">
        <v>1832</v>
      </c>
    </row>
    <row r="156" spans="1:15">
      <c r="A156" s="474"/>
      <c r="B156" s="475"/>
      <c r="C156" s="358"/>
      <c r="D156" s="358"/>
      <c r="E156" s="358"/>
      <c r="F156" s="479"/>
      <c r="G156" s="480"/>
      <c r="H156" s="481"/>
      <c r="I156" s="481"/>
      <c r="J156" s="50"/>
      <c r="K156" s="382" t="s">
        <v>628</v>
      </c>
      <c r="L156" s="378" t="s">
        <v>0</v>
      </c>
      <c r="M156" s="374">
        <v>1710</v>
      </c>
    </row>
    <row r="157" spans="1:15">
      <c r="A157" s="474"/>
      <c r="B157" s="475"/>
      <c r="C157" s="358"/>
      <c r="D157" s="358"/>
      <c r="E157" s="358"/>
      <c r="F157" s="479"/>
      <c r="G157" s="480"/>
      <c r="H157" s="481"/>
      <c r="I157" s="481"/>
      <c r="J157" s="50"/>
      <c r="K157" s="382" t="s">
        <v>660</v>
      </c>
      <c r="L157" s="378" t="s">
        <v>661</v>
      </c>
      <c r="M157" s="374">
        <v>616</v>
      </c>
      <c r="O157" s="575"/>
    </row>
    <row r="158" spans="1:15">
      <c r="A158" s="474"/>
      <c r="B158" s="475"/>
      <c r="C158" s="358"/>
      <c r="D158" s="358"/>
      <c r="E158" s="358"/>
      <c r="F158" s="479"/>
      <c r="G158" s="480"/>
      <c r="H158" s="481"/>
      <c r="I158" s="481"/>
      <c r="J158" s="50"/>
      <c r="K158" s="356" t="s">
        <v>327</v>
      </c>
      <c r="L158" s="410"/>
      <c r="M158" s="379">
        <f>M159</f>
        <v>3282</v>
      </c>
    </row>
    <row r="159" spans="1:15" ht="17.25" thickBot="1">
      <c r="A159" s="502"/>
      <c r="B159" s="503"/>
      <c r="C159" s="504"/>
      <c r="D159" s="504"/>
      <c r="E159" s="504"/>
      <c r="F159" s="505"/>
      <c r="G159" s="506"/>
      <c r="H159" s="507"/>
      <c r="I159" s="507"/>
      <c r="J159" s="229"/>
      <c r="K159" s="508" t="s">
        <v>535</v>
      </c>
      <c r="L159" s="509" t="s">
        <v>0</v>
      </c>
      <c r="M159" s="400">
        <v>3282</v>
      </c>
    </row>
    <row r="167" spans="12:13">
      <c r="L167" s="235"/>
      <c r="M167"/>
    </row>
    <row r="168" spans="12:13">
      <c r="L168" s="235"/>
      <c r="M168"/>
    </row>
    <row r="169" spans="12:13">
      <c r="L169" s="235"/>
      <c r="M169"/>
    </row>
    <row r="170" spans="12:13">
      <c r="L170" s="235"/>
      <c r="M170"/>
    </row>
    <row r="171" spans="12:13">
      <c r="L171" s="235"/>
      <c r="M171"/>
    </row>
    <row r="172" spans="12:13">
      <c r="L172" s="235"/>
      <c r="M172"/>
    </row>
    <row r="173" spans="12:13">
      <c r="L173" s="235"/>
      <c r="M173"/>
    </row>
    <row r="174" spans="12:13">
      <c r="L174" s="235"/>
      <c r="M174"/>
    </row>
    <row r="175" spans="12:13">
      <c r="L175" s="235"/>
      <c r="M175"/>
    </row>
    <row r="176" spans="12:13">
      <c r="L176" s="235"/>
      <c r="M176"/>
    </row>
    <row r="177" spans="12:13">
      <c r="L177" s="235"/>
      <c r="M177"/>
    </row>
    <row r="178" spans="12:13">
      <c r="L178" s="235"/>
      <c r="M178"/>
    </row>
    <row r="179" spans="12:13">
      <c r="L179" s="235"/>
      <c r="M179"/>
    </row>
    <row r="180" spans="12:13">
      <c r="L180" s="235"/>
      <c r="M180"/>
    </row>
    <row r="181" spans="12:13">
      <c r="L181" s="235"/>
      <c r="M181"/>
    </row>
    <row r="182" spans="12:13">
      <c r="L182" s="235"/>
      <c r="M182"/>
    </row>
    <row r="183" spans="12:13">
      <c r="L183" s="235"/>
      <c r="M183"/>
    </row>
  </sheetData>
  <autoFilter ref="A3:M159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2201" priority="877" operator="containsText" text="허하나로">
      <formula>NOT(ISERROR(SEARCH("허하나로",H800)))</formula>
    </cfRule>
    <cfRule type="containsText" dxfId="2200" priority="878" operator="containsText" text="한별">
      <formula>NOT(ISERROR(SEARCH("한별",H800)))</formula>
    </cfRule>
    <cfRule type="containsText" dxfId="2199" priority="879" operator="containsText" text="정홍조">
      <formula>NOT(ISERROR(SEARCH("정홍조",H800)))</formula>
    </cfRule>
    <cfRule type="containsText" dxfId="2198" priority="880" operator="containsText" text="김지윤">
      <formula>NOT(ISERROR(SEARCH("김지윤",H800)))</formula>
    </cfRule>
    <cfRule type="containsText" dxfId="2197" priority="881" operator="containsText" text="전준영">
      <formula>NOT(ISERROR(SEARCH("전준영",H800)))</formula>
    </cfRule>
    <cfRule type="containsText" dxfId="2196" priority="882" operator="containsText" text="차재성">
      <formula>NOT(ISERROR(SEARCH("차재성",H800)))</formula>
    </cfRule>
  </conditionalFormatting>
  <conditionalFormatting sqref="J6:J7">
    <cfRule type="containsText" dxfId="2195" priority="871" operator="containsText" text="허하나로">
      <formula>NOT(ISERROR(SEARCH("허하나로",H798)))</formula>
    </cfRule>
    <cfRule type="containsText" dxfId="2194" priority="872" operator="containsText" text="한별">
      <formula>NOT(ISERROR(SEARCH("한별",H798)))</formula>
    </cfRule>
    <cfRule type="containsText" dxfId="2193" priority="873" operator="containsText" text="정홍조">
      <formula>NOT(ISERROR(SEARCH("정홍조",H798)))</formula>
    </cfRule>
    <cfRule type="containsText" dxfId="2192" priority="874" operator="containsText" text="김지윤">
      <formula>NOT(ISERROR(SEARCH("김지윤",H798)))</formula>
    </cfRule>
    <cfRule type="containsText" dxfId="2191" priority="875" operator="containsText" text="전준영">
      <formula>NOT(ISERROR(SEARCH("전준영",H798)))</formula>
    </cfRule>
    <cfRule type="containsText" dxfId="2190" priority="876" operator="containsText" text="차재성">
      <formula>NOT(ISERROR(SEARCH("차재성",H798)))</formula>
    </cfRule>
  </conditionalFormatting>
  <conditionalFormatting sqref="J5">
    <cfRule type="containsText" dxfId="2189" priority="865" operator="containsText" text="허하나로">
      <formula>NOT(ISERROR(SEARCH("허하나로",H797)))</formula>
    </cfRule>
    <cfRule type="containsText" dxfId="2188" priority="866" operator="containsText" text="한별">
      <formula>NOT(ISERROR(SEARCH("한별",H797)))</formula>
    </cfRule>
    <cfRule type="containsText" dxfId="2187" priority="867" operator="containsText" text="정홍조">
      <formula>NOT(ISERROR(SEARCH("정홍조",H797)))</formula>
    </cfRule>
    <cfRule type="containsText" dxfId="2186" priority="868" operator="containsText" text="김지윤">
      <formula>NOT(ISERROR(SEARCH("김지윤",H797)))</formula>
    </cfRule>
    <cfRule type="containsText" dxfId="2185" priority="869" operator="containsText" text="전준영">
      <formula>NOT(ISERROR(SEARCH("전준영",H797)))</formula>
    </cfRule>
    <cfRule type="containsText" dxfId="2184" priority="870" operator="containsText" text="차재성">
      <formula>NOT(ISERROR(SEARCH("차재성",H797)))</formula>
    </cfRule>
  </conditionalFormatting>
  <conditionalFormatting sqref="J23">
    <cfRule type="containsText" dxfId="2183" priority="853" operator="containsText" text="허하나로">
      <formula>NOT(ISERROR(SEARCH("허하나로",H931)))</formula>
    </cfRule>
    <cfRule type="containsText" dxfId="2182" priority="854" operator="containsText" text="한별">
      <formula>NOT(ISERROR(SEARCH("한별",H931)))</formula>
    </cfRule>
    <cfRule type="containsText" dxfId="2181" priority="855" operator="containsText" text="정홍조">
      <formula>NOT(ISERROR(SEARCH("정홍조",H931)))</formula>
    </cfRule>
    <cfRule type="containsText" dxfId="2180" priority="856" operator="containsText" text="김지윤">
      <formula>NOT(ISERROR(SEARCH("김지윤",H931)))</formula>
    </cfRule>
    <cfRule type="containsText" dxfId="2179" priority="857" operator="containsText" text="전준영">
      <formula>NOT(ISERROR(SEARCH("전준영",H931)))</formula>
    </cfRule>
    <cfRule type="containsText" dxfId="2178" priority="858" operator="containsText" text="차재성">
      <formula>NOT(ISERROR(SEARCH("차재성",H931)))</formula>
    </cfRule>
  </conditionalFormatting>
  <conditionalFormatting sqref="J78:J79">
    <cfRule type="containsText" dxfId="2177" priority="847" operator="containsText" text="허하나로">
      <formula>NOT(ISERROR(SEARCH("허하나로",H1141)))</formula>
    </cfRule>
    <cfRule type="containsText" dxfId="2176" priority="848" operator="containsText" text="한별">
      <formula>NOT(ISERROR(SEARCH("한별",H1141)))</formula>
    </cfRule>
    <cfRule type="containsText" dxfId="2175" priority="849" operator="containsText" text="정홍조">
      <formula>NOT(ISERROR(SEARCH("정홍조",H1141)))</formula>
    </cfRule>
    <cfRule type="containsText" dxfId="2174" priority="850" operator="containsText" text="김지윤">
      <formula>NOT(ISERROR(SEARCH("김지윤",H1141)))</formula>
    </cfRule>
    <cfRule type="containsText" dxfId="2173" priority="851" operator="containsText" text="전준영">
      <formula>NOT(ISERROR(SEARCH("전준영",H1141)))</formula>
    </cfRule>
    <cfRule type="containsText" dxfId="2172" priority="852" operator="containsText" text="차재성">
      <formula>NOT(ISERROR(SEARCH("차재성",H1141)))</formula>
    </cfRule>
  </conditionalFormatting>
  <conditionalFormatting sqref="J25">
    <cfRule type="containsText" dxfId="2171" priority="883" operator="containsText" text="허하나로">
      <formula>NOT(ISERROR(SEARCH("허하나로",H1128)))</formula>
    </cfRule>
    <cfRule type="containsText" dxfId="2170" priority="884" operator="containsText" text="한별">
      <formula>NOT(ISERROR(SEARCH("한별",H1128)))</formula>
    </cfRule>
    <cfRule type="containsText" dxfId="2169" priority="885" operator="containsText" text="정홍조">
      <formula>NOT(ISERROR(SEARCH("정홍조",H1128)))</formula>
    </cfRule>
    <cfRule type="containsText" dxfId="2168" priority="886" operator="containsText" text="김지윤">
      <formula>NOT(ISERROR(SEARCH("김지윤",H1128)))</formula>
    </cfRule>
    <cfRule type="containsText" dxfId="2167" priority="887" operator="containsText" text="전준영">
      <formula>NOT(ISERROR(SEARCH("전준영",H1128)))</formula>
    </cfRule>
    <cfRule type="containsText" dxfId="2166" priority="888" operator="containsText" text="차재성">
      <formula>NOT(ISERROR(SEARCH("차재성",H1128)))</formula>
    </cfRule>
  </conditionalFormatting>
  <conditionalFormatting sqref="J8:J12">
    <cfRule type="containsText" dxfId="2165" priority="2125" operator="containsText" text="허하나로">
      <formula>NOT(ISERROR(SEARCH("허하나로",H1136)))</formula>
    </cfRule>
    <cfRule type="containsText" dxfId="2164" priority="2126" operator="containsText" text="한별">
      <formula>NOT(ISERROR(SEARCH("한별",H1136)))</formula>
    </cfRule>
    <cfRule type="containsText" dxfId="2163" priority="2127" operator="containsText" text="정홍조">
      <formula>NOT(ISERROR(SEARCH("정홍조",H1136)))</formula>
    </cfRule>
    <cfRule type="containsText" dxfId="2162" priority="2128" operator="containsText" text="김지윤">
      <formula>NOT(ISERROR(SEARCH("김지윤",H1136)))</formula>
    </cfRule>
    <cfRule type="containsText" dxfId="2161" priority="2129" operator="containsText" text="전준영">
      <formula>NOT(ISERROR(SEARCH("전준영",H1136)))</formula>
    </cfRule>
    <cfRule type="containsText" dxfId="2160" priority="2130" operator="containsText" text="차재성">
      <formula>NOT(ISERROR(SEARCH("차재성",H1136)))</formula>
    </cfRule>
  </conditionalFormatting>
  <conditionalFormatting sqref="J31">
    <cfRule type="containsText" dxfId="2159" priority="2143" operator="containsText" text="허하나로">
      <formula>NOT(ISERROR(SEARCH("허하나로",H1141)))</formula>
    </cfRule>
    <cfRule type="containsText" dxfId="2158" priority="2144" operator="containsText" text="한별">
      <formula>NOT(ISERROR(SEARCH("한별",H1141)))</formula>
    </cfRule>
    <cfRule type="containsText" dxfId="2157" priority="2145" operator="containsText" text="정홍조">
      <formula>NOT(ISERROR(SEARCH("정홍조",H1141)))</formula>
    </cfRule>
    <cfRule type="containsText" dxfId="2156" priority="2146" operator="containsText" text="김지윤">
      <formula>NOT(ISERROR(SEARCH("김지윤",H1141)))</formula>
    </cfRule>
    <cfRule type="containsText" dxfId="2155" priority="2147" operator="containsText" text="전준영">
      <formula>NOT(ISERROR(SEARCH("전준영",H1141)))</formula>
    </cfRule>
    <cfRule type="containsText" dxfId="2154" priority="2148" operator="containsText" text="차재성">
      <formula>NOT(ISERROR(SEARCH("차재성",H1141)))</formula>
    </cfRule>
  </conditionalFormatting>
  <conditionalFormatting sqref="J19">
    <cfRule type="containsText" dxfId="2153" priority="769" operator="containsText" text="허하나로">
      <formula>NOT(ISERROR(SEARCH("허하나로",H1140)))</formula>
    </cfRule>
    <cfRule type="containsText" dxfId="2152" priority="770" operator="containsText" text="한별">
      <formula>NOT(ISERROR(SEARCH("한별",H1140)))</formula>
    </cfRule>
    <cfRule type="containsText" dxfId="2151" priority="771" operator="containsText" text="정홍조">
      <formula>NOT(ISERROR(SEARCH("정홍조",H1140)))</formula>
    </cfRule>
    <cfRule type="containsText" dxfId="2150" priority="772" operator="containsText" text="김지윤">
      <formula>NOT(ISERROR(SEARCH("김지윤",H1140)))</formula>
    </cfRule>
    <cfRule type="containsText" dxfId="2149" priority="773" operator="containsText" text="전준영">
      <formula>NOT(ISERROR(SEARCH("전준영",H1140)))</formula>
    </cfRule>
    <cfRule type="containsText" dxfId="2148" priority="774" operator="containsText" text="차재성">
      <formula>NOT(ISERROR(SEARCH("차재성",H1140)))</formula>
    </cfRule>
  </conditionalFormatting>
  <conditionalFormatting sqref="J20">
    <cfRule type="containsText" dxfId="2147" priority="805" operator="containsText" text="허하나로">
      <formula>NOT(ISERROR(SEARCH("허하나로",H1140)))</formula>
    </cfRule>
    <cfRule type="containsText" dxfId="2146" priority="806" operator="containsText" text="한별">
      <formula>NOT(ISERROR(SEARCH("한별",H1140)))</formula>
    </cfRule>
    <cfRule type="containsText" dxfId="2145" priority="807" operator="containsText" text="정홍조">
      <formula>NOT(ISERROR(SEARCH("정홍조",H1140)))</formula>
    </cfRule>
    <cfRule type="containsText" dxfId="2144" priority="808" operator="containsText" text="김지윤">
      <formula>NOT(ISERROR(SEARCH("김지윤",H1140)))</formula>
    </cfRule>
    <cfRule type="containsText" dxfId="2143" priority="809" operator="containsText" text="전준영">
      <formula>NOT(ISERROR(SEARCH("전준영",H1140)))</formula>
    </cfRule>
    <cfRule type="containsText" dxfId="2142" priority="810" operator="containsText" text="차재성">
      <formula>NOT(ISERROR(SEARCH("차재성",H1140)))</formula>
    </cfRule>
  </conditionalFormatting>
  <conditionalFormatting sqref="J15">
    <cfRule type="containsText" dxfId="2141" priority="2227" operator="containsText" text="허하나로">
      <formula>NOT(ISERROR(SEARCH("허하나로",H1141)))</formula>
    </cfRule>
    <cfRule type="containsText" dxfId="2140" priority="2228" operator="containsText" text="한별">
      <formula>NOT(ISERROR(SEARCH("한별",H1141)))</formula>
    </cfRule>
    <cfRule type="containsText" dxfId="2139" priority="2229" operator="containsText" text="정홍조">
      <formula>NOT(ISERROR(SEARCH("정홍조",H1141)))</formula>
    </cfRule>
    <cfRule type="containsText" dxfId="2138" priority="2230" operator="containsText" text="김지윤">
      <formula>NOT(ISERROR(SEARCH("김지윤",H1141)))</formula>
    </cfRule>
    <cfRule type="containsText" dxfId="2137" priority="2231" operator="containsText" text="전준영">
      <formula>NOT(ISERROR(SEARCH("전준영",H1141)))</formula>
    </cfRule>
    <cfRule type="containsText" dxfId="2136" priority="2232" operator="containsText" text="차재성">
      <formula>NOT(ISERROR(SEARCH("차재성",H1141)))</formula>
    </cfRule>
  </conditionalFormatting>
  <conditionalFormatting sqref="J14">
    <cfRule type="containsText" dxfId="2135" priority="2239" operator="containsText" text="허하나로">
      <formula>NOT(ISERROR(SEARCH("허하나로",H1141)))</formula>
    </cfRule>
    <cfRule type="containsText" dxfId="2134" priority="2240" operator="containsText" text="한별">
      <formula>NOT(ISERROR(SEARCH("한별",H1141)))</formula>
    </cfRule>
    <cfRule type="containsText" dxfId="2133" priority="2241" operator="containsText" text="정홍조">
      <formula>NOT(ISERROR(SEARCH("정홍조",H1141)))</formula>
    </cfRule>
    <cfRule type="containsText" dxfId="2132" priority="2242" operator="containsText" text="김지윤">
      <formula>NOT(ISERROR(SEARCH("김지윤",H1141)))</formula>
    </cfRule>
    <cfRule type="containsText" dxfId="2131" priority="2243" operator="containsText" text="전준영">
      <formula>NOT(ISERROR(SEARCH("전준영",H1141)))</formula>
    </cfRule>
    <cfRule type="containsText" dxfId="2130" priority="2244" operator="containsText" text="차재성">
      <formula>NOT(ISERROR(SEARCH("차재성",H1141)))</formula>
    </cfRule>
  </conditionalFormatting>
  <conditionalFormatting sqref="J13">
    <cfRule type="containsText" dxfId="2129" priority="2251" operator="containsText" text="허하나로">
      <formula>NOT(ISERROR(SEARCH("허하나로",H1141)))</formula>
    </cfRule>
    <cfRule type="containsText" dxfId="2128" priority="2252" operator="containsText" text="한별">
      <formula>NOT(ISERROR(SEARCH("한별",H1141)))</formula>
    </cfRule>
    <cfRule type="containsText" dxfId="2127" priority="2253" operator="containsText" text="정홍조">
      <formula>NOT(ISERROR(SEARCH("정홍조",H1141)))</formula>
    </cfRule>
    <cfRule type="containsText" dxfId="2126" priority="2254" operator="containsText" text="김지윤">
      <formula>NOT(ISERROR(SEARCH("김지윤",H1141)))</formula>
    </cfRule>
    <cfRule type="containsText" dxfId="2125" priority="2255" operator="containsText" text="전준영">
      <formula>NOT(ISERROR(SEARCH("전준영",H1141)))</formula>
    </cfRule>
    <cfRule type="containsText" dxfId="2124" priority="2256" operator="containsText" text="차재성">
      <formula>NOT(ISERROR(SEARCH("차재성",H1141)))</formula>
    </cfRule>
  </conditionalFormatting>
  <conditionalFormatting sqref="J73">
    <cfRule type="containsText" dxfId="2123" priority="2275" operator="containsText" text="허하나로">
      <formula>NOT(ISERROR(SEARCH("허하나로",H1143)))</formula>
    </cfRule>
    <cfRule type="containsText" dxfId="2122" priority="2276" operator="containsText" text="한별">
      <formula>NOT(ISERROR(SEARCH("한별",H1143)))</formula>
    </cfRule>
    <cfRule type="containsText" dxfId="2121" priority="2277" operator="containsText" text="정홍조">
      <formula>NOT(ISERROR(SEARCH("정홍조",H1143)))</formula>
    </cfRule>
    <cfRule type="containsText" dxfId="2120" priority="2278" operator="containsText" text="김지윤">
      <formula>NOT(ISERROR(SEARCH("김지윤",H1143)))</formula>
    </cfRule>
    <cfRule type="containsText" dxfId="2119" priority="2279" operator="containsText" text="전준영">
      <formula>NOT(ISERROR(SEARCH("전준영",H1143)))</formula>
    </cfRule>
    <cfRule type="containsText" dxfId="2118" priority="2280" operator="containsText" text="차재성">
      <formula>NOT(ISERROR(SEARCH("차재성",H1143)))</formula>
    </cfRule>
  </conditionalFormatting>
  <conditionalFormatting sqref="J67">
    <cfRule type="containsText" dxfId="2117" priority="2293" operator="containsText" text="허하나로">
      <formula>NOT(ISERROR(SEARCH("허하나로",H1143)))</formula>
    </cfRule>
    <cfRule type="containsText" dxfId="2116" priority="2294" operator="containsText" text="한별">
      <formula>NOT(ISERROR(SEARCH("한별",H1143)))</formula>
    </cfRule>
    <cfRule type="containsText" dxfId="2115" priority="2295" operator="containsText" text="정홍조">
      <formula>NOT(ISERROR(SEARCH("정홍조",H1143)))</formula>
    </cfRule>
    <cfRule type="containsText" dxfId="2114" priority="2296" operator="containsText" text="김지윤">
      <formula>NOT(ISERROR(SEARCH("김지윤",H1143)))</formula>
    </cfRule>
    <cfRule type="containsText" dxfId="2113" priority="2297" operator="containsText" text="전준영">
      <formula>NOT(ISERROR(SEARCH("전준영",H1143)))</formula>
    </cfRule>
    <cfRule type="containsText" dxfId="2112" priority="2298" operator="containsText" text="차재성">
      <formula>NOT(ISERROR(SEARCH("차재성",H1143)))</formula>
    </cfRule>
  </conditionalFormatting>
  <conditionalFormatting sqref="J58:J59">
    <cfRule type="containsText" dxfId="2111" priority="2311" operator="containsText" text="허하나로">
      <formula>NOT(ISERROR(SEARCH("허하나로",H1141)))</formula>
    </cfRule>
    <cfRule type="containsText" dxfId="2110" priority="2312" operator="containsText" text="한별">
      <formula>NOT(ISERROR(SEARCH("한별",H1141)))</formula>
    </cfRule>
    <cfRule type="containsText" dxfId="2109" priority="2313" operator="containsText" text="정홍조">
      <formula>NOT(ISERROR(SEARCH("정홍조",H1141)))</formula>
    </cfRule>
    <cfRule type="containsText" dxfId="2108" priority="2314" operator="containsText" text="김지윤">
      <formula>NOT(ISERROR(SEARCH("김지윤",H1141)))</formula>
    </cfRule>
    <cfRule type="containsText" dxfId="2107" priority="2315" operator="containsText" text="전준영">
      <formula>NOT(ISERROR(SEARCH("전준영",H1141)))</formula>
    </cfRule>
    <cfRule type="containsText" dxfId="2106" priority="2316" operator="containsText" text="차재성">
      <formula>NOT(ISERROR(SEARCH("차재성",H1141)))</formula>
    </cfRule>
  </conditionalFormatting>
  <conditionalFormatting sqref="J47">
    <cfRule type="containsText" dxfId="2105" priority="2437" operator="containsText" text="허하나로">
      <formula>NOT(ISERROR(SEARCH("허하나로",H1150)))</formula>
    </cfRule>
    <cfRule type="containsText" dxfId="2104" priority="2438" operator="containsText" text="한별">
      <formula>NOT(ISERROR(SEARCH("한별",H1150)))</formula>
    </cfRule>
    <cfRule type="containsText" dxfId="2103" priority="2439" operator="containsText" text="정홍조">
      <formula>NOT(ISERROR(SEARCH("정홍조",H1150)))</formula>
    </cfRule>
    <cfRule type="containsText" dxfId="2102" priority="2440" operator="containsText" text="김지윤">
      <formula>NOT(ISERROR(SEARCH("김지윤",H1150)))</formula>
    </cfRule>
    <cfRule type="containsText" dxfId="2101" priority="2441" operator="containsText" text="전준영">
      <formula>NOT(ISERROR(SEARCH("전준영",H1150)))</formula>
    </cfRule>
    <cfRule type="containsText" dxfId="2100" priority="2442" operator="containsText" text="차재성">
      <formula>NOT(ISERROR(SEARCH("차재성",H1150)))</formula>
    </cfRule>
  </conditionalFormatting>
  <conditionalFormatting sqref="J55">
    <cfRule type="containsText" dxfId="2099" priority="763" operator="containsText" text="허하나로">
      <formula>NOT(ISERROR(SEARCH("허하나로",H1135)))</formula>
    </cfRule>
    <cfRule type="containsText" dxfId="2098" priority="764" operator="containsText" text="한별">
      <formula>NOT(ISERROR(SEARCH("한별",H1135)))</formula>
    </cfRule>
    <cfRule type="containsText" dxfId="2097" priority="765" operator="containsText" text="정홍조">
      <formula>NOT(ISERROR(SEARCH("정홍조",H1135)))</formula>
    </cfRule>
    <cfRule type="containsText" dxfId="2096" priority="766" operator="containsText" text="김지윤">
      <formula>NOT(ISERROR(SEARCH("김지윤",H1135)))</formula>
    </cfRule>
    <cfRule type="containsText" dxfId="2095" priority="767" operator="containsText" text="전준영">
      <formula>NOT(ISERROR(SEARCH("전준영",H1135)))</formula>
    </cfRule>
    <cfRule type="containsText" dxfId="2094" priority="768" operator="containsText" text="차재성">
      <formula>NOT(ISERROR(SEARCH("차재성",H1135)))</formula>
    </cfRule>
  </conditionalFormatting>
  <conditionalFormatting sqref="J56:J57">
    <cfRule type="containsText" dxfId="2093" priority="757" operator="containsText" text="허하나로">
      <formula>NOT(ISERROR(SEARCH("허하나로",H1164)))</formula>
    </cfRule>
    <cfRule type="containsText" dxfId="2092" priority="758" operator="containsText" text="한별">
      <formula>NOT(ISERROR(SEARCH("한별",H1164)))</formula>
    </cfRule>
    <cfRule type="containsText" dxfId="2091" priority="759" operator="containsText" text="정홍조">
      <formula>NOT(ISERROR(SEARCH("정홍조",H1164)))</formula>
    </cfRule>
    <cfRule type="containsText" dxfId="2090" priority="760" operator="containsText" text="김지윤">
      <formula>NOT(ISERROR(SEARCH("김지윤",H1164)))</formula>
    </cfRule>
    <cfRule type="containsText" dxfId="2089" priority="761" operator="containsText" text="전준영">
      <formula>NOT(ISERROR(SEARCH("전준영",H1164)))</formula>
    </cfRule>
    <cfRule type="containsText" dxfId="2088" priority="762" operator="containsText" text="차재성">
      <formula>NOT(ISERROR(SEARCH("차재성",H1164)))</formula>
    </cfRule>
  </conditionalFormatting>
  <conditionalFormatting sqref="J158">
    <cfRule type="containsText" dxfId="2087" priority="2455" operator="containsText" text="허하나로">
      <formula>NOT(ISERROR(SEARCH("허하나로",H1193)))</formula>
    </cfRule>
    <cfRule type="containsText" dxfId="2086" priority="2456" operator="containsText" text="한별">
      <formula>NOT(ISERROR(SEARCH("한별",H1193)))</formula>
    </cfRule>
    <cfRule type="containsText" dxfId="2085" priority="2457" operator="containsText" text="정홍조">
      <formula>NOT(ISERROR(SEARCH("정홍조",H1193)))</formula>
    </cfRule>
    <cfRule type="containsText" dxfId="2084" priority="2458" operator="containsText" text="김지윤">
      <formula>NOT(ISERROR(SEARCH("김지윤",H1193)))</formula>
    </cfRule>
    <cfRule type="containsText" dxfId="2083" priority="2459" operator="containsText" text="전준영">
      <formula>NOT(ISERROR(SEARCH("전준영",H1193)))</formula>
    </cfRule>
    <cfRule type="containsText" dxfId="2082" priority="2460" operator="containsText" text="차재성">
      <formula>NOT(ISERROR(SEARCH("차재성",H1193)))</formula>
    </cfRule>
  </conditionalFormatting>
  <conditionalFormatting sqref="J154:J155">
    <cfRule type="containsText" dxfId="2081" priority="2473" operator="containsText" text="허하나로">
      <formula>NOT(ISERROR(SEARCH("허하나로",H1192)))</formula>
    </cfRule>
    <cfRule type="containsText" dxfId="2080" priority="2474" operator="containsText" text="한별">
      <formula>NOT(ISERROR(SEARCH("한별",H1192)))</formula>
    </cfRule>
    <cfRule type="containsText" dxfId="2079" priority="2475" operator="containsText" text="정홍조">
      <formula>NOT(ISERROR(SEARCH("정홍조",H1192)))</formula>
    </cfRule>
    <cfRule type="containsText" dxfId="2078" priority="2476" operator="containsText" text="김지윤">
      <formula>NOT(ISERROR(SEARCH("김지윤",H1192)))</formula>
    </cfRule>
    <cfRule type="containsText" dxfId="2077" priority="2477" operator="containsText" text="전준영">
      <formula>NOT(ISERROR(SEARCH("전준영",H1192)))</formula>
    </cfRule>
    <cfRule type="containsText" dxfId="2076" priority="2478" operator="containsText" text="차재성">
      <formula>NOT(ISERROR(SEARCH("차재성",H1192)))</formula>
    </cfRule>
  </conditionalFormatting>
  <conditionalFormatting sqref="J64">
    <cfRule type="containsText" dxfId="2075" priority="2491" operator="containsText" text="허하나로">
      <formula>NOT(ISERROR(SEARCH("허하나로",H1142)))</formula>
    </cfRule>
    <cfRule type="containsText" dxfId="2074" priority="2492" operator="containsText" text="한별">
      <formula>NOT(ISERROR(SEARCH("한별",H1142)))</formula>
    </cfRule>
    <cfRule type="containsText" dxfId="2073" priority="2493" operator="containsText" text="정홍조">
      <formula>NOT(ISERROR(SEARCH("정홍조",H1142)))</formula>
    </cfRule>
    <cfRule type="containsText" dxfId="2072" priority="2494" operator="containsText" text="김지윤">
      <formula>NOT(ISERROR(SEARCH("김지윤",H1142)))</formula>
    </cfRule>
    <cfRule type="containsText" dxfId="2071" priority="2495" operator="containsText" text="전준영">
      <formula>NOT(ISERROR(SEARCH("전준영",H1142)))</formula>
    </cfRule>
    <cfRule type="containsText" dxfId="2070" priority="2496" operator="containsText" text="차재성">
      <formula>NOT(ISERROR(SEARCH("차재성",H1142)))</formula>
    </cfRule>
  </conditionalFormatting>
  <conditionalFormatting sqref="J63">
    <cfRule type="containsText" dxfId="2069" priority="2509" operator="containsText" text="허하나로">
      <formula>NOT(ISERROR(SEARCH("허하나로",H1142)))</formula>
    </cfRule>
    <cfRule type="containsText" dxfId="2068" priority="2510" operator="containsText" text="한별">
      <formula>NOT(ISERROR(SEARCH("한별",H1142)))</formula>
    </cfRule>
    <cfRule type="containsText" dxfId="2067" priority="2511" operator="containsText" text="정홍조">
      <formula>NOT(ISERROR(SEARCH("정홍조",H1142)))</formula>
    </cfRule>
    <cfRule type="containsText" dxfId="2066" priority="2512" operator="containsText" text="김지윤">
      <formula>NOT(ISERROR(SEARCH("김지윤",H1142)))</formula>
    </cfRule>
    <cfRule type="containsText" dxfId="2065" priority="2513" operator="containsText" text="전준영">
      <formula>NOT(ISERROR(SEARCH("전준영",H1142)))</formula>
    </cfRule>
    <cfRule type="containsText" dxfId="2064" priority="2514" operator="containsText" text="차재성">
      <formula>NOT(ISERROR(SEARCH("차재성",H1142)))</formula>
    </cfRule>
  </conditionalFormatting>
  <conditionalFormatting sqref="J62">
    <cfRule type="containsText" dxfId="2063" priority="2527" operator="containsText" text="허하나로">
      <formula>NOT(ISERROR(SEARCH("허하나로",H1142)))</formula>
    </cfRule>
    <cfRule type="containsText" dxfId="2062" priority="2528" operator="containsText" text="한별">
      <formula>NOT(ISERROR(SEARCH("한별",H1142)))</formula>
    </cfRule>
    <cfRule type="containsText" dxfId="2061" priority="2529" operator="containsText" text="정홍조">
      <formula>NOT(ISERROR(SEARCH("정홍조",H1142)))</formula>
    </cfRule>
    <cfRule type="containsText" dxfId="2060" priority="2530" operator="containsText" text="김지윤">
      <formula>NOT(ISERROR(SEARCH("김지윤",H1142)))</formula>
    </cfRule>
    <cfRule type="containsText" dxfId="2059" priority="2531" operator="containsText" text="전준영">
      <formula>NOT(ISERROR(SEARCH("전준영",H1142)))</formula>
    </cfRule>
    <cfRule type="containsText" dxfId="2058" priority="2532" operator="containsText" text="차재성">
      <formula>NOT(ISERROR(SEARCH("차재성",H1142)))</formula>
    </cfRule>
  </conditionalFormatting>
  <conditionalFormatting sqref="J60:J61">
    <cfRule type="containsText" dxfId="2057" priority="2545" operator="containsText" text="허하나로">
      <formula>NOT(ISERROR(SEARCH("허하나로",H1141)))</formula>
    </cfRule>
    <cfRule type="containsText" dxfId="2056" priority="2546" operator="containsText" text="한별">
      <formula>NOT(ISERROR(SEARCH("한별",H1141)))</formula>
    </cfRule>
    <cfRule type="containsText" dxfId="2055" priority="2547" operator="containsText" text="정홍조">
      <formula>NOT(ISERROR(SEARCH("정홍조",H1141)))</formula>
    </cfRule>
    <cfRule type="containsText" dxfId="2054" priority="2548" operator="containsText" text="김지윤">
      <formula>NOT(ISERROR(SEARCH("김지윤",H1141)))</formula>
    </cfRule>
    <cfRule type="containsText" dxfId="2053" priority="2549" operator="containsText" text="전준영">
      <formula>NOT(ISERROR(SEARCH("전준영",H1141)))</formula>
    </cfRule>
    <cfRule type="containsText" dxfId="2052" priority="2550" operator="containsText" text="차재성">
      <formula>NOT(ISERROR(SEARCH("차재성",H1141)))</formula>
    </cfRule>
  </conditionalFormatting>
  <conditionalFormatting sqref="J91">
    <cfRule type="containsText" dxfId="2051" priority="2551" operator="containsText" text="허하나로">
      <formula>NOT(ISERROR(SEARCH("허하나로",H1143)))</formula>
    </cfRule>
    <cfRule type="containsText" dxfId="2050" priority="2552" operator="containsText" text="한별">
      <formula>NOT(ISERROR(SEARCH("한별",H1143)))</formula>
    </cfRule>
    <cfRule type="containsText" dxfId="2049" priority="2553" operator="containsText" text="정홍조">
      <formula>NOT(ISERROR(SEARCH("정홍조",H1143)))</formula>
    </cfRule>
    <cfRule type="containsText" dxfId="2048" priority="2554" operator="containsText" text="김지윤">
      <formula>NOT(ISERROR(SEARCH("김지윤",H1143)))</formula>
    </cfRule>
    <cfRule type="containsText" dxfId="2047" priority="2555" operator="containsText" text="전준영">
      <formula>NOT(ISERROR(SEARCH("전준영",H1143)))</formula>
    </cfRule>
    <cfRule type="containsText" dxfId="2046" priority="2556" operator="containsText" text="차재성">
      <formula>NOT(ISERROR(SEARCH("차재성",H1143)))</formula>
    </cfRule>
  </conditionalFormatting>
  <conditionalFormatting sqref="J90">
    <cfRule type="containsText" dxfId="2045" priority="2581" operator="containsText" text="허하나로">
      <formula>NOT(ISERROR(SEARCH("허하나로",H1143)))</formula>
    </cfRule>
    <cfRule type="containsText" dxfId="2044" priority="2582" operator="containsText" text="한별">
      <formula>NOT(ISERROR(SEARCH("한별",H1143)))</formula>
    </cfRule>
    <cfRule type="containsText" dxfId="2043" priority="2583" operator="containsText" text="정홍조">
      <formula>NOT(ISERROR(SEARCH("정홍조",H1143)))</formula>
    </cfRule>
    <cfRule type="containsText" dxfId="2042" priority="2584" operator="containsText" text="김지윤">
      <formula>NOT(ISERROR(SEARCH("김지윤",H1143)))</formula>
    </cfRule>
    <cfRule type="containsText" dxfId="2041" priority="2585" operator="containsText" text="전준영">
      <formula>NOT(ISERROR(SEARCH("전준영",H1143)))</formula>
    </cfRule>
    <cfRule type="containsText" dxfId="2040" priority="2586" operator="containsText" text="차재성">
      <formula>NOT(ISERROR(SEARCH("차재성",H1143)))</formula>
    </cfRule>
  </conditionalFormatting>
  <conditionalFormatting sqref="L90">
    <cfRule type="containsText" dxfId="2039" priority="2593" operator="containsText" text="허하나로">
      <formula>NOT(ISERROR(SEARCH("허하나로",J1277)))</formula>
    </cfRule>
    <cfRule type="containsText" dxfId="2038" priority="2594" operator="containsText" text="한별">
      <formula>NOT(ISERROR(SEARCH("한별",J1277)))</formula>
    </cfRule>
    <cfRule type="containsText" dxfId="2037" priority="2595" operator="containsText" text="정홍조">
      <formula>NOT(ISERROR(SEARCH("정홍조",J1277)))</formula>
    </cfRule>
    <cfRule type="containsText" dxfId="2036" priority="2596" operator="containsText" text="김지윤">
      <formula>NOT(ISERROR(SEARCH("김지윤",J1277)))</formula>
    </cfRule>
    <cfRule type="containsText" dxfId="2035" priority="2597" operator="containsText" text="전준영">
      <formula>NOT(ISERROR(SEARCH("전준영",J1277)))</formula>
    </cfRule>
    <cfRule type="containsText" dxfId="2034" priority="2598" operator="containsText" text="차재성">
      <formula>NOT(ISERROR(SEARCH("차재성",J1277)))</formula>
    </cfRule>
  </conditionalFormatting>
  <conditionalFormatting sqref="J86">
    <cfRule type="containsText" dxfId="2033" priority="2611" operator="containsText" text="허하나로">
      <formula>NOT(ISERROR(SEARCH("허하나로",H1143)))</formula>
    </cfRule>
    <cfRule type="containsText" dxfId="2032" priority="2612" operator="containsText" text="한별">
      <formula>NOT(ISERROR(SEARCH("한별",H1143)))</formula>
    </cfRule>
    <cfRule type="containsText" dxfId="2031" priority="2613" operator="containsText" text="정홍조">
      <formula>NOT(ISERROR(SEARCH("정홍조",H1143)))</formula>
    </cfRule>
    <cfRule type="containsText" dxfId="2030" priority="2614" operator="containsText" text="김지윤">
      <formula>NOT(ISERROR(SEARCH("김지윤",H1143)))</formula>
    </cfRule>
    <cfRule type="containsText" dxfId="2029" priority="2615" operator="containsText" text="전준영">
      <formula>NOT(ISERROR(SEARCH("전준영",H1143)))</formula>
    </cfRule>
    <cfRule type="containsText" dxfId="2028" priority="2616" operator="containsText" text="차재성">
      <formula>NOT(ISERROR(SEARCH("차재성",H1143)))</formula>
    </cfRule>
  </conditionalFormatting>
  <conditionalFormatting sqref="J84:J85">
    <cfRule type="containsText" dxfId="2027" priority="2641" operator="containsText" text="허하나로">
      <formula>NOT(ISERROR(SEARCH("허하나로",H1142)))</formula>
    </cfRule>
    <cfRule type="containsText" dxfId="2026" priority="2642" operator="containsText" text="한별">
      <formula>NOT(ISERROR(SEARCH("한별",H1142)))</formula>
    </cfRule>
    <cfRule type="containsText" dxfId="2025" priority="2643" operator="containsText" text="정홍조">
      <formula>NOT(ISERROR(SEARCH("정홍조",H1142)))</formula>
    </cfRule>
    <cfRule type="containsText" dxfId="2024" priority="2644" operator="containsText" text="김지윤">
      <formula>NOT(ISERROR(SEARCH("김지윤",H1142)))</formula>
    </cfRule>
    <cfRule type="containsText" dxfId="2023" priority="2645" operator="containsText" text="전준영">
      <formula>NOT(ISERROR(SEARCH("전준영",H1142)))</formula>
    </cfRule>
    <cfRule type="containsText" dxfId="2022" priority="2646" operator="containsText" text="차재성">
      <formula>NOT(ISERROR(SEARCH("차재성",H1142)))</formula>
    </cfRule>
  </conditionalFormatting>
  <conditionalFormatting sqref="L84">
    <cfRule type="containsText" dxfId="2021" priority="2653" operator="containsText" text="허하나로">
      <formula>NOT(ISERROR(SEARCH("허하나로",J1276)))</formula>
    </cfRule>
    <cfRule type="containsText" dxfId="2020" priority="2654" operator="containsText" text="한별">
      <formula>NOT(ISERROR(SEARCH("한별",J1276)))</formula>
    </cfRule>
    <cfRule type="containsText" dxfId="2019" priority="2655" operator="containsText" text="정홍조">
      <formula>NOT(ISERROR(SEARCH("정홍조",J1276)))</formula>
    </cfRule>
    <cfRule type="containsText" dxfId="2018" priority="2656" operator="containsText" text="김지윤">
      <formula>NOT(ISERROR(SEARCH("김지윤",J1276)))</formula>
    </cfRule>
    <cfRule type="containsText" dxfId="2017" priority="2657" operator="containsText" text="전준영">
      <formula>NOT(ISERROR(SEARCH("전준영",J1276)))</formula>
    </cfRule>
    <cfRule type="containsText" dxfId="2016" priority="2658" operator="containsText" text="차재성">
      <formula>NOT(ISERROR(SEARCH("차재성",J1276)))</formula>
    </cfRule>
  </conditionalFormatting>
  <conditionalFormatting sqref="J140">
    <cfRule type="containsText" dxfId="2015" priority="2659" operator="containsText" text="허하나로">
      <formula>NOT(ISERROR(SEARCH("허하나로",H1145)))</formula>
    </cfRule>
    <cfRule type="containsText" dxfId="2014" priority="2660" operator="containsText" text="한별">
      <formula>NOT(ISERROR(SEARCH("한별",H1145)))</formula>
    </cfRule>
    <cfRule type="containsText" dxfId="2013" priority="2661" operator="containsText" text="정홍조">
      <formula>NOT(ISERROR(SEARCH("정홍조",H1145)))</formula>
    </cfRule>
    <cfRule type="containsText" dxfId="2012" priority="2662" operator="containsText" text="김지윤">
      <formula>NOT(ISERROR(SEARCH("김지윤",H1145)))</formula>
    </cfRule>
    <cfRule type="containsText" dxfId="2011" priority="2663" operator="containsText" text="전준영">
      <formula>NOT(ISERROR(SEARCH("전준영",H1145)))</formula>
    </cfRule>
    <cfRule type="containsText" dxfId="2010" priority="2664" operator="containsText" text="차재성">
      <formula>NOT(ISERROR(SEARCH("차재성",H1145)))</formula>
    </cfRule>
  </conditionalFormatting>
  <conditionalFormatting sqref="J125">
    <cfRule type="containsText" dxfId="2009" priority="2689" operator="containsText" text="허하나로">
      <formula>NOT(ISERROR(SEARCH("허하나로",H1144)))</formula>
    </cfRule>
    <cfRule type="containsText" dxfId="2008" priority="2690" operator="containsText" text="한별">
      <formula>NOT(ISERROR(SEARCH("한별",H1144)))</formula>
    </cfRule>
    <cfRule type="containsText" dxfId="2007" priority="2691" operator="containsText" text="정홍조">
      <formula>NOT(ISERROR(SEARCH("정홍조",H1144)))</formula>
    </cfRule>
    <cfRule type="containsText" dxfId="2006" priority="2692" operator="containsText" text="김지윤">
      <formula>NOT(ISERROR(SEARCH("김지윤",H1144)))</formula>
    </cfRule>
    <cfRule type="containsText" dxfId="2005" priority="2693" operator="containsText" text="전준영">
      <formula>NOT(ISERROR(SEARCH("전준영",H1144)))</formula>
    </cfRule>
    <cfRule type="containsText" dxfId="2004" priority="2694" operator="containsText" text="차재성">
      <formula>NOT(ISERROR(SEARCH("차재성",H1144)))</formula>
    </cfRule>
  </conditionalFormatting>
  <conditionalFormatting sqref="J119">
    <cfRule type="containsText" dxfId="2003" priority="2779" operator="containsText" text="허하나로">
      <formula>NOT(ISERROR(SEARCH("허하나로",H1144)))</formula>
    </cfRule>
    <cfRule type="containsText" dxfId="2002" priority="2780" operator="containsText" text="한별">
      <formula>NOT(ISERROR(SEARCH("한별",H1144)))</formula>
    </cfRule>
    <cfRule type="containsText" dxfId="2001" priority="2781" operator="containsText" text="정홍조">
      <formula>NOT(ISERROR(SEARCH("정홍조",H1144)))</formula>
    </cfRule>
    <cfRule type="containsText" dxfId="2000" priority="2782" operator="containsText" text="김지윤">
      <formula>NOT(ISERROR(SEARCH("김지윤",H1144)))</formula>
    </cfRule>
    <cfRule type="containsText" dxfId="1999" priority="2783" operator="containsText" text="전준영">
      <formula>NOT(ISERROR(SEARCH("전준영",H1144)))</formula>
    </cfRule>
    <cfRule type="containsText" dxfId="1998" priority="2784" operator="containsText" text="차재성">
      <formula>NOT(ISERROR(SEARCH("차재성",H1144)))</formula>
    </cfRule>
  </conditionalFormatting>
  <conditionalFormatting sqref="J117">
    <cfRule type="containsText" dxfId="1997" priority="2809" operator="containsText" text="허하나로">
      <formula>NOT(ISERROR(SEARCH("허하나로",H1144)))</formula>
    </cfRule>
    <cfRule type="containsText" dxfId="1996" priority="2810" operator="containsText" text="한별">
      <formula>NOT(ISERROR(SEARCH("한별",H1144)))</formula>
    </cfRule>
    <cfRule type="containsText" dxfId="1995" priority="2811" operator="containsText" text="정홍조">
      <formula>NOT(ISERROR(SEARCH("정홍조",H1144)))</formula>
    </cfRule>
    <cfRule type="containsText" dxfId="1994" priority="2812" operator="containsText" text="김지윤">
      <formula>NOT(ISERROR(SEARCH("김지윤",H1144)))</formula>
    </cfRule>
    <cfRule type="containsText" dxfId="1993" priority="2813" operator="containsText" text="전준영">
      <formula>NOT(ISERROR(SEARCH("전준영",H1144)))</formula>
    </cfRule>
    <cfRule type="containsText" dxfId="1992" priority="2814" operator="containsText" text="차재성">
      <formula>NOT(ISERROR(SEARCH("차재성",H1144)))</formula>
    </cfRule>
  </conditionalFormatting>
  <conditionalFormatting sqref="J116">
    <cfRule type="containsText" dxfId="1991" priority="2839" operator="containsText" text="허하나로">
      <formula>NOT(ISERROR(SEARCH("허하나로",H1144)))</formula>
    </cfRule>
    <cfRule type="containsText" dxfId="1990" priority="2840" operator="containsText" text="한별">
      <formula>NOT(ISERROR(SEARCH("한별",H1144)))</formula>
    </cfRule>
    <cfRule type="containsText" dxfId="1989" priority="2841" operator="containsText" text="정홍조">
      <formula>NOT(ISERROR(SEARCH("정홍조",H1144)))</formula>
    </cfRule>
    <cfRule type="containsText" dxfId="1988" priority="2842" operator="containsText" text="김지윤">
      <formula>NOT(ISERROR(SEARCH("김지윤",H1144)))</formula>
    </cfRule>
    <cfRule type="containsText" dxfId="1987" priority="2843" operator="containsText" text="전준영">
      <formula>NOT(ISERROR(SEARCH("전준영",H1144)))</formula>
    </cfRule>
    <cfRule type="containsText" dxfId="1986" priority="2844" operator="containsText" text="차재성">
      <formula>NOT(ISERROR(SEARCH("차재성",H1144)))</formula>
    </cfRule>
  </conditionalFormatting>
  <conditionalFormatting sqref="J107:J108">
    <cfRule type="containsText" dxfId="1985" priority="3049" operator="containsText" text="허하나로">
      <formula>NOT(ISERROR(SEARCH("허하나로",H1146)))</formula>
    </cfRule>
    <cfRule type="containsText" dxfId="1984" priority="3050" operator="containsText" text="한별">
      <formula>NOT(ISERROR(SEARCH("한별",H1146)))</formula>
    </cfRule>
    <cfRule type="containsText" dxfId="1983" priority="3051" operator="containsText" text="정홍조">
      <formula>NOT(ISERROR(SEARCH("정홍조",H1146)))</formula>
    </cfRule>
    <cfRule type="containsText" dxfId="1982" priority="3052" operator="containsText" text="김지윤">
      <formula>NOT(ISERROR(SEARCH("김지윤",H1146)))</formula>
    </cfRule>
    <cfRule type="containsText" dxfId="1981" priority="3053" operator="containsText" text="전준영">
      <formula>NOT(ISERROR(SEARCH("전준영",H1146)))</formula>
    </cfRule>
    <cfRule type="containsText" dxfId="1980" priority="3054" operator="containsText" text="차재성">
      <formula>NOT(ISERROR(SEARCH("차재성",H1146)))</formula>
    </cfRule>
  </conditionalFormatting>
  <conditionalFormatting sqref="J109:J111">
    <cfRule type="containsText" dxfId="1979" priority="751" operator="containsText" text="허하나로">
      <formula>NOT(ISERROR(SEARCH("허하나로",H1185)))</formula>
    </cfRule>
    <cfRule type="containsText" dxfId="1978" priority="752" operator="containsText" text="한별">
      <formula>NOT(ISERROR(SEARCH("한별",H1185)))</formula>
    </cfRule>
    <cfRule type="containsText" dxfId="1977" priority="753" operator="containsText" text="정홍조">
      <formula>NOT(ISERROR(SEARCH("정홍조",H1185)))</formula>
    </cfRule>
    <cfRule type="containsText" dxfId="1976" priority="754" operator="containsText" text="김지윤">
      <formula>NOT(ISERROR(SEARCH("김지윤",H1185)))</formula>
    </cfRule>
    <cfRule type="containsText" dxfId="1975" priority="755" operator="containsText" text="전준영">
      <formula>NOT(ISERROR(SEARCH("전준영",H1185)))</formula>
    </cfRule>
    <cfRule type="containsText" dxfId="1974" priority="756" operator="containsText" text="차재성">
      <formula>NOT(ISERROR(SEARCH("차재성",H1185)))</formula>
    </cfRule>
  </conditionalFormatting>
  <conditionalFormatting sqref="J112">
    <cfRule type="containsText" dxfId="1973" priority="739" operator="containsText" text="허하나로">
      <formula>NOT(ISERROR(SEARCH("허하나로",H1187)))</formula>
    </cfRule>
    <cfRule type="containsText" dxfId="1972" priority="740" operator="containsText" text="한별">
      <formula>NOT(ISERROR(SEARCH("한별",H1187)))</formula>
    </cfRule>
    <cfRule type="containsText" dxfId="1971" priority="741" operator="containsText" text="정홍조">
      <formula>NOT(ISERROR(SEARCH("정홍조",H1187)))</formula>
    </cfRule>
    <cfRule type="containsText" dxfId="1970" priority="742" operator="containsText" text="김지윤">
      <formula>NOT(ISERROR(SEARCH("김지윤",H1187)))</formula>
    </cfRule>
    <cfRule type="containsText" dxfId="1969" priority="743" operator="containsText" text="전준영">
      <formula>NOT(ISERROR(SEARCH("전준영",H1187)))</formula>
    </cfRule>
    <cfRule type="containsText" dxfId="1968" priority="744" operator="containsText" text="차재성">
      <formula>NOT(ISERROR(SEARCH("차재성",H1187)))</formula>
    </cfRule>
  </conditionalFormatting>
  <conditionalFormatting sqref="J113">
    <cfRule type="containsText" dxfId="1967" priority="733" operator="containsText" text="허하나로">
      <formula>NOT(ISERROR(SEARCH("허하나로",H1190)))</formula>
    </cfRule>
    <cfRule type="containsText" dxfId="1966" priority="734" operator="containsText" text="한별">
      <formula>NOT(ISERROR(SEARCH("한별",H1190)))</formula>
    </cfRule>
    <cfRule type="containsText" dxfId="1965" priority="735" operator="containsText" text="정홍조">
      <formula>NOT(ISERROR(SEARCH("정홍조",H1190)))</formula>
    </cfRule>
    <cfRule type="containsText" dxfId="1964" priority="736" operator="containsText" text="김지윤">
      <formula>NOT(ISERROR(SEARCH("김지윤",H1190)))</formula>
    </cfRule>
    <cfRule type="containsText" dxfId="1963" priority="737" operator="containsText" text="전준영">
      <formula>NOT(ISERROR(SEARCH("전준영",H1190)))</formula>
    </cfRule>
    <cfRule type="containsText" dxfId="1962" priority="738" operator="containsText" text="차재성">
      <formula>NOT(ISERROR(SEARCH("차재성",H1190)))</formula>
    </cfRule>
  </conditionalFormatting>
  <conditionalFormatting sqref="J114">
    <cfRule type="containsText" dxfId="1961" priority="727" operator="containsText" text="허하나로">
      <formula>NOT(ISERROR(SEARCH("허하나로",H1191)))</formula>
    </cfRule>
    <cfRule type="containsText" dxfId="1960" priority="728" operator="containsText" text="한별">
      <formula>NOT(ISERROR(SEARCH("한별",H1191)))</formula>
    </cfRule>
    <cfRule type="containsText" dxfId="1959" priority="729" operator="containsText" text="정홍조">
      <formula>NOT(ISERROR(SEARCH("정홍조",H1191)))</formula>
    </cfRule>
    <cfRule type="containsText" dxfId="1958" priority="730" operator="containsText" text="김지윤">
      <formula>NOT(ISERROR(SEARCH("김지윤",H1191)))</formula>
    </cfRule>
    <cfRule type="containsText" dxfId="1957" priority="731" operator="containsText" text="전준영">
      <formula>NOT(ISERROR(SEARCH("전준영",H1191)))</formula>
    </cfRule>
    <cfRule type="containsText" dxfId="1956" priority="732" operator="containsText" text="차재성">
      <formula>NOT(ISERROR(SEARCH("차재성",H1191)))</formula>
    </cfRule>
  </conditionalFormatting>
  <conditionalFormatting sqref="J123">
    <cfRule type="containsText" dxfId="1955" priority="721" operator="containsText" text="허하나로">
      <formula>NOT(ISERROR(SEARCH("허하나로",H1195)))</formula>
    </cfRule>
    <cfRule type="containsText" dxfId="1954" priority="722" operator="containsText" text="한별">
      <formula>NOT(ISERROR(SEARCH("한별",H1195)))</formula>
    </cfRule>
    <cfRule type="containsText" dxfId="1953" priority="723" operator="containsText" text="정홍조">
      <formula>NOT(ISERROR(SEARCH("정홍조",H1195)))</formula>
    </cfRule>
    <cfRule type="containsText" dxfId="1952" priority="724" operator="containsText" text="김지윤">
      <formula>NOT(ISERROR(SEARCH("김지윤",H1195)))</formula>
    </cfRule>
    <cfRule type="containsText" dxfId="1951" priority="725" operator="containsText" text="전준영">
      <formula>NOT(ISERROR(SEARCH("전준영",H1195)))</formula>
    </cfRule>
    <cfRule type="containsText" dxfId="1950" priority="726" operator="containsText" text="차재성">
      <formula>NOT(ISERROR(SEARCH("차재성",H1195)))</formula>
    </cfRule>
  </conditionalFormatting>
  <conditionalFormatting sqref="J124">
    <cfRule type="containsText" dxfId="1949" priority="715" operator="containsText" text="허하나로">
      <formula>NOT(ISERROR(SEARCH("허하나로",H1196)))</formula>
    </cfRule>
    <cfRule type="containsText" dxfId="1948" priority="716" operator="containsText" text="한별">
      <formula>NOT(ISERROR(SEARCH("한별",H1196)))</formula>
    </cfRule>
    <cfRule type="containsText" dxfId="1947" priority="717" operator="containsText" text="정홍조">
      <formula>NOT(ISERROR(SEARCH("정홍조",H1196)))</formula>
    </cfRule>
    <cfRule type="containsText" dxfId="1946" priority="718" operator="containsText" text="김지윤">
      <formula>NOT(ISERROR(SEARCH("김지윤",H1196)))</formula>
    </cfRule>
    <cfRule type="containsText" dxfId="1945" priority="719" operator="containsText" text="전준영">
      <formula>NOT(ISERROR(SEARCH("전준영",H1196)))</formula>
    </cfRule>
    <cfRule type="containsText" dxfId="1944" priority="720" operator="containsText" text="차재성">
      <formula>NOT(ISERROR(SEARCH("차재성",H1196)))</formula>
    </cfRule>
  </conditionalFormatting>
  <conditionalFormatting sqref="J139">
    <cfRule type="containsText" dxfId="1943" priority="3067" operator="containsText" text="허하나로">
      <formula>NOT(ISERROR(SEARCH("허하나로",H1145)))</formula>
    </cfRule>
    <cfRule type="containsText" dxfId="1942" priority="3068" operator="containsText" text="한별">
      <formula>NOT(ISERROR(SEARCH("한별",H1145)))</formula>
    </cfRule>
    <cfRule type="containsText" dxfId="1941" priority="3069" operator="containsText" text="정홍조">
      <formula>NOT(ISERROR(SEARCH("정홍조",H1145)))</formula>
    </cfRule>
    <cfRule type="containsText" dxfId="1940" priority="3070" operator="containsText" text="김지윤">
      <formula>NOT(ISERROR(SEARCH("김지윤",H1145)))</formula>
    </cfRule>
    <cfRule type="containsText" dxfId="1939" priority="3071" operator="containsText" text="전준영">
      <formula>NOT(ISERROR(SEARCH("전준영",H1145)))</formula>
    </cfRule>
    <cfRule type="containsText" dxfId="1938" priority="3072" operator="containsText" text="차재성">
      <formula>NOT(ISERROR(SEARCH("차재성",H1145)))</formula>
    </cfRule>
  </conditionalFormatting>
  <conditionalFormatting sqref="J128 J131:J132">
    <cfRule type="containsText" dxfId="1937" priority="3247" operator="containsText" text="허하나로">
      <formula>NOT(ISERROR(SEARCH("허하나로",H1145)))</formula>
    </cfRule>
    <cfRule type="containsText" dxfId="1936" priority="3248" operator="containsText" text="한별">
      <formula>NOT(ISERROR(SEARCH("한별",H1145)))</formula>
    </cfRule>
    <cfRule type="containsText" dxfId="1935" priority="3249" operator="containsText" text="정홍조">
      <formula>NOT(ISERROR(SEARCH("정홍조",H1145)))</formula>
    </cfRule>
    <cfRule type="containsText" dxfId="1934" priority="3250" operator="containsText" text="김지윤">
      <formula>NOT(ISERROR(SEARCH("김지윤",H1145)))</formula>
    </cfRule>
    <cfRule type="containsText" dxfId="1933" priority="3251" operator="containsText" text="전준영">
      <formula>NOT(ISERROR(SEARCH("전준영",H1145)))</formula>
    </cfRule>
    <cfRule type="containsText" dxfId="1932" priority="3252" operator="containsText" text="차재성">
      <formula>NOT(ISERROR(SEARCH("차재성",H1145)))</formula>
    </cfRule>
  </conditionalFormatting>
  <conditionalFormatting sqref="J127">
    <cfRule type="containsText" dxfId="1931" priority="3265" operator="containsText" text="허하나로">
      <formula>NOT(ISERROR(SEARCH("허하나로",H1145)))</formula>
    </cfRule>
    <cfRule type="containsText" dxfId="1930" priority="3266" operator="containsText" text="한별">
      <formula>NOT(ISERROR(SEARCH("한별",H1145)))</formula>
    </cfRule>
    <cfRule type="containsText" dxfId="1929" priority="3267" operator="containsText" text="정홍조">
      <formula>NOT(ISERROR(SEARCH("정홍조",H1145)))</formula>
    </cfRule>
    <cfRule type="containsText" dxfId="1928" priority="3268" operator="containsText" text="김지윤">
      <formula>NOT(ISERROR(SEARCH("김지윤",H1145)))</formula>
    </cfRule>
    <cfRule type="containsText" dxfId="1927" priority="3269" operator="containsText" text="전준영">
      <formula>NOT(ISERROR(SEARCH("전준영",H1145)))</formula>
    </cfRule>
    <cfRule type="containsText" dxfId="1926" priority="3270" operator="containsText" text="차재성">
      <formula>NOT(ISERROR(SEARCH("차재성",H1145)))</formula>
    </cfRule>
  </conditionalFormatting>
  <conditionalFormatting sqref="J133">
    <cfRule type="containsText" dxfId="1925" priority="697" operator="containsText" text="허하나로">
      <formula>NOT(ISERROR(SEARCH("허하나로",H1149)))</formula>
    </cfRule>
    <cfRule type="containsText" dxfId="1924" priority="698" operator="containsText" text="한별">
      <formula>NOT(ISERROR(SEARCH("한별",H1149)))</formula>
    </cfRule>
    <cfRule type="containsText" dxfId="1923" priority="699" operator="containsText" text="정홍조">
      <formula>NOT(ISERROR(SEARCH("정홍조",H1149)))</formula>
    </cfRule>
    <cfRule type="containsText" dxfId="1922" priority="700" operator="containsText" text="김지윤">
      <formula>NOT(ISERROR(SEARCH("김지윤",H1149)))</formula>
    </cfRule>
    <cfRule type="containsText" dxfId="1921" priority="701" operator="containsText" text="전준영">
      <formula>NOT(ISERROR(SEARCH("전준영",H1149)))</formula>
    </cfRule>
    <cfRule type="containsText" dxfId="1920" priority="702" operator="containsText" text="차재성">
      <formula>NOT(ISERROR(SEARCH("차재성",H1149)))</formula>
    </cfRule>
  </conditionalFormatting>
  <conditionalFormatting sqref="J129">
    <cfRule type="containsText" dxfId="1919" priority="691" operator="containsText" text="허하나로">
      <formula>NOT(ISERROR(SEARCH("허하나로",H1204)))</formula>
    </cfRule>
    <cfRule type="containsText" dxfId="1918" priority="692" operator="containsText" text="한별">
      <formula>NOT(ISERROR(SEARCH("한별",H1204)))</formula>
    </cfRule>
    <cfRule type="containsText" dxfId="1917" priority="693" operator="containsText" text="정홍조">
      <formula>NOT(ISERROR(SEARCH("정홍조",H1204)))</formula>
    </cfRule>
    <cfRule type="containsText" dxfId="1916" priority="694" operator="containsText" text="김지윤">
      <formula>NOT(ISERROR(SEARCH("김지윤",H1204)))</formula>
    </cfRule>
    <cfRule type="containsText" dxfId="1915" priority="695" operator="containsText" text="전준영">
      <formula>NOT(ISERROR(SEARCH("전준영",H1204)))</formula>
    </cfRule>
    <cfRule type="containsText" dxfId="1914" priority="696" operator="containsText" text="차재성">
      <formula>NOT(ISERROR(SEARCH("차재성",H1204)))</formula>
    </cfRule>
  </conditionalFormatting>
  <conditionalFormatting sqref="J130">
    <cfRule type="containsText" dxfId="1913" priority="685" operator="containsText" text="허하나로">
      <formula>NOT(ISERROR(SEARCH("허하나로",H1205)))</formula>
    </cfRule>
    <cfRule type="containsText" dxfId="1912" priority="686" operator="containsText" text="한별">
      <formula>NOT(ISERROR(SEARCH("한별",H1205)))</formula>
    </cfRule>
    <cfRule type="containsText" dxfId="1911" priority="687" operator="containsText" text="정홍조">
      <formula>NOT(ISERROR(SEARCH("정홍조",H1205)))</formula>
    </cfRule>
    <cfRule type="containsText" dxfId="1910" priority="688" operator="containsText" text="김지윤">
      <formula>NOT(ISERROR(SEARCH("김지윤",H1205)))</formula>
    </cfRule>
    <cfRule type="containsText" dxfId="1909" priority="689" operator="containsText" text="전준영">
      <formula>NOT(ISERROR(SEARCH("전준영",H1205)))</formula>
    </cfRule>
    <cfRule type="containsText" dxfId="1908" priority="690" operator="containsText" text="차재성">
      <formula>NOT(ISERROR(SEARCH("차재성",H1205)))</formula>
    </cfRule>
  </conditionalFormatting>
  <conditionalFormatting sqref="J136">
    <cfRule type="containsText" dxfId="1907" priority="679" operator="containsText" text="허하나로">
      <formula>NOT(ISERROR(SEARCH("허하나로",H1151)))</formula>
    </cfRule>
    <cfRule type="containsText" dxfId="1906" priority="680" operator="containsText" text="한별">
      <formula>NOT(ISERROR(SEARCH("한별",H1151)))</formula>
    </cfRule>
    <cfRule type="containsText" dxfId="1905" priority="681" operator="containsText" text="정홍조">
      <formula>NOT(ISERROR(SEARCH("정홍조",H1151)))</formula>
    </cfRule>
    <cfRule type="containsText" dxfId="1904" priority="682" operator="containsText" text="김지윤">
      <formula>NOT(ISERROR(SEARCH("김지윤",H1151)))</formula>
    </cfRule>
    <cfRule type="containsText" dxfId="1903" priority="683" operator="containsText" text="전준영">
      <formula>NOT(ISERROR(SEARCH("전준영",H1151)))</formula>
    </cfRule>
    <cfRule type="containsText" dxfId="1902" priority="684" operator="containsText" text="차재성">
      <formula>NOT(ISERROR(SEARCH("차재성",H1151)))</formula>
    </cfRule>
  </conditionalFormatting>
  <conditionalFormatting sqref="J134">
    <cfRule type="containsText" dxfId="1901" priority="673" operator="containsText" text="허하나로">
      <formula>NOT(ISERROR(SEARCH("허하나로",H1207)))</formula>
    </cfRule>
    <cfRule type="containsText" dxfId="1900" priority="674" operator="containsText" text="한별">
      <formula>NOT(ISERROR(SEARCH("한별",H1207)))</formula>
    </cfRule>
    <cfRule type="containsText" dxfId="1899" priority="675" operator="containsText" text="정홍조">
      <formula>NOT(ISERROR(SEARCH("정홍조",H1207)))</formula>
    </cfRule>
    <cfRule type="containsText" dxfId="1898" priority="676" operator="containsText" text="김지윤">
      <formula>NOT(ISERROR(SEARCH("김지윤",H1207)))</formula>
    </cfRule>
    <cfRule type="containsText" dxfId="1897" priority="677" operator="containsText" text="전준영">
      <formula>NOT(ISERROR(SEARCH("전준영",H1207)))</formula>
    </cfRule>
    <cfRule type="containsText" dxfId="1896" priority="678" operator="containsText" text="차재성">
      <formula>NOT(ISERROR(SEARCH("차재성",H1207)))</formula>
    </cfRule>
  </conditionalFormatting>
  <conditionalFormatting sqref="J135">
    <cfRule type="containsText" dxfId="1895" priority="667" operator="containsText" text="허하나로">
      <formula>NOT(ISERROR(SEARCH("허하나로",H1208)))</formula>
    </cfRule>
    <cfRule type="containsText" dxfId="1894" priority="668" operator="containsText" text="한별">
      <formula>NOT(ISERROR(SEARCH("한별",H1208)))</formula>
    </cfRule>
    <cfRule type="containsText" dxfId="1893" priority="669" operator="containsText" text="정홍조">
      <formula>NOT(ISERROR(SEARCH("정홍조",H1208)))</formula>
    </cfRule>
    <cfRule type="containsText" dxfId="1892" priority="670" operator="containsText" text="김지윤">
      <formula>NOT(ISERROR(SEARCH("김지윤",H1208)))</formula>
    </cfRule>
    <cfRule type="containsText" dxfId="1891" priority="671" operator="containsText" text="전준영">
      <formula>NOT(ISERROR(SEARCH("전준영",H1208)))</formula>
    </cfRule>
    <cfRule type="containsText" dxfId="1890" priority="672" operator="containsText" text="차재성">
      <formula>NOT(ISERROR(SEARCH("차재성",H1208)))</formula>
    </cfRule>
  </conditionalFormatting>
  <conditionalFormatting sqref="J101">
    <cfRule type="containsText" dxfId="1889" priority="3613" operator="containsText" text="허하나로">
      <formula>NOT(ISERROR(SEARCH("허하나로",H1144)))</formula>
    </cfRule>
    <cfRule type="containsText" dxfId="1888" priority="3614" operator="containsText" text="한별">
      <formula>NOT(ISERROR(SEARCH("한별",H1144)))</formula>
    </cfRule>
    <cfRule type="containsText" dxfId="1887" priority="3615" operator="containsText" text="정홍조">
      <formula>NOT(ISERROR(SEARCH("정홍조",H1144)))</formula>
    </cfRule>
    <cfRule type="containsText" dxfId="1886" priority="3616" operator="containsText" text="김지윤">
      <formula>NOT(ISERROR(SEARCH("김지윤",H1144)))</formula>
    </cfRule>
    <cfRule type="containsText" dxfId="1885" priority="3617" operator="containsText" text="전준영">
      <formula>NOT(ISERROR(SEARCH("전준영",H1144)))</formula>
    </cfRule>
    <cfRule type="containsText" dxfId="1884" priority="3618" operator="containsText" text="차재성">
      <formula>NOT(ISERROR(SEARCH("차재성",H1144)))</formula>
    </cfRule>
  </conditionalFormatting>
  <conditionalFormatting sqref="J44:J45 J48:J50">
    <cfRule type="containsText" dxfId="1883" priority="3631" operator="containsText" text="허하나로">
      <formula>NOT(ISERROR(SEARCH("허하나로",H1149)))</formula>
    </cfRule>
    <cfRule type="containsText" dxfId="1882" priority="3632" operator="containsText" text="한별">
      <formula>NOT(ISERROR(SEARCH("한별",H1149)))</formula>
    </cfRule>
    <cfRule type="containsText" dxfId="1881" priority="3633" operator="containsText" text="정홍조">
      <formula>NOT(ISERROR(SEARCH("정홍조",H1149)))</formula>
    </cfRule>
    <cfRule type="containsText" dxfId="1880" priority="3634" operator="containsText" text="김지윤">
      <formula>NOT(ISERROR(SEARCH("김지윤",H1149)))</formula>
    </cfRule>
    <cfRule type="containsText" dxfId="1879" priority="3635" operator="containsText" text="전준영">
      <formula>NOT(ISERROR(SEARCH("전준영",H1149)))</formula>
    </cfRule>
    <cfRule type="containsText" dxfId="1878" priority="3636" operator="containsText" text="차재성">
      <formula>NOT(ISERROR(SEARCH("차재성",H1149)))</formula>
    </cfRule>
  </conditionalFormatting>
  <conditionalFormatting sqref="J52">
    <cfRule type="containsText" dxfId="1877" priority="3637" operator="containsText" text="허하나로">
      <formula>NOT(ISERROR(SEARCH("허하나로",H1155)))</formula>
    </cfRule>
    <cfRule type="containsText" dxfId="1876" priority="3638" operator="containsText" text="한별">
      <formula>NOT(ISERROR(SEARCH("한별",H1155)))</formula>
    </cfRule>
    <cfRule type="containsText" dxfId="1875" priority="3639" operator="containsText" text="정홍조">
      <formula>NOT(ISERROR(SEARCH("정홍조",H1155)))</formula>
    </cfRule>
    <cfRule type="containsText" dxfId="1874" priority="3640" operator="containsText" text="김지윤">
      <formula>NOT(ISERROR(SEARCH("김지윤",H1155)))</formula>
    </cfRule>
    <cfRule type="containsText" dxfId="1873" priority="3641" operator="containsText" text="전준영">
      <formula>NOT(ISERROR(SEARCH("전준영",H1155)))</formula>
    </cfRule>
    <cfRule type="containsText" dxfId="1872" priority="3642" operator="containsText" text="차재성">
      <formula>NOT(ISERROR(SEARCH("차재성",H1155)))</formula>
    </cfRule>
  </conditionalFormatting>
  <conditionalFormatting sqref="J40">
    <cfRule type="containsText" dxfId="1871" priority="427" operator="containsText" text="허하나로">
      <formula>NOT(ISERROR(SEARCH("허하나로",H1146)))</formula>
    </cfRule>
    <cfRule type="containsText" dxfId="1870" priority="428" operator="containsText" text="한별">
      <formula>NOT(ISERROR(SEARCH("한별",H1146)))</formula>
    </cfRule>
    <cfRule type="containsText" dxfId="1869" priority="429" operator="containsText" text="정홍조">
      <formula>NOT(ISERROR(SEARCH("정홍조",H1146)))</formula>
    </cfRule>
    <cfRule type="containsText" dxfId="1868" priority="430" operator="containsText" text="김지윤">
      <formula>NOT(ISERROR(SEARCH("김지윤",H1146)))</formula>
    </cfRule>
    <cfRule type="containsText" dxfId="1867" priority="431" operator="containsText" text="전준영">
      <formula>NOT(ISERROR(SEARCH("전준영",H1146)))</formula>
    </cfRule>
    <cfRule type="containsText" dxfId="1866" priority="432" operator="containsText" text="차재성">
      <formula>NOT(ISERROR(SEARCH("차재성",H1146)))</formula>
    </cfRule>
  </conditionalFormatting>
  <conditionalFormatting sqref="J37">
    <cfRule type="containsText" dxfId="1865" priority="439" operator="containsText" text="허하나로">
      <formula>NOT(ISERROR(SEARCH("허하나로",H1148)))</formula>
    </cfRule>
    <cfRule type="containsText" dxfId="1864" priority="440" operator="containsText" text="한별">
      <formula>NOT(ISERROR(SEARCH("한별",H1148)))</formula>
    </cfRule>
    <cfRule type="containsText" dxfId="1863" priority="441" operator="containsText" text="정홍조">
      <formula>NOT(ISERROR(SEARCH("정홍조",H1148)))</formula>
    </cfRule>
    <cfRule type="containsText" dxfId="1862" priority="442" operator="containsText" text="김지윤">
      <formula>NOT(ISERROR(SEARCH("김지윤",H1148)))</formula>
    </cfRule>
    <cfRule type="containsText" dxfId="1861" priority="443" operator="containsText" text="전준영">
      <formula>NOT(ISERROR(SEARCH("전준영",H1148)))</formula>
    </cfRule>
    <cfRule type="containsText" dxfId="1860" priority="444" operator="containsText" text="차재성">
      <formula>NOT(ISERROR(SEARCH("차재성",H1148)))</formula>
    </cfRule>
  </conditionalFormatting>
  <conditionalFormatting sqref="J51">
    <cfRule type="containsText" dxfId="1859" priority="445" operator="containsText" text="허하나로">
      <formula>NOT(ISERROR(SEARCH("허하나로",H1155)))</formula>
    </cfRule>
    <cfRule type="containsText" dxfId="1858" priority="446" operator="containsText" text="한별">
      <formula>NOT(ISERROR(SEARCH("한별",H1155)))</formula>
    </cfRule>
    <cfRule type="containsText" dxfId="1857" priority="447" operator="containsText" text="정홍조">
      <formula>NOT(ISERROR(SEARCH("정홍조",H1155)))</formula>
    </cfRule>
    <cfRule type="containsText" dxfId="1856" priority="448" operator="containsText" text="김지윤">
      <formula>NOT(ISERROR(SEARCH("김지윤",H1155)))</formula>
    </cfRule>
    <cfRule type="containsText" dxfId="1855" priority="449" operator="containsText" text="전준영">
      <formula>NOT(ISERROR(SEARCH("전준영",H1155)))</formula>
    </cfRule>
    <cfRule type="containsText" dxfId="1854" priority="450" operator="containsText" text="차재성">
      <formula>NOT(ISERROR(SEARCH("차재성",H1155)))</formula>
    </cfRule>
  </conditionalFormatting>
  <conditionalFormatting sqref="J46">
    <cfRule type="containsText" dxfId="1853" priority="403" operator="containsText" text="허하나로">
      <formula>NOT(ISERROR(SEARCH("허하나로",H1149)))</formula>
    </cfRule>
    <cfRule type="containsText" dxfId="1852" priority="404" operator="containsText" text="한별">
      <formula>NOT(ISERROR(SEARCH("한별",H1149)))</formula>
    </cfRule>
    <cfRule type="containsText" dxfId="1851" priority="405" operator="containsText" text="정홍조">
      <formula>NOT(ISERROR(SEARCH("정홍조",H1149)))</formula>
    </cfRule>
    <cfRule type="containsText" dxfId="1850" priority="406" operator="containsText" text="김지윤">
      <formula>NOT(ISERROR(SEARCH("김지윤",H1149)))</formula>
    </cfRule>
    <cfRule type="containsText" dxfId="1849" priority="407" operator="containsText" text="전준영">
      <formula>NOT(ISERROR(SEARCH("전준영",H1149)))</formula>
    </cfRule>
    <cfRule type="containsText" dxfId="1848" priority="408" operator="containsText" text="차재성">
      <formula>NOT(ISERROR(SEARCH("차재성",H1149)))</formula>
    </cfRule>
  </conditionalFormatting>
  <conditionalFormatting sqref="J115">
    <cfRule type="containsText" dxfId="1847" priority="391" operator="containsText" text="허하나로">
      <formula>NOT(ISERROR(SEARCH("허하나로",H1143)))</formula>
    </cfRule>
    <cfRule type="containsText" dxfId="1846" priority="392" operator="containsText" text="한별">
      <formula>NOT(ISERROR(SEARCH("한별",H1143)))</formula>
    </cfRule>
    <cfRule type="containsText" dxfId="1845" priority="393" operator="containsText" text="정홍조">
      <formula>NOT(ISERROR(SEARCH("정홍조",H1143)))</formula>
    </cfRule>
    <cfRule type="containsText" dxfId="1844" priority="394" operator="containsText" text="김지윤">
      <formula>NOT(ISERROR(SEARCH("김지윤",H1143)))</formula>
    </cfRule>
    <cfRule type="containsText" dxfId="1843" priority="395" operator="containsText" text="전준영">
      <formula>NOT(ISERROR(SEARCH("전준영",H1143)))</formula>
    </cfRule>
    <cfRule type="containsText" dxfId="1842" priority="396" operator="containsText" text="차재성">
      <formula>NOT(ISERROR(SEARCH("차재성",H1143)))</formula>
    </cfRule>
  </conditionalFormatting>
  <conditionalFormatting sqref="J118">
    <cfRule type="containsText" dxfId="1841" priority="385" operator="containsText" text="허하나로">
      <formula>NOT(ISERROR(SEARCH("허하나로",H1143)))</formula>
    </cfRule>
    <cfRule type="containsText" dxfId="1840" priority="386" operator="containsText" text="한별">
      <formula>NOT(ISERROR(SEARCH("한별",H1143)))</formula>
    </cfRule>
    <cfRule type="containsText" dxfId="1839" priority="387" operator="containsText" text="정홍조">
      <formula>NOT(ISERROR(SEARCH("정홍조",H1143)))</formula>
    </cfRule>
    <cfRule type="containsText" dxfId="1838" priority="388" operator="containsText" text="김지윤">
      <formula>NOT(ISERROR(SEARCH("김지윤",H1143)))</formula>
    </cfRule>
    <cfRule type="containsText" dxfId="1837" priority="389" operator="containsText" text="전준영">
      <formula>NOT(ISERROR(SEARCH("전준영",H1143)))</formula>
    </cfRule>
    <cfRule type="containsText" dxfId="1836" priority="390" operator="containsText" text="차재성">
      <formula>NOT(ISERROR(SEARCH("차재성",H1143)))</formula>
    </cfRule>
  </conditionalFormatting>
  <conditionalFormatting sqref="J141">
    <cfRule type="containsText" dxfId="1835" priority="331" operator="containsText" text="허하나로">
      <formula>NOT(ISERROR(SEARCH("허하나로",H1185)))</formula>
    </cfRule>
    <cfRule type="containsText" dxfId="1834" priority="332" operator="containsText" text="한별">
      <formula>NOT(ISERROR(SEARCH("한별",H1185)))</formula>
    </cfRule>
    <cfRule type="containsText" dxfId="1833" priority="333" operator="containsText" text="정홍조">
      <formula>NOT(ISERROR(SEARCH("정홍조",H1185)))</formula>
    </cfRule>
    <cfRule type="containsText" dxfId="1832" priority="334" operator="containsText" text="김지윤">
      <formula>NOT(ISERROR(SEARCH("김지윤",H1185)))</formula>
    </cfRule>
    <cfRule type="containsText" dxfId="1831" priority="335" operator="containsText" text="전준영">
      <formula>NOT(ISERROR(SEARCH("전준영",H1185)))</formula>
    </cfRule>
    <cfRule type="containsText" dxfId="1830" priority="336" operator="containsText" text="차재성">
      <formula>NOT(ISERROR(SEARCH("차재성",H1185)))</formula>
    </cfRule>
  </conditionalFormatting>
  <conditionalFormatting sqref="J142:J143">
    <cfRule type="containsText" dxfId="1829" priority="325" operator="containsText" text="허하나로">
      <formula>NOT(ISERROR(SEARCH("허하나로",H1214)))</formula>
    </cfRule>
    <cfRule type="containsText" dxfId="1828" priority="326" operator="containsText" text="한별">
      <formula>NOT(ISERROR(SEARCH("한별",H1214)))</formula>
    </cfRule>
    <cfRule type="containsText" dxfId="1827" priority="327" operator="containsText" text="정홍조">
      <formula>NOT(ISERROR(SEARCH("정홍조",H1214)))</formula>
    </cfRule>
    <cfRule type="containsText" dxfId="1826" priority="328" operator="containsText" text="김지윤">
      <formula>NOT(ISERROR(SEARCH("김지윤",H1214)))</formula>
    </cfRule>
    <cfRule type="containsText" dxfId="1825" priority="329" operator="containsText" text="전준영">
      <formula>NOT(ISERROR(SEARCH("전준영",H1214)))</formula>
    </cfRule>
    <cfRule type="containsText" dxfId="1824" priority="330" operator="containsText" text="차재성">
      <formula>NOT(ISERROR(SEARCH("차재성",H1214)))</formula>
    </cfRule>
  </conditionalFormatting>
  <conditionalFormatting sqref="J159">
    <cfRule type="containsText" dxfId="1823" priority="349" operator="containsText" text="허하나로">
      <formula>NOT(ISERROR(SEARCH("허하나로",H1192)))</formula>
    </cfRule>
    <cfRule type="containsText" dxfId="1822" priority="350" operator="containsText" text="한별">
      <formula>NOT(ISERROR(SEARCH("한별",H1192)))</formula>
    </cfRule>
    <cfRule type="containsText" dxfId="1821" priority="351" operator="containsText" text="정홍조">
      <formula>NOT(ISERROR(SEARCH("정홍조",H1192)))</formula>
    </cfRule>
    <cfRule type="containsText" dxfId="1820" priority="352" operator="containsText" text="김지윤">
      <formula>NOT(ISERROR(SEARCH("김지윤",H1192)))</formula>
    </cfRule>
    <cfRule type="containsText" dxfId="1819" priority="353" operator="containsText" text="전준영">
      <formula>NOT(ISERROR(SEARCH("전준영",H1192)))</formula>
    </cfRule>
    <cfRule type="containsText" dxfId="1818" priority="354" operator="containsText" text="차재성">
      <formula>NOT(ISERROR(SEARCH("차재성",H1192)))</formula>
    </cfRule>
  </conditionalFormatting>
  <conditionalFormatting sqref="J153">
    <cfRule type="containsText" dxfId="1817" priority="361" operator="containsText" text="허하나로">
      <formula>NOT(ISERROR(SEARCH("허하나로",H1192)))</formula>
    </cfRule>
    <cfRule type="containsText" dxfId="1816" priority="362" operator="containsText" text="한별">
      <formula>NOT(ISERROR(SEARCH("한별",H1192)))</formula>
    </cfRule>
    <cfRule type="containsText" dxfId="1815" priority="363" operator="containsText" text="정홍조">
      <formula>NOT(ISERROR(SEARCH("정홍조",H1192)))</formula>
    </cfRule>
    <cfRule type="containsText" dxfId="1814" priority="364" operator="containsText" text="김지윤">
      <formula>NOT(ISERROR(SEARCH("김지윤",H1192)))</formula>
    </cfRule>
    <cfRule type="containsText" dxfId="1813" priority="365" operator="containsText" text="전준영">
      <formula>NOT(ISERROR(SEARCH("전준영",H1192)))</formula>
    </cfRule>
    <cfRule type="containsText" dxfId="1812" priority="366" operator="containsText" text="차재성">
      <formula>NOT(ISERROR(SEARCH("차재성",H1192)))</formula>
    </cfRule>
  </conditionalFormatting>
  <conditionalFormatting sqref="J147">
    <cfRule type="containsText" dxfId="1811" priority="367" operator="containsText" text="허하나로">
      <formula>NOT(ISERROR(SEARCH("허하나로",H1192)))</formula>
    </cfRule>
    <cfRule type="containsText" dxfId="1810" priority="368" operator="containsText" text="한별">
      <formula>NOT(ISERROR(SEARCH("한별",H1192)))</formula>
    </cfRule>
    <cfRule type="containsText" dxfId="1809" priority="369" operator="containsText" text="정홍조">
      <formula>NOT(ISERROR(SEARCH("정홍조",H1192)))</formula>
    </cfRule>
    <cfRule type="containsText" dxfId="1808" priority="370" operator="containsText" text="김지윤">
      <formula>NOT(ISERROR(SEARCH("김지윤",H1192)))</formula>
    </cfRule>
    <cfRule type="containsText" dxfId="1807" priority="371" operator="containsText" text="전준영">
      <formula>NOT(ISERROR(SEARCH("전준영",H1192)))</formula>
    </cfRule>
    <cfRule type="containsText" dxfId="1806" priority="372" operator="containsText" text="차재성">
      <formula>NOT(ISERROR(SEARCH("차재성",H1192)))</formula>
    </cfRule>
  </conditionalFormatting>
  <conditionalFormatting sqref="J146">
    <cfRule type="containsText" dxfId="1805" priority="373" operator="containsText" text="허하나로">
      <formula>NOT(ISERROR(SEARCH("허하나로",H1192)))</formula>
    </cfRule>
    <cfRule type="containsText" dxfId="1804" priority="374" operator="containsText" text="한별">
      <formula>NOT(ISERROR(SEARCH("한별",H1192)))</formula>
    </cfRule>
    <cfRule type="containsText" dxfId="1803" priority="375" operator="containsText" text="정홍조">
      <formula>NOT(ISERROR(SEARCH("정홍조",H1192)))</formula>
    </cfRule>
    <cfRule type="containsText" dxfId="1802" priority="376" operator="containsText" text="김지윤">
      <formula>NOT(ISERROR(SEARCH("김지윤",H1192)))</formula>
    </cfRule>
    <cfRule type="containsText" dxfId="1801" priority="377" operator="containsText" text="전준영">
      <formula>NOT(ISERROR(SEARCH("전준영",H1192)))</formula>
    </cfRule>
    <cfRule type="containsText" dxfId="1800" priority="378" operator="containsText" text="차재성">
      <formula>NOT(ISERROR(SEARCH("차재성",H1192)))</formula>
    </cfRule>
  </conditionalFormatting>
  <conditionalFormatting sqref="J144:J145">
    <cfRule type="containsText" dxfId="1799" priority="379" operator="containsText" text="허하나로">
      <formula>NOT(ISERROR(SEARCH("허하나로",H1191)))</formula>
    </cfRule>
    <cfRule type="containsText" dxfId="1798" priority="380" operator="containsText" text="한별">
      <formula>NOT(ISERROR(SEARCH("한별",H1191)))</formula>
    </cfRule>
    <cfRule type="containsText" dxfId="1797" priority="381" operator="containsText" text="정홍조">
      <formula>NOT(ISERROR(SEARCH("정홍조",H1191)))</formula>
    </cfRule>
    <cfRule type="containsText" dxfId="1796" priority="382" operator="containsText" text="김지윤">
      <formula>NOT(ISERROR(SEARCH("김지윤",H1191)))</formula>
    </cfRule>
    <cfRule type="containsText" dxfId="1795" priority="383" operator="containsText" text="전준영">
      <formula>NOT(ISERROR(SEARCH("전준영",H1191)))</formula>
    </cfRule>
    <cfRule type="containsText" dxfId="1794" priority="384" operator="containsText" text="차재성">
      <formula>NOT(ISERROR(SEARCH("차재성",H1191)))</formula>
    </cfRule>
  </conditionalFormatting>
  <conditionalFormatting sqref="J157">
    <cfRule type="containsText" dxfId="1793" priority="3655" operator="containsText" text="허하나로">
      <formula>NOT(ISERROR(SEARCH("허하나로",H1193)))</formula>
    </cfRule>
    <cfRule type="containsText" dxfId="1792" priority="3656" operator="containsText" text="한별">
      <formula>NOT(ISERROR(SEARCH("한별",H1193)))</formula>
    </cfRule>
    <cfRule type="containsText" dxfId="1791" priority="3657" operator="containsText" text="정홍조">
      <formula>NOT(ISERROR(SEARCH("정홍조",H1193)))</formula>
    </cfRule>
    <cfRule type="containsText" dxfId="1790" priority="3658" operator="containsText" text="김지윤">
      <formula>NOT(ISERROR(SEARCH("김지윤",H1193)))</formula>
    </cfRule>
    <cfRule type="containsText" dxfId="1789" priority="3659" operator="containsText" text="전준영">
      <formula>NOT(ISERROR(SEARCH("전준영",H1193)))</formula>
    </cfRule>
    <cfRule type="containsText" dxfId="1788" priority="3660" operator="containsText" text="차재성">
      <formula>NOT(ISERROR(SEARCH("차재성",H1193)))</formula>
    </cfRule>
  </conditionalFormatting>
  <conditionalFormatting sqref="J156">
    <cfRule type="containsText" dxfId="1787" priority="3667" operator="containsText" text="허하나로">
      <formula>NOT(ISERROR(SEARCH("허하나로",H1193)))</formula>
    </cfRule>
    <cfRule type="containsText" dxfId="1786" priority="3668" operator="containsText" text="한별">
      <formula>NOT(ISERROR(SEARCH("한별",H1193)))</formula>
    </cfRule>
    <cfRule type="containsText" dxfId="1785" priority="3669" operator="containsText" text="정홍조">
      <formula>NOT(ISERROR(SEARCH("정홍조",H1193)))</formula>
    </cfRule>
    <cfRule type="containsText" dxfId="1784" priority="3670" operator="containsText" text="김지윤">
      <formula>NOT(ISERROR(SEARCH("김지윤",H1193)))</formula>
    </cfRule>
    <cfRule type="containsText" dxfId="1783" priority="3671" operator="containsText" text="전준영">
      <formula>NOT(ISERROR(SEARCH("전준영",H1193)))</formula>
    </cfRule>
    <cfRule type="containsText" dxfId="1782" priority="3672" operator="containsText" text="차재성">
      <formula>NOT(ISERROR(SEARCH("차재성",H1193)))</formula>
    </cfRule>
  </conditionalFormatting>
  <conditionalFormatting sqref="J16">
    <cfRule type="containsText" dxfId="1781" priority="319" operator="containsText" text="허하나로">
      <formula>NOT(ISERROR(SEARCH("허하나로",H1143)))</formula>
    </cfRule>
    <cfRule type="containsText" dxfId="1780" priority="320" operator="containsText" text="한별">
      <formula>NOT(ISERROR(SEARCH("한별",H1143)))</formula>
    </cfRule>
    <cfRule type="containsText" dxfId="1779" priority="321" operator="containsText" text="정홍조">
      <formula>NOT(ISERROR(SEARCH("정홍조",H1143)))</formula>
    </cfRule>
    <cfRule type="containsText" dxfId="1778" priority="322" operator="containsText" text="김지윤">
      <formula>NOT(ISERROR(SEARCH("김지윤",H1143)))</formula>
    </cfRule>
    <cfRule type="containsText" dxfId="1777" priority="323" operator="containsText" text="전준영">
      <formula>NOT(ISERROR(SEARCH("전준영",H1143)))</formula>
    </cfRule>
    <cfRule type="containsText" dxfId="1776" priority="324" operator="containsText" text="차재성">
      <formula>NOT(ISERROR(SEARCH("차재성",H1143)))</formula>
    </cfRule>
  </conditionalFormatting>
  <conditionalFormatting sqref="J18">
    <cfRule type="containsText" dxfId="1775" priority="301" operator="containsText" text="허하나로">
      <formula>NOT(ISERROR(SEARCH("허하나로",H1147)))</formula>
    </cfRule>
    <cfRule type="containsText" dxfId="1774" priority="302" operator="containsText" text="한별">
      <formula>NOT(ISERROR(SEARCH("한별",H1147)))</formula>
    </cfRule>
    <cfRule type="containsText" dxfId="1773" priority="303" operator="containsText" text="정홍조">
      <formula>NOT(ISERROR(SEARCH("정홍조",H1147)))</formula>
    </cfRule>
    <cfRule type="containsText" dxfId="1772" priority="304" operator="containsText" text="김지윤">
      <formula>NOT(ISERROR(SEARCH("김지윤",H1147)))</formula>
    </cfRule>
    <cfRule type="containsText" dxfId="1771" priority="305" operator="containsText" text="전준영">
      <formula>NOT(ISERROR(SEARCH("전준영",H1147)))</formula>
    </cfRule>
    <cfRule type="containsText" dxfId="1770" priority="306" operator="containsText" text="차재성">
      <formula>NOT(ISERROR(SEARCH("차재성",H1147)))</formula>
    </cfRule>
  </conditionalFormatting>
  <conditionalFormatting sqref="J17">
    <cfRule type="containsText" dxfId="1769" priority="307" operator="containsText" text="허하나로">
      <formula>NOT(ISERROR(SEARCH("허하나로",H1147)))</formula>
    </cfRule>
    <cfRule type="containsText" dxfId="1768" priority="308" operator="containsText" text="한별">
      <formula>NOT(ISERROR(SEARCH("한별",H1147)))</formula>
    </cfRule>
    <cfRule type="containsText" dxfId="1767" priority="309" operator="containsText" text="정홍조">
      <formula>NOT(ISERROR(SEARCH("정홍조",H1147)))</formula>
    </cfRule>
    <cfRule type="containsText" dxfId="1766" priority="310" operator="containsText" text="김지윤">
      <formula>NOT(ISERROR(SEARCH("김지윤",H1147)))</formula>
    </cfRule>
    <cfRule type="containsText" dxfId="1765" priority="311" operator="containsText" text="전준영">
      <formula>NOT(ISERROR(SEARCH("전준영",H1147)))</formula>
    </cfRule>
    <cfRule type="containsText" dxfId="1764" priority="312" operator="containsText" text="차재성">
      <formula>NOT(ISERROR(SEARCH("차재성",H1147)))</formula>
    </cfRule>
  </conditionalFormatting>
  <conditionalFormatting sqref="J29">
    <cfRule type="containsText" dxfId="1763" priority="4261" operator="containsText" text="허하나로">
      <formula>NOT(ISERROR(SEARCH("허하나로",H1141)))</formula>
    </cfRule>
    <cfRule type="containsText" dxfId="1762" priority="4262" operator="containsText" text="한별">
      <formula>NOT(ISERROR(SEARCH("한별",H1141)))</formula>
    </cfRule>
    <cfRule type="containsText" dxfId="1761" priority="4263" operator="containsText" text="정홍조">
      <formula>NOT(ISERROR(SEARCH("정홍조",H1141)))</formula>
    </cfRule>
    <cfRule type="containsText" dxfId="1760" priority="4264" operator="containsText" text="김지윤">
      <formula>NOT(ISERROR(SEARCH("김지윤",H1141)))</formula>
    </cfRule>
    <cfRule type="containsText" dxfId="1759" priority="4265" operator="containsText" text="전준영">
      <formula>NOT(ISERROR(SEARCH("전준영",H1141)))</formula>
    </cfRule>
    <cfRule type="containsText" dxfId="1758" priority="4266" operator="containsText" text="차재성">
      <formula>NOT(ISERROR(SEARCH("차재성",H1141)))</formula>
    </cfRule>
  </conditionalFormatting>
  <conditionalFormatting sqref="J66">
    <cfRule type="containsText" dxfId="1757" priority="4273" operator="containsText" text="허하나로">
      <formula>NOT(ISERROR(SEARCH("허하나로",H1142)))</formula>
    </cfRule>
    <cfRule type="containsText" dxfId="1756" priority="4274" operator="containsText" text="한별">
      <formula>NOT(ISERROR(SEARCH("한별",H1142)))</formula>
    </cfRule>
    <cfRule type="containsText" dxfId="1755" priority="4275" operator="containsText" text="정홍조">
      <formula>NOT(ISERROR(SEARCH("정홍조",H1142)))</formula>
    </cfRule>
    <cfRule type="containsText" dxfId="1754" priority="4276" operator="containsText" text="김지윤">
      <formula>NOT(ISERROR(SEARCH("김지윤",H1142)))</formula>
    </cfRule>
    <cfRule type="containsText" dxfId="1753" priority="4277" operator="containsText" text="전준영">
      <formula>NOT(ISERROR(SEARCH("전준영",H1142)))</formula>
    </cfRule>
    <cfRule type="containsText" dxfId="1752" priority="4278" operator="containsText" text="차재성">
      <formula>NOT(ISERROR(SEARCH("차재성",H1142)))</formula>
    </cfRule>
  </conditionalFormatting>
  <conditionalFormatting sqref="J65">
    <cfRule type="containsText" dxfId="1751" priority="4279" operator="containsText" text="허하나로">
      <formula>NOT(ISERROR(SEARCH("허하나로",H1142)))</formula>
    </cfRule>
    <cfRule type="containsText" dxfId="1750" priority="4280" operator="containsText" text="한별">
      <formula>NOT(ISERROR(SEARCH("한별",H1142)))</formula>
    </cfRule>
    <cfRule type="containsText" dxfId="1749" priority="4281" operator="containsText" text="정홍조">
      <formula>NOT(ISERROR(SEARCH("정홍조",H1142)))</formula>
    </cfRule>
    <cfRule type="containsText" dxfId="1748" priority="4282" operator="containsText" text="김지윤">
      <formula>NOT(ISERROR(SEARCH("김지윤",H1142)))</formula>
    </cfRule>
    <cfRule type="containsText" dxfId="1747" priority="4283" operator="containsText" text="전준영">
      <formula>NOT(ISERROR(SEARCH("전준영",H1142)))</formula>
    </cfRule>
    <cfRule type="containsText" dxfId="1746" priority="4284" operator="containsText" text="차재성">
      <formula>NOT(ISERROR(SEARCH("차재성",H1142)))</formula>
    </cfRule>
  </conditionalFormatting>
  <conditionalFormatting sqref="J106">
    <cfRule type="containsText" dxfId="1745" priority="4309" operator="containsText" text="허하나로">
      <formula>NOT(ISERROR(SEARCH("허하나로",H1147)))</formula>
    </cfRule>
    <cfRule type="containsText" dxfId="1744" priority="4310" operator="containsText" text="한별">
      <formula>NOT(ISERROR(SEARCH("한별",H1147)))</formula>
    </cfRule>
    <cfRule type="containsText" dxfId="1743" priority="4311" operator="containsText" text="정홍조">
      <formula>NOT(ISERROR(SEARCH("정홍조",H1147)))</formula>
    </cfRule>
    <cfRule type="containsText" dxfId="1742" priority="4312" operator="containsText" text="김지윤">
      <formula>NOT(ISERROR(SEARCH("김지윤",H1147)))</formula>
    </cfRule>
    <cfRule type="containsText" dxfId="1741" priority="4313" operator="containsText" text="전준영">
      <formula>NOT(ISERROR(SEARCH("전준영",H1147)))</formula>
    </cfRule>
    <cfRule type="containsText" dxfId="1740" priority="4314" operator="containsText" text="차재성">
      <formula>NOT(ISERROR(SEARCH("차재성",H1147)))</formula>
    </cfRule>
  </conditionalFormatting>
  <conditionalFormatting sqref="J68">
    <cfRule type="containsText" dxfId="1739" priority="4489" operator="containsText" text="허하나로">
      <formula>NOT(ISERROR(SEARCH("허하나로",H1142)))</formula>
    </cfRule>
    <cfRule type="containsText" dxfId="1738" priority="4490" operator="containsText" text="한별">
      <formula>NOT(ISERROR(SEARCH("한별",H1142)))</formula>
    </cfRule>
    <cfRule type="containsText" dxfId="1737" priority="4491" operator="containsText" text="정홍조">
      <formula>NOT(ISERROR(SEARCH("정홍조",H1142)))</formula>
    </cfRule>
    <cfRule type="containsText" dxfId="1736" priority="4492" operator="containsText" text="김지윤">
      <formula>NOT(ISERROR(SEARCH("김지윤",H1142)))</formula>
    </cfRule>
    <cfRule type="containsText" dxfId="1735" priority="4493" operator="containsText" text="전준영">
      <formula>NOT(ISERROR(SEARCH("전준영",H1142)))</formula>
    </cfRule>
    <cfRule type="containsText" dxfId="1734" priority="4494" operator="containsText" text="차재성">
      <formula>NOT(ISERROR(SEARCH("차재성",H1142)))</formula>
    </cfRule>
  </conditionalFormatting>
  <conditionalFormatting sqref="J92">
    <cfRule type="containsText" dxfId="1733" priority="4507" operator="containsText" text="허하나로">
      <formula>NOT(ISERROR(SEARCH("허하나로",H1143)))</formula>
    </cfRule>
    <cfRule type="containsText" dxfId="1732" priority="4508" operator="containsText" text="한별">
      <formula>NOT(ISERROR(SEARCH("한별",H1143)))</formula>
    </cfRule>
    <cfRule type="containsText" dxfId="1731" priority="4509" operator="containsText" text="정홍조">
      <formula>NOT(ISERROR(SEARCH("정홍조",H1143)))</formula>
    </cfRule>
    <cfRule type="containsText" dxfId="1730" priority="4510" operator="containsText" text="김지윤">
      <formula>NOT(ISERROR(SEARCH("김지윤",H1143)))</formula>
    </cfRule>
    <cfRule type="containsText" dxfId="1729" priority="4511" operator="containsText" text="전준영">
      <formula>NOT(ISERROR(SEARCH("전준영",H1143)))</formula>
    </cfRule>
    <cfRule type="containsText" dxfId="1728" priority="4512" operator="containsText" text="차재성">
      <formula>NOT(ISERROR(SEARCH("차재성",H1143)))</formula>
    </cfRule>
  </conditionalFormatting>
  <conditionalFormatting sqref="J26:J28 J32:J36">
    <cfRule type="containsText" dxfId="1727" priority="4519" operator="containsText" text="허하나로">
      <formula>NOT(ISERROR(SEARCH("허하나로",H1139)))</formula>
    </cfRule>
    <cfRule type="containsText" dxfId="1726" priority="4520" operator="containsText" text="한별">
      <formula>NOT(ISERROR(SEARCH("한별",H1139)))</formula>
    </cfRule>
    <cfRule type="containsText" dxfId="1725" priority="4521" operator="containsText" text="정홍조">
      <formula>NOT(ISERROR(SEARCH("정홍조",H1139)))</formula>
    </cfRule>
    <cfRule type="containsText" dxfId="1724" priority="4522" operator="containsText" text="김지윤">
      <formula>NOT(ISERROR(SEARCH("김지윤",H1139)))</formula>
    </cfRule>
    <cfRule type="containsText" dxfId="1723" priority="4523" operator="containsText" text="전준영">
      <formula>NOT(ISERROR(SEARCH("전준영",H1139)))</formula>
    </cfRule>
    <cfRule type="containsText" dxfId="1722" priority="4524" operator="containsText" text="차재성">
      <formula>NOT(ISERROR(SEARCH("차재성",H1139)))</formula>
    </cfRule>
  </conditionalFormatting>
  <conditionalFormatting sqref="J126">
    <cfRule type="containsText" dxfId="1721" priority="4543" operator="containsText" text="허하나로">
      <formula>NOT(ISERROR(SEARCH("허하나로",H1144)))</formula>
    </cfRule>
    <cfRule type="containsText" dxfId="1720" priority="4544" operator="containsText" text="한별">
      <formula>NOT(ISERROR(SEARCH("한별",H1144)))</formula>
    </cfRule>
    <cfRule type="containsText" dxfId="1719" priority="4545" operator="containsText" text="정홍조">
      <formula>NOT(ISERROR(SEARCH("정홍조",H1144)))</formula>
    </cfRule>
    <cfRule type="containsText" dxfId="1718" priority="4546" operator="containsText" text="김지윤">
      <formula>NOT(ISERROR(SEARCH("김지윤",H1144)))</formula>
    </cfRule>
    <cfRule type="containsText" dxfId="1717" priority="4547" operator="containsText" text="전준영">
      <formula>NOT(ISERROR(SEARCH("전준영",H1144)))</formula>
    </cfRule>
    <cfRule type="containsText" dxfId="1716" priority="4548" operator="containsText" text="차재성">
      <formula>NOT(ISERROR(SEARCH("차재성",H1144)))</formula>
    </cfRule>
  </conditionalFormatting>
  <conditionalFormatting sqref="J30">
    <cfRule type="containsText" dxfId="1715" priority="5125" operator="containsText" text="허하나로">
      <formula>NOT(ISERROR(SEARCH("허하나로",H1141)))</formula>
    </cfRule>
    <cfRule type="containsText" dxfId="1714" priority="5126" operator="containsText" text="한별">
      <formula>NOT(ISERROR(SEARCH("한별",H1141)))</formula>
    </cfRule>
    <cfRule type="containsText" dxfId="1713" priority="5127" operator="containsText" text="정홍조">
      <formula>NOT(ISERROR(SEARCH("정홍조",H1141)))</formula>
    </cfRule>
    <cfRule type="containsText" dxfId="1712" priority="5128" operator="containsText" text="김지윤">
      <formula>NOT(ISERROR(SEARCH("김지윤",H1141)))</formula>
    </cfRule>
    <cfRule type="containsText" dxfId="1711" priority="5129" operator="containsText" text="전준영">
      <formula>NOT(ISERROR(SEARCH("전준영",H1141)))</formula>
    </cfRule>
    <cfRule type="containsText" dxfId="1710" priority="5130" operator="containsText" text="차재성">
      <formula>NOT(ISERROR(SEARCH("차재성",H1141)))</formula>
    </cfRule>
  </conditionalFormatting>
  <conditionalFormatting sqref="J69:J70">
    <cfRule type="containsText" dxfId="1709" priority="5161" operator="containsText" text="허하나로">
      <formula>NOT(ISERROR(SEARCH("허하나로",H1142)))</formula>
    </cfRule>
    <cfRule type="containsText" dxfId="1708" priority="5162" operator="containsText" text="한별">
      <formula>NOT(ISERROR(SEARCH("한별",H1142)))</formula>
    </cfRule>
    <cfRule type="containsText" dxfId="1707" priority="5163" operator="containsText" text="정홍조">
      <formula>NOT(ISERROR(SEARCH("정홍조",H1142)))</formula>
    </cfRule>
    <cfRule type="containsText" dxfId="1706" priority="5164" operator="containsText" text="김지윤">
      <formula>NOT(ISERROR(SEARCH("김지윤",H1142)))</formula>
    </cfRule>
    <cfRule type="containsText" dxfId="1705" priority="5165" operator="containsText" text="전준영">
      <formula>NOT(ISERROR(SEARCH("전준영",H1142)))</formula>
    </cfRule>
    <cfRule type="containsText" dxfId="1704" priority="5166" operator="containsText" text="차재성">
      <formula>NOT(ISERROR(SEARCH("차재성",H1142)))</formula>
    </cfRule>
  </conditionalFormatting>
  <conditionalFormatting sqref="J71:J72">
    <cfRule type="containsText" dxfId="1703" priority="5191" operator="containsText" text="허하나로">
      <formula>NOT(ISERROR(SEARCH("허하나로",H1143)))</formula>
    </cfRule>
    <cfRule type="containsText" dxfId="1702" priority="5192" operator="containsText" text="한별">
      <formula>NOT(ISERROR(SEARCH("한별",H1143)))</formula>
    </cfRule>
    <cfRule type="containsText" dxfId="1701" priority="5193" operator="containsText" text="정홍조">
      <formula>NOT(ISERROR(SEARCH("정홍조",H1143)))</formula>
    </cfRule>
    <cfRule type="containsText" dxfId="1700" priority="5194" operator="containsText" text="김지윤">
      <formula>NOT(ISERROR(SEARCH("김지윤",H1143)))</formula>
    </cfRule>
    <cfRule type="containsText" dxfId="1699" priority="5195" operator="containsText" text="전준영">
      <formula>NOT(ISERROR(SEARCH("전준영",H1143)))</formula>
    </cfRule>
    <cfRule type="containsText" dxfId="1698" priority="5196" operator="containsText" text="차재성">
      <formula>NOT(ISERROR(SEARCH("차재성",H1143)))</formula>
    </cfRule>
  </conditionalFormatting>
  <conditionalFormatting sqref="J102:J105">
    <cfRule type="containsText" dxfId="1697" priority="5197" operator="containsText" text="허하나로">
      <formula>NOT(ISERROR(SEARCH("허하나로",H1144)))</formula>
    </cfRule>
    <cfRule type="containsText" dxfId="1696" priority="5198" operator="containsText" text="한별">
      <formula>NOT(ISERROR(SEARCH("한별",H1144)))</formula>
    </cfRule>
    <cfRule type="containsText" dxfId="1695" priority="5199" operator="containsText" text="정홍조">
      <formula>NOT(ISERROR(SEARCH("정홍조",H1144)))</formula>
    </cfRule>
    <cfRule type="containsText" dxfId="1694" priority="5200" operator="containsText" text="김지윤">
      <formula>NOT(ISERROR(SEARCH("김지윤",H1144)))</formula>
    </cfRule>
    <cfRule type="containsText" dxfId="1693" priority="5201" operator="containsText" text="전준영">
      <formula>NOT(ISERROR(SEARCH("전준영",H1144)))</formula>
    </cfRule>
    <cfRule type="containsText" dxfId="1692" priority="5202" operator="containsText" text="차재성">
      <formula>NOT(ISERROR(SEARCH("차재성",H1144)))</formula>
    </cfRule>
  </conditionalFormatting>
  <conditionalFormatting sqref="J137">
    <cfRule type="containsText" dxfId="1691" priority="163" operator="containsText" text="허하나로">
      <formula>NOT(ISERROR(SEARCH("허하나로",H1154)))</formula>
    </cfRule>
    <cfRule type="containsText" dxfId="1690" priority="164" operator="containsText" text="한별">
      <formula>NOT(ISERROR(SEARCH("한별",H1154)))</formula>
    </cfRule>
    <cfRule type="containsText" dxfId="1689" priority="165" operator="containsText" text="정홍조">
      <formula>NOT(ISERROR(SEARCH("정홍조",H1154)))</formula>
    </cfRule>
    <cfRule type="containsText" dxfId="1688" priority="166" operator="containsText" text="김지윤">
      <formula>NOT(ISERROR(SEARCH("김지윤",H1154)))</formula>
    </cfRule>
    <cfRule type="containsText" dxfId="1687" priority="167" operator="containsText" text="전준영">
      <formula>NOT(ISERROR(SEARCH("전준영",H1154)))</formula>
    </cfRule>
    <cfRule type="containsText" dxfId="1686" priority="168" operator="containsText" text="차재성">
      <formula>NOT(ISERROR(SEARCH("차재성",H1154)))</formula>
    </cfRule>
  </conditionalFormatting>
  <conditionalFormatting sqref="J138">
    <cfRule type="containsText" dxfId="1685" priority="157" operator="containsText" text="허하나로">
      <formula>NOT(ISERROR(SEARCH("허하나로",H1154)))</formula>
    </cfRule>
    <cfRule type="containsText" dxfId="1684" priority="158" operator="containsText" text="한별">
      <formula>NOT(ISERROR(SEARCH("한별",H1154)))</formula>
    </cfRule>
    <cfRule type="containsText" dxfId="1683" priority="159" operator="containsText" text="정홍조">
      <formula>NOT(ISERROR(SEARCH("정홍조",H1154)))</formula>
    </cfRule>
    <cfRule type="containsText" dxfId="1682" priority="160" operator="containsText" text="김지윤">
      <formula>NOT(ISERROR(SEARCH("김지윤",H1154)))</formula>
    </cfRule>
    <cfRule type="containsText" dxfId="1681" priority="161" operator="containsText" text="전준영">
      <formula>NOT(ISERROR(SEARCH("전준영",H1154)))</formula>
    </cfRule>
    <cfRule type="containsText" dxfId="1680" priority="162" operator="containsText" text="차재성">
      <formula>NOT(ISERROR(SEARCH("차재성",H1154)))</formula>
    </cfRule>
  </conditionalFormatting>
  <conditionalFormatting sqref="J152">
    <cfRule type="containsText" dxfId="1679" priority="139" operator="containsText" text="허하나로">
      <formula>NOT(ISERROR(SEARCH("허하나로",H1196)))</formula>
    </cfRule>
    <cfRule type="containsText" dxfId="1678" priority="140" operator="containsText" text="한별">
      <formula>NOT(ISERROR(SEARCH("한별",H1196)))</formula>
    </cfRule>
    <cfRule type="containsText" dxfId="1677" priority="141" operator="containsText" text="정홍조">
      <formula>NOT(ISERROR(SEARCH("정홍조",H1196)))</formula>
    </cfRule>
    <cfRule type="containsText" dxfId="1676" priority="142" operator="containsText" text="김지윤">
      <formula>NOT(ISERROR(SEARCH("김지윤",H1196)))</formula>
    </cfRule>
    <cfRule type="containsText" dxfId="1675" priority="143" operator="containsText" text="전준영">
      <formula>NOT(ISERROR(SEARCH("전준영",H1196)))</formula>
    </cfRule>
    <cfRule type="containsText" dxfId="1674" priority="144" operator="containsText" text="차재성">
      <formula>NOT(ISERROR(SEARCH("차재성",H1196)))</formula>
    </cfRule>
  </conditionalFormatting>
  <conditionalFormatting sqref="J151">
    <cfRule type="containsText" dxfId="1673" priority="145" operator="containsText" text="허하나로">
      <formula>NOT(ISERROR(SEARCH("허하나로",H1196)))</formula>
    </cfRule>
    <cfRule type="containsText" dxfId="1672" priority="146" operator="containsText" text="한별">
      <formula>NOT(ISERROR(SEARCH("한별",H1196)))</formula>
    </cfRule>
    <cfRule type="containsText" dxfId="1671" priority="147" operator="containsText" text="정홍조">
      <formula>NOT(ISERROR(SEARCH("정홍조",H1196)))</formula>
    </cfRule>
    <cfRule type="containsText" dxfId="1670" priority="148" operator="containsText" text="김지윤">
      <formula>NOT(ISERROR(SEARCH("김지윤",H1196)))</formula>
    </cfRule>
    <cfRule type="containsText" dxfId="1669" priority="149" operator="containsText" text="전준영">
      <formula>NOT(ISERROR(SEARCH("전준영",H1196)))</formula>
    </cfRule>
    <cfRule type="containsText" dxfId="1668" priority="150" operator="containsText" text="차재성">
      <formula>NOT(ISERROR(SEARCH("차재성",H1196)))</formula>
    </cfRule>
  </conditionalFormatting>
  <conditionalFormatting sqref="J149:J150">
    <cfRule type="containsText" dxfId="1667" priority="151" operator="containsText" text="허하나로">
      <formula>NOT(ISERROR(SEARCH("허하나로",H1195)))</formula>
    </cfRule>
    <cfRule type="containsText" dxfId="1666" priority="152" operator="containsText" text="한별">
      <formula>NOT(ISERROR(SEARCH("한별",H1195)))</formula>
    </cfRule>
    <cfRule type="containsText" dxfId="1665" priority="153" operator="containsText" text="정홍조">
      <formula>NOT(ISERROR(SEARCH("정홍조",H1195)))</formula>
    </cfRule>
    <cfRule type="containsText" dxfId="1664" priority="154" operator="containsText" text="김지윤">
      <formula>NOT(ISERROR(SEARCH("김지윤",H1195)))</formula>
    </cfRule>
    <cfRule type="containsText" dxfId="1663" priority="155" operator="containsText" text="전준영">
      <formula>NOT(ISERROR(SEARCH("전준영",H1195)))</formula>
    </cfRule>
    <cfRule type="containsText" dxfId="1662" priority="156" operator="containsText" text="차재성">
      <formula>NOT(ISERROR(SEARCH("차재성",H1195)))</formula>
    </cfRule>
  </conditionalFormatting>
  <conditionalFormatting sqref="J148">
    <cfRule type="containsText" dxfId="1661" priority="133" operator="containsText" text="허하나로">
      <formula>NOT(ISERROR(SEARCH("허하나로",H1165)))</formula>
    </cfRule>
    <cfRule type="containsText" dxfId="1660" priority="134" operator="containsText" text="한별">
      <formula>NOT(ISERROR(SEARCH("한별",H1165)))</formula>
    </cfRule>
    <cfRule type="containsText" dxfId="1659" priority="135" operator="containsText" text="정홍조">
      <formula>NOT(ISERROR(SEARCH("정홍조",H1165)))</formula>
    </cfRule>
    <cfRule type="containsText" dxfId="1658" priority="136" operator="containsText" text="김지윤">
      <formula>NOT(ISERROR(SEARCH("김지윤",H1165)))</formula>
    </cfRule>
    <cfRule type="containsText" dxfId="1657" priority="137" operator="containsText" text="전준영">
      <formula>NOT(ISERROR(SEARCH("전준영",H1165)))</formula>
    </cfRule>
    <cfRule type="containsText" dxfId="1656" priority="138" operator="containsText" text="차재성">
      <formula>NOT(ISERROR(SEARCH("차재성",H1165)))</formula>
    </cfRule>
  </conditionalFormatting>
  <conditionalFormatting sqref="J80">
    <cfRule type="containsText" dxfId="1655" priority="121" operator="containsText" text="허하나로">
      <formula>NOT(ISERROR(SEARCH("허하나로",H1149)))</formula>
    </cfRule>
    <cfRule type="containsText" dxfId="1654" priority="122" operator="containsText" text="한별">
      <formula>NOT(ISERROR(SEARCH("한별",H1149)))</formula>
    </cfRule>
    <cfRule type="containsText" dxfId="1653" priority="123" operator="containsText" text="정홍조">
      <formula>NOT(ISERROR(SEARCH("정홍조",H1149)))</formula>
    </cfRule>
    <cfRule type="containsText" dxfId="1652" priority="124" operator="containsText" text="김지윤">
      <formula>NOT(ISERROR(SEARCH("김지윤",H1149)))</formula>
    </cfRule>
    <cfRule type="containsText" dxfId="1651" priority="125" operator="containsText" text="전준영">
      <formula>NOT(ISERROR(SEARCH("전준영",H1149)))</formula>
    </cfRule>
    <cfRule type="containsText" dxfId="1650" priority="126" operator="containsText" text="차재성">
      <formula>NOT(ISERROR(SEARCH("차재성",H1149)))</formula>
    </cfRule>
  </conditionalFormatting>
  <conditionalFormatting sqref="J81">
    <cfRule type="containsText" dxfId="1649" priority="127" operator="containsText" text="허하나로">
      <formula>NOT(ISERROR(SEARCH("허하나로",H1149)))</formula>
    </cfRule>
    <cfRule type="containsText" dxfId="1648" priority="128" operator="containsText" text="한별">
      <formula>NOT(ISERROR(SEARCH("한별",H1149)))</formula>
    </cfRule>
    <cfRule type="containsText" dxfId="1647" priority="129" operator="containsText" text="정홍조">
      <formula>NOT(ISERROR(SEARCH("정홍조",H1149)))</formula>
    </cfRule>
    <cfRule type="containsText" dxfId="1646" priority="130" operator="containsText" text="김지윤">
      <formula>NOT(ISERROR(SEARCH("김지윤",H1149)))</formula>
    </cfRule>
    <cfRule type="containsText" dxfId="1645" priority="131" operator="containsText" text="전준영">
      <formula>NOT(ISERROR(SEARCH("전준영",H1149)))</formula>
    </cfRule>
    <cfRule type="containsText" dxfId="1644" priority="132" operator="containsText" text="차재성">
      <formula>NOT(ISERROR(SEARCH("차재성",H1149)))</formula>
    </cfRule>
  </conditionalFormatting>
  <conditionalFormatting sqref="J21:J22">
    <cfRule type="containsText" dxfId="1643" priority="103" operator="containsText" text="허하나로">
      <formula>NOT(ISERROR(SEARCH("허하나로",H1134)))</formula>
    </cfRule>
    <cfRule type="containsText" dxfId="1642" priority="104" operator="containsText" text="한별">
      <formula>NOT(ISERROR(SEARCH("한별",H1134)))</formula>
    </cfRule>
    <cfRule type="containsText" dxfId="1641" priority="105" operator="containsText" text="정홍조">
      <formula>NOT(ISERROR(SEARCH("정홍조",H1134)))</formula>
    </cfRule>
    <cfRule type="containsText" dxfId="1640" priority="106" operator="containsText" text="김지윤">
      <formula>NOT(ISERROR(SEARCH("김지윤",H1134)))</formula>
    </cfRule>
    <cfRule type="containsText" dxfId="1639" priority="107" operator="containsText" text="전준영">
      <formula>NOT(ISERROR(SEARCH("전준영",H1134)))</formula>
    </cfRule>
    <cfRule type="containsText" dxfId="1638" priority="108" operator="containsText" text="차재성">
      <formula>NOT(ISERROR(SEARCH("차재성",H1134)))</formula>
    </cfRule>
  </conditionalFormatting>
  <conditionalFormatting sqref="J38:J39">
    <cfRule type="containsText" dxfId="1637" priority="5629" operator="containsText" text="허하나로">
      <formula>NOT(ISERROR(SEARCH("허하나로",H1146)))</formula>
    </cfRule>
    <cfRule type="containsText" dxfId="1636" priority="5630" operator="containsText" text="한별">
      <formula>NOT(ISERROR(SEARCH("한별",H1146)))</formula>
    </cfRule>
    <cfRule type="containsText" dxfId="1635" priority="5631" operator="containsText" text="정홍조">
      <formula>NOT(ISERROR(SEARCH("정홍조",H1146)))</formula>
    </cfRule>
    <cfRule type="containsText" dxfId="1634" priority="5632" operator="containsText" text="김지윤">
      <formula>NOT(ISERROR(SEARCH("김지윤",H1146)))</formula>
    </cfRule>
    <cfRule type="containsText" dxfId="1633" priority="5633" operator="containsText" text="전준영">
      <formula>NOT(ISERROR(SEARCH("전준영",H1146)))</formula>
    </cfRule>
    <cfRule type="containsText" dxfId="1632" priority="5634" operator="containsText" text="차재성">
      <formula>NOT(ISERROR(SEARCH("차재성",H1146)))</formula>
    </cfRule>
  </conditionalFormatting>
  <conditionalFormatting sqref="J43">
    <cfRule type="containsText" dxfId="1631" priority="91" operator="containsText" text="허하나로">
      <formula>NOT(ISERROR(SEARCH("허하나로",H1154)))</formula>
    </cfRule>
    <cfRule type="containsText" dxfId="1630" priority="92" operator="containsText" text="한별">
      <formula>NOT(ISERROR(SEARCH("한별",H1154)))</formula>
    </cfRule>
    <cfRule type="containsText" dxfId="1629" priority="93" operator="containsText" text="정홍조">
      <formula>NOT(ISERROR(SEARCH("정홍조",H1154)))</formula>
    </cfRule>
    <cfRule type="containsText" dxfId="1628" priority="94" operator="containsText" text="김지윤">
      <formula>NOT(ISERROR(SEARCH("김지윤",H1154)))</formula>
    </cfRule>
    <cfRule type="containsText" dxfId="1627" priority="95" operator="containsText" text="전준영">
      <formula>NOT(ISERROR(SEARCH("전준영",H1154)))</formula>
    </cfRule>
    <cfRule type="containsText" dxfId="1626" priority="96" operator="containsText" text="차재성">
      <formula>NOT(ISERROR(SEARCH("차재성",H1154)))</formula>
    </cfRule>
  </conditionalFormatting>
  <conditionalFormatting sqref="J41:J42">
    <cfRule type="containsText" dxfId="1625" priority="97" operator="containsText" text="허하나로">
      <formula>NOT(ISERROR(SEARCH("허하나로",H1154)))</formula>
    </cfRule>
    <cfRule type="containsText" dxfId="1624" priority="98" operator="containsText" text="한별">
      <formula>NOT(ISERROR(SEARCH("한별",H1154)))</formula>
    </cfRule>
    <cfRule type="containsText" dxfId="1623" priority="99" operator="containsText" text="정홍조">
      <formula>NOT(ISERROR(SEARCH("정홍조",H1154)))</formula>
    </cfRule>
    <cfRule type="containsText" dxfId="1622" priority="100" operator="containsText" text="김지윤">
      <formula>NOT(ISERROR(SEARCH("김지윤",H1154)))</formula>
    </cfRule>
    <cfRule type="containsText" dxfId="1621" priority="101" operator="containsText" text="전준영">
      <formula>NOT(ISERROR(SEARCH("전준영",H1154)))</formula>
    </cfRule>
    <cfRule type="containsText" dxfId="1620" priority="102" operator="containsText" text="차재성">
      <formula>NOT(ISERROR(SEARCH("차재성",H1154)))</formula>
    </cfRule>
  </conditionalFormatting>
  <conditionalFormatting sqref="J77">
    <cfRule type="containsText" dxfId="1619" priority="73" operator="containsText" text="허하나로">
      <formula>NOT(ISERROR(SEARCH("허하나로",H1147)))</formula>
    </cfRule>
    <cfRule type="containsText" dxfId="1618" priority="74" operator="containsText" text="한별">
      <formula>NOT(ISERROR(SEARCH("한별",H1147)))</formula>
    </cfRule>
    <cfRule type="containsText" dxfId="1617" priority="75" operator="containsText" text="정홍조">
      <formula>NOT(ISERROR(SEARCH("정홍조",H1147)))</formula>
    </cfRule>
    <cfRule type="containsText" dxfId="1616" priority="76" operator="containsText" text="김지윤">
      <formula>NOT(ISERROR(SEARCH("김지윤",H1147)))</formula>
    </cfRule>
    <cfRule type="containsText" dxfId="1615" priority="77" operator="containsText" text="전준영">
      <formula>NOT(ISERROR(SEARCH("전준영",H1147)))</formula>
    </cfRule>
    <cfRule type="containsText" dxfId="1614" priority="78" operator="containsText" text="차재성">
      <formula>NOT(ISERROR(SEARCH("차재성",H1147)))</formula>
    </cfRule>
  </conditionalFormatting>
  <conditionalFormatting sqref="J74">
    <cfRule type="containsText" dxfId="1613" priority="79" operator="containsText" text="허하나로">
      <formula>NOT(ISERROR(SEARCH("허하나로",H1147)))</formula>
    </cfRule>
    <cfRule type="containsText" dxfId="1612" priority="80" operator="containsText" text="한별">
      <formula>NOT(ISERROR(SEARCH("한별",H1147)))</formula>
    </cfRule>
    <cfRule type="containsText" dxfId="1611" priority="81" operator="containsText" text="정홍조">
      <formula>NOT(ISERROR(SEARCH("정홍조",H1147)))</formula>
    </cfRule>
    <cfRule type="containsText" dxfId="1610" priority="82" operator="containsText" text="김지윤">
      <formula>NOT(ISERROR(SEARCH("김지윤",H1147)))</formula>
    </cfRule>
    <cfRule type="containsText" dxfId="1609" priority="83" operator="containsText" text="전준영">
      <formula>NOT(ISERROR(SEARCH("전준영",H1147)))</formula>
    </cfRule>
    <cfRule type="containsText" dxfId="1608" priority="84" operator="containsText" text="차재성">
      <formula>NOT(ISERROR(SEARCH("차재성",H1147)))</formula>
    </cfRule>
  </conditionalFormatting>
  <conditionalFormatting sqref="J75:J76">
    <cfRule type="containsText" dxfId="1607" priority="85" operator="containsText" text="허하나로">
      <formula>NOT(ISERROR(SEARCH("허하나로",H1147)))</formula>
    </cfRule>
    <cfRule type="containsText" dxfId="1606" priority="86" operator="containsText" text="한별">
      <formula>NOT(ISERROR(SEARCH("한별",H1147)))</formula>
    </cfRule>
    <cfRule type="containsText" dxfId="1605" priority="87" operator="containsText" text="정홍조">
      <formula>NOT(ISERROR(SEARCH("정홍조",H1147)))</formula>
    </cfRule>
    <cfRule type="containsText" dxfId="1604" priority="88" operator="containsText" text="김지윤">
      <formula>NOT(ISERROR(SEARCH("김지윤",H1147)))</formula>
    </cfRule>
    <cfRule type="containsText" dxfId="1603" priority="89" operator="containsText" text="전준영">
      <formula>NOT(ISERROR(SEARCH("전준영",H1147)))</formula>
    </cfRule>
    <cfRule type="containsText" dxfId="1602" priority="90" operator="containsText" text="차재성">
      <formula>NOT(ISERROR(SEARCH("차재성",H1147)))</formula>
    </cfRule>
  </conditionalFormatting>
  <conditionalFormatting sqref="J82">
    <cfRule type="containsText" dxfId="1601" priority="61" operator="containsText" text="허하나로">
      <formula>NOT(ISERROR(SEARCH("허하나로",H1155)))</formula>
    </cfRule>
    <cfRule type="containsText" dxfId="1600" priority="62" operator="containsText" text="한별">
      <formula>NOT(ISERROR(SEARCH("한별",H1155)))</formula>
    </cfRule>
    <cfRule type="containsText" dxfId="1599" priority="63" operator="containsText" text="정홍조">
      <formula>NOT(ISERROR(SEARCH("정홍조",H1155)))</formula>
    </cfRule>
    <cfRule type="containsText" dxfId="1598" priority="64" operator="containsText" text="김지윤">
      <formula>NOT(ISERROR(SEARCH("김지윤",H1155)))</formula>
    </cfRule>
    <cfRule type="containsText" dxfId="1597" priority="65" operator="containsText" text="전준영">
      <formula>NOT(ISERROR(SEARCH("전준영",H1155)))</formula>
    </cfRule>
    <cfRule type="containsText" dxfId="1596" priority="66" operator="containsText" text="차재성">
      <formula>NOT(ISERROR(SEARCH("차재성",H1155)))</formula>
    </cfRule>
  </conditionalFormatting>
  <conditionalFormatting sqref="J83">
    <cfRule type="containsText" dxfId="1595" priority="67" operator="containsText" text="허하나로">
      <formula>NOT(ISERROR(SEARCH("허하나로",H1155)))</formula>
    </cfRule>
    <cfRule type="containsText" dxfId="1594" priority="68" operator="containsText" text="한별">
      <formula>NOT(ISERROR(SEARCH("한별",H1155)))</formula>
    </cfRule>
    <cfRule type="containsText" dxfId="1593" priority="69" operator="containsText" text="정홍조">
      <formula>NOT(ISERROR(SEARCH("정홍조",H1155)))</formula>
    </cfRule>
    <cfRule type="containsText" dxfId="1592" priority="70" operator="containsText" text="김지윤">
      <formula>NOT(ISERROR(SEARCH("김지윤",H1155)))</formula>
    </cfRule>
    <cfRule type="containsText" dxfId="1591" priority="71" operator="containsText" text="전준영">
      <formula>NOT(ISERROR(SEARCH("전준영",H1155)))</formula>
    </cfRule>
    <cfRule type="containsText" dxfId="1590" priority="72" operator="containsText" text="차재성">
      <formula>NOT(ISERROR(SEARCH("차재성",H1155)))</formula>
    </cfRule>
  </conditionalFormatting>
  <conditionalFormatting sqref="J88">
    <cfRule type="containsText" dxfId="1589" priority="49" operator="containsText" text="허하나로">
      <formula>NOT(ISERROR(SEARCH("허하나로",H1161)))</formula>
    </cfRule>
    <cfRule type="containsText" dxfId="1588" priority="50" operator="containsText" text="한별">
      <formula>NOT(ISERROR(SEARCH("한별",H1161)))</formula>
    </cfRule>
    <cfRule type="containsText" dxfId="1587" priority="51" operator="containsText" text="정홍조">
      <formula>NOT(ISERROR(SEARCH("정홍조",H1161)))</formula>
    </cfRule>
    <cfRule type="containsText" dxfId="1586" priority="52" operator="containsText" text="김지윤">
      <formula>NOT(ISERROR(SEARCH("김지윤",H1161)))</formula>
    </cfRule>
    <cfRule type="containsText" dxfId="1585" priority="53" operator="containsText" text="전준영">
      <formula>NOT(ISERROR(SEARCH("전준영",H1161)))</formula>
    </cfRule>
    <cfRule type="containsText" dxfId="1584" priority="54" operator="containsText" text="차재성">
      <formula>NOT(ISERROR(SEARCH("차재성",H1161)))</formula>
    </cfRule>
  </conditionalFormatting>
  <conditionalFormatting sqref="J89">
    <cfRule type="containsText" dxfId="1583" priority="55" operator="containsText" text="허하나로">
      <formula>NOT(ISERROR(SEARCH("허하나로",H1161)))</formula>
    </cfRule>
    <cfRule type="containsText" dxfId="1582" priority="56" operator="containsText" text="한별">
      <formula>NOT(ISERROR(SEARCH("한별",H1161)))</formula>
    </cfRule>
    <cfRule type="containsText" dxfId="1581" priority="57" operator="containsText" text="정홍조">
      <formula>NOT(ISERROR(SEARCH("정홍조",H1161)))</formula>
    </cfRule>
    <cfRule type="containsText" dxfId="1580" priority="58" operator="containsText" text="김지윤">
      <formula>NOT(ISERROR(SEARCH("김지윤",H1161)))</formula>
    </cfRule>
    <cfRule type="containsText" dxfId="1579" priority="59" operator="containsText" text="전준영">
      <formula>NOT(ISERROR(SEARCH("전준영",H1161)))</formula>
    </cfRule>
    <cfRule type="containsText" dxfId="1578" priority="60" operator="containsText" text="차재성">
      <formula>NOT(ISERROR(SEARCH("차재성",H1161)))</formula>
    </cfRule>
  </conditionalFormatting>
  <conditionalFormatting sqref="J87">
    <cfRule type="containsText" dxfId="1577" priority="5647" operator="containsText" text="허하나로">
      <formula>NOT(ISERROR(SEARCH("허하나로",H1141)))</formula>
    </cfRule>
    <cfRule type="containsText" dxfId="1576" priority="5648" operator="containsText" text="한별">
      <formula>NOT(ISERROR(SEARCH("한별",H1141)))</formula>
    </cfRule>
    <cfRule type="containsText" dxfId="1575" priority="5649" operator="containsText" text="정홍조">
      <formula>NOT(ISERROR(SEARCH("정홍조",H1141)))</formula>
    </cfRule>
    <cfRule type="containsText" dxfId="1574" priority="5650" operator="containsText" text="김지윤">
      <formula>NOT(ISERROR(SEARCH("김지윤",H1141)))</formula>
    </cfRule>
    <cfRule type="containsText" dxfId="1573" priority="5651" operator="containsText" text="전준영">
      <formula>NOT(ISERROR(SEARCH("전준영",H1141)))</formula>
    </cfRule>
    <cfRule type="containsText" dxfId="1572" priority="5652" operator="containsText" text="차재성">
      <formula>NOT(ISERROR(SEARCH("차재성",H1141)))</formula>
    </cfRule>
  </conditionalFormatting>
  <conditionalFormatting sqref="J96">
    <cfRule type="containsText" dxfId="1571" priority="37" operator="containsText" text="허하나로">
      <formula>NOT(ISERROR(SEARCH("허하나로",H1169)))</formula>
    </cfRule>
    <cfRule type="containsText" dxfId="1570" priority="38" operator="containsText" text="한별">
      <formula>NOT(ISERROR(SEARCH("한별",H1169)))</formula>
    </cfRule>
    <cfRule type="containsText" dxfId="1569" priority="39" operator="containsText" text="정홍조">
      <formula>NOT(ISERROR(SEARCH("정홍조",H1169)))</formula>
    </cfRule>
    <cfRule type="containsText" dxfId="1568" priority="40" operator="containsText" text="김지윤">
      <formula>NOT(ISERROR(SEARCH("김지윤",H1169)))</formula>
    </cfRule>
    <cfRule type="containsText" dxfId="1567" priority="41" operator="containsText" text="전준영">
      <formula>NOT(ISERROR(SEARCH("전준영",H1169)))</formula>
    </cfRule>
    <cfRule type="containsText" dxfId="1566" priority="42" operator="containsText" text="차재성">
      <formula>NOT(ISERROR(SEARCH("차재성",H1169)))</formula>
    </cfRule>
  </conditionalFormatting>
  <conditionalFormatting sqref="J97">
    <cfRule type="containsText" dxfId="1565" priority="43" operator="containsText" text="허하나로">
      <formula>NOT(ISERROR(SEARCH("허하나로",H1169)))</formula>
    </cfRule>
    <cfRule type="containsText" dxfId="1564" priority="44" operator="containsText" text="한별">
      <formula>NOT(ISERROR(SEARCH("한별",H1169)))</formula>
    </cfRule>
    <cfRule type="containsText" dxfId="1563" priority="45" operator="containsText" text="정홍조">
      <formula>NOT(ISERROR(SEARCH("정홍조",H1169)))</formula>
    </cfRule>
    <cfRule type="containsText" dxfId="1562" priority="46" operator="containsText" text="김지윤">
      <formula>NOT(ISERROR(SEARCH("김지윤",H1169)))</formula>
    </cfRule>
    <cfRule type="containsText" dxfId="1561" priority="47" operator="containsText" text="전준영">
      <formula>NOT(ISERROR(SEARCH("전준영",H1169)))</formula>
    </cfRule>
    <cfRule type="containsText" dxfId="1560" priority="48" operator="containsText" text="차재성">
      <formula>NOT(ISERROR(SEARCH("차재성",H1169)))</formula>
    </cfRule>
  </conditionalFormatting>
  <conditionalFormatting sqref="J98:J99">
    <cfRule type="containsText" dxfId="1559" priority="25" operator="containsText" text="허하나로">
      <formula>NOT(ISERROR(SEARCH("허하나로",H1171)))</formula>
    </cfRule>
    <cfRule type="containsText" dxfId="1558" priority="26" operator="containsText" text="한별">
      <formula>NOT(ISERROR(SEARCH("한별",H1171)))</formula>
    </cfRule>
    <cfRule type="containsText" dxfId="1557" priority="27" operator="containsText" text="정홍조">
      <formula>NOT(ISERROR(SEARCH("정홍조",H1171)))</formula>
    </cfRule>
    <cfRule type="containsText" dxfId="1556" priority="28" operator="containsText" text="김지윤">
      <formula>NOT(ISERROR(SEARCH("김지윤",H1171)))</formula>
    </cfRule>
    <cfRule type="containsText" dxfId="1555" priority="29" operator="containsText" text="전준영">
      <formula>NOT(ISERROR(SEARCH("전준영",H1171)))</formula>
    </cfRule>
    <cfRule type="containsText" dxfId="1554" priority="30" operator="containsText" text="차재성">
      <formula>NOT(ISERROR(SEARCH("차재성",H1171)))</formula>
    </cfRule>
  </conditionalFormatting>
  <conditionalFormatting sqref="J100">
    <cfRule type="containsText" dxfId="1553" priority="31" operator="containsText" text="허하나로">
      <formula>NOT(ISERROR(SEARCH("허하나로",H1171)))</formula>
    </cfRule>
    <cfRule type="containsText" dxfId="1552" priority="32" operator="containsText" text="한별">
      <formula>NOT(ISERROR(SEARCH("한별",H1171)))</formula>
    </cfRule>
    <cfRule type="containsText" dxfId="1551" priority="33" operator="containsText" text="정홍조">
      <formula>NOT(ISERROR(SEARCH("정홍조",H1171)))</formula>
    </cfRule>
    <cfRule type="containsText" dxfId="1550" priority="34" operator="containsText" text="김지윤">
      <formula>NOT(ISERROR(SEARCH("김지윤",H1171)))</formula>
    </cfRule>
    <cfRule type="containsText" dxfId="1549" priority="35" operator="containsText" text="전준영">
      <formula>NOT(ISERROR(SEARCH("전준영",H1171)))</formula>
    </cfRule>
    <cfRule type="containsText" dxfId="1548" priority="36" operator="containsText" text="차재성">
      <formula>NOT(ISERROR(SEARCH("차재성",H1171)))</formula>
    </cfRule>
  </conditionalFormatting>
  <conditionalFormatting sqref="J53:J54">
    <cfRule type="containsText" dxfId="1547" priority="7" operator="containsText" text="허하나로">
      <formula>NOT(ISERROR(SEARCH("허하나로",H1166)))</formula>
    </cfRule>
    <cfRule type="containsText" dxfId="1546" priority="8" operator="containsText" text="한별">
      <formula>NOT(ISERROR(SEARCH("한별",H1166)))</formula>
    </cfRule>
    <cfRule type="containsText" dxfId="1545" priority="9" operator="containsText" text="정홍조">
      <formula>NOT(ISERROR(SEARCH("정홍조",H1166)))</formula>
    </cfRule>
    <cfRule type="containsText" dxfId="1544" priority="10" operator="containsText" text="김지윤">
      <formula>NOT(ISERROR(SEARCH("김지윤",H1166)))</formula>
    </cfRule>
    <cfRule type="containsText" dxfId="1543" priority="11" operator="containsText" text="전준영">
      <formula>NOT(ISERROR(SEARCH("전준영",H1166)))</formula>
    </cfRule>
    <cfRule type="containsText" dxfId="1542" priority="12" operator="containsText" text="차재성">
      <formula>NOT(ISERROR(SEARCH("차재성",H1166)))</formula>
    </cfRule>
  </conditionalFormatting>
  <conditionalFormatting sqref="J121:J122">
    <cfRule type="containsText" dxfId="1541" priority="1" operator="containsText" text="허하나로">
      <formula>NOT(ISERROR(SEARCH("허하나로",H1194)))</formula>
    </cfRule>
    <cfRule type="containsText" dxfId="1540" priority="2" operator="containsText" text="한별">
      <formula>NOT(ISERROR(SEARCH("한별",H1194)))</formula>
    </cfRule>
    <cfRule type="containsText" dxfId="1539" priority="3" operator="containsText" text="정홍조">
      <formula>NOT(ISERROR(SEARCH("정홍조",H1194)))</formula>
    </cfRule>
    <cfRule type="containsText" dxfId="1538" priority="4" operator="containsText" text="김지윤">
      <formula>NOT(ISERROR(SEARCH("김지윤",H1194)))</formula>
    </cfRule>
    <cfRule type="containsText" dxfId="1537" priority="5" operator="containsText" text="전준영">
      <formula>NOT(ISERROR(SEARCH("전준영",H1194)))</formula>
    </cfRule>
    <cfRule type="containsText" dxfId="1536" priority="6" operator="containsText" text="차재성">
      <formula>NOT(ISERROR(SEARCH("차재성",H1194)))</formula>
    </cfRule>
  </conditionalFormatting>
  <pageMargins left="0.25" right="0.25" top="0.75" bottom="0.75" header="0.3" footer="0.3"/>
  <pageSetup paperSize="9" scale="72" fitToHeight="0" orientation="landscape" r:id="rId1"/>
  <rowBreaks count="3" manualBreakCount="3">
    <brk id="43" max="16383" man="1"/>
    <brk id="89" max="12" man="1"/>
    <brk id="131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9" operator="containsText" text="허하나로" id="{A794F0B3-7F88-4557-B013-8B62C812C397}">
            <xm:f>NOT(ISERROR(SEARCH("허하나로",종합상황실!H1117)))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88B48916-9CE5-4318-8761-65CEFB148B45}">
            <xm:f>NOT(ISERROR(SEARCH("한별",종합상황실!H1117)))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57C9F3D4-14C9-4D1B-8E04-AE8F6A8C0133}">
            <xm:f>NOT(ISERROR(SEARCH("정홍조",종합상황실!H1117)))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5F5F52F-4CF0-499C-8F4D-5CB015ACF450}">
            <xm:f>NOT(ISERROR(SEARCH("김지윤",종합상황실!H1117)))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9EF5BD0E-34A9-4D6C-82C2-E6CEF10CF697}">
            <xm:f>NOT(ISERROR(SEARCH("전준영",종합상황실!H1117)))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20F9787C-E2E3-4703-953A-DFD68636DBAD}">
            <xm:f>NOT(ISERROR(SEARCH("차재성",종합상황실!H1117)))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J93:J94</xm:sqref>
        </x14:conditionalFormatting>
        <x14:conditionalFormatting xmlns:xm="http://schemas.microsoft.com/office/excel/2006/main">
          <x14:cfRule type="containsText" priority="115" operator="containsText" text="허하나로" id="{18715C03-0B66-4AC0-BD87-128FEAFA4E2C}">
            <xm:f>NOT(ISERROR(SEARCH("허하나로",종합상황실!H1107)))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E813D966-4CC6-4E05-8786-1A2A2EB4DFBF}">
            <xm:f>NOT(ISERROR(SEARCH("한별",종합상황실!H1107)))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B06F188D-213B-4A41-AB01-D288329B9695}">
            <xm:f>NOT(ISERROR(SEARCH("정홍조",종합상황실!H1107)))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806A78A5-BAD7-4FF2-99FC-873EF7302D41}">
            <xm:f>NOT(ISERROR(SEARCH("김지윤",종합상황실!H1107)))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1A6D60C6-6BCA-4C75-B463-9AD102559089}">
            <xm:f>NOT(ISERROR(SEARCH("전준영",종합상황실!H1107)))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CB541786-AE7C-440C-BA40-00DA48A389FE}">
            <xm:f>NOT(ISERROR(SEARCH("차재성",종합상황실!H1107)))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J95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79"/>
  <sheetViews>
    <sheetView zoomScale="85" zoomScaleNormal="85" workbookViewId="0">
      <selection activeCell="G12" sqref="G1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5.625" customWidth="1"/>
    <col min="10" max="10" width="14.625" customWidth="1"/>
    <col min="11" max="11" width="57.5" customWidth="1"/>
    <col min="12" max="12" width="3.875" customWidth="1"/>
    <col min="13" max="13" width="14.625" customWidth="1"/>
    <col min="14" max="14" width="9.875" style="576" bestFit="1" customWidth="1"/>
  </cols>
  <sheetData>
    <row r="1" spans="1:15" ht="17.25" thickBot="1">
      <c r="A1" s="88" t="s">
        <v>169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</row>
    <row r="2" spans="1:15" ht="16.5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894</v>
      </c>
      <c r="J2" s="709" t="s">
        <v>463</v>
      </c>
      <c r="K2" s="693" t="s">
        <v>1</v>
      </c>
      <c r="L2" s="694"/>
      <c r="M2" s="695"/>
    </row>
    <row r="3" spans="1:15" ht="17.25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</row>
    <row r="4" spans="1:15" ht="17.25" thickBot="1">
      <c r="A4" s="699" t="s">
        <v>142</v>
      </c>
      <c r="B4" s="700"/>
      <c r="C4" s="700"/>
      <c r="D4" s="700"/>
      <c r="E4" s="700"/>
      <c r="F4" s="700"/>
      <c r="G4" s="701"/>
      <c r="H4" s="184">
        <f>H5</f>
        <v>199012</v>
      </c>
      <c r="I4" s="184">
        <v>225012</v>
      </c>
      <c r="J4" s="120">
        <f>H4-I4</f>
        <v>-26000</v>
      </c>
      <c r="K4" s="89"/>
      <c r="L4" s="90"/>
      <c r="M4" s="121"/>
    </row>
    <row r="5" spans="1:15">
      <c r="A5" s="204" t="s">
        <v>2</v>
      </c>
      <c r="B5" s="122"/>
      <c r="C5" s="123"/>
      <c r="D5" s="123"/>
      <c r="E5" s="123"/>
      <c r="F5" s="123"/>
      <c r="G5" s="124"/>
      <c r="H5" s="94">
        <f>H6</f>
        <v>199012</v>
      </c>
      <c r="I5" s="94">
        <v>225012</v>
      </c>
      <c r="J5" s="95">
        <f t="shared" ref="J5:J11" si="0">H5-I5</f>
        <v>-26000</v>
      </c>
      <c r="K5" s="78"/>
      <c r="L5" s="79"/>
      <c r="M5" s="80"/>
    </row>
    <row r="6" spans="1:15">
      <c r="A6" s="10"/>
      <c r="B6" s="129" t="s">
        <v>260</v>
      </c>
      <c r="C6" s="129"/>
      <c r="D6" s="130"/>
      <c r="E6" s="130"/>
      <c r="F6" s="130"/>
      <c r="G6" s="131"/>
      <c r="H6" s="95">
        <f>SUM(H7,H31,H42,H60)</f>
        <v>199012</v>
      </c>
      <c r="I6" s="94">
        <v>225012</v>
      </c>
      <c r="J6" s="95">
        <f t="shared" si="0"/>
        <v>-26000</v>
      </c>
      <c r="K6" s="78"/>
      <c r="L6" s="79"/>
      <c r="M6" s="80"/>
    </row>
    <row r="7" spans="1:15">
      <c r="A7" s="10"/>
      <c r="B7" s="6"/>
      <c r="C7" s="129" t="s">
        <v>102</v>
      </c>
      <c r="D7" s="130"/>
      <c r="E7" s="130"/>
      <c r="F7" s="130"/>
      <c r="G7" s="131"/>
      <c r="H7" s="94">
        <f>H8+H18</f>
        <v>69200</v>
      </c>
      <c r="I7" s="94">
        <v>75200</v>
      </c>
      <c r="J7" s="95">
        <f t="shared" si="0"/>
        <v>-6000</v>
      </c>
      <c r="K7" s="78"/>
      <c r="L7" s="79"/>
      <c r="M7" s="80"/>
    </row>
    <row r="8" spans="1:15">
      <c r="A8" s="10"/>
      <c r="B8" s="6"/>
      <c r="C8" s="7"/>
      <c r="D8" s="349" t="s">
        <v>464</v>
      </c>
      <c r="E8" s="130"/>
      <c r="F8" s="130"/>
      <c r="G8" s="131"/>
      <c r="H8" s="132">
        <f>SUM(H9)</f>
        <v>57000</v>
      </c>
      <c r="I8" s="132">
        <v>60000</v>
      </c>
      <c r="J8" s="95">
        <f t="shared" si="0"/>
        <v>-3000</v>
      </c>
      <c r="K8" s="350"/>
      <c r="L8" s="133"/>
      <c r="M8" s="265"/>
    </row>
    <row r="9" spans="1:15">
      <c r="A9" s="10"/>
      <c r="B9" s="6"/>
      <c r="C9" s="134"/>
      <c r="D9" s="135"/>
      <c r="E9" s="129" t="s">
        <v>31</v>
      </c>
      <c r="F9" s="130"/>
      <c r="G9" s="131"/>
      <c r="H9" s="91">
        <f>SUM(H10)</f>
        <v>57000</v>
      </c>
      <c r="I9" s="91">
        <v>60000</v>
      </c>
      <c r="J9" s="95">
        <f t="shared" si="0"/>
        <v>-3000</v>
      </c>
      <c r="K9" s="351"/>
      <c r="L9" s="93"/>
      <c r="M9" s="266"/>
    </row>
    <row r="10" spans="1:15">
      <c r="A10" s="63"/>
      <c r="B10" s="65"/>
      <c r="C10" s="185"/>
      <c r="D10" s="186"/>
      <c r="E10" s="186"/>
      <c r="F10" s="136" t="s">
        <v>61</v>
      </c>
      <c r="G10" s="188"/>
      <c r="H10" s="72">
        <f>H11</f>
        <v>57000</v>
      </c>
      <c r="I10" s="72">
        <v>60000</v>
      </c>
      <c r="J10" s="267">
        <f t="shared" si="0"/>
        <v>-3000</v>
      </c>
      <c r="K10" s="352"/>
      <c r="L10" s="353"/>
      <c r="M10" s="354"/>
    </row>
    <row r="11" spans="1:15">
      <c r="A11" s="63"/>
      <c r="B11" s="65"/>
      <c r="C11" s="65"/>
      <c r="D11" s="144"/>
      <c r="E11" s="189"/>
      <c r="F11" s="189"/>
      <c r="G11" s="65" t="s">
        <v>36</v>
      </c>
      <c r="H11" s="73">
        <f>M11</f>
        <v>57000</v>
      </c>
      <c r="I11" s="73">
        <v>60000</v>
      </c>
      <c r="J11" s="268">
        <f t="shared" si="0"/>
        <v>-3000</v>
      </c>
      <c r="K11" s="642" t="s">
        <v>47</v>
      </c>
      <c r="L11" s="44"/>
      <c r="M11" s="355">
        <f>SUM(M15,M17)</f>
        <v>57000</v>
      </c>
    </row>
    <row r="12" spans="1:15" s="362" customFormat="1">
      <c r="A12" s="357"/>
      <c r="B12" s="358"/>
      <c r="C12" s="358"/>
      <c r="D12" s="359"/>
      <c r="E12" s="360"/>
      <c r="F12" s="360"/>
      <c r="G12" s="361"/>
      <c r="H12" s="50"/>
      <c r="I12" s="50"/>
      <c r="J12" s="50"/>
      <c r="K12" s="423" t="s">
        <v>733</v>
      </c>
      <c r="L12" s="375" t="s">
        <v>0</v>
      </c>
      <c r="M12" s="583">
        <v>5000</v>
      </c>
      <c r="N12" s="576"/>
      <c r="O12" s="363"/>
    </row>
    <row r="13" spans="1:15" s="362" customFormat="1">
      <c r="A13" s="357"/>
      <c r="B13" s="358"/>
      <c r="C13" s="358"/>
      <c r="D13" s="359"/>
      <c r="E13" s="360"/>
      <c r="F13" s="360"/>
      <c r="G13" s="361"/>
      <c r="H13" s="50"/>
      <c r="I13" s="50"/>
      <c r="J13" s="50"/>
      <c r="K13" s="606" t="s">
        <v>732</v>
      </c>
      <c r="L13" s="375"/>
      <c r="M13" s="583"/>
      <c r="N13" s="603"/>
      <c r="O13" s="363"/>
    </row>
    <row r="14" spans="1:15" s="362" customFormat="1">
      <c r="A14" s="357"/>
      <c r="B14" s="358"/>
      <c r="C14" s="358"/>
      <c r="D14" s="359"/>
      <c r="E14" s="360"/>
      <c r="F14" s="360"/>
      <c r="G14" s="361"/>
      <c r="H14" s="50"/>
      <c r="I14" s="50"/>
      <c r="J14" s="50"/>
      <c r="K14" s="423" t="s">
        <v>734</v>
      </c>
      <c r="L14" s="375" t="s">
        <v>0</v>
      </c>
      <c r="M14" s="583">
        <v>10000</v>
      </c>
      <c r="N14" s="603"/>
      <c r="O14" s="363"/>
    </row>
    <row r="15" spans="1:15" s="362" customFormat="1">
      <c r="A15" s="357"/>
      <c r="B15" s="358"/>
      <c r="C15" s="358"/>
      <c r="D15" s="359"/>
      <c r="E15" s="360"/>
      <c r="F15" s="360"/>
      <c r="G15" s="361"/>
      <c r="H15" s="50"/>
      <c r="I15" s="50"/>
      <c r="J15" s="50"/>
      <c r="K15" s="423" t="s">
        <v>823</v>
      </c>
      <c r="L15" s="375" t="s">
        <v>0</v>
      </c>
      <c r="M15" s="583">
        <v>50000</v>
      </c>
      <c r="N15" s="603"/>
      <c r="O15" s="363"/>
    </row>
    <row r="16" spans="1:15">
      <c r="A16" s="63"/>
      <c r="B16" s="65"/>
      <c r="C16" s="65"/>
      <c r="D16" s="65"/>
      <c r="E16" s="65"/>
      <c r="F16" s="142"/>
      <c r="G16" s="65"/>
      <c r="H16" s="75"/>
      <c r="I16" s="75"/>
      <c r="J16" s="48"/>
      <c r="K16" s="606" t="s">
        <v>892</v>
      </c>
      <c r="L16" s="202"/>
      <c r="M16" s="190"/>
      <c r="N16" s="658"/>
    </row>
    <row r="17" spans="1:14">
      <c r="A17" s="63"/>
      <c r="B17" s="65"/>
      <c r="C17" s="65"/>
      <c r="D17" s="67"/>
      <c r="E17" s="67"/>
      <c r="F17" s="330"/>
      <c r="G17" s="67"/>
      <c r="H17" s="76"/>
      <c r="I17" s="75"/>
      <c r="J17" s="48"/>
      <c r="K17" s="724" t="s">
        <v>900</v>
      </c>
      <c r="L17" s="722" t="s">
        <v>0</v>
      </c>
      <c r="M17" s="723">
        <v>7000</v>
      </c>
      <c r="N17" s="658"/>
    </row>
    <row r="18" spans="1:14">
      <c r="A18" s="10"/>
      <c r="B18" s="6"/>
      <c r="C18" s="6"/>
      <c r="D18" s="129" t="s">
        <v>309</v>
      </c>
      <c r="E18" s="130"/>
      <c r="F18" s="130"/>
      <c r="G18" s="131"/>
      <c r="H18" s="132">
        <f>H19</f>
        <v>12200</v>
      </c>
      <c r="I18" s="132">
        <v>15200</v>
      </c>
      <c r="J18" s="92">
        <f>H18-I18</f>
        <v>-3000</v>
      </c>
      <c r="K18" s="159"/>
      <c r="L18" s="546"/>
      <c r="M18" s="149"/>
    </row>
    <row r="19" spans="1:14">
      <c r="A19" s="10"/>
      <c r="B19" s="6"/>
      <c r="C19" s="134"/>
      <c r="D19" s="135"/>
      <c r="E19" s="129" t="s">
        <v>31</v>
      </c>
      <c r="F19" s="130"/>
      <c r="G19" s="131"/>
      <c r="H19" s="91">
        <f>SUM(H20)</f>
        <v>12200</v>
      </c>
      <c r="I19" s="91">
        <v>15200</v>
      </c>
      <c r="J19" s="92">
        <f>H19-I19</f>
        <v>-3000</v>
      </c>
      <c r="K19" s="84"/>
      <c r="L19" s="93"/>
      <c r="M19" s="233"/>
    </row>
    <row r="20" spans="1:14">
      <c r="A20" s="63"/>
      <c r="B20" s="65"/>
      <c r="C20" s="65"/>
      <c r="D20" s="65"/>
      <c r="E20" s="65"/>
      <c r="F20" s="136" t="s">
        <v>61</v>
      </c>
      <c r="G20" s="140"/>
      <c r="H20" s="72">
        <f>SUM(H21,H29)</f>
        <v>12200</v>
      </c>
      <c r="I20" s="72">
        <v>15200</v>
      </c>
      <c r="J20" s="98">
        <f>H20-I20</f>
        <v>-3000</v>
      </c>
      <c r="K20" s="143"/>
      <c r="L20" s="38"/>
      <c r="M20" s="234"/>
    </row>
    <row r="21" spans="1:14">
      <c r="A21" s="63"/>
      <c r="B21" s="65"/>
      <c r="C21" s="65"/>
      <c r="D21" s="65"/>
      <c r="E21" s="65"/>
      <c r="F21" s="142"/>
      <c r="G21" s="64" t="s">
        <v>36</v>
      </c>
      <c r="H21" s="554">
        <f>M21</f>
        <v>12000</v>
      </c>
      <c r="I21" s="554">
        <v>15000</v>
      </c>
      <c r="J21" s="555">
        <f>H21-I21</f>
        <v>-3000</v>
      </c>
      <c r="K21" s="36" t="s">
        <v>62</v>
      </c>
      <c r="L21" s="39"/>
      <c r="M21" s="217">
        <f>SUM(M26:M28)</f>
        <v>12000</v>
      </c>
    </row>
    <row r="22" spans="1:14">
      <c r="A22" s="63"/>
      <c r="B22" s="65"/>
      <c r="C22" s="65"/>
      <c r="D22" s="65"/>
      <c r="E22" s="65"/>
      <c r="F22" s="142"/>
      <c r="G22" s="65"/>
      <c r="H22" s="75"/>
      <c r="I22" s="75"/>
      <c r="J22" s="48"/>
      <c r="K22" s="215" t="s">
        <v>536</v>
      </c>
      <c r="L22" s="51" t="s">
        <v>399</v>
      </c>
      <c r="M22" s="190">
        <v>7500</v>
      </c>
    </row>
    <row r="23" spans="1:14">
      <c r="A23" s="63"/>
      <c r="B23" s="65"/>
      <c r="C23" s="65"/>
      <c r="D23" s="65"/>
      <c r="E23" s="65"/>
      <c r="F23" s="142"/>
      <c r="G23" s="65"/>
      <c r="H23" s="75"/>
      <c r="I23" s="75"/>
      <c r="J23" s="48"/>
      <c r="K23" s="215" t="s">
        <v>537</v>
      </c>
      <c r="L23" s="202" t="s">
        <v>0</v>
      </c>
      <c r="M23" s="190">
        <v>5000</v>
      </c>
    </row>
    <row r="24" spans="1:14">
      <c r="A24" s="63"/>
      <c r="B24" s="65"/>
      <c r="C24" s="65"/>
      <c r="D24" s="65"/>
      <c r="E24" s="65"/>
      <c r="F24" s="142"/>
      <c r="G24" s="65"/>
      <c r="H24" s="75"/>
      <c r="I24" s="75"/>
      <c r="J24" s="48"/>
      <c r="K24" s="215" t="s">
        <v>538</v>
      </c>
      <c r="L24" s="202" t="s">
        <v>0</v>
      </c>
      <c r="M24" s="190">
        <v>2500</v>
      </c>
    </row>
    <row r="25" spans="1:14">
      <c r="A25" s="63"/>
      <c r="B25" s="65"/>
      <c r="C25" s="65"/>
      <c r="D25" s="65"/>
      <c r="E25" s="65"/>
      <c r="F25" s="142"/>
      <c r="G25" s="65"/>
      <c r="H25" s="75"/>
      <c r="I25" s="75"/>
      <c r="J25" s="48"/>
      <c r="K25" s="606" t="s">
        <v>892</v>
      </c>
      <c r="L25" s="202"/>
      <c r="M25" s="190"/>
      <c r="N25" s="658"/>
    </row>
    <row r="26" spans="1:14">
      <c r="A26" s="63"/>
      <c r="B26" s="65"/>
      <c r="C26" s="65"/>
      <c r="D26" s="65"/>
      <c r="E26" s="65"/>
      <c r="F26" s="142"/>
      <c r="G26" s="65"/>
      <c r="H26" s="75"/>
      <c r="I26" s="75"/>
      <c r="J26" s="48"/>
      <c r="K26" s="724" t="s">
        <v>893</v>
      </c>
      <c r="L26" s="722" t="s">
        <v>0</v>
      </c>
      <c r="M26" s="723">
        <v>5250</v>
      </c>
      <c r="N26" s="658"/>
    </row>
    <row r="27" spans="1:14">
      <c r="A27" s="63"/>
      <c r="B27" s="65"/>
      <c r="C27" s="65"/>
      <c r="D27" s="65"/>
      <c r="E27" s="65"/>
      <c r="F27" s="142"/>
      <c r="G27" s="65"/>
      <c r="H27" s="75"/>
      <c r="I27" s="75"/>
      <c r="J27" s="48"/>
      <c r="K27" s="724" t="s">
        <v>899</v>
      </c>
      <c r="L27" s="722" t="s">
        <v>0</v>
      </c>
      <c r="M27" s="723">
        <v>4400</v>
      </c>
      <c r="N27" s="658"/>
    </row>
    <row r="28" spans="1:14">
      <c r="A28" s="63"/>
      <c r="B28" s="65"/>
      <c r="C28" s="65"/>
      <c r="D28" s="65"/>
      <c r="E28" s="65"/>
      <c r="F28" s="142"/>
      <c r="G28" s="67"/>
      <c r="H28" s="76"/>
      <c r="I28" s="76"/>
      <c r="J28" s="49"/>
      <c r="K28" s="729" t="s">
        <v>898</v>
      </c>
      <c r="L28" s="727" t="s">
        <v>0</v>
      </c>
      <c r="M28" s="728">
        <v>2350</v>
      </c>
      <c r="N28" s="658"/>
    </row>
    <row r="29" spans="1:14">
      <c r="A29" s="63"/>
      <c r="B29" s="65"/>
      <c r="C29" s="65"/>
      <c r="D29" s="65"/>
      <c r="E29" s="65"/>
      <c r="F29" s="142"/>
      <c r="G29" s="65" t="s">
        <v>65</v>
      </c>
      <c r="H29" s="75">
        <f>M29</f>
        <v>200</v>
      </c>
      <c r="I29" s="75">
        <v>200</v>
      </c>
      <c r="J29" s="48">
        <f>H29-I29</f>
        <v>0</v>
      </c>
      <c r="K29" s="214" t="s">
        <v>64</v>
      </c>
      <c r="L29" s="51"/>
      <c r="M29" s="192">
        <f>M30</f>
        <v>200</v>
      </c>
    </row>
    <row r="30" spans="1:14">
      <c r="A30" s="63"/>
      <c r="B30" s="65"/>
      <c r="C30" s="65"/>
      <c r="D30" s="65"/>
      <c r="E30" s="67"/>
      <c r="F30" s="330"/>
      <c r="G30" s="67"/>
      <c r="H30" s="76"/>
      <c r="I30" s="71"/>
      <c r="J30" s="49"/>
      <c r="K30" s="380" t="s">
        <v>666</v>
      </c>
      <c r="L30" s="203" t="s">
        <v>0</v>
      </c>
      <c r="M30" s="195">
        <v>200</v>
      </c>
    </row>
    <row r="31" spans="1:14">
      <c r="A31" s="452"/>
      <c r="B31" s="455"/>
      <c r="C31" s="349" t="s">
        <v>127</v>
      </c>
      <c r="D31" s="453"/>
      <c r="E31" s="453"/>
      <c r="F31" s="453"/>
      <c r="G31" s="454"/>
      <c r="H31" s="92">
        <f>SUM(H32,H37)</f>
        <v>53300</v>
      </c>
      <c r="I31" s="95">
        <v>53300</v>
      </c>
      <c r="J31" s="92">
        <f t="shared" ref="J31" si="1">H31-I31</f>
        <v>0</v>
      </c>
      <c r="K31" s="402"/>
      <c r="L31" s="403"/>
      <c r="M31" s="419"/>
    </row>
    <row r="32" spans="1:14">
      <c r="A32" s="452"/>
      <c r="B32" s="455"/>
      <c r="C32" s="455"/>
      <c r="D32" s="349" t="s">
        <v>54</v>
      </c>
      <c r="E32" s="453"/>
      <c r="F32" s="453"/>
      <c r="G32" s="454"/>
      <c r="H32" s="456">
        <f>H33</f>
        <v>50000</v>
      </c>
      <c r="I32" s="456">
        <v>50000</v>
      </c>
      <c r="J32" s="92">
        <f>H32-I32</f>
        <v>0</v>
      </c>
      <c r="K32" s="350"/>
      <c r="L32" s="390"/>
      <c r="M32" s="419"/>
    </row>
    <row r="33" spans="1:15">
      <c r="A33" s="452"/>
      <c r="B33" s="455"/>
      <c r="C33" s="457"/>
      <c r="D33" s="458"/>
      <c r="E33" s="349" t="s">
        <v>31</v>
      </c>
      <c r="F33" s="453"/>
      <c r="G33" s="454"/>
      <c r="H33" s="92">
        <f>H34</f>
        <v>50000</v>
      </c>
      <c r="I33" s="92">
        <v>50000</v>
      </c>
      <c r="J33" s="92">
        <f>H33-I33</f>
        <v>0</v>
      </c>
      <c r="K33" s="351"/>
      <c r="L33" s="391"/>
      <c r="M33" s="392"/>
    </row>
    <row r="34" spans="1:15">
      <c r="A34" s="357"/>
      <c r="B34" s="358"/>
      <c r="C34" s="358"/>
      <c r="D34" s="358"/>
      <c r="E34" s="358"/>
      <c r="F34" s="463" t="s">
        <v>55</v>
      </c>
      <c r="G34" s="466"/>
      <c r="H34" s="98">
        <f>H35</f>
        <v>50000</v>
      </c>
      <c r="I34" s="98">
        <v>50000</v>
      </c>
      <c r="J34" s="98">
        <f>H34-I34</f>
        <v>0</v>
      </c>
      <c r="K34" s="383"/>
      <c r="L34" s="384"/>
      <c r="M34" s="398"/>
    </row>
    <row r="35" spans="1:15">
      <c r="A35" s="357"/>
      <c r="B35" s="358"/>
      <c r="C35" s="358"/>
      <c r="D35" s="358"/>
      <c r="E35" s="358"/>
      <c r="F35" s="467"/>
      <c r="G35" s="358" t="s">
        <v>56</v>
      </c>
      <c r="H35" s="468">
        <f>M35</f>
        <v>50000</v>
      </c>
      <c r="I35" s="468">
        <v>50000</v>
      </c>
      <c r="J35" s="50">
        <f>H35-I35</f>
        <v>0</v>
      </c>
      <c r="K35" s="386" t="s">
        <v>57</v>
      </c>
      <c r="L35" s="411"/>
      <c r="M35" s="388">
        <f>SUM(M36:M36)</f>
        <v>50000</v>
      </c>
    </row>
    <row r="36" spans="1:15">
      <c r="A36" s="357"/>
      <c r="B36" s="358"/>
      <c r="C36" s="358"/>
      <c r="D36" s="358"/>
      <c r="E36" s="358"/>
      <c r="F36" s="467"/>
      <c r="G36" s="358"/>
      <c r="H36" s="468"/>
      <c r="I36" s="468"/>
      <c r="J36" s="50"/>
      <c r="K36" s="380" t="s">
        <v>381</v>
      </c>
      <c r="L36" s="373" t="s">
        <v>0</v>
      </c>
      <c r="M36" s="381">
        <v>50000</v>
      </c>
    </row>
    <row r="37" spans="1:15">
      <c r="A37" s="452"/>
      <c r="B37" s="455"/>
      <c r="C37" s="455"/>
      <c r="D37" s="349" t="s">
        <v>215</v>
      </c>
      <c r="E37" s="453"/>
      <c r="F37" s="453"/>
      <c r="G37" s="454"/>
      <c r="H37" s="456">
        <f>SUM(H38)</f>
        <v>3300</v>
      </c>
      <c r="I37" s="456">
        <v>3300</v>
      </c>
      <c r="J37" s="92">
        <f>H37-I37</f>
        <v>0</v>
      </c>
      <c r="K37" s="350"/>
      <c r="L37" s="403"/>
      <c r="M37" s="419"/>
    </row>
    <row r="38" spans="1:15">
      <c r="A38" s="452"/>
      <c r="B38" s="455"/>
      <c r="C38" s="457"/>
      <c r="D38" s="458"/>
      <c r="E38" s="349" t="s">
        <v>541</v>
      </c>
      <c r="F38" s="453"/>
      <c r="G38" s="454"/>
      <c r="H38" s="92">
        <f>H39</f>
        <v>3300</v>
      </c>
      <c r="I38" s="92">
        <v>3300</v>
      </c>
      <c r="J38" s="92">
        <f>H38-I38</f>
        <v>0</v>
      </c>
      <c r="K38" s="351"/>
      <c r="L38" s="391"/>
      <c r="M38" s="392"/>
    </row>
    <row r="39" spans="1:15">
      <c r="A39" s="357"/>
      <c r="B39" s="358"/>
      <c r="C39" s="358"/>
      <c r="D39" s="358"/>
      <c r="E39" s="358"/>
      <c r="F39" s="463" t="s">
        <v>542</v>
      </c>
      <c r="G39" s="466"/>
      <c r="H39" s="98">
        <f>H40</f>
        <v>3300</v>
      </c>
      <c r="I39" s="98">
        <v>3300</v>
      </c>
      <c r="J39" s="98">
        <f>H39-I39</f>
        <v>0</v>
      </c>
      <c r="K39" s="383"/>
      <c r="L39" s="384"/>
      <c r="M39" s="398"/>
    </row>
    <row r="40" spans="1:15">
      <c r="A40" s="357"/>
      <c r="B40" s="358"/>
      <c r="C40" s="358"/>
      <c r="D40" s="358"/>
      <c r="E40" s="358"/>
      <c r="F40" s="467"/>
      <c r="G40" s="358" t="s">
        <v>543</v>
      </c>
      <c r="H40" s="468">
        <f>M40</f>
        <v>3300</v>
      </c>
      <c r="I40" s="468">
        <v>3300</v>
      </c>
      <c r="J40" s="50">
        <f>H40-I40</f>
        <v>0</v>
      </c>
      <c r="K40" s="386" t="s">
        <v>50</v>
      </c>
      <c r="L40" s="411"/>
      <c r="M40" s="388">
        <f>SUM(M41:M41)</f>
        <v>3300</v>
      </c>
    </row>
    <row r="41" spans="1:15">
      <c r="A41" s="357"/>
      <c r="B41" s="358"/>
      <c r="C41" s="358"/>
      <c r="D41" s="358"/>
      <c r="E41" s="358"/>
      <c r="F41" s="467"/>
      <c r="G41" s="358"/>
      <c r="H41" s="468"/>
      <c r="I41" s="468"/>
      <c r="J41" s="50"/>
      <c r="K41" s="584" t="s">
        <v>639</v>
      </c>
      <c r="L41" s="378" t="s">
        <v>0</v>
      </c>
      <c r="M41" s="374">
        <v>3300</v>
      </c>
      <c r="O41" s="363"/>
    </row>
    <row r="42" spans="1:15">
      <c r="A42" s="452"/>
      <c r="B42" s="455"/>
      <c r="C42" s="178" t="s">
        <v>292</v>
      </c>
      <c r="D42" s="453"/>
      <c r="E42" s="453"/>
      <c r="F42" s="453"/>
      <c r="G42" s="454"/>
      <c r="H42" s="92">
        <f>H43</f>
        <v>21512</v>
      </c>
      <c r="I42" s="92">
        <v>21512</v>
      </c>
      <c r="J42" s="92">
        <f>H42-I42</f>
        <v>0</v>
      </c>
      <c r="K42" s="396"/>
      <c r="L42" s="390"/>
      <c r="M42" s="397"/>
    </row>
    <row r="43" spans="1:15">
      <c r="A43" s="452"/>
      <c r="B43" s="455"/>
      <c r="C43" s="473"/>
      <c r="D43" s="349" t="s">
        <v>34</v>
      </c>
      <c r="E43" s="453"/>
      <c r="F43" s="453"/>
      <c r="G43" s="454"/>
      <c r="H43" s="456">
        <f>H44</f>
        <v>21512</v>
      </c>
      <c r="I43" s="456">
        <v>21512</v>
      </c>
      <c r="J43" s="92">
        <f>H43-I43</f>
        <v>0</v>
      </c>
      <c r="K43" s="389"/>
      <c r="L43" s="390"/>
      <c r="M43" s="397"/>
    </row>
    <row r="44" spans="1:15">
      <c r="A44" s="452"/>
      <c r="B44" s="455"/>
      <c r="C44" s="457"/>
      <c r="D44" s="458"/>
      <c r="E44" s="349" t="s">
        <v>33</v>
      </c>
      <c r="F44" s="453"/>
      <c r="G44" s="454"/>
      <c r="H44" s="92">
        <f>SUM(H45,H50,H54,H57)</f>
        <v>21512</v>
      </c>
      <c r="I44" s="92">
        <v>21512</v>
      </c>
      <c r="J44" s="92">
        <f>H44-I44</f>
        <v>0</v>
      </c>
      <c r="K44" s="351"/>
      <c r="L44" s="391"/>
      <c r="M44" s="392"/>
    </row>
    <row r="45" spans="1:15">
      <c r="A45" s="357"/>
      <c r="B45" s="358"/>
      <c r="C45" s="358"/>
      <c r="D45" s="358"/>
      <c r="E45" s="358"/>
      <c r="F45" s="463" t="s">
        <v>35</v>
      </c>
      <c r="G45" s="466"/>
      <c r="H45" s="98">
        <f>H46+H48</f>
        <v>8912</v>
      </c>
      <c r="I45" s="98">
        <v>8912</v>
      </c>
      <c r="J45" s="98">
        <f>H45-I45</f>
        <v>0</v>
      </c>
      <c r="K45" s="383"/>
      <c r="L45" s="384"/>
      <c r="M45" s="398"/>
    </row>
    <row r="46" spans="1:15">
      <c r="A46" s="474"/>
      <c r="B46" s="475"/>
      <c r="C46" s="358"/>
      <c r="D46" s="358"/>
      <c r="E46" s="358"/>
      <c r="F46" s="476"/>
      <c r="G46" s="477" t="s">
        <v>36</v>
      </c>
      <c r="H46" s="478">
        <f>M46</f>
        <v>2000</v>
      </c>
      <c r="I46" s="478">
        <v>2000</v>
      </c>
      <c r="J46" s="41">
        <f>H46-I46</f>
        <v>0</v>
      </c>
      <c r="K46" s="386" t="s">
        <v>52</v>
      </c>
      <c r="L46" s="412"/>
      <c r="M46" s="388">
        <f>SUM(M47:M47)</f>
        <v>2000</v>
      </c>
    </row>
    <row r="47" spans="1:15">
      <c r="A47" s="474"/>
      <c r="B47" s="475"/>
      <c r="C47" s="358"/>
      <c r="D47" s="358"/>
      <c r="E47" s="358"/>
      <c r="F47" s="480"/>
      <c r="G47" s="483"/>
      <c r="H47" s="481"/>
      <c r="I47" s="481"/>
      <c r="J47" s="484"/>
      <c r="K47" s="372" t="s">
        <v>667</v>
      </c>
      <c r="L47" s="373" t="s">
        <v>37</v>
      </c>
      <c r="M47" s="374">
        <v>2000</v>
      </c>
      <c r="O47" s="363"/>
    </row>
    <row r="48" spans="1:15">
      <c r="A48" s="474"/>
      <c r="B48" s="475"/>
      <c r="C48" s="358"/>
      <c r="D48" s="358"/>
      <c r="E48" s="358"/>
      <c r="F48" s="479"/>
      <c r="G48" s="480" t="s">
        <v>140</v>
      </c>
      <c r="H48" s="478">
        <f>M48</f>
        <v>6912</v>
      </c>
      <c r="I48" s="478">
        <v>6912</v>
      </c>
      <c r="J48" s="41">
        <f>H48-I48</f>
        <v>0</v>
      </c>
      <c r="K48" s="356" t="s">
        <v>135</v>
      </c>
      <c r="L48" s="412"/>
      <c r="M48" s="388">
        <f>SUM(M49:M49)</f>
        <v>6912</v>
      </c>
    </row>
    <row r="49" spans="1:15">
      <c r="A49" s="474"/>
      <c r="B49" s="475"/>
      <c r="C49" s="358"/>
      <c r="D49" s="358"/>
      <c r="E49" s="358"/>
      <c r="F49" s="480"/>
      <c r="G49" s="480"/>
      <c r="H49" s="481"/>
      <c r="I49" s="481"/>
      <c r="J49" s="484"/>
      <c r="K49" s="380" t="s">
        <v>633</v>
      </c>
      <c r="L49" s="373" t="s">
        <v>37</v>
      </c>
      <c r="M49" s="374">
        <v>6912</v>
      </c>
    </row>
    <row r="50" spans="1:15">
      <c r="A50" s="357"/>
      <c r="B50" s="358"/>
      <c r="C50" s="358"/>
      <c r="D50" s="358"/>
      <c r="E50" s="358"/>
      <c r="F50" s="711" t="s">
        <v>40</v>
      </c>
      <c r="G50" s="712"/>
      <c r="H50" s="511">
        <f>H51</f>
        <v>9000</v>
      </c>
      <c r="I50" s="98">
        <v>9000</v>
      </c>
      <c r="J50" s="512">
        <f>H50-I50</f>
        <v>0</v>
      </c>
      <c r="K50" s="414"/>
      <c r="L50" s="415"/>
      <c r="M50" s="416"/>
    </row>
    <row r="51" spans="1:15">
      <c r="A51" s="357"/>
      <c r="B51" s="358"/>
      <c r="C51" s="358"/>
      <c r="D51" s="358"/>
      <c r="E51" s="358"/>
      <c r="F51" s="513"/>
      <c r="G51" s="471" t="s">
        <v>41</v>
      </c>
      <c r="H51" s="486">
        <f>M51</f>
        <v>9000</v>
      </c>
      <c r="I51" s="468">
        <v>9000</v>
      </c>
      <c r="J51" s="487">
        <f>H51-I51</f>
        <v>0</v>
      </c>
      <c r="K51" s="386" t="s">
        <v>50</v>
      </c>
      <c r="L51" s="417"/>
      <c r="M51" s="388">
        <f>SUM(M52:M53)</f>
        <v>9000</v>
      </c>
    </row>
    <row r="52" spans="1:15">
      <c r="A52" s="357"/>
      <c r="B52" s="358"/>
      <c r="C52" s="358"/>
      <c r="D52" s="358"/>
      <c r="E52" s="358"/>
      <c r="F52" s="472"/>
      <c r="G52" s="472"/>
      <c r="H52" s="481"/>
      <c r="I52" s="481"/>
      <c r="J52" s="484"/>
      <c r="K52" s="382" t="s">
        <v>668</v>
      </c>
      <c r="L52" s="418" t="s">
        <v>0</v>
      </c>
      <c r="M52" s="374">
        <v>2400</v>
      </c>
      <c r="O52" s="363"/>
    </row>
    <row r="53" spans="1:15">
      <c r="A53" s="357"/>
      <c r="B53" s="358"/>
      <c r="C53" s="358"/>
      <c r="D53" s="359"/>
      <c r="E53" s="360"/>
      <c r="F53" s="360"/>
      <c r="G53" s="361"/>
      <c r="H53" s="50"/>
      <c r="I53" s="50"/>
      <c r="J53" s="50"/>
      <c r="K53" s="380" t="s">
        <v>669</v>
      </c>
      <c r="L53" s="377" t="s">
        <v>0</v>
      </c>
      <c r="M53" s="374">
        <v>6600</v>
      </c>
      <c r="O53" s="363"/>
    </row>
    <row r="54" spans="1:15">
      <c r="A54" s="357"/>
      <c r="B54" s="358"/>
      <c r="C54" s="358"/>
      <c r="D54" s="358"/>
      <c r="E54" s="358"/>
      <c r="F54" s="711" t="s">
        <v>42</v>
      </c>
      <c r="G54" s="712"/>
      <c r="H54" s="511">
        <f>H55</f>
        <v>1500</v>
      </c>
      <c r="I54" s="98">
        <v>1500</v>
      </c>
      <c r="J54" s="512">
        <f>H54-I54</f>
        <v>0</v>
      </c>
      <c r="K54" s="414"/>
      <c r="L54" s="415"/>
      <c r="M54" s="416"/>
    </row>
    <row r="55" spans="1:15">
      <c r="A55" s="474"/>
      <c r="B55" s="475"/>
      <c r="C55" s="358"/>
      <c r="D55" s="358"/>
      <c r="E55" s="358"/>
      <c r="F55" s="472"/>
      <c r="G55" s="513" t="s">
        <v>43</v>
      </c>
      <c r="H55" s="486">
        <f>M55</f>
        <v>1500</v>
      </c>
      <c r="I55" s="468">
        <v>1500</v>
      </c>
      <c r="J55" s="487">
        <f>H55-I55</f>
        <v>0</v>
      </c>
      <c r="K55" s="386" t="s">
        <v>503</v>
      </c>
      <c r="L55" s="412"/>
      <c r="M55" s="388">
        <f>M56</f>
        <v>1500</v>
      </c>
    </row>
    <row r="56" spans="1:15">
      <c r="A56" s="514"/>
      <c r="B56" s="515"/>
      <c r="C56" s="515"/>
      <c r="D56" s="515"/>
      <c r="E56" s="515"/>
      <c r="F56" s="491"/>
      <c r="G56" s="491"/>
      <c r="H56" s="516"/>
      <c r="I56" s="516"/>
      <c r="J56" s="517"/>
      <c r="K56" s="518" t="s">
        <v>670</v>
      </c>
      <c r="L56" s="519" t="s">
        <v>0</v>
      </c>
      <c r="M56" s="374">
        <v>1500</v>
      </c>
      <c r="O56" s="363"/>
    </row>
    <row r="57" spans="1:15">
      <c r="A57" s="357"/>
      <c r="B57" s="358"/>
      <c r="C57" s="358"/>
      <c r="D57" s="358"/>
      <c r="E57" s="358"/>
      <c r="F57" s="463" t="s">
        <v>87</v>
      </c>
      <c r="G57" s="466"/>
      <c r="H57" s="98">
        <f>H58</f>
        <v>2100</v>
      </c>
      <c r="I57" s="98">
        <v>2100</v>
      </c>
      <c r="J57" s="98">
        <f>H57-I57</f>
        <v>0</v>
      </c>
      <c r="K57" s="383"/>
      <c r="L57" s="384"/>
      <c r="M57" s="385"/>
    </row>
    <row r="58" spans="1:15">
      <c r="A58" s="357"/>
      <c r="B58" s="358"/>
      <c r="C58" s="358"/>
      <c r="D58" s="358"/>
      <c r="E58" s="358"/>
      <c r="F58" s="467"/>
      <c r="G58" s="358" t="s">
        <v>91</v>
      </c>
      <c r="H58" s="468">
        <f>M58</f>
        <v>2100</v>
      </c>
      <c r="I58" s="468">
        <v>2100</v>
      </c>
      <c r="J58" s="50">
        <f>H58-I58</f>
        <v>0</v>
      </c>
      <c r="K58" s="386" t="s">
        <v>383</v>
      </c>
      <c r="L58" s="411"/>
      <c r="M58" s="388">
        <f>M59</f>
        <v>2100</v>
      </c>
    </row>
    <row r="59" spans="1:15">
      <c r="A59" s="357"/>
      <c r="B59" s="358"/>
      <c r="C59" s="358"/>
      <c r="D59" s="358"/>
      <c r="E59" s="358"/>
      <c r="F59" s="485"/>
      <c r="G59" s="491"/>
      <c r="H59" s="492"/>
      <c r="I59" s="493"/>
      <c r="J59" s="494"/>
      <c r="K59" s="380" t="s">
        <v>384</v>
      </c>
      <c r="L59" s="373" t="s">
        <v>0</v>
      </c>
      <c r="M59" s="381">
        <v>2100</v>
      </c>
    </row>
    <row r="60" spans="1:15">
      <c r="A60" s="452"/>
      <c r="B60" s="455"/>
      <c r="C60" s="178" t="s">
        <v>93</v>
      </c>
      <c r="D60" s="453"/>
      <c r="E60" s="453"/>
      <c r="F60" s="453"/>
      <c r="G60" s="454"/>
      <c r="H60" s="92">
        <f>H61</f>
        <v>55000</v>
      </c>
      <c r="I60" s="92">
        <v>75000</v>
      </c>
      <c r="J60" s="92">
        <f>H60-I60</f>
        <v>-20000</v>
      </c>
      <c r="K60" s="396"/>
      <c r="L60" s="390"/>
      <c r="M60" s="397"/>
    </row>
    <row r="61" spans="1:15">
      <c r="A61" s="452"/>
      <c r="B61" s="455"/>
      <c r="C61" s="473"/>
      <c r="D61" s="349" t="s">
        <v>94</v>
      </c>
      <c r="E61" s="453"/>
      <c r="F61" s="453"/>
      <c r="G61" s="454"/>
      <c r="H61" s="456">
        <f>H62</f>
        <v>55000</v>
      </c>
      <c r="I61" s="456">
        <v>75000</v>
      </c>
      <c r="J61" s="92">
        <f>H61-I61</f>
        <v>-20000</v>
      </c>
      <c r="K61" s="389"/>
      <c r="L61" s="390"/>
      <c r="M61" s="397"/>
    </row>
    <row r="62" spans="1:15">
      <c r="A62" s="452"/>
      <c r="B62" s="455"/>
      <c r="C62" s="457"/>
      <c r="D62" s="458"/>
      <c r="E62" s="349" t="s">
        <v>33</v>
      </c>
      <c r="F62" s="453"/>
      <c r="G62" s="454"/>
      <c r="H62" s="92">
        <f>SUM(H63,H70,H77)</f>
        <v>55000</v>
      </c>
      <c r="I62" s="92">
        <v>75000</v>
      </c>
      <c r="J62" s="92">
        <f>H62-I62</f>
        <v>-20000</v>
      </c>
      <c r="K62" s="351"/>
      <c r="L62" s="391"/>
      <c r="M62" s="459"/>
    </row>
    <row r="63" spans="1:15">
      <c r="A63" s="357"/>
      <c r="B63" s="358"/>
      <c r="C63" s="358"/>
      <c r="D63" s="358"/>
      <c r="E63" s="358"/>
      <c r="F63" s="463" t="s">
        <v>60</v>
      </c>
      <c r="G63" s="466"/>
      <c r="H63" s="98">
        <f>SUM(H64,H66,H68)</f>
        <v>15000</v>
      </c>
      <c r="I63" s="98">
        <v>15000</v>
      </c>
      <c r="J63" s="98">
        <f>H63-I63</f>
        <v>0</v>
      </c>
      <c r="K63" s="383"/>
      <c r="L63" s="384"/>
      <c r="M63" s="385"/>
    </row>
    <row r="64" spans="1:15">
      <c r="A64" s="474"/>
      <c r="B64" s="475"/>
      <c r="C64" s="358"/>
      <c r="D64" s="358"/>
      <c r="E64" s="358"/>
      <c r="F64" s="476"/>
      <c r="G64" s="477" t="s">
        <v>36</v>
      </c>
      <c r="H64" s="478">
        <f>M64</f>
        <v>5000</v>
      </c>
      <c r="I64" s="478">
        <v>5000</v>
      </c>
      <c r="J64" s="41">
        <f>H64-I64</f>
        <v>0</v>
      </c>
      <c r="K64" s="356" t="s">
        <v>99</v>
      </c>
      <c r="L64" s="412"/>
      <c r="M64" s="388">
        <f>M65</f>
        <v>5000</v>
      </c>
    </row>
    <row r="65" spans="1:15">
      <c r="A65" s="474"/>
      <c r="B65" s="475"/>
      <c r="C65" s="358"/>
      <c r="D65" s="358"/>
      <c r="E65" s="358"/>
      <c r="F65" s="479"/>
      <c r="G65" s="483"/>
      <c r="H65" s="516"/>
      <c r="I65" s="516"/>
      <c r="J65" s="145"/>
      <c r="K65" s="380" t="s">
        <v>98</v>
      </c>
      <c r="L65" s="373" t="s">
        <v>0</v>
      </c>
      <c r="M65" s="381">
        <v>5000</v>
      </c>
    </row>
    <row r="66" spans="1:15">
      <c r="A66" s="474"/>
      <c r="B66" s="475"/>
      <c r="C66" s="358"/>
      <c r="D66" s="358"/>
      <c r="E66" s="358"/>
      <c r="F66" s="479"/>
      <c r="G66" s="480" t="s">
        <v>7</v>
      </c>
      <c r="H66" s="481">
        <f>M66</f>
        <v>5000</v>
      </c>
      <c r="I66" s="481">
        <v>5000</v>
      </c>
      <c r="J66" s="41">
        <f t="shared" ref="J66" si="2">H66-I66</f>
        <v>0</v>
      </c>
      <c r="K66" s="520" t="s">
        <v>96</v>
      </c>
      <c r="L66" s="521"/>
      <c r="M66" s="388">
        <f>M67</f>
        <v>5000</v>
      </c>
    </row>
    <row r="67" spans="1:15">
      <c r="A67" s="474"/>
      <c r="B67" s="475"/>
      <c r="C67" s="358"/>
      <c r="D67" s="358"/>
      <c r="E67" s="358"/>
      <c r="F67" s="479"/>
      <c r="G67" s="483"/>
      <c r="H67" s="516"/>
      <c r="I67" s="516"/>
      <c r="J67" s="145"/>
      <c r="K67" s="380" t="s">
        <v>97</v>
      </c>
      <c r="L67" s="373" t="s">
        <v>0</v>
      </c>
      <c r="M67" s="381">
        <v>5000</v>
      </c>
    </row>
    <row r="68" spans="1:15">
      <c r="A68" s="474"/>
      <c r="B68" s="475"/>
      <c r="C68" s="358"/>
      <c r="D68" s="358"/>
      <c r="E68" s="358"/>
      <c r="F68" s="479"/>
      <c r="G68" s="480" t="s">
        <v>140</v>
      </c>
      <c r="H68" s="481">
        <f>M68</f>
        <v>5000</v>
      </c>
      <c r="I68" s="481">
        <v>5000</v>
      </c>
      <c r="J68" s="50">
        <f>H68-I68</f>
        <v>0</v>
      </c>
      <c r="K68" s="356" t="s">
        <v>135</v>
      </c>
      <c r="L68" s="378"/>
      <c r="M68" s="379">
        <f>M69</f>
        <v>5000</v>
      </c>
    </row>
    <row r="69" spans="1:15">
      <c r="A69" s="474"/>
      <c r="B69" s="475"/>
      <c r="C69" s="358"/>
      <c r="D69" s="358"/>
      <c r="E69" s="358"/>
      <c r="F69" s="479"/>
      <c r="G69" s="483"/>
      <c r="H69" s="516"/>
      <c r="I69" s="516"/>
      <c r="J69" s="145"/>
      <c r="K69" s="382" t="s">
        <v>101</v>
      </c>
      <c r="L69" s="378" t="s">
        <v>0</v>
      </c>
      <c r="M69" s="374">
        <v>5000</v>
      </c>
    </row>
    <row r="70" spans="1:15">
      <c r="A70" s="357"/>
      <c r="B70" s="358"/>
      <c r="C70" s="358"/>
      <c r="D70" s="358"/>
      <c r="E70" s="358"/>
      <c r="F70" s="463" t="s">
        <v>46</v>
      </c>
      <c r="G70" s="466"/>
      <c r="H70" s="98">
        <f>SUM(H71,H73)</f>
        <v>35000</v>
      </c>
      <c r="I70" s="98">
        <v>55000</v>
      </c>
      <c r="J70" s="98">
        <f>H70-I70</f>
        <v>-20000</v>
      </c>
      <c r="K70" s="383"/>
      <c r="L70" s="384"/>
      <c r="M70" s="385"/>
    </row>
    <row r="71" spans="1:15">
      <c r="A71" s="474"/>
      <c r="B71" s="475"/>
      <c r="C71" s="358"/>
      <c r="D71" s="358"/>
      <c r="E71" s="358"/>
      <c r="F71" s="479"/>
      <c r="G71" s="477" t="s">
        <v>41</v>
      </c>
      <c r="H71" s="478">
        <f>M71</f>
        <v>5000</v>
      </c>
      <c r="I71" s="478">
        <v>5000</v>
      </c>
      <c r="J71" s="41">
        <f>H71-I71</f>
        <v>0</v>
      </c>
      <c r="K71" s="386" t="s">
        <v>76</v>
      </c>
      <c r="L71" s="521"/>
      <c r="M71" s="388">
        <f>SUM(M72)</f>
        <v>5000</v>
      </c>
    </row>
    <row r="72" spans="1:15">
      <c r="A72" s="474"/>
      <c r="B72" s="475"/>
      <c r="C72" s="358"/>
      <c r="D72" s="358"/>
      <c r="E72" s="358"/>
      <c r="F72" s="479"/>
      <c r="G72" s="480"/>
      <c r="H72" s="481"/>
      <c r="I72" s="481"/>
      <c r="J72" s="50"/>
      <c r="K72" s="382" t="s">
        <v>141</v>
      </c>
      <c r="L72" s="378" t="s">
        <v>0</v>
      </c>
      <c r="M72" s="374">
        <v>5000</v>
      </c>
    </row>
    <row r="73" spans="1:15">
      <c r="A73" s="474"/>
      <c r="B73" s="475"/>
      <c r="C73" s="358"/>
      <c r="D73" s="358"/>
      <c r="E73" s="358"/>
      <c r="F73" s="479"/>
      <c r="G73" s="480" t="s">
        <v>77</v>
      </c>
      <c r="H73" s="481">
        <f>M73</f>
        <v>30000</v>
      </c>
      <c r="I73" s="481">
        <v>50000</v>
      </c>
      <c r="J73" s="50">
        <f>H73-I73</f>
        <v>-20000</v>
      </c>
      <c r="K73" s="356" t="s">
        <v>923</v>
      </c>
      <c r="L73" s="378"/>
      <c r="M73" s="379">
        <f>M76</f>
        <v>30000</v>
      </c>
    </row>
    <row r="74" spans="1:15">
      <c r="A74" s="474"/>
      <c r="B74" s="475"/>
      <c r="C74" s="358"/>
      <c r="D74" s="358"/>
      <c r="E74" s="358"/>
      <c r="F74" s="479"/>
      <c r="G74" s="480"/>
      <c r="H74" s="481"/>
      <c r="I74" s="481"/>
      <c r="J74" s="50"/>
      <c r="K74" s="382" t="s">
        <v>635</v>
      </c>
      <c r="L74" s="378" t="s">
        <v>0</v>
      </c>
      <c r="M74" s="374">
        <v>50000</v>
      </c>
      <c r="O74" s="575"/>
    </row>
    <row r="75" spans="1:15">
      <c r="A75" s="63"/>
      <c r="B75" s="65"/>
      <c r="C75" s="65"/>
      <c r="D75" s="65"/>
      <c r="E75" s="65"/>
      <c r="F75" s="142"/>
      <c r="G75" s="65"/>
      <c r="H75" s="75"/>
      <c r="I75" s="75"/>
      <c r="J75" s="48"/>
      <c r="K75" s="606" t="s">
        <v>892</v>
      </c>
      <c r="L75" s="202"/>
      <c r="M75" s="190"/>
      <c r="N75" s="658"/>
    </row>
    <row r="76" spans="1:15">
      <c r="A76" s="63"/>
      <c r="B76" s="65"/>
      <c r="C76" s="65"/>
      <c r="D76" s="65"/>
      <c r="E76" s="65"/>
      <c r="F76" s="142"/>
      <c r="G76" s="65"/>
      <c r="H76" s="75"/>
      <c r="I76" s="75"/>
      <c r="J76" s="48"/>
      <c r="K76" s="724" t="s">
        <v>922</v>
      </c>
      <c r="L76" s="722" t="s">
        <v>0</v>
      </c>
      <c r="M76" s="723">
        <v>30000</v>
      </c>
      <c r="N76" s="658"/>
    </row>
    <row r="77" spans="1:15">
      <c r="A77" s="357"/>
      <c r="B77" s="358"/>
      <c r="C77" s="358"/>
      <c r="D77" s="358"/>
      <c r="E77" s="358"/>
      <c r="F77" s="463" t="s">
        <v>78</v>
      </c>
      <c r="G77" s="466"/>
      <c r="H77" s="98">
        <f>H78</f>
        <v>5000</v>
      </c>
      <c r="I77" s="98">
        <v>5000</v>
      </c>
      <c r="J77" s="98">
        <f>H77-I77</f>
        <v>0</v>
      </c>
      <c r="K77" s="383"/>
      <c r="L77" s="384"/>
      <c r="M77" s="385"/>
    </row>
    <row r="78" spans="1:15">
      <c r="A78" s="474"/>
      <c r="B78" s="475"/>
      <c r="C78" s="358"/>
      <c r="D78" s="358"/>
      <c r="E78" s="358"/>
      <c r="F78" s="479"/>
      <c r="G78" s="480" t="s">
        <v>43</v>
      </c>
      <c r="H78" s="481">
        <f>M78</f>
        <v>5000</v>
      </c>
      <c r="I78" s="481">
        <v>5000</v>
      </c>
      <c r="J78" s="50">
        <f>H78-I78</f>
        <v>0</v>
      </c>
      <c r="K78" s="36" t="s">
        <v>503</v>
      </c>
      <c r="L78" s="378"/>
      <c r="M78" s="379">
        <f>M79</f>
        <v>5000</v>
      </c>
    </row>
    <row r="79" spans="1:15" ht="17.25" thickBot="1">
      <c r="A79" s="225"/>
      <c r="B79" s="226"/>
      <c r="C79" s="69"/>
      <c r="D79" s="69"/>
      <c r="E79" s="69"/>
      <c r="F79" s="227"/>
      <c r="G79" s="228"/>
      <c r="H79" s="212"/>
      <c r="I79" s="212"/>
      <c r="J79" s="229"/>
      <c r="K79" s="230" t="s">
        <v>100</v>
      </c>
      <c r="L79" s="231" t="s">
        <v>0</v>
      </c>
      <c r="M79" s="240">
        <v>5000</v>
      </c>
    </row>
  </sheetData>
  <protectedRanges>
    <protectedRange password="ECE8" sqref="N2:AB4" name="작성자만수정"/>
    <protectedRange password="ECE8" sqref="N166:AB166 N113:AB156 N5:AB7 N42:AB46 N41 P41:AB41 N48:AB51 N47 P47:AB47 N54:AB55 N52:N53 P52:AB53 N56 P56:AB56 N16:AB40 N60:AB110" name="작성자만수정_2_1"/>
    <protectedRange password="ECE8" sqref="N213:AB214 N111:AB112" name="작성자만수정_2_1_1"/>
    <protectedRange password="ECE8" sqref="N230:AB232 N219:AB223" name="작성자만수정_2_1_2"/>
  </protectedRanges>
  <autoFilter ref="A3:M79">
    <filterColumn colId="10" showButton="0"/>
    <filterColumn colId="11" showButton="0"/>
  </autoFilter>
  <mergeCells count="10">
    <mergeCell ref="F50:G50"/>
    <mergeCell ref="F54:G54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55:J56">
    <cfRule type="containsText" dxfId="1523" priority="313" operator="containsText" text="허하나로">
      <formula>NOT(ISERROR(SEARCH("허하나로",H1086)))</formula>
    </cfRule>
    <cfRule type="containsText" dxfId="1522" priority="314" operator="containsText" text="한별">
      <formula>NOT(ISERROR(SEARCH("한별",H1086)))</formula>
    </cfRule>
    <cfRule type="containsText" dxfId="1521" priority="315" operator="containsText" text="정홍조">
      <formula>NOT(ISERROR(SEARCH("정홍조",H1086)))</formula>
    </cfRule>
    <cfRule type="containsText" dxfId="1520" priority="316" operator="containsText" text="김지윤">
      <formula>NOT(ISERROR(SEARCH("김지윤",H1086)))</formula>
    </cfRule>
    <cfRule type="containsText" dxfId="1519" priority="317" operator="containsText" text="전준영">
      <formula>NOT(ISERROR(SEARCH("전준영",H1086)))</formula>
    </cfRule>
    <cfRule type="containsText" dxfId="1518" priority="318" operator="containsText" text="차재성">
      <formula>NOT(ISERROR(SEARCH("차재성",H1086)))</formula>
    </cfRule>
  </conditionalFormatting>
  <conditionalFormatting sqref="J31">
    <cfRule type="containsText" dxfId="1517" priority="325" operator="containsText" text="허하나로">
      <formula>NOT(ISERROR(SEARCH("허하나로",H724)))</formula>
    </cfRule>
    <cfRule type="containsText" dxfId="1516" priority="326" operator="containsText" text="한별">
      <formula>NOT(ISERROR(SEARCH("한별",H724)))</formula>
    </cfRule>
    <cfRule type="containsText" dxfId="1515" priority="327" operator="containsText" text="정홍조">
      <formula>NOT(ISERROR(SEARCH("정홍조",H724)))</formula>
    </cfRule>
    <cfRule type="containsText" dxfId="1514" priority="328" operator="containsText" text="김지윤">
      <formula>NOT(ISERROR(SEARCH("김지윤",H724)))</formula>
    </cfRule>
    <cfRule type="containsText" dxfId="1513" priority="329" operator="containsText" text="전준영">
      <formula>NOT(ISERROR(SEARCH("전준영",H724)))</formula>
    </cfRule>
    <cfRule type="containsText" dxfId="1512" priority="330" operator="containsText" text="차재성">
      <formula>NOT(ISERROR(SEARCH("차재성",H724)))</formula>
    </cfRule>
  </conditionalFormatting>
  <conditionalFormatting sqref="J5">
    <cfRule type="containsText" dxfId="1511" priority="319" operator="containsText" text="허하나로">
      <formula>NOT(ISERROR(SEARCH("허하나로",H722)))</formula>
    </cfRule>
    <cfRule type="containsText" dxfId="1510" priority="320" operator="containsText" text="한별">
      <formula>NOT(ISERROR(SEARCH("한별",H722)))</formula>
    </cfRule>
    <cfRule type="containsText" dxfId="1509" priority="321" operator="containsText" text="정홍조">
      <formula>NOT(ISERROR(SEARCH("정홍조",H722)))</formula>
    </cfRule>
    <cfRule type="containsText" dxfId="1508" priority="322" operator="containsText" text="김지윤">
      <formula>NOT(ISERROR(SEARCH("김지윤",H722)))</formula>
    </cfRule>
    <cfRule type="containsText" dxfId="1507" priority="323" operator="containsText" text="전준영">
      <formula>NOT(ISERROR(SEARCH("전준영",H722)))</formula>
    </cfRule>
    <cfRule type="containsText" dxfId="1506" priority="324" operator="containsText" text="차재성">
      <formula>NOT(ISERROR(SEARCH("차재성",H722)))</formula>
    </cfRule>
  </conditionalFormatting>
  <conditionalFormatting sqref="J42">
    <cfRule type="containsText" dxfId="1505" priority="307" operator="containsText" text="허하나로">
      <formula>NOT(ISERROR(SEARCH("허하나로",H856)))</formula>
    </cfRule>
    <cfRule type="containsText" dxfId="1504" priority="308" operator="containsText" text="한별">
      <formula>NOT(ISERROR(SEARCH("한별",H856)))</formula>
    </cfRule>
    <cfRule type="containsText" dxfId="1503" priority="309" operator="containsText" text="정홍조">
      <formula>NOT(ISERROR(SEARCH("정홍조",H856)))</formula>
    </cfRule>
    <cfRule type="containsText" dxfId="1502" priority="310" operator="containsText" text="김지윤">
      <formula>NOT(ISERROR(SEARCH("김지윤",H856)))</formula>
    </cfRule>
    <cfRule type="containsText" dxfId="1501" priority="311" operator="containsText" text="전준영">
      <formula>NOT(ISERROR(SEARCH("전준영",H856)))</formula>
    </cfRule>
    <cfRule type="containsText" dxfId="1500" priority="312" operator="containsText" text="차재성">
      <formula>NOT(ISERROR(SEARCH("차재성",H856)))</formula>
    </cfRule>
  </conditionalFormatting>
  <conditionalFormatting sqref="J45:J46">
    <cfRule type="containsText" dxfId="1499" priority="301" operator="containsText" text="허하나로">
      <formula>NOT(ISERROR(SEARCH("허하나로",H1064)))</formula>
    </cfRule>
    <cfRule type="containsText" dxfId="1498" priority="302" operator="containsText" text="한별">
      <formula>NOT(ISERROR(SEARCH("한별",H1064)))</formula>
    </cfRule>
    <cfRule type="containsText" dxfId="1497" priority="303" operator="containsText" text="정홍조">
      <formula>NOT(ISERROR(SEARCH("정홍조",H1064)))</formula>
    </cfRule>
    <cfRule type="containsText" dxfId="1496" priority="304" operator="containsText" text="김지윤">
      <formula>NOT(ISERROR(SEARCH("김지윤",H1064)))</formula>
    </cfRule>
    <cfRule type="containsText" dxfId="1495" priority="305" operator="containsText" text="전준영">
      <formula>NOT(ISERROR(SEARCH("전준영",H1064)))</formula>
    </cfRule>
    <cfRule type="containsText" dxfId="1494" priority="306" operator="containsText" text="차재성">
      <formula>NOT(ISERROR(SEARCH("차재성",H1064)))</formula>
    </cfRule>
  </conditionalFormatting>
  <conditionalFormatting sqref="J47">
    <cfRule type="containsText" dxfId="1493" priority="295" operator="containsText" text="허하나로">
      <formula>NOT(ISERROR(SEARCH("허하나로",H1055)))</formula>
    </cfRule>
    <cfRule type="containsText" dxfId="1492" priority="296" operator="containsText" text="한별">
      <formula>NOT(ISERROR(SEARCH("한별",H1055)))</formula>
    </cfRule>
    <cfRule type="containsText" dxfId="1491" priority="297" operator="containsText" text="정홍조">
      <formula>NOT(ISERROR(SEARCH("정홍조",H1055)))</formula>
    </cfRule>
    <cfRule type="containsText" dxfId="1490" priority="298" operator="containsText" text="김지윤">
      <formula>NOT(ISERROR(SEARCH("김지윤",H1055)))</formula>
    </cfRule>
    <cfRule type="containsText" dxfId="1489" priority="299" operator="containsText" text="전준영">
      <formula>NOT(ISERROR(SEARCH("전준영",H1055)))</formula>
    </cfRule>
    <cfRule type="containsText" dxfId="1488" priority="300" operator="containsText" text="차재성">
      <formula>NOT(ISERROR(SEARCH("차재성",H1055)))</formula>
    </cfRule>
  </conditionalFormatting>
  <conditionalFormatting sqref="J44">
    <cfRule type="containsText" dxfId="1487" priority="343" operator="containsText" text="허하나로">
      <formula>NOT(ISERROR(SEARCH("허하나로",H1053)))</formula>
    </cfRule>
    <cfRule type="containsText" dxfId="1486" priority="344" operator="containsText" text="한별">
      <formula>NOT(ISERROR(SEARCH("한별",H1053)))</formula>
    </cfRule>
    <cfRule type="containsText" dxfId="1485" priority="345" operator="containsText" text="정홍조">
      <formula>NOT(ISERROR(SEARCH("정홍조",H1053)))</formula>
    </cfRule>
    <cfRule type="containsText" dxfId="1484" priority="346" operator="containsText" text="김지윤">
      <formula>NOT(ISERROR(SEARCH("김지윤",H1053)))</formula>
    </cfRule>
    <cfRule type="containsText" dxfId="1483" priority="347" operator="containsText" text="전준영">
      <formula>NOT(ISERROR(SEARCH("전준영",H1053)))</formula>
    </cfRule>
    <cfRule type="containsText" dxfId="1482" priority="348" operator="containsText" text="차재성">
      <formula>NOT(ISERROR(SEARCH("차재성",H1053)))</formula>
    </cfRule>
  </conditionalFormatting>
  <conditionalFormatting sqref="J54">
    <cfRule type="containsText" dxfId="1481" priority="289" operator="containsText" text="허하나로">
      <formula>NOT(ISERROR(SEARCH("허하나로",H1070)))</formula>
    </cfRule>
    <cfRule type="containsText" dxfId="1480" priority="290" operator="containsText" text="한별">
      <formula>NOT(ISERROR(SEARCH("한별",H1070)))</formula>
    </cfRule>
    <cfRule type="containsText" dxfId="1479" priority="291" operator="containsText" text="정홍조">
      <formula>NOT(ISERROR(SEARCH("정홍조",H1070)))</formula>
    </cfRule>
    <cfRule type="containsText" dxfId="1478" priority="292" operator="containsText" text="김지윤">
      <formula>NOT(ISERROR(SEARCH("김지윤",H1070)))</formula>
    </cfRule>
    <cfRule type="containsText" dxfId="1477" priority="293" operator="containsText" text="전준영">
      <formula>NOT(ISERROR(SEARCH("전준영",H1070)))</formula>
    </cfRule>
    <cfRule type="containsText" dxfId="1476" priority="294" operator="containsText" text="차재성">
      <formula>NOT(ISERROR(SEARCH("차재성",H1070)))</formula>
    </cfRule>
  </conditionalFormatting>
  <conditionalFormatting sqref="L51">
    <cfRule type="containsText" dxfId="1475" priority="283" operator="containsText" text="허하나로">
      <formula>NOT(ISERROR(SEARCH("허하나로",J1201)))</formula>
    </cfRule>
    <cfRule type="containsText" dxfId="1474" priority="284" operator="containsText" text="한별">
      <formula>NOT(ISERROR(SEARCH("한별",J1201)))</formula>
    </cfRule>
    <cfRule type="containsText" dxfId="1473" priority="285" operator="containsText" text="정홍조">
      <formula>NOT(ISERROR(SEARCH("정홍조",J1201)))</formula>
    </cfRule>
    <cfRule type="containsText" dxfId="1472" priority="286" operator="containsText" text="김지윤">
      <formula>NOT(ISERROR(SEARCH("김지윤",J1201)))</formula>
    </cfRule>
    <cfRule type="containsText" dxfId="1471" priority="287" operator="containsText" text="전준영">
      <formula>NOT(ISERROR(SEARCH("전준영",J1201)))</formula>
    </cfRule>
    <cfRule type="containsText" dxfId="1470" priority="288" operator="containsText" text="차재성">
      <formula>NOT(ISERROR(SEARCH("차재성",J1201)))</formula>
    </cfRule>
  </conditionalFormatting>
  <conditionalFormatting sqref="J32:J40">
    <cfRule type="containsText" dxfId="1469" priority="367" operator="containsText" text="허하나로">
      <formula>NOT(ISERROR(SEARCH("허하나로",H1050)))</formula>
    </cfRule>
    <cfRule type="containsText" dxfId="1468" priority="368" operator="containsText" text="한별">
      <formula>NOT(ISERROR(SEARCH("한별",H1050)))</formula>
    </cfRule>
    <cfRule type="containsText" dxfId="1467" priority="369" operator="containsText" text="정홍조">
      <formula>NOT(ISERROR(SEARCH("정홍조",H1050)))</formula>
    </cfRule>
    <cfRule type="containsText" dxfId="1466" priority="370" operator="containsText" text="김지윤">
      <formula>NOT(ISERROR(SEARCH("김지윤",H1050)))</formula>
    </cfRule>
    <cfRule type="containsText" dxfId="1465" priority="371" operator="containsText" text="전준영">
      <formula>NOT(ISERROR(SEARCH("전준영",H1050)))</formula>
    </cfRule>
    <cfRule type="containsText" dxfId="1464" priority="372" operator="containsText" text="차재성">
      <formula>NOT(ISERROR(SEARCH("차재성",H1050)))</formula>
    </cfRule>
  </conditionalFormatting>
  <conditionalFormatting sqref="J79">
    <cfRule type="containsText" dxfId="1463" priority="181" operator="containsText" text="허하나로">
      <formula>NOT(ISERROR(SEARCH("허하나로",H1132)))</formula>
    </cfRule>
    <cfRule type="containsText" dxfId="1462" priority="182" operator="containsText" text="한별">
      <formula>NOT(ISERROR(SEARCH("한별",H1132)))</formula>
    </cfRule>
    <cfRule type="containsText" dxfId="1461" priority="183" operator="containsText" text="정홍조">
      <formula>NOT(ISERROR(SEARCH("정홍조",H1132)))</formula>
    </cfRule>
    <cfRule type="containsText" dxfId="1460" priority="184" operator="containsText" text="김지윤">
      <formula>NOT(ISERROR(SEARCH("김지윤",H1132)))</formula>
    </cfRule>
    <cfRule type="containsText" dxfId="1459" priority="185" operator="containsText" text="전준영">
      <formula>NOT(ISERROR(SEARCH("전준영",H1132)))</formula>
    </cfRule>
    <cfRule type="containsText" dxfId="1458" priority="186" operator="containsText" text="차재성">
      <formula>NOT(ISERROR(SEARCH("차재성",H1132)))</formula>
    </cfRule>
  </conditionalFormatting>
  <conditionalFormatting sqref="J68">
    <cfRule type="containsText" dxfId="1457" priority="187" operator="containsText" text="허하나로">
      <formula>NOT(ISERROR(SEARCH("허하나로",H1127)))</formula>
    </cfRule>
    <cfRule type="containsText" dxfId="1456" priority="188" operator="containsText" text="한별">
      <formula>NOT(ISERROR(SEARCH("한별",H1127)))</formula>
    </cfRule>
    <cfRule type="containsText" dxfId="1455" priority="189" operator="containsText" text="정홍조">
      <formula>NOT(ISERROR(SEARCH("정홍조",H1127)))</formula>
    </cfRule>
    <cfRule type="containsText" dxfId="1454" priority="190" operator="containsText" text="김지윤">
      <formula>NOT(ISERROR(SEARCH("김지윤",H1127)))</formula>
    </cfRule>
    <cfRule type="containsText" dxfId="1453" priority="191" operator="containsText" text="전준영">
      <formula>NOT(ISERROR(SEARCH("전준영",H1127)))</formula>
    </cfRule>
    <cfRule type="containsText" dxfId="1452" priority="192" operator="containsText" text="차재성">
      <formula>NOT(ISERROR(SEARCH("차재성",H1127)))</formula>
    </cfRule>
  </conditionalFormatting>
  <conditionalFormatting sqref="J69">
    <cfRule type="containsText" dxfId="1451" priority="193" operator="containsText" text="허하나로">
      <formula>NOT(ISERROR(SEARCH("허하나로",H1126)))</formula>
    </cfRule>
    <cfRule type="containsText" dxfId="1450" priority="194" operator="containsText" text="한별">
      <formula>NOT(ISERROR(SEARCH("한별",H1126)))</formula>
    </cfRule>
    <cfRule type="containsText" dxfId="1449" priority="195" operator="containsText" text="정홍조">
      <formula>NOT(ISERROR(SEARCH("정홍조",H1126)))</formula>
    </cfRule>
    <cfRule type="containsText" dxfId="1448" priority="196" operator="containsText" text="김지윤">
      <formula>NOT(ISERROR(SEARCH("김지윤",H1126)))</formula>
    </cfRule>
    <cfRule type="containsText" dxfId="1447" priority="197" operator="containsText" text="전준영">
      <formula>NOT(ISERROR(SEARCH("전준영",H1126)))</formula>
    </cfRule>
    <cfRule type="containsText" dxfId="1446" priority="198" operator="containsText" text="차재성">
      <formula>NOT(ISERROR(SEARCH("차재성",H1126)))</formula>
    </cfRule>
  </conditionalFormatting>
  <conditionalFormatting sqref="J60">
    <cfRule type="containsText" dxfId="1445" priority="169" operator="containsText" text="허하나로">
      <formula>NOT(ISERROR(SEARCH("허하나로",H916)))</formula>
    </cfRule>
    <cfRule type="containsText" dxfId="1444" priority="170" operator="containsText" text="한별">
      <formula>NOT(ISERROR(SEARCH("한별",H916)))</formula>
    </cfRule>
    <cfRule type="containsText" dxfId="1443" priority="171" operator="containsText" text="정홍조">
      <formula>NOT(ISERROR(SEARCH("정홍조",H916)))</formula>
    </cfRule>
    <cfRule type="containsText" dxfId="1442" priority="172" operator="containsText" text="김지윤">
      <formula>NOT(ISERROR(SEARCH("김지윤",H916)))</formula>
    </cfRule>
    <cfRule type="containsText" dxfId="1441" priority="173" operator="containsText" text="전준영">
      <formula>NOT(ISERROR(SEARCH("전준영",H916)))</formula>
    </cfRule>
    <cfRule type="containsText" dxfId="1440" priority="174" operator="containsText" text="차재성">
      <formula>NOT(ISERROR(SEARCH("차재성",H916)))</formula>
    </cfRule>
  </conditionalFormatting>
  <conditionalFormatting sqref="J62">
    <cfRule type="containsText" dxfId="1439" priority="175" operator="containsText" text="허하나로">
      <formula>NOT(ISERROR(SEARCH("허하나로",H1113)))</formula>
    </cfRule>
    <cfRule type="containsText" dxfId="1438" priority="176" operator="containsText" text="한별">
      <formula>NOT(ISERROR(SEARCH("한별",H1113)))</formula>
    </cfRule>
    <cfRule type="containsText" dxfId="1437" priority="177" operator="containsText" text="정홍조">
      <formula>NOT(ISERROR(SEARCH("정홍조",H1113)))</formula>
    </cfRule>
    <cfRule type="containsText" dxfId="1436" priority="178" operator="containsText" text="김지윤">
      <formula>NOT(ISERROR(SEARCH("김지윤",H1113)))</formula>
    </cfRule>
    <cfRule type="containsText" dxfId="1435" priority="179" operator="containsText" text="전준영">
      <formula>NOT(ISERROR(SEARCH("전준영",H1113)))</formula>
    </cfRule>
    <cfRule type="containsText" dxfId="1434" priority="180" operator="containsText" text="차재성">
      <formula>NOT(ISERROR(SEARCH("차재성",H1113)))</formula>
    </cfRule>
  </conditionalFormatting>
  <conditionalFormatting sqref="J72">
    <cfRule type="containsText" dxfId="1433" priority="205" operator="containsText" text="허하나로">
      <formula>NOT(ISERROR(SEARCH("허하나로",H1127)))</formula>
    </cfRule>
    <cfRule type="containsText" dxfId="1432" priority="206" operator="containsText" text="한별">
      <formula>NOT(ISERROR(SEARCH("한별",H1127)))</formula>
    </cfRule>
    <cfRule type="containsText" dxfId="1431" priority="207" operator="containsText" text="정홍조">
      <formula>NOT(ISERROR(SEARCH("정홍조",H1127)))</formula>
    </cfRule>
    <cfRule type="containsText" dxfId="1430" priority="208" operator="containsText" text="김지윤">
      <formula>NOT(ISERROR(SEARCH("김지윤",H1127)))</formula>
    </cfRule>
    <cfRule type="containsText" dxfId="1429" priority="209" operator="containsText" text="전준영">
      <formula>NOT(ISERROR(SEARCH("전준영",H1127)))</formula>
    </cfRule>
    <cfRule type="containsText" dxfId="1428" priority="210" operator="containsText" text="차재성">
      <formula>NOT(ISERROR(SEARCH("차재성",H1127)))</formula>
    </cfRule>
  </conditionalFormatting>
  <conditionalFormatting sqref="J71">
    <cfRule type="containsText" dxfId="1427" priority="211" operator="containsText" text="허하나로">
      <formula>NOT(ISERROR(SEARCH("허하나로",H1127)))</formula>
    </cfRule>
    <cfRule type="containsText" dxfId="1426" priority="212" operator="containsText" text="한별">
      <formula>NOT(ISERROR(SEARCH("한별",H1127)))</formula>
    </cfRule>
    <cfRule type="containsText" dxfId="1425" priority="213" operator="containsText" text="정홍조">
      <formula>NOT(ISERROR(SEARCH("정홍조",H1127)))</formula>
    </cfRule>
    <cfRule type="containsText" dxfId="1424" priority="214" operator="containsText" text="김지윤">
      <formula>NOT(ISERROR(SEARCH("김지윤",H1127)))</formula>
    </cfRule>
    <cfRule type="containsText" dxfId="1423" priority="215" operator="containsText" text="전준영">
      <formula>NOT(ISERROR(SEARCH("전준영",H1127)))</formula>
    </cfRule>
    <cfRule type="containsText" dxfId="1422" priority="216" operator="containsText" text="차재성">
      <formula>NOT(ISERROR(SEARCH("차재성",H1127)))</formula>
    </cfRule>
  </conditionalFormatting>
  <conditionalFormatting sqref="J70">
    <cfRule type="containsText" dxfId="1421" priority="163" operator="containsText" text="허하나로">
      <formula>NOT(ISERROR(SEARCH("허하나로",H1129)))</formula>
    </cfRule>
    <cfRule type="containsText" dxfId="1420" priority="164" operator="containsText" text="한별">
      <formula>NOT(ISERROR(SEARCH("한별",H1129)))</formula>
    </cfRule>
    <cfRule type="containsText" dxfId="1419" priority="165" operator="containsText" text="정홍조">
      <formula>NOT(ISERROR(SEARCH("정홍조",H1129)))</formula>
    </cfRule>
    <cfRule type="containsText" dxfId="1418" priority="166" operator="containsText" text="김지윤">
      <formula>NOT(ISERROR(SEARCH("김지윤",H1129)))</formula>
    </cfRule>
    <cfRule type="containsText" dxfId="1417" priority="167" operator="containsText" text="전준영">
      <formula>NOT(ISERROR(SEARCH("전준영",H1129)))</formula>
    </cfRule>
    <cfRule type="containsText" dxfId="1416" priority="168" operator="containsText" text="차재성">
      <formula>NOT(ISERROR(SEARCH("차재성",H1129)))</formula>
    </cfRule>
  </conditionalFormatting>
  <conditionalFormatting sqref="J78">
    <cfRule type="containsText" dxfId="1415" priority="157" operator="containsText" text="허하나로">
      <formula>NOT(ISERROR(SEARCH("허하나로",H1132)))</formula>
    </cfRule>
    <cfRule type="containsText" dxfId="1414" priority="158" operator="containsText" text="한별">
      <formula>NOT(ISERROR(SEARCH("한별",H1132)))</formula>
    </cfRule>
    <cfRule type="containsText" dxfId="1413" priority="159" operator="containsText" text="정홍조">
      <formula>NOT(ISERROR(SEARCH("정홍조",H1132)))</formula>
    </cfRule>
    <cfRule type="containsText" dxfId="1412" priority="160" operator="containsText" text="김지윤">
      <formula>NOT(ISERROR(SEARCH("김지윤",H1132)))</formula>
    </cfRule>
    <cfRule type="containsText" dxfId="1411" priority="161" operator="containsText" text="전준영">
      <formula>NOT(ISERROR(SEARCH("전준영",H1132)))</formula>
    </cfRule>
    <cfRule type="containsText" dxfId="1410" priority="162" operator="containsText" text="차재성">
      <formula>NOT(ISERROR(SEARCH("차재성",H1132)))</formula>
    </cfRule>
  </conditionalFormatting>
  <conditionalFormatting sqref="J77">
    <cfRule type="containsText" dxfId="1409" priority="151" operator="containsText" text="허하나로">
      <formula>NOT(ISERROR(SEARCH("허하나로",H1134)))</formula>
    </cfRule>
    <cfRule type="containsText" dxfId="1408" priority="152" operator="containsText" text="한별">
      <formula>NOT(ISERROR(SEARCH("한별",H1134)))</formula>
    </cfRule>
    <cfRule type="containsText" dxfId="1407" priority="153" operator="containsText" text="정홍조">
      <formula>NOT(ISERROR(SEARCH("정홍조",H1134)))</formula>
    </cfRule>
    <cfRule type="containsText" dxfId="1406" priority="154" operator="containsText" text="김지윤">
      <formula>NOT(ISERROR(SEARCH("김지윤",H1134)))</formula>
    </cfRule>
    <cfRule type="containsText" dxfId="1405" priority="155" operator="containsText" text="전준영">
      <formula>NOT(ISERROR(SEARCH("전준영",H1134)))</formula>
    </cfRule>
    <cfRule type="containsText" dxfId="1404" priority="156" operator="containsText" text="차재성">
      <formula>NOT(ISERROR(SEARCH("차재성",H1134)))</formula>
    </cfRule>
  </conditionalFormatting>
  <conditionalFormatting sqref="J73:J74">
    <cfRule type="containsText" dxfId="1403" priority="217" operator="containsText" text="허하나로">
      <formula>NOT(ISERROR(SEARCH("허하나로",H1127)))</formula>
    </cfRule>
    <cfRule type="containsText" dxfId="1402" priority="218" operator="containsText" text="한별">
      <formula>NOT(ISERROR(SEARCH("한별",H1127)))</formula>
    </cfRule>
    <cfRule type="containsText" dxfId="1401" priority="219" operator="containsText" text="정홍조">
      <formula>NOT(ISERROR(SEARCH("정홍조",H1127)))</formula>
    </cfRule>
    <cfRule type="containsText" dxfId="1400" priority="220" operator="containsText" text="김지윤">
      <formula>NOT(ISERROR(SEARCH("김지윤",H1127)))</formula>
    </cfRule>
    <cfRule type="containsText" dxfId="1399" priority="221" operator="containsText" text="전준영">
      <formula>NOT(ISERROR(SEARCH("전준영",H1127)))</formula>
    </cfRule>
    <cfRule type="containsText" dxfId="1398" priority="222" operator="containsText" text="차재성">
      <formula>NOT(ISERROR(SEARCH("차재성",H1127)))</formula>
    </cfRule>
  </conditionalFormatting>
  <conditionalFormatting sqref="J63:J66">
    <cfRule type="containsText" dxfId="1397" priority="223" operator="containsText" text="허하나로">
      <formula>NOT(ISERROR(SEARCH("허하나로",H1124)))</formula>
    </cfRule>
    <cfRule type="containsText" dxfId="1396" priority="224" operator="containsText" text="한별">
      <formula>NOT(ISERROR(SEARCH("한별",H1124)))</formula>
    </cfRule>
    <cfRule type="containsText" dxfId="1395" priority="225" operator="containsText" text="정홍조">
      <formula>NOT(ISERROR(SEARCH("정홍조",H1124)))</formula>
    </cfRule>
    <cfRule type="containsText" dxfId="1394" priority="226" operator="containsText" text="김지윤">
      <formula>NOT(ISERROR(SEARCH("김지윤",H1124)))</formula>
    </cfRule>
    <cfRule type="containsText" dxfId="1393" priority="227" operator="containsText" text="전준영">
      <formula>NOT(ISERROR(SEARCH("전준영",H1124)))</formula>
    </cfRule>
    <cfRule type="containsText" dxfId="1392" priority="228" operator="containsText" text="차재성">
      <formula>NOT(ISERROR(SEARCH("차재성",H1124)))</formula>
    </cfRule>
  </conditionalFormatting>
  <conditionalFormatting sqref="J67">
    <cfRule type="containsText" dxfId="1391" priority="145" operator="containsText" text="허하나로">
      <formula>NOT(ISERROR(SEARCH("허하나로",H1122)))</formula>
    </cfRule>
    <cfRule type="containsText" dxfId="1390" priority="146" operator="containsText" text="한별">
      <formula>NOT(ISERROR(SEARCH("한별",H1122)))</formula>
    </cfRule>
    <cfRule type="containsText" dxfId="1389" priority="147" operator="containsText" text="정홍조">
      <formula>NOT(ISERROR(SEARCH("정홍조",H1122)))</formula>
    </cfRule>
    <cfRule type="containsText" dxfId="1388" priority="148" operator="containsText" text="김지윤">
      <formula>NOT(ISERROR(SEARCH("김지윤",H1122)))</formula>
    </cfRule>
    <cfRule type="containsText" dxfId="1387" priority="149" operator="containsText" text="전준영">
      <formula>NOT(ISERROR(SEARCH("전준영",H1122)))</formula>
    </cfRule>
    <cfRule type="containsText" dxfId="1386" priority="150" operator="containsText" text="차재성">
      <formula>NOT(ISERROR(SEARCH("차재성",H1122)))</formula>
    </cfRule>
  </conditionalFormatting>
  <conditionalFormatting sqref="J48">
    <cfRule type="containsText" dxfId="1385" priority="127" operator="containsText" text="허하나로">
      <formula>NOT(ISERROR(SEARCH("허하나로",H1067)))</formula>
    </cfRule>
    <cfRule type="containsText" dxfId="1384" priority="128" operator="containsText" text="한별">
      <formula>NOT(ISERROR(SEARCH("한별",H1067)))</formula>
    </cfRule>
    <cfRule type="containsText" dxfId="1383" priority="129" operator="containsText" text="정홍조">
      <formula>NOT(ISERROR(SEARCH("정홍조",H1067)))</formula>
    </cfRule>
    <cfRule type="containsText" dxfId="1382" priority="130" operator="containsText" text="김지윤">
      <formula>NOT(ISERROR(SEARCH("김지윤",H1067)))</formula>
    </cfRule>
    <cfRule type="containsText" dxfId="1381" priority="131" operator="containsText" text="전준영">
      <formula>NOT(ISERROR(SEARCH("전준영",H1067)))</formula>
    </cfRule>
    <cfRule type="containsText" dxfId="1380" priority="132" operator="containsText" text="차재성">
      <formula>NOT(ISERROR(SEARCH("차재성",H1067)))</formula>
    </cfRule>
  </conditionalFormatting>
  <conditionalFormatting sqref="J49">
    <cfRule type="containsText" dxfId="1379" priority="121" operator="containsText" text="허하나로">
      <formula>NOT(ISERROR(SEARCH("허하나로",H1057)))</formula>
    </cfRule>
    <cfRule type="containsText" dxfId="1378" priority="122" operator="containsText" text="한별">
      <formula>NOT(ISERROR(SEARCH("한별",H1057)))</formula>
    </cfRule>
    <cfRule type="containsText" dxfId="1377" priority="123" operator="containsText" text="정홍조">
      <formula>NOT(ISERROR(SEARCH("정홍조",H1057)))</formula>
    </cfRule>
    <cfRule type="containsText" dxfId="1376" priority="124" operator="containsText" text="김지윤">
      <formula>NOT(ISERROR(SEARCH("김지윤",H1057)))</formula>
    </cfRule>
    <cfRule type="containsText" dxfId="1375" priority="125" operator="containsText" text="전준영">
      <formula>NOT(ISERROR(SEARCH("전준영",H1057)))</formula>
    </cfRule>
    <cfRule type="containsText" dxfId="1374" priority="126" operator="containsText" text="차재성">
      <formula>NOT(ISERROR(SEARCH("차재성",H1057)))</formula>
    </cfRule>
  </conditionalFormatting>
  <conditionalFormatting sqref="J50:J51">
    <cfRule type="containsText" dxfId="1373" priority="3559" operator="containsText" text="허하나로">
      <formula>NOT(ISERROR(SEARCH("허하나로",H1066)))</formula>
    </cfRule>
    <cfRule type="containsText" dxfId="1372" priority="3560" operator="containsText" text="한별">
      <formula>NOT(ISERROR(SEARCH("한별",H1066)))</formula>
    </cfRule>
    <cfRule type="containsText" dxfId="1371" priority="3561" operator="containsText" text="정홍조">
      <formula>NOT(ISERROR(SEARCH("정홍조",H1066)))</formula>
    </cfRule>
    <cfRule type="containsText" dxfId="1370" priority="3562" operator="containsText" text="김지윤">
      <formula>NOT(ISERROR(SEARCH("김지윤",H1066)))</formula>
    </cfRule>
    <cfRule type="containsText" dxfId="1369" priority="3563" operator="containsText" text="전준영">
      <formula>NOT(ISERROR(SEARCH("전준영",H1066)))</formula>
    </cfRule>
    <cfRule type="containsText" dxfId="1368" priority="3564" operator="containsText" text="차재성">
      <formula>NOT(ISERROR(SEARCH("차재성",H1066)))</formula>
    </cfRule>
  </conditionalFormatting>
  <conditionalFormatting sqref="J52">
    <cfRule type="containsText" dxfId="1367" priority="115" operator="containsText" text="허하나로">
      <formula>NOT(ISERROR(SEARCH("허하나로",H1066)))</formula>
    </cfRule>
    <cfRule type="containsText" dxfId="1366" priority="116" operator="containsText" text="한별">
      <formula>NOT(ISERROR(SEARCH("한별",H1066)))</formula>
    </cfRule>
    <cfRule type="containsText" dxfId="1365" priority="117" operator="containsText" text="정홍조">
      <formula>NOT(ISERROR(SEARCH("정홍조",H1066)))</formula>
    </cfRule>
    <cfRule type="containsText" dxfId="1364" priority="118" operator="containsText" text="김지윤">
      <formula>NOT(ISERROR(SEARCH("김지윤",H1066)))</formula>
    </cfRule>
    <cfRule type="containsText" dxfId="1363" priority="119" operator="containsText" text="전준영">
      <formula>NOT(ISERROR(SEARCH("전준영",H1066)))</formula>
    </cfRule>
    <cfRule type="containsText" dxfId="1362" priority="120" operator="containsText" text="차재성">
      <formula>NOT(ISERROR(SEARCH("차재성",H1066)))</formula>
    </cfRule>
  </conditionalFormatting>
  <conditionalFormatting sqref="J2:J3">
    <cfRule type="containsText" dxfId="1361" priority="91" operator="containsText" text="허하나로">
      <formula>NOT(ISERROR(SEARCH("허하나로",H781)))</formula>
    </cfRule>
    <cfRule type="containsText" dxfId="1360" priority="92" operator="containsText" text="한별">
      <formula>NOT(ISERROR(SEARCH("한별",H781)))</formula>
    </cfRule>
    <cfRule type="containsText" dxfId="1359" priority="93" operator="containsText" text="정홍조">
      <formula>NOT(ISERROR(SEARCH("정홍조",H781)))</formula>
    </cfRule>
    <cfRule type="containsText" dxfId="1358" priority="94" operator="containsText" text="김지윤">
      <formula>NOT(ISERROR(SEARCH("김지윤",H781)))</formula>
    </cfRule>
    <cfRule type="containsText" dxfId="1357" priority="95" operator="containsText" text="전준영">
      <formula>NOT(ISERROR(SEARCH("전준영",H781)))</formula>
    </cfRule>
    <cfRule type="containsText" dxfId="1356" priority="96" operator="containsText" text="차재성">
      <formula>NOT(ISERROR(SEARCH("차재성",H781)))</formula>
    </cfRule>
  </conditionalFormatting>
  <conditionalFormatting sqref="J10:J11">
    <cfRule type="containsText" dxfId="1355" priority="79" operator="containsText" text="허하나로">
      <formula>NOT(ISERROR(SEARCH("허하나로",H933)))</formula>
    </cfRule>
    <cfRule type="containsText" dxfId="1354" priority="80" operator="containsText" text="한별">
      <formula>NOT(ISERROR(SEARCH("한별",H933)))</formula>
    </cfRule>
    <cfRule type="containsText" dxfId="1353" priority="81" operator="containsText" text="정홍조">
      <formula>NOT(ISERROR(SEARCH("정홍조",H933)))</formula>
    </cfRule>
    <cfRule type="containsText" dxfId="1352" priority="82" operator="containsText" text="김지윤">
      <formula>NOT(ISERROR(SEARCH("김지윤",H933)))</formula>
    </cfRule>
    <cfRule type="containsText" dxfId="1351" priority="83" operator="containsText" text="전준영">
      <formula>NOT(ISERROR(SEARCH("전준영",H933)))</formula>
    </cfRule>
    <cfRule type="containsText" dxfId="1350" priority="84" operator="containsText" text="차재성">
      <formula>NOT(ISERROR(SEARCH("차재성",H933)))</formula>
    </cfRule>
  </conditionalFormatting>
  <conditionalFormatting sqref="J8:J9">
    <cfRule type="containsText" dxfId="1349" priority="85" operator="containsText" text="허하나로">
      <formula>NOT(ISERROR(SEARCH("허하나로",H931)))</formula>
    </cfRule>
    <cfRule type="containsText" dxfId="1348" priority="86" operator="containsText" text="한별">
      <formula>NOT(ISERROR(SEARCH("한별",H931)))</formula>
    </cfRule>
    <cfRule type="containsText" dxfId="1347" priority="87" operator="containsText" text="정홍조">
      <formula>NOT(ISERROR(SEARCH("정홍조",H931)))</formula>
    </cfRule>
    <cfRule type="containsText" dxfId="1346" priority="88" operator="containsText" text="김지윤">
      <formula>NOT(ISERROR(SEARCH("김지윤",H931)))</formula>
    </cfRule>
    <cfRule type="containsText" dxfId="1345" priority="89" operator="containsText" text="전준영">
      <formula>NOT(ISERROR(SEARCH("전준영",H931)))</formula>
    </cfRule>
    <cfRule type="containsText" dxfId="1344" priority="90" operator="containsText" text="차재성">
      <formula>NOT(ISERROR(SEARCH("차재성",H931)))</formula>
    </cfRule>
  </conditionalFormatting>
  <conditionalFormatting sqref="J41">
    <cfRule type="containsText" dxfId="1343" priority="73" operator="containsText" text="허하나로">
      <formula>NOT(ISERROR(SEARCH("허하나로",H1059)))</formula>
    </cfRule>
    <cfRule type="containsText" dxfId="1342" priority="74" operator="containsText" text="한별">
      <formula>NOT(ISERROR(SEARCH("한별",H1059)))</formula>
    </cfRule>
    <cfRule type="containsText" dxfId="1341" priority="75" operator="containsText" text="정홍조">
      <formula>NOT(ISERROR(SEARCH("정홍조",H1059)))</formula>
    </cfRule>
    <cfRule type="containsText" dxfId="1340" priority="76" operator="containsText" text="김지윤">
      <formula>NOT(ISERROR(SEARCH("김지윤",H1059)))</formula>
    </cfRule>
    <cfRule type="containsText" dxfId="1339" priority="77" operator="containsText" text="전준영">
      <formula>NOT(ISERROR(SEARCH("전준영",H1059)))</formula>
    </cfRule>
    <cfRule type="containsText" dxfId="1338" priority="78" operator="containsText" text="차재성">
      <formula>NOT(ISERROR(SEARCH("차재성",H1059)))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Height="0" orientation="landscape" useFirstPageNumber="1" r:id="rId1"/>
  <headerFooter alignWithMargins="0">
    <oddHeader xml:space="preserve">&amp;L&amp;"돋움,굵게"
</oddHeader>
  </headerFooter>
  <rowBreaks count="2" manualBreakCount="2">
    <brk id="41" max="16383" man="1"/>
    <brk id="69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47" operator="containsText" text="허하나로" id="{24FD43E4-20DE-437E-AD59-68C9BC13BAF7}">
            <xm:f>NOT(ISERROR(SEARCH("허하나로",행정관리부!H798)))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48" operator="containsText" text="한별" id="{60F8BA74-FE42-4F1F-B322-10590855B08A}">
            <xm:f>NOT(ISERROR(SEARCH("한별",행정관리부!H798)))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49" operator="containsText" text="정홍조" id="{C6EEC022-9C16-4D2D-953D-977281EE8274}">
            <xm:f>NOT(ISERROR(SEARCH("정홍조",행정관리부!H798)))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50" operator="containsText" text="김지윤" id="{AB358A13-B26B-4E8E-AF46-CDDEDBE21BB2}">
            <xm:f>NOT(ISERROR(SEARCH("김지윤",행정관리부!H798)))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51" operator="containsText" text="전준영" id="{BC518656-669C-4B9D-BDF8-B8CED81A0E35}">
            <xm:f>NOT(ISERROR(SEARCH("전준영",행정관리부!H798)))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52" operator="containsText" text="차재성" id="{34134193-752B-443B-8DD6-E4B873E2D494}">
            <xm:f>NOT(ISERROR(SEARCH("차재성",행정관리부!H798)))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253" operator="containsText" text="허하나로" id="{1EB00C52-6782-449F-B675-F5701B702752}">
            <xm:f>NOT(ISERROR(SEARCH("허하나로",행정관리부!H1123)))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54" operator="containsText" text="한별" id="{CF2A2941-03C0-4637-B6CB-F816BB26EA32}">
            <xm:f>NOT(ISERROR(SEARCH("한별",행정관리부!H1123)))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55" operator="containsText" text="정홍조" id="{1DB369BD-79B5-49B0-95DA-7B2207AC2F37}">
            <xm:f>NOT(ISERROR(SEARCH("정홍조",행정관리부!H1123)))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56" operator="containsText" text="김지윤" id="{C2FE386E-0A07-48A5-85CC-48AD572F6029}">
            <xm:f>NOT(ISERROR(SEARCH("김지윤",행정관리부!H1123)))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57" operator="containsText" text="전준영" id="{36CDD458-810E-4539-B8EE-1637B8378362}">
            <xm:f>NOT(ISERROR(SEARCH("전준영",행정관리부!H1123)))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58" operator="containsText" text="차재성" id="{C5D09E41-1AAB-4D47-9969-73F6179D6D7E}">
            <xm:f>NOT(ISERROR(SEARCH("차재성",행정관리부!H1123)))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J18:J22 J24:J25 J16 J75</xm:sqref>
        </x14:conditionalFormatting>
        <x14:conditionalFormatting xmlns:xm="http://schemas.microsoft.com/office/excel/2006/main">
          <x14:cfRule type="containsText" priority="109" operator="containsText" text="허하나로" id="{C8DFF365-DAED-48F2-89EF-BF9FBA637E0A}">
            <xm:f>NOT(ISERROR(SEARCH("허하나로",행정관리부!H1126)))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77A51C8F-45A6-4C9A-A89A-9F148E12E284}">
            <xm:f>NOT(ISERROR(SEARCH("한별",행정관리부!H1126)))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B3E9070C-92EC-4C38-97B0-A19E56B49D7A}">
            <xm:f>NOT(ISERROR(SEARCH("정홍조",행정관리부!H1126)))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925272BA-11B1-47AB-97CC-EEF990D3811B}">
            <xm:f>NOT(ISERROR(SEARCH("김지윤",행정관리부!H1126)))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672FB15A-F652-47AA-B252-7B9563F34B4B}">
            <xm:f>NOT(ISERROR(SEARCH("전준영",행정관리부!H1126)))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15D30090-086C-41E9-BB68-D54731507161}">
            <xm:f>NOT(ISERROR(SEARCH("차재성",행정관리부!H1126)))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103" operator="containsText" text="허하나로" id="{E34DF48F-6D6F-42AC-AC0D-B1642F7FC0DB}">
            <xm:f>NOT(ISERROR(SEARCH("허하나로",행정관리부!H1182)))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60EBE7BB-FB13-4A36-AAF5-259BFE896885}">
            <xm:f>NOT(ISERROR(SEARCH("한별",행정관리부!H1182)))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A45C6314-BBF4-4499-99F0-A2373DB51757}">
            <xm:f>NOT(ISERROR(SEARCH("정홍조",행정관리부!H1182)))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BC33EAB8-E47C-4841-A578-76E995917D97}">
            <xm:f>NOT(ISERROR(SEARCH("김지윤",행정관리부!H1182)))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85215C64-2EB0-452B-B013-1F3C1AF3E18F}">
            <xm:f>NOT(ISERROR(SEARCH("전준영",행정관리부!H1182)))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0ABA230F-C9FA-4850-BEA1-30945FD5DABF}">
            <xm:f>NOT(ISERROR(SEARCH("차재성",행정관리부!H1182)))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J57:J58</xm:sqref>
        </x14:conditionalFormatting>
        <x14:conditionalFormatting xmlns:xm="http://schemas.microsoft.com/office/excel/2006/main">
          <x14:cfRule type="containsText" priority="3997" operator="containsText" text="허하나로" id="{1EB00C52-6782-449F-B675-F5701B702752}">
            <xm:f>NOT(ISERROR(SEARCH("허하나로",행정관리부!H1132)))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98" operator="containsText" text="한별" id="{CF2A2941-03C0-4637-B6CB-F816BB26EA32}">
            <xm:f>NOT(ISERROR(SEARCH("한별",행정관리부!H1132)))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99" operator="containsText" text="정홍조" id="{1DB369BD-79B5-49B0-95DA-7B2207AC2F37}">
            <xm:f>NOT(ISERROR(SEARCH("정홍조",행정관리부!H1132)))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00" operator="containsText" text="김지윤" id="{C2FE386E-0A07-48A5-85CC-48AD572F6029}">
            <xm:f>NOT(ISERROR(SEARCH("김지윤",행정관리부!H1132)))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001" operator="containsText" text="전준영" id="{36CDD458-810E-4539-B8EE-1637B8378362}">
            <xm:f>NOT(ISERROR(SEARCH("전준영",행정관리부!H1132)))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002" operator="containsText" text="차재성" id="{C5D09E41-1AAB-4D47-9969-73F6179D6D7E}">
            <xm:f>NOT(ISERROR(SEARCH("차재성",행정관리부!H1132)))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containsText" priority="4591" operator="containsText" text="허하나로" id="{1EB00C52-6782-449F-B675-F5701B702752}">
            <xm:f>NOT(ISERROR(SEARCH("허하나로",행정관리부!H1134)))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92" operator="containsText" text="한별" id="{CF2A2941-03C0-4637-B6CB-F816BB26EA32}">
            <xm:f>NOT(ISERROR(SEARCH("한별",행정관리부!H1134)))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93" operator="containsText" text="정홍조" id="{1DB369BD-79B5-49B0-95DA-7B2207AC2F37}">
            <xm:f>NOT(ISERROR(SEARCH("정홍조",행정관리부!H1134)))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94" operator="containsText" text="김지윤" id="{C2FE386E-0A07-48A5-85CC-48AD572F6029}">
            <xm:f>NOT(ISERROR(SEARCH("김지윤",행정관리부!H1134)))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95" operator="containsText" text="전준영" id="{36CDD458-810E-4539-B8EE-1637B8378362}">
            <xm:f>NOT(ISERROR(SEARCH("전준영",행정관리부!H1134)))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96" operator="containsText" text="차재성" id="{C5D09E41-1AAB-4D47-9969-73F6179D6D7E}">
            <xm:f>NOT(ISERROR(SEARCH("차재성",행정관리부!H1134)))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6499" operator="containsText" text="허하나로" id="{1EB00C52-6782-449F-B675-F5701B702752}">
            <xm:f>NOT(ISERROR(SEARCH("허하나로",행정관리부!H1123)))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500" operator="containsText" text="한별" id="{CF2A2941-03C0-4637-B6CB-F816BB26EA32}">
            <xm:f>NOT(ISERROR(SEARCH("한별",행정관리부!H1123)))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501" operator="containsText" text="정홍조" id="{1DB369BD-79B5-49B0-95DA-7B2207AC2F37}">
            <xm:f>NOT(ISERROR(SEARCH("정홍조",행정관리부!H1123)))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502" operator="containsText" text="김지윤" id="{C2FE386E-0A07-48A5-85CC-48AD572F6029}">
            <xm:f>NOT(ISERROR(SEARCH("김지윤",행정관리부!H1123)))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03" operator="containsText" text="전준영" id="{36CDD458-810E-4539-B8EE-1637B8378362}">
            <xm:f>NOT(ISERROR(SEARCH("전준영",행정관리부!H1123)))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504" operator="containsText" text="차재성" id="{C5D09E41-1AAB-4D47-9969-73F6179D6D7E}">
            <xm:f>NOT(ISERROR(SEARCH("차재성",행정관리부!H1123)))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 J23 J17 J76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Y242"/>
  <sheetViews>
    <sheetView zoomScale="85" zoomScaleNormal="85" zoomScaleSheetLayoutView="85" workbookViewId="0">
      <selection activeCell="G14" sqref="G14"/>
    </sheetView>
  </sheetViews>
  <sheetFormatPr defaultRowHeight="16.5"/>
  <cols>
    <col min="1" max="6" width="3.875" style="24" customWidth="1"/>
    <col min="7" max="7" width="32.625" style="24" customWidth="1"/>
    <col min="8" max="8" width="14.625" style="77" customWidth="1"/>
    <col min="9" max="9" width="17.125" style="77" customWidth="1"/>
    <col min="10" max="10" width="14.625" style="26" customWidth="1"/>
    <col min="11" max="11" width="55.875" style="21" customWidth="1"/>
    <col min="12" max="12" width="3.875" style="22" customWidth="1"/>
    <col min="13" max="13" width="14.625" style="25" customWidth="1"/>
    <col min="14" max="14" width="57.125" style="23" hidden="1" customWidth="1"/>
    <col min="15" max="15" width="14" style="34" hidden="1" customWidth="1"/>
    <col min="16" max="16" width="16" style="35" hidden="1" customWidth="1"/>
    <col min="17" max="17" width="10" style="35" hidden="1" customWidth="1"/>
    <col min="18" max="18" width="12.75" style="35" hidden="1" customWidth="1"/>
    <col min="19" max="19" width="12.5" style="35" hidden="1" customWidth="1"/>
    <col min="20" max="20" width="11.75" style="35" hidden="1" customWidth="1"/>
    <col min="21" max="21" width="10" style="35" hidden="1" customWidth="1"/>
    <col min="22" max="24" width="9" style="35" hidden="1" customWidth="1"/>
    <col min="25" max="29" width="9" style="34" hidden="1" customWidth="1"/>
    <col min="30" max="30" width="9" style="576"/>
    <col min="31" max="16384" width="9" style="34"/>
  </cols>
  <sheetData>
    <row r="1" spans="1:30" ht="17.25" customHeight="1" thickBot="1">
      <c r="A1" s="88" t="s">
        <v>168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30" s="1" customFormat="1" ht="18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895</v>
      </c>
      <c r="J2" s="709" t="s">
        <v>463</v>
      </c>
      <c r="K2" s="693" t="s">
        <v>1</v>
      </c>
      <c r="L2" s="694"/>
      <c r="M2" s="695"/>
      <c r="N2" s="13"/>
      <c r="O2" s="4"/>
      <c r="P2" s="8"/>
      <c r="Q2" s="4"/>
      <c r="R2" s="4"/>
      <c r="S2" s="4"/>
      <c r="T2" s="5"/>
      <c r="U2" s="3"/>
      <c r="AD2" s="576"/>
    </row>
    <row r="3" spans="1:30" s="1" customFormat="1" ht="18" customHeight="1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  <c r="N3" s="13"/>
      <c r="O3" s="4"/>
      <c r="P3" s="8"/>
      <c r="Q3" s="4"/>
      <c r="R3" s="4"/>
      <c r="S3" s="4"/>
      <c r="T3" s="5"/>
      <c r="U3" s="3"/>
      <c r="AD3" s="576"/>
    </row>
    <row r="4" spans="1:30" s="61" customFormat="1" ht="18" customHeight="1" thickBot="1">
      <c r="A4" s="699" t="s">
        <v>30</v>
      </c>
      <c r="B4" s="700"/>
      <c r="C4" s="700"/>
      <c r="D4" s="700"/>
      <c r="E4" s="700"/>
      <c r="F4" s="700"/>
      <c r="G4" s="701"/>
      <c r="H4" s="184">
        <f>H5</f>
        <v>237681</v>
      </c>
      <c r="I4" s="184">
        <v>237436</v>
      </c>
      <c r="J4" s="120">
        <f>H4-I4</f>
        <v>245</v>
      </c>
      <c r="K4" s="89"/>
      <c r="L4" s="90"/>
      <c r="M4" s="121"/>
      <c r="N4" s="66"/>
      <c r="O4" s="17"/>
      <c r="P4" s="18"/>
      <c r="Q4" s="19"/>
      <c r="R4" s="20"/>
      <c r="S4" s="20"/>
      <c r="T4" s="62"/>
      <c r="X4" s="62"/>
      <c r="Y4" s="62"/>
      <c r="Z4" s="62"/>
      <c r="AA4" s="62"/>
      <c r="AB4" s="62"/>
      <c r="AD4" s="576"/>
    </row>
    <row r="5" spans="1:30" s="1" customFormat="1" ht="18" customHeight="1">
      <c r="A5" s="204" t="s">
        <v>2</v>
      </c>
      <c r="B5" s="122"/>
      <c r="C5" s="123"/>
      <c r="D5" s="123"/>
      <c r="E5" s="123"/>
      <c r="F5" s="123"/>
      <c r="G5" s="124"/>
      <c r="H5" s="94">
        <f>H6</f>
        <v>237681</v>
      </c>
      <c r="I5" s="94">
        <v>237436</v>
      </c>
      <c r="J5" s="95">
        <f>H5-I5</f>
        <v>245</v>
      </c>
      <c r="K5" s="78"/>
      <c r="L5" s="79"/>
      <c r="M5" s="80"/>
      <c r="N5" s="125"/>
      <c r="O5" s="2"/>
      <c r="P5" s="11"/>
      <c r="Q5" s="126"/>
      <c r="R5" s="126"/>
      <c r="S5" s="126"/>
      <c r="T5" s="127"/>
      <c r="U5" s="128"/>
      <c r="AD5" s="576"/>
    </row>
    <row r="6" spans="1:30" s="1" customFormat="1" ht="18" customHeight="1">
      <c r="A6" s="10"/>
      <c r="B6" s="129" t="s">
        <v>249</v>
      </c>
      <c r="C6" s="129"/>
      <c r="D6" s="130"/>
      <c r="E6" s="130"/>
      <c r="F6" s="130"/>
      <c r="G6" s="131"/>
      <c r="H6" s="94">
        <f>SUM(H7,H60)</f>
        <v>237681</v>
      </c>
      <c r="I6" s="94">
        <v>237436</v>
      </c>
      <c r="J6" s="95">
        <f>H6-I6</f>
        <v>245</v>
      </c>
      <c r="K6" s="78"/>
      <c r="L6" s="79"/>
      <c r="M6" s="80"/>
      <c r="N6" s="125"/>
      <c r="O6" s="2"/>
      <c r="P6" s="11"/>
      <c r="Q6" s="126"/>
      <c r="R6" s="126"/>
      <c r="S6" s="126"/>
      <c r="T6" s="127"/>
      <c r="U6" s="128"/>
      <c r="AD6" s="576"/>
    </row>
    <row r="7" spans="1:30" s="1" customFormat="1" ht="18" customHeight="1">
      <c r="A7" s="10"/>
      <c r="B7" s="6"/>
      <c r="C7" s="129" t="s">
        <v>249</v>
      </c>
      <c r="D7" s="130"/>
      <c r="E7" s="130"/>
      <c r="F7" s="130"/>
      <c r="G7" s="131"/>
      <c r="H7" s="94">
        <f>SUM(H8,,H21,H39,H44)</f>
        <v>212305</v>
      </c>
      <c r="I7" s="94">
        <v>212060</v>
      </c>
      <c r="J7" s="95">
        <f t="shared" ref="J7:J11" si="0">H7-I7</f>
        <v>245</v>
      </c>
      <c r="K7" s="78"/>
      <c r="L7" s="79"/>
      <c r="M7" s="80"/>
      <c r="N7" s="713"/>
      <c r="O7" s="713"/>
      <c r="P7" s="713"/>
      <c r="Q7" s="713"/>
      <c r="R7" s="713"/>
      <c r="S7" s="713"/>
      <c r="T7" s="713"/>
      <c r="U7" s="713"/>
      <c r="AD7" s="576"/>
    </row>
    <row r="8" spans="1:30" s="1" customFormat="1" ht="18" customHeight="1">
      <c r="A8" s="10"/>
      <c r="B8" s="6"/>
      <c r="C8" s="7"/>
      <c r="D8" s="129" t="s">
        <v>436</v>
      </c>
      <c r="E8" s="130"/>
      <c r="F8" s="130"/>
      <c r="G8" s="131"/>
      <c r="H8" s="132">
        <f>H9</f>
        <v>8100</v>
      </c>
      <c r="I8" s="132">
        <v>8100</v>
      </c>
      <c r="J8" s="95">
        <f t="shared" si="0"/>
        <v>0</v>
      </c>
      <c r="K8" s="81"/>
      <c r="L8" s="133"/>
      <c r="M8" s="80"/>
      <c r="N8" s="125"/>
      <c r="O8" s="2"/>
      <c r="P8" s="11"/>
      <c r="Q8" s="126"/>
      <c r="R8" s="126"/>
      <c r="S8" s="126"/>
      <c r="T8" s="127"/>
      <c r="U8" s="128"/>
      <c r="AD8" s="576"/>
    </row>
    <row r="9" spans="1:30" s="1" customFormat="1" ht="18" customHeight="1">
      <c r="A9" s="10"/>
      <c r="B9" s="6"/>
      <c r="C9" s="134"/>
      <c r="D9" s="135"/>
      <c r="E9" s="129" t="s">
        <v>33</v>
      </c>
      <c r="F9" s="130"/>
      <c r="G9" s="131"/>
      <c r="H9" s="91">
        <f>H10</f>
        <v>8100</v>
      </c>
      <c r="I9" s="91">
        <v>8100</v>
      </c>
      <c r="J9" s="95">
        <f t="shared" si="0"/>
        <v>0</v>
      </c>
      <c r="K9" s="84"/>
      <c r="L9" s="93"/>
      <c r="M9" s="82"/>
      <c r="N9" s="125"/>
      <c r="O9" s="2"/>
      <c r="P9" s="11"/>
      <c r="Q9" s="126"/>
      <c r="R9" s="126"/>
      <c r="S9" s="126"/>
      <c r="T9" s="12"/>
      <c r="U9" s="128"/>
      <c r="AD9" s="576"/>
    </row>
    <row r="10" spans="1:30" s="61" customFormat="1" ht="18" customHeight="1">
      <c r="A10" s="63"/>
      <c r="B10" s="65"/>
      <c r="C10" s="185"/>
      <c r="D10" s="186"/>
      <c r="E10" s="187"/>
      <c r="F10" s="136" t="s">
        <v>433</v>
      </c>
      <c r="G10" s="188"/>
      <c r="H10" s="72">
        <f>H11</f>
        <v>8100</v>
      </c>
      <c r="I10" s="72">
        <v>8100</v>
      </c>
      <c r="J10" s="72">
        <f t="shared" si="0"/>
        <v>0</v>
      </c>
      <c r="K10" s="52"/>
      <c r="L10" s="53"/>
      <c r="M10" s="40"/>
      <c r="N10" s="427"/>
      <c r="AD10" s="576"/>
    </row>
    <row r="11" spans="1:30" s="61" customFormat="1" ht="18" customHeight="1">
      <c r="A11" s="63"/>
      <c r="B11" s="65"/>
      <c r="C11" s="65"/>
      <c r="D11" s="144"/>
      <c r="E11" s="189"/>
      <c r="F11" s="189"/>
      <c r="G11" s="138" t="s">
        <v>437</v>
      </c>
      <c r="H11" s="73">
        <f>SUM(M11,M15)</f>
        <v>8100</v>
      </c>
      <c r="I11" s="73">
        <v>8100</v>
      </c>
      <c r="J11" s="73">
        <f t="shared" si="0"/>
        <v>0</v>
      </c>
      <c r="K11" s="36" t="s">
        <v>47</v>
      </c>
      <c r="L11" s="44"/>
      <c r="M11" s="217">
        <f>SUM(M12:M14)</f>
        <v>8100</v>
      </c>
      <c r="N11" s="428"/>
      <c r="O11" s="47"/>
      <c r="AD11" s="576"/>
    </row>
    <row r="12" spans="1:30" s="61" customFormat="1" ht="18" customHeight="1">
      <c r="A12" s="63"/>
      <c r="B12" s="65"/>
      <c r="C12" s="65"/>
      <c r="D12" s="144"/>
      <c r="E12" s="189"/>
      <c r="F12" s="189"/>
      <c r="G12" s="68"/>
      <c r="H12" s="74"/>
      <c r="I12" s="74"/>
      <c r="J12" s="74"/>
      <c r="K12" s="584" t="s">
        <v>641</v>
      </c>
      <c r="L12" s="375" t="s">
        <v>438</v>
      </c>
      <c r="M12" s="374">
        <v>4000</v>
      </c>
      <c r="N12" s="427"/>
      <c r="O12" s="47"/>
      <c r="AD12" s="576"/>
    </row>
    <row r="13" spans="1:30" s="61" customFormat="1" ht="18" customHeight="1">
      <c r="A13" s="63"/>
      <c r="B13" s="65"/>
      <c r="C13" s="65"/>
      <c r="D13" s="144"/>
      <c r="E13" s="144"/>
      <c r="F13" s="189"/>
      <c r="G13" s="68"/>
      <c r="H13" s="74"/>
      <c r="I13" s="74"/>
      <c r="J13" s="48"/>
      <c r="K13" s="382" t="s">
        <v>559</v>
      </c>
      <c r="L13" s="375" t="s">
        <v>0</v>
      </c>
      <c r="M13" s="399">
        <v>1100</v>
      </c>
      <c r="N13" s="429" t="s">
        <v>16</v>
      </c>
      <c r="O13" s="47"/>
      <c r="P13" s="46"/>
      <c r="AD13" s="576"/>
    </row>
    <row r="14" spans="1:30" s="61" customFormat="1" ht="18" customHeight="1">
      <c r="A14" s="63"/>
      <c r="B14" s="65"/>
      <c r="C14" s="65"/>
      <c r="D14" s="144"/>
      <c r="E14" s="189"/>
      <c r="F14" s="189"/>
      <c r="G14" s="68"/>
      <c r="H14" s="74"/>
      <c r="I14" s="74"/>
      <c r="J14" s="48"/>
      <c r="K14" s="584" t="s">
        <v>735</v>
      </c>
      <c r="L14" s="375" t="s">
        <v>0</v>
      </c>
      <c r="M14" s="399">
        <v>3000</v>
      </c>
      <c r="N14" s="429"/>
      <c r="O14" s="47"/>
      <c r="P14" s="46"/>
      <c r="AD14" s="576"/>
    </row>
    <row r="15" spans="1:30" s="61" customFormat="1" ht="18" customHeight="1">
      <c r="A15" s="63"/>
      <c r="B15" s="65"/>
      <c r="C15" s="65"/>
      <c r="D15" s="144"/>
      <c r="E15" s="189"/>
      <c r="F15" s="189"/>
      <c r="G15" s="68"/>
      <c r="H15" s="74"/>
      <c r="I15" s="74"/>
      <c r="J15" s="74"/>
      <c r="K15" s="214" t="s">
        <v>558</v>
      </c>
      <c r="L15" s="45"/>
      <c r="M15" s="192">
        <f>SUM(M19:M20)</f>
        <v>0</v>
      </c>
      <c r="N15" s="427"/>
      <c r="O15" s="47"/>
      <c r="AD15" s="576"/>
    </row>
    <row r="16" spans="1:30" s="61" customFormat="1" ht="18" customHeight="1">
      <c r="A16" s="63"/>
      <c r="B16" s="65"/>
      <c r="C16" s="65"/>
      <c r="D16" s="144"/>
      <c r="E16" s="189"/>
      <c r="F16" s="189"/>
      <c r="G16" s="68"/>
      <c r="H16" s="74"/>
      <c r="I16" s="74"/>
      <c r="J16" s="74"/>
      <c r="K16" s="382" t="s">
        <v>672</v>
      </c>
      <c r="L16" s="375" t="s">
        <v>438</v>
      </c>
      <c r="M16" s="399">
        <v>2500</v>
      </c>
      <c r="N16" s="427"/>
      <c r="O16" s="47"/>
      <c r="AD16" s="576"/>
    </row>
    <row r="17" spans="1:51" s="61" customFormat="1" ht="18" customHeight="1">
      <c r="A17" s="63"/>
      <c r="B17" s="65"/>
      <c r="C17" s="65"/>
      <c r="D17" s="144"/>
      <c r="E17" s="189"/>
      <c r="F17" s="189"/>
      <c r="G17" s="68"/>
      <c r="H17" s="74"/>
      <c r="I17" s="74"/>
      <c r="J17" s="74"/>
      <c r="K17" s="382" t="s">
        <v>560</v>
      </c>
      <c r="L17" s="375" t="s">
        <v>196</v>
      </c>
      <c r="M17" s="399">
        <v>700</v>
      </c>
      <c r="N17" s="427"/>
      <c r="O17" s="47"/>
      <c r="AD17" s="576"/>
    </row>
    <row r="18" spans="1:51" s="61" customFormat="1" ht="18" customHeight="1">
      <c r="A18" s="63"/>
      <c r="B18" s="65"/>
      <c r="C18" s="65"/>
      <c r="D18" s="144"/>
      <c r="E18" s="189"/>
      <c r="F18" s="189"/>
      <c r="G18" s="65"/>
      <c r="H18" s="74"/>
      <c r="I18" s="74"/>
      <c r="J18" s="74"/>
      <c r="K18" s="604" t="s">
        <v>736</v>
      </c>
      <c r="L18" s="45"/>
      <c r="M18" s="192"/>
      <c r="N18" s="427"/>
      <c r="O18" s="47"/>
      <c r="AD18" s="603"/>
    </row>
    <row r="19" spans="1:51" s="61" customFormat="1" ht="18" customHeight="1">
      <c r="A19" s="63"/>
      <c r="B19" s="65"/>
      <c r="C19" s="65"/>
      <c r="D19" s="144"/>
      <c r="E19" s="189"/>
      <c r="F19" s="189"/>
      <c r="G19" s="65"/>
      <c r="H19" s="74"/>
      <c r="I19" s="74"/>
      <c r="J19" s="74"/>
      <c r="K19" s="382" t="s">
        <v>737</v>
      </c>
      <c r="L19" s="375" t="s">
        <v>37</v>
      </c>
      <c r="M19" s="399">
        <v>0</v>
      </c>
      <c r="N19" s="427"/>
      <c r="O19" s="47"/>
      <c r="AD19" s="603"/>
    </row>
    <row r="20" spans="1:51" s="61" customFormat="1" ht="18" customHeight="1">
      <c r="A20" s="63"/>
      <c r="B20" s="65"/>
      <c r="C20" s="65"/>
      <c r="D20" s="144"/>
      <c r="E20" s="189"/>
      <c r="F20" s="189"/>
      <c r="G20" s="67"/>
      <c r="H20" s="71"/>
      <c r="I20" s="71"/>
      <c r="J20" s="71"/>
      <c r="K20" s="380" t="s">
        <v>738</v>
      </c>
      <c r="L20" s="377" t="s">
        <v>196</v>
      </c>
      <c r="M20" s="395">
        <v>0</v>
      </c>
      <c r="N20" s="427"/>
      <c r="O20" s="47"/>
      <c r="AD20" s="603"/>
    </row>
    <row r="21" spans="1:51" s="1" customFormat="1" ht="18" customHeight="1">
      <c r="A21" s="10"/>
      <c r="B21" s="6"/>
      <c r="C21" s="146"/>
      <c r="D21" s="129" t="s">
        <v>439</v>
      </c>
      <c r="E21" s="130"/>
      <c r="F21" s="130"/>
      <c r="G21" s="262"/>
      <c r="H21" s="317">
        <f>SUM(H22,H35)</f>
        <v>76460</v>
      </c>
      <c r="I21" s="317">
        <v>68460</v>
      </c>
      <c r="J21" s="95">
        <f t="shared" ref="J21:J24" si="1">H21-I21</f>
        <v>8000</v>
      </c>
      <c r="K21" s="81"/>
      <c r="L21" s="133"/>
      <c r="M21" s="80"/>
      <c r="N21" s="125"/>
      <c r="O21" s="2"/>
      <c r="P21" s="11"/>
      <c r="Q21" s="126"/>
      <c r="R21" s="126"/>
      <c r="S21" s="126"/>
      <c r="T21" s="127"/>
      <c r="U21" s="128"/>
      <c r="AD21" s="576"/>
    </row>
    <row r="22" spans="1:51" s="1" customFormat="1" ht="18" customHeight="1">
      <c r="A22" s="10"/>
      <c r="B22" s="6"/>
      <c r="C22" s="134"/>
      <c r="D22" s="135"/>
      <c r="E22" s="129" t="s">
        <v>31</v>
      </c>
      <c r="F22" s="130"/>
      <c r="G22" s="131"/>
      <c r="H22" s="91">
        <f>SUM(H23,H32)</f>
        <v>36460</v>
      </c>
      <c r="I22" s="91">
        <v>28460</v>
      </c>
      <c r="J22" s="95">
        <f t="shared" si="1"/>
        <v>8000</v>
      </c>
      <c r="K22" s="84"/>
      <c r="L22" s="93"/>
      <c r="M22" s="82"/>
      <c r="N22" s="125"/>
      <c r="O22" s="2"/>
      <c r="P22" s="11"/>
      <c r="Q22" s="126"/>
      <c r="R22" s="126"/>
      <c r="S22" s="126"/>
      <c r="T22" s="12"/>
      <c r="U22" s="128"/>
      <c r="AD22" s="576"/>
    </row>
    <row r="23" spans="1:51" s="61" customFormat="1" ht="18" customHeight="1">
      <c r="A23" s="63"/>
      <c r="B23" s="65"/>
      <c r="C23" s="185"/>
      <c r="D23" s="186"/>
      <c r="E23" s="187"/>
      <c r="F23" s="136" t="s">
        <v>433</v>
      </c>
      <c r="G23" s="188"/>
      <c r="H23" s="72">
        <f>H24</f>
        <v>33160</v>
      </c>
      <c r="I23" s="72">
        <v>25160</v>
      </c>
      <c r="J23" s="72">
        <f t="shared" si="1"/>
        <v>8000</v>
      </c>
      <c r="K23" s="52"/>
      <c r="L23" s="53"/>
      <c r="M23" s="40"/>
      <c r="N23" s="427"/>
      <c r="AD23" s="576"/>
    </row>
    <row r="24" spans="1:51" s="61" customFormat="1" ht="18" customHeight="1">
      <c r="A24" s="63"/>
      <c r="B24" s="65"/>
      <c r="C24" s="65"/>
      <c r="D24" s="144"/>
      <c r="E24" s="189"/>
      <c r="F24" s="189"/>
      <c r="G24" s="138" t="s">
        <v>437</v>
      </c>
      <c r="H24" s="73">
        <f>M24</f>
        <v>33160</v>
      </c>
      <c r="I24" s="73">
        <v>25160</v>
      </c>
      <c r="J24" s="73">
        <f t="shared" si="1"/>
        <v>8000</v>
      </c>
      <c r="K24" s="36" t="s">
        <v>47</v>
      </c>
      <c r="L24" s="44"/>
      <c r="M24" s="217">
        <f>SUM(M26:M27,M31)</f>
        <v>33160</v>
      </c>
      <c r="N24" s="428"/>
      <c r="O24" s="47"/>
      <c r="AD24" s="576"/>
    </row>
    <row r="25" spans="1:51" s="61" customFormat="1" ht="18" customHeight="1">
      <c r="A25" s="63"/>
      <c r="B25" s="65"/>
      <c r="C25" s="65"/>
      <c r="D25" s="144"/>
      <c r="E25" s="189"/>
      <c r="F25" s="189"/>
      <c r="G25" s="68"/>
      <c r="H25" s="74"/>
      <c r="I25" s="74"/>
      <c r="J25" s="74"/>
      <c r="K25" s="215" t="s">
        <v>561</v>
      </c>
      <c r="L25" s="45" t="s">
        <v>438</v>
      </c>
      <c r="M25" s="190">
        <v>15000</v>
      </c>
      <c r="N25" s="427"/>
      <c r="O25" s="47"/>
      <c r="AD25" s="576"/>
    </row>
    <row r="26" spans="1:51" s="61" customFormat="1" ht="18" customHeight="1">
      <c r="A26" s="63"/>
      <c r="B26" s="65"/>
      <c r="C26" s="65"/>
      <c r="D26" s="144"/>
      <c r="E26" s="189"/>
      <c r="F26" s="189"/>
      <c r="G26" s="68"/>
      <c r="H26" s="74"/>
      <c r="I26" s="74"/>
      <c r="J26" s="74"/>
      <c r="K26" s="215" t="s">
        <v>563</v>
      </c>
      <c r="L26" s="45" t="s">
        <v>562</v>
      </c>
      <c r="M26" s="190">
        <v>3000</v>
      </c>
      <c r="N26" s="427"/>
      <c r="O26" s="47"/>
      <c r="AD26" s="576"/>
    </row>
    <row r="27" spans="1:51" s="61" customFormat="1" ht="18" customHeight="1">
      <c r="A27" s="63"/>
      <c r="B27" s="65"/>
      <c r="C27" s="65"/>
      <c r="D27" s="144"/>
      <c r="E27" s="189"/>
      <c r="F27" s="189"/>
      <c r="G27" s="68"/>
      <c r="H27" s="74"/>
      <c r="I27" s="74"/>
      <c r="J27" s="74"/>
      <c r="K27" s="215" t="s">
        <v>564</v>
      </c>
      <c r="L27" s="45" t="s">
        <v>438</v>
      </c>
      <c r="M27" s="641">
        <v>2160</v>
      </c>
      <c r="N27" s="427"/>
      <c r="O27" s="47"/>
      <c r="AD27" s="576"/>
    </row>
    <row r="28" spans="1:51" s="61" customFormat="1" ht="18" customHeight="1">
      <c r="A28" s="63"/>
      <c r="B28" s="65"/>
      <c r="C28" s="65"/>
      <c r="D28" s="144"/>
      <c r="E28" s="189"/>
      <c r="F28" s="189"/>
      <c r="G28" s="65"/>
      <c r="H28" s="74"/>
      <c r="I28" s="74"/>
      <c r="J28" s="74"/>
      <c r="K28" s="604" t="s">
        <v>847</v>
      </c>
      <c r="L28" s="45"/>
      <c r="M28" s="192"/>
      <c r="N28" s="427"/>
      <c r="O28" s="47"/>
      <c r="AD28" s="634"/>
    </row>
    <row r="29" spans="1:51" s="61" customFormat="1" ht="18" customHeight="1">
      <c r="A29" s="63"/>
      <c r="B29" s="65"/>
      <c r="C29" s="65"/>
      <c r="D29" s="144"/>
      <c r="E29" s="189"/>
      <c r="F29" s="189"/>
      <c r="G29" s="65"/>
      <c r="H29" s="74"/>
      <c r="I29" s="74"/>
      <c r="J29" s="74"/>
      <c r="K29" s="382" t="s">
        <v>867</v>
      </c>
      <c r="L29" s="375" t="s">
        <v>0</v>
      </c>
      <c r="M29" s="399">
        <v>20000</v>
      </c>
      <c r="N29" s="427"/>
      <c r="O29" s="47"/>
      <c r="AD29" s="634"/>
    </row>
    <row r="30" spans="1:51" s="61" customFormat="1" ht="18" customHeight="1">
      <c r="A30" s="63"/>
      <c r="B30" s="65"/>
      <c r="C30" s="65"/>
      <c r="D30" s="144"/>
      <c r="E30" s="189"/>
      <c r="F30" s="189"/>
      <c r="G30" s="65"/>
      <c r="H30" s="74"/>
      <c r="I30" s="74"/>
      <c r="J30" s="74"/>
      <c r="K30" s="604" t="s">
        <v>905</v>
      </c>
      <c r="L30" s="45"/>
      <c r="M30" s="192"/>
      <c r="N30" s="427"/>
      <c r="O30" s="47"/>
      <c r="AD30" s="658"/>
    </row>
    <row r="31" spans="1:51" s="61" customFormat="1" ht="18" customHeight="1">
      <c r="A31" s="63"/>
      <c r="B31" s="65"/>
      <c r="C31" s="65"/>
      <c r="D31" s="144"/>
      <c r="E31" s="189"/>
      <c r="F31" s="189"/>
      <c r="G31" s="65"/>
      <c r="H31" s="74"/>
      <c r="I31" s="74"/>
      <c r="J31" s="74"/>
      <c r="K31" s="729" t="s">
        <v>916</v>
      </c>
      <c r="L31" s="730" t="s">
        <v>0</v>
      </c>
      <c r="M31" s="731">
        <v>28000</v>
      </c>
      <c r="N31" s="427"/>
      <c r="O31" s="47"/>
      <c r="AD31" s="658"/>
    </row>
    <row r="32" spans="1:51" s="137" customFormat="1" ht="18" customHeight="1">
      <c r="A32" s="63"/>
      <c r="B32" s="65"/>
      <c r="C32" s="358"/>
      <c r="D32" s="358"/>
      <c r="E32" s="358"/>
      <c r="F32" s="711" t="s">
        <v>40</v>
      </c>
      <c r="G32" s="712"/>
      <c r="H32" s="511">
        <f>H33</f>
        <v>3300</v>
      </c>
      <c r="I32" s="511">
        <v>3300</v>
      </c>
      <c r="J32" s="662">
        <f>H32-I32</f>
        <v>0</v>
      </c>
      <c r="K32" s="587"/>
      <c r="L32" s="588"/>
      <c r="M32" s="527"/>
      <c r="N32" s="435"/>
      <c r="P32" s="141"/>
      <c r="V32" s="54"/>
      <c r="W32" s="59"/>
      <c r="X32" s="59"/>
      <c r="Y32" s="59"/>
      <c r="Z32" s="59"/>
      <c r="AA32" s="59"/>
      <c r="AB32" s="59"/>
      <c r="AC32" s="59"/>
      <c r="AD32" s="576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</row>
    <row r="33" spans="1:51" s="137" customFormat="1" ht="18" customHeight="1">
      <c r="A33" s="63"/>
      <c r="B33" s="65"/>
      <c r="C33" s="358"/>
      <c r="D33" s="358"/>
      <c r="E33" s="358"/>
      <c r="F33" s="513"/>
      <c r="G33" s="471" t="s">
        <v>41</v>
      </c>
      <c r="H33" s="486">
        <f>M33</f>
        <v>3300</v>
      </c>
      <c r="I33" s="478">
        <v>3300</v>
      </c>
      <c r="J33" s="14">
        <f>H33-I33</f>
        <v>0</v>
      </c>
      <c r="K33" s="386" t="s">
        <v>49</v>
      </c>
      <c r="L33" s="589"/>
      <c r="M33" s="388">
        <f>SUM(M34:M35)</f>
        <v>3300</v>
      </c>
      <c r="N33" s="436"/>
      <c r="O33" s="150"/>
      <c r="P33" s="139"/>
      <c r="Q33" s="101"/>
      <c r="R33" s="101"/>
      <c r="S33" s="101"/>
      <c r="V33" s="54"/>
      <c r="W33" s="59"/>
      <c r="X33" s="59"/>
      <c r="Y33" s="59"/>
      <c r="Z33" s="59"/>
      <c r="AA33" s="59"/>
      <c r="AB33" s="59"/>
      <c r="AC33" s="59"/>
      <c r="AD33" s="576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</row>
    <row r="34" spans="1:51" s="137" customFormat="1" ht="18" customHeight="1">
      <c r="A34" s="63"/>
      <c r="B34" s="65"/>
      <c r="C34" s="358"/>
      <c r="D34" s="358"/>
      <c r="E34" s="358"/>
      <c r="F34" s="472"/>
      <c r="G34" s="472"/>
      <c r="H34" s="481"/>
      <c r="I34" s="522"/>
      <c r="J34" s="663"/>
      <c r="K34" s="382" t="s">
        <v>638</v>
      </c>
      <c r="L34" s="418" t="s">
        <v>0</v>
      </c>
      <c r="M34" s="374">
        <v>3300</v>
      </c>
      <c r="N34" s="437" t="s">
        <v>17</v>
      </c>
      <c r="O34" s="150"/>
      <c r="P34" s="139">
        <v>670000</v>
      </c>
      <c r="Q34" s="101">
        <v>1</v>
      </c>
      <c r="R34" s="101">
        <v>1</v>
      </c>
      <c r="S34" s="101"/>
      <c r="V34" s="54"/>
      <c r="W34" s="59"/>
      <c r="X34" s="59"/>
      <c r="Y34" s="59"/>
      <c r="Z34" s="59"/>
      <c r="AA34" s="59"/>
      <c r="AB34" s="59"/>
      <c r="AC34" s="59"/>
      <c r="AD34" s="576"/>
      <c r="AE34" s="577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</row>
    <row r="35" spans="1:51" s="1" customFormat="1" ht="18" customHeight="1">
      <c r="A35" s="10"/>
      <c r="B35" s="6"/>
      <c r="C35" s="134"/>
      <c r="D35" s="243"/>
      <c r="E35" s="129" t="s">
        <v>58</v>
      </c>
      <c r="F35" s="130"/>
      <c r="G35" s="131"/>
      <c r="H35" s="91">
        <f>H36</f>
        <v>40000</v>
      </c>
      <c r="I35" s="91">
        <v>40000</v>
      </c>
      <c r="J35" s="92">
        <f t="shared" ref="J35:J37" si="2">H35-I35</f>
        <v>0</v>
      </c>
      <c r="K35" s="84"/>
      <c r="L35" s="93"/>
      <c r="M35" s="82"/>
      <c r="N35" s="125"/>
      <c r="O35" s="2"/>
      <c r="P35" s="11"/>
      <c r="Q35" s="126"/>
      <c r="R35" s="126"/>
      <c r="S35" s="126"/>
      <c r="T35" s="12"/>
      <c r="U35" s="128"/>
      <c r="AD35" s="576"/>
    </row>
    <row r="36" spans="1:51" s="61" customFormat="1" ht="18" customHeight="1">
      <c r="A36" s="63"/>
      <c r="B36" s="65"/>
      <c r="C36" s="185"/>
      <c r="D36" s="186"/>
      <c r="E36" s="187"/>
      <c r="F36" s="136" t="s">
        <v>59</v>
      </c>
      <c r="G36" s="188"/>
      <c r="H36" s="72">
        <f>H37</f>
        <v>40000</v>
      </c>
      <c r="I36" s="72">
        <v>40000</v>
      </c>
      <c r="J36" s="72">
        <f t="shared" si="2"/>
        <v>0</v>
      </c>
      <c r="K36" s="52"/>
      <c r="L36" s="53"/>
      <c r="M36" s="40"/>
      <c r="N36" s="427"/>
      <c r="AD36" s="576"/>
    </row>
    <row r="37" spans="1:51" s="61" customFormat="1" ht="18" customHeight="1">
      <c r="A37" s="63"/>
      <c r="B37" s="65"/>
      <c r="C37" s="358"/>
      <c r="D37" s="359"/>
      <c r="E37" s="360"/>
      <c r="F37" s="360"/>
      <c r="G37" s="465" t="s">
        <v>440</v>
      </c>
      <c r="H37" s="41">
        <f>M37</f>
        <v>40000</v>
      </c>
      <c r="I37" s="41">
        <v>40000</v>
      </c>
      <c r="J37" s="41">
        <f t="shared" si="2"/>
        <v>0</v>
      </c>
      <c r="K37" s="386" t="s">
        <v>441</v>
      </c>
      <c r="L37" s="387"/>
      <c r="M37" s="388">
        <f>M38</f>
        <v>40000</v>
      </c>
      <c r="N37" s="428"/>
      <c r="O37" s="47"/>
      <c r="AD37" s="576"/>
    </row>
    <row r="38" spans="1:51" s="61" customFormat="1" ht="18" customHeight="1">
      <c r="A38" s="63"/>
      <c r="B38" s="65"/>
      <c r="C38" s="358"/>
      <c r="D38" s="359"/>
      <c r="E38" s="360"/>
      <c r="F38" s="360"/>
      <c r="G38" s="361"/>
      <c r="H38" s="50"/>
      <c r="I38" s="50"/>
      <c r="J38" s="145"/>
      <c r="K38" s="380" t="s">
        <v>565</v>
      </c>
      <c r="L38" s="377" t="s">
        <v>438</v>
      </c>
      <c r="M38" s="381">
        <v>40000</v>
      </c>
      <c r="N38" s="427"/>
      <c r="O38" s="47"/>
      <c r="AD38" s="576"/>
    </row>
    <row r="39" spans="1:51" s="1" customFormat="1" ht="18" customHeight="1">
      <c r="A39" s="10"/>
      <c r="B39" s="6"/>
      <c r="C39" s="473"/>
      <c r="D39" s="349" t="s">
        <v>496</v>
      </c>
      <c r="E39" s="453"/>
      <c r="F39" s="453"/>
      <c r="G39" s="454"/>
      <c r="H39" s="456">
        <f>SUM(H40)</f>
        <v>100000</v>
      </c>
      <c r="I39" s="456">
        <v>100000</v>
      </c>
      <c r="J39" s="95">
        <f t="shared" ref="J39:J42" si="3">H39-I39</f>
        <v>0</v>
      </c>
      <c r="K39" s="350"/>
      <c r="L39" s="405"/>
      <c r="M39" s="419"/>
      <c r="N39" s="125"/>
      <c r="O39" s="2"/>
      <c r="P39" s="11"/>
      <c r="Q39" s="126"/>
      <c r="R39" s="126"/>
      <c r="S39" s="126"/>
      <c r="T39" s="127"/>
      <c r="U39" s="128"/>
      <c r="AD39" s="576"/>
    </row>
    <row r="40" spans="1:51" s="1" customFormat="1" ht="18" customHeight="1">
      <c r="A40" s="10"/>
      <c r="B40" s="6"/>
      <c r="C40" s="457"/>
      <c r="D40" s="458"/>
      <c r="E40" s="349" t="s">
        <v>31</v>
      </c>
      <c r="F40" s="453"/>
      <c r="G40" s="454"/>
      <c r="H40" s="92">
        <f>SUM(H41)</f>
        <v>100000</v>
      </c>
      <c r="I40" s="92">
        <v>100000</v>
      </c>
      <c r="J40" s="95">
        <f t="shared" si="3"/>
        <v>0</v>
      </c>
      <c r="K40" s="351"/>
      <c r="L40" s="391"/>
      <c r="M40" s="392"/>
      <c r="N40" s="125"/>
      <c r="O40" s="2"/>
      <c r="P40" s="11"/>
      <c r="Q40" s="126"/>
      <c r="R40" s="126"/>
      <c r="S40" s="126"/>
      <c r="T40" s="12"/>
      <c r="U40" s="128"/>
      <c r="AD40" s="576"/>
    </row>
    <row r="41" spans="1:51" s="61" customFormat="1" ht="18" customHeight="1">
      <c r="A41" s="63"/>
      <c r="B41" s="65"/>
      <c r="C41" s="460"/>
      <c r="D41" s="461"/>
      <c r="E41" s="462"/>
      <c r="F41" s="463" t="s">
        <v>35</v>
      </c>
      <c r="G41" s="464"/>
      <c r="H41" s="98">
        <f>H42</f>
        <v>100000</v>
      </c>
      <c r="I41" s="98">
        <v>100000</v>
      </c>
      <c r="J41" s="98">
        <f t="shared" si="3"/>
        <v>0</v>
      </c>
      <c r="K41" s="393"/>
      <c r="L41" s="352"/>
      <c r="M41" s="394"/>
      <c r="N41" s="427"/>
      <c r="AD41" s="576"/>
    </row>
    <row r="42" spans="1:51" s="61" customFormat="1" ht="18" customHeight="1">
      <c r="A42" s="63"/>
      <c r="B42" s="65"/>
      <c r="C42" s="358"/>
      <c r="D42" s="359"/>
      <c r="E42" s="360"/>
      <c r="F42" s="360"/>
      <c r="G42" s="465" t="s">
        <v>437</v>
      </c>
      <c r="H42" s="41">
        <f>M42</f>
        <v>100000</v>
      </c>
      <c r="I42" s="41">
        <v>100000</v>
      </c>
      <c r="J42" s="41">
        <f t="shared" si="3"/>
        <v>0</v>
      </c>
      <c r="K42" s="386" t="s">
        <v>47</v>
      </c>
      <c r="L42" s="387"/>
      <c r="M42" s="388">
        <f>SUM(M43:M43)</f>
        <v>100000</v>
      </c>
      <c r="N42" s="428"/>
      <c r="O42" s="47"/>
      <c r="AD42" s="576"/>
    </row>
    <row r="43" spans="1:51" s="550" customFormat="1" ht="18" customHeight="1">
      <c r="A43" s="357"/>
      <c r="B43" s="358"/>
      <c r="C43" s="358"/>
      <c r="D43" s="359"/>
      <c r="E43" s="359"/>
      <c r="F43" s="498"/>
      <c r="G43" s="524"/>
      <c r="H43" s="145"/>
      <c r="I43" s="145"/>
      <c r="J43" s="145"/>
      <c r="K43" s="380" t="s">
        <v>566</v>
      </c>
      <c r="L43" s="377" t="s">
        <v>438</v>
      </c>
      <c r="M43" s="395">
        <v>100000</v>
      </c>
      <c r="N43" s="429"/>
      <c r="O43" s="549"/>
      <c r="AD43" s="576"/>
    </row>
    <row r="44" spans="1:51" s="1" customFormat="1" ht="18" customHeight="1">
      <c r="A44" s="10"/>
      <c r="B44" s="6"/>
      <c r="C44" s="473"/>
      <c r="D44" s="349" t="s">
        <v>739</v>
      </c>
      <c r="E44" s="453"/>
      <c r="F44" s="537"/>
      <c r="G44" s="538"/>
      <c r="H44" s="542">
        <f>SUM(H45)</f>
        <v>27745</v>
      </c>
      <c r="I44" s="542">
        <v>35500</v>
      </c>
      <c r="J44" s="95">
        <f t="shared" ref="J44:J47" si="4">H44-I44</f>
        <v>-7755</v>
      </c>
      <c r="K44" s="350"/>
      <c r="L44" s="405"/>
      <c r="M44" s="419"/>
      <c r="N44" s="125"/>
      <c r="O44" s="2"/>
      <c r="P44" s="11"/>
      <c r="Q44" s="126"/>
      <c r="R44" s="126"/>
      <c r="S44" s="126"/>
      <c r="T44" s="127"/>
      <c r="U44" s="128"/>
      <c r="AD44" s="603"/>
    </row>
    <row r="45" spans="1:51" s="1" customFormat="1" ht="18" customHeight="1">
      <c r="A45" s="10"/>
      <c r="B45" s="6"/>
      <c r="C45" s="457"/>
      <c r="D45" s="458"/>
      <c r="E45" s="349" t="s">
        <v>31</v>
      </c>
      <c r="F45" s="453"/>
      <c r="G45" s="454"/>
      <c r="H45" s="92">
        <f>SUM(H46)</f>
        <v>27745</v>
      </c>
      <c r="I45" s="92">
        <v>35500</v>
      </c>
      <c r="J45" s="95">
        <f t="shared" si="4"/>
        <v>-7755</v>
      </c>
      <c r="K45" s="351"/>
      <c r="L45" s="391"/>
      <c r="M45" s="392"/>
      <c r="N45" s="125"/>
      <c r="O45" s="2"/>
      <c r="P45" s="11"/>
      <c r="Q45" s="126"/>
      <c r="R45" s="126"/>
      <c r="S45" s="126"/>
      <c r="T45" s="12"/>
      <c r="U45" s="128"/>
      <c r="AD45" s="603"/>
    </row>
    <row r="46" spans="1:51" s="61" customFormat="1" ht="18" customHeight="1">
      <c r="A46" s="63"/>
      <c r="B46" s="65"/>
      <c r="C46" s="460"/>
      <c r="D46" s="461"/>
      <c r="E46" s="462"/>
      <c r="F46" s="463" t="s">
        <v>35</v>
      </c>
      <c r="G46" s="464"/>
      <c r="H46" s="98">
        <f>H47</f>
        <v>27745</v>
      </c>
      <c r="I46" s="98">
        <v>35500</v>
      </c>
      <c r="J46" s="98">
        <f t="shared" si="4"/>
        <v>-7755</v>
      </c>
      <c r="K46" s="393"/>
      <c r="L46" s="352"/>
      <c r="M46" s="394"/>
      <c r="N46" s="427"/>
      <c r="AD46" s="603"/>
    </row>
    <row r="47" spans="1:51" s="61" customFormat="1" ht="18" customHeight="1">
      <c r="A47" s="63"/>
      <c r="B47" s="65"/>
      <c r="C47" s="358"/>
      <c r="D47" s="359"/>
      <c r="E47" s="360"/>
      <c r="F47" s="360"/>
      <c r="G47" s="465" t="s">
        <v>437</v>
      </c>
      <c r="H47" s="41">
        <f>SUM(M47,M57)</f>
        <v>27745</v>
      </c>
      <c r="I47" s="41">
        <v>35500</v>
      </c>
      <c r="J47" s="41">
        <f t="shared" si="4"/>
        <v>-7755</v>
      </c>
      <c r="K47" s="386" t="s">
        <v>62</v>
      </c>
      <c r="L47" s="387"/>
      <c r="M47" s="388">
        <f>SUM(M52,M54:M56)</f>
        <v>5745</v>
      </c>
      <c r="N47" s="428"/>
      <c r="O47" s="47"/>
      <c r="AD47" s="603"/>
    </row>
    <row r="48" spans="1:51" s="61" customFormat="1" ht="18" customHeight="1">
      <c r="A48" s="63"/>
      <c r="B48" s="65"/>
      <c r="C48" s="358"/>
      <c r="D48" s="359"/>
      <c r="E48" s="360"/>
      <c r="F48" s="360"/>
      <c r="G48" s="361"/>
      <c r="H48" s="50"/>
      <c r="I48" s="50"/>
      <c r="J48" s="50"/>
      <c r="K48" s="604" t="s">
        <v>736</v>
      </c>
      <c r="L48" s="375"/>
      <c r="M48" s="379"/>
      <c r="N48" s="427"/>
      <c r="O48" s="47"/>
      <c r="AD48" s="603"/>
    </row>
    <row r="49" spans="1:51" s="61" customFormat="1" ht="18" customHeight="1">
      <c r="A49" s="63"/>
      <c r="B49" s="65"/>
      <c r="C49" s="358"/>
      <c r="D49" s="359"/>
      <c r="E49" s="360"/>
      <c r="F49" s="360"/>
      <c r="G49" s="361"/>
      <c r="H49" s="50"/>
      <c r="I49" s="50"/>
      <c r="J49" s="50"/>
      <c r="K49" s="382" t="s">
        <v>740</v>
      </c>
      <c r="L49" s="375" t="s">
        <v>37</v>
      </c>
      <c r="M49" s="399">
        <v>3500</v>
      </c>
      <c r="N49" s="427"/>
      <c r="O49" s="47"/>
      <c r="AD49" s="603"/>
    </row>
    <row r="50" spans="1:51" s="61" customFormat="1" ht="18" customHeight="1">
      <c r="A50" s="63"/>
      <c r="B50" s="65"/>
      <c r="C50" s="358"/>
      <c r="D50" s="359"/>
      <c r="E50" s="360"/>
      <c r="F50" s="360"/>
      <c r="G50" s="361"/>
      <c r="H50" s="50"/>
      <c r="I50" s="50"/>
      <c r="J50" s="50"/>
      <c r="K50" s="382" t="s">
        <v>741</v>
      </c>
      <c r="L50" s="375" t="s">
        <v>37</v>
      </c>
      <c r="M50" s="374">
        <v>6000</v>
      </c>
      <c r="N50" s="427"/>
      <c r="O50" s="47"/>
      <c r="AD50" s="603"/>
    </row>
    <row r="51" spans="1:51" s="61" customFormat="1" ht="18" customHeight="1">
      <c r="A51" s="63"/>
      <c r="B51" s="65"/>
      <c r="C51" s="358"/>
      <c r="D51" s="359"/>
      <c r="E51" s="360"/>
      <c r="F51" s="360"/>
      <c r="G51" s="361"/>
      <c r="H51" s="50"/>
      <c r="I51" s="50"/>
      <c r="J51" s="50"/>
      <c r="K51" s="382" t="s">
        <v>742</v>
      </c>
      <c r="L51" s="375" t="s">
        <v>37</v>
      </c>
      <c r="M51" s="374">
        <v>3000</v>
      </c>
      <c r="N51" s="427"/>
      <c r="O51" s="47"/>
      <c r="AD51" s="603"/>
    </row>
    <row r="52" spans="1:51" s="61" customFormat="1" ht="18" customHeight="1">
      <c r="A52" s="63"/>
      <c r="B52" s="65"/>
      <c r="C52" s="358"/>
      <c r="D52" s="359"/>
      <c r="E52" s="360"/>
      <c r="F52" s="360"/>
      <c r="G52" s="361"/>
      <c r="H52" s="50"/>
      <c r="I52" s="50"/>
      <c r="J52" s="50"/>
      <c r="K52" s="382" t="s">
        <v>743</v>
      </c>
      <c r="L52" s="375" t="s">
        <v>37</v>
      </c>
      <c r="M52" s="374">
        <v>1000</v>
      </c>
      <c r="N52" s="427"/>
      <c r="O52" s="47"/>
      <c r="AD52" s="603"/>
    </row>
    <row r="53" spans="1:51" s="61" customFormat="1" ht="18" customHeight="1">
      <c r="A53" s="63"/>
      <c r="B53" s="65"/>
      <c r="C53" s="358"/>
      <c r="D53" s="359"/>
      <c r="E53" s="360"/>
      <c r="F53" s="360"/>
      <c r="G53" s="361"/>
      <c r="H53" s="50"/>
      <c r="I53" s="50"/>
      <c r="J53" s="50"/>
      <c r="K53" s="604" t="s">
        <v>917</v>
      </c>
      <c r="L53" s="375"/>
      <c r="M53" s="379"/>
      <c r="N53" s="427"/>
      <c r="O53" s="47"/>
      <c r="AD53" s="671"/>
    </row>
    <row r="54" spans="1:51" s="61" customFormat="1" ht="18" customHeight="1">
      <c r="A54" s="63"/>
      <c r="B54" s="65"/>
      <c r="C54" s="358"/>
      <c r="D54" s="359"/>
      <c r="E54" s="360"/>
      <c r="F54" s="360"/>
      <c r="G54" s="361"/>
      <c r="H54" s="50"/>
      <c r="I54" s="50"/>
      <c r="J54" s="50"/>
      <c r="K54" s="724" t="s">
        <v>919</v>
      </c>
      <c r="L54" s="732" t="s">
        <v>37</v>
      </c>
      <c r="M54" s="733">
        <v>2400</v>
      </c>
      <c r="N54" s="427"/>
      <c r="O54" s="47"/>
      <c r="AD54" s="671"/>
    </row>
    <row r="55" spans="1:51" s="61" customFormat="1" ht="18" customHeight="1">
      <c r="A55" s="63"/>
      <c r="B55" s="65"/>
      <c r="C55" s="358"/>
      <c r="D55" s="359"/>
      <c r="E55" s="360"/>
      <c r="F55" s="360"/>
      <c r="G55" s="361"/>
      <c r="H55" s="50"/>
      <c r="I55" s="50"/>
      <c r="J55" s="50"/>
      <c r="K55" s="724" t="s">
        <v>920</v>
      </c>
      <c r="L55" s="732" t="s">
        <v>37</v>
      </c>
      <c r="M55" s="723">
        <v>1500</v>
      </c>
      <c r="N55" s="427"/>
      <c r="O55" s="47"/>
      <c r="AD55" s="671"/>
    </row>
    <row r="56" spans="1:51" s="61" customFormat="1" ht="18" customHeight="1">
      <c r="A56" s="63"/>
      <c r="B56" s="65"/>
      <c r="C56" s="358"/>
      <c r="D56" s="359"/>
      <c r="E56" s="360"/>
      <c r="F56" s="360"/>
      <c r="G56" s="361"/>
      <c r="H56" s="50"/>
      <c r="I56" s="50"/>
      <c r="J56" s="50"/>
      <c r="K56" s="724" t="s">
        <v>921</v>
      </c>
      <c r="L56" s="732" t="s">
        <v>37</v>
      </c>
      <c r="M56" s="723">
        <v>845</v>
      </c>
      <c r="N56" s="427"/>
      <c r="O56" s="47"/>
      <c r="AD56" s="671"/>
    </row>
    <row r="57" spans="1:51" s="61" customFormat="1" ht="18" customHeight="1">
      <c r="A57" s="63"/>
      <c r="B57" s="65"/>
      <c r="C57" s="358"/>
      <c r="D57" s="359"/>
      <c r="E57" s="360"/>
      <c r="F57" s="360"/>
      <c r="G57" s="361"/>
      <c r="H57" s="50"/>
      <c r="I57" s="50"/>
      <c r="J57" s="50"/>
      <c r="K57" s="356" t="s">
        <v>47</v>
      </c>
      <c r="L57" s="375"/>
      <c r="M57" s="379">
        <f>M59</f>
        <v>22000</v>
      </c>
      <c r="N57" s="427"/>
      <c r="O57" s="47"/>
      <c r="AD57" s="603"/>
    </row>
    <row r="58" spans="1:51" s="61" customFormat="1" ht="18" customHeight="1">
      <c r="A58" s="63"/>
      <c r="B58" s="65"/>
      <c r="C58" s="358"/>
      <c r="D58" s="359"/>
      <c r="E58" s="360"/>
      <c r="F58" s="360"/>
      <c r="G58" s="361"/>
      <c r="H58" s="50"/>
      <c r="I58" s="50"/>
      <c r="J58" s="50"/>
      <c r="K58" s="604" t="s">
        <v>736</v>
      </c>
      <c r="L58" s="375"/>
      <c r="M58" s="379"/>
      <c r="N58" s="427"/>
      <c r="O58" s="47"/>
      <c r="AD58" s="603"/>
    </row>
    <row r="59" spans="1:51" s="550" customFormat="1" ht="18" customHeight="1">
      <c r="A59" s="357"/>
      <c r="B59" s="358"/>
      <c r="C59" s="358"/>
      <c r="D59" s="359"/>
      <c r="E59" s="359"/>
      <c r="F59" s="360"/>
      <c r="G59" s="361"/>
      <c r="H59" s="50"/>
      <c r="I59" s="50"/>
      <c r="J59" s="50"/>
      <c r="K59" s="382" t="s">
        <v>744</v>
      </c>
      <c r="L59" s="375" t="s">
        <v>37</v>
      </c>
      <c r="M59" s="399">
        <v>22000</v>
      </c>
      <c r="N59" s="429"/>
      <c r="O59" s="549"/>
      <c r="AD59" s="603"/>
    </row>
    <row r="60" spans="1:51" s="1" customFormat="1" ht="18" customHeight="1">
      <c r="A60" s="10"/>
      <c r="B60" s="6"/>
      <c r="C60" s="178" t="s">
        <v>250</v>
      </c>
      <c r="D60" s="453"/>
      <c r="E60" s="453"/>
      <c r="F60" s="453"/>
      <c r="G60" s="454"/>
      <c r="H60" s="92">
        <f>H61</f>
        <v>25376</v>
      </c>
      <c r="I60" s="92">
        <v>25376</v>
      </c>
      <c r="J60" s="92">
        <f>H60-I60</f>
        <v>0</v>
      </c>
      <c r="K60" s="396"/>
      <c r="L60" s="390"/>
      <c r="M60" s="397"/>
      <c r="N60" s="713"/>
      <c r="O60" s="713"/>
      <c r="P60" s="713"/>
      <c r="Q60" s="713"/>
      <c r="R60" s="713"/>
      <c r="S60" s="713"/>
      <c r="T60" s="713"/>
      <c r="U60" s="713"/>
      <c r="AD60" s="576"/>
    </row>
    <row r="61" spans="1:51" s="1" customFormat="1" ht="18" customHeight="1">
      <c r="A61" s="10"/>
      <c r="B61" s="6"/>
      <c r="C61" s="473"/>
      <c r="D61" s="349" t="s">
        <v>34</v>
      </c>
      <c r="E61" s="453"/>
      <c r="F61" s="453"/>
      <c r="G61" s="454"/>
      <c r="H61" s="456">
        <f>H62</f>
        <v>25376</v>
      </c>
      <c r="I61" s="456">
        <v>25376</v>
      </c>
      <c r="J61" s="92">
        <f>H61-I61</f>
        <v>0</v>
      </c>
      <c r="K61" s="389"/>
      <c r="L61" s="390"/>
      <c r="M61" s="397"/>
      <c r="N61" s="125"/>
      <c r="O61" s="2"/>
      <c r="P61" s="11"/>
      <c r="Q61" s="126"/>
      <c r="R61" s="126"/>
      <c r="S61" s="126"/>
      <c r="T61" s="127"/>
      <c r="U61" s="128"/>
      <c r="AD61" s="576"/>
    </row>
    <row r="62" spans="1:51" s="1" customFormat="1" ht="18" customHeight="1">
      <c r="A62" s="10"/>
      <c r="B62" s="6"/>
      <c r="C62" s="457"/>
      <c r="D62" s="458"/>
      <c r="E62" s="349" t="s">
        <v>33</v>
      </c>
      <c r="F62" s="453"/>
      <c r="G62" s="454"/>
      <c r="H62" s="92">
        <f>SUM(H63,H72,H76,H79)</f>
        <v>25376</v>
      </c>
      <c r="I62" s="92">
        <v>25376</v>
      </c>
      <c r="J62" s="92">
        <f>H62-I62</f>
        <v>0</v>
      </c>
      <c r="K62" s="351"/>
      <c r="L62" s="391"/>
      <c r="M62" s="392"/>
      <c r="N62" s="125"/>
      <c r="O62" s="2"/>
      <c r="P62" s="11"/>
      <c r="Q62" s="126"/>
      <c r="R62" s="126"/>
      <c r="S62" s="126"/>
      <c r="T62" s="12"/>
      <c r="U62" s="128"/>
      <c r="AD62" s="576"/>
    </row>
    <row r="63" spans="1:51" s="141" customFormat="1" ht="18" customHeight="1">
      <c r="A63" s="63"/>
      <c r="B63" s="65"/>
      <c r="C63" s="358"/>
      <c r="D63" s="358"/>
      <c r="E63" s="358"/>
      <c r="F63" s="463" t="s">
        <v>35</v>
      </c>
      <c r="G63" s="466"/>
      <c r="H63" s="98">
        <f>SUM(H64,H66,H70)</f>
        <v>12776</v>
      </c>
      <c r="I63" s="98">
        <v>12776</v>
      </c>
      <c r="J63" s="98">
        <f>H63-I63</f>
        <v>0</v>
      </c>
      <c r="K63" s="383"/>
      <c r="L63" s="384"/>
      <c r="M63" s="398"/>
      <c r="N63" s="430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AD63" s="576"/>
    </row>
    <row r="64" spans="1:51" s="137" customFormat="1" ht="18" customHeight="1">
      <c r="A64" s="55"/>
      <c r="B64" s="57"/>
      <c r="C64" s="358"/>
      <c r="D64" s="358"/>
      <c r="E64" s="358"/>
      <c r="F64" s="476"/>
      <c r="G64" s="477" t="s">
        <v>36</v>
      </c>
      <c r="H64" s="478">
        <f>M64</f>
        <v>2000</v>
      </c>
      <c r="I64" s="478">
        <v>2000</v>
      </c>
      <c r="J64" s="41">
        <f>H64-I64</f>
        <v>0</v>
      </c>
      <c r="K64" s="386" t="s">
        <v>47</v>
      </c>
      <c r="L64" s="412"/>
      <c r="M64" s="388">
        <f>SUM(M65:M65)</f>
        <v>2000</v>
      </c>
      <c r="N64" s="431"/>
      <c r="O64" s="60"/>
      <c r="P64" s="97"/>
      <c r="Q64" s="54"/>
      <c r="R64" s="54"/>
      <c r="S64" s="54"/>
      <c r="T64" s="54"/>
      <c r="U64" s="54"/>
      <c r="V64" s="54"/>
      <c r="W64" s="59"/>
      <c r="X64" s="59"/>
      <c r="Y64" s="59"/>
      <c r="Z64" s="59"/>
      <c r="AA64" s="59"/>
      <c r="AB64" s="59"/>
      <c r="AC64" s="59"/>
      <c r="AD64" s="576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</row>
    <row r="65" spans="1:51" s="59" customFormat="1" ht="18" customHeight="1">
      <c r="A65" s="55"/>
      <c r="B65" s="57"/>
      <c r="C65" s="358"/>
      <c r="D65" s="358"/>
      <c r="E65" s="358"/>
      <c r="F65" s="480"/>
      <c r="G65" s="480"/>
      <c r="H65" s="481"/>
      <c r="I65" s="481"/>
      <c r="J65" s="663"/>
      <c r="K65" s="655" t="s">
        <v>667</v>
      </c>
      <c r="L65" s="378" t="s">
        <v>37</v>
      </c>
      <c r="M65" s="374">
        <v>2000</v>
      </c>
      <c r="N65" s="432" t="s">
        <v>9</v>
      </c>
      <c r="P65" s="99"/>
      <c r="Q65" s="54"/>
      <c r="R65" s="54"/>
      <c r="S65" s="54"/>
      <c r="T65" s="54"/>
      <c r="U65" s="54"/>
      <c r="V65" s="54"/>
      <c r="AD65" s="576"/>
    </row>
    <row r="66" spans="1:51" s="137" customFormat="1" ht="18" customHeight="1">
      <c r="A66" s="55"/>
      <c r="B66" s="57"/>
      <c r="C66" s="358"/>
      <c r="D66" s="358"/>
      <c r="E66" s="358"/>
      <c r="F66" s="480"/>
      <c r="G66" s="477" t="s">
        <v>38</v>
      </c>
      <c r="H66" s="478">
        <f>M66</f>
        <v>3000</v>
      </c>
      <c r="I66" s="478">
        <v>3000</v>
      </c>
      <c r="J66" s="664">
        <f>H66-I66</f>
        <v>0</v>
      </c>
      <c r="K66" s="386" t="s">
        <v>48</v>
      </c>
      <c r="L66" s="521"/>
      <c r="M66" s="388">
        <f>M69</f>
        <v>3000</v>
      </c>
      <c r="N66" s="433" t="s">
        <v>10</v>
      </c>
      <c r="O66" s="150"/>
      <c r="P66" s="139">
        <v>10380</v>
      </c>
      <c r="Q66" s="101">
        <v>0.5</v>
      </c>
      <c r="R66" s="101">
        <v>0.5</v>
      </c>
      <c r="S66" s="101">
        <v>4</v>
      </c>
      <c r="T66" s="101">
        <v>5</v>
      </c>
      <c r="U66" s="101">
        <v>52</v>
      </c>
      <c r="AD66" s="576"/>
    </row>
    <row r="67" spans="1:51" s="137" customFormat="1" ht="18" customHeight="1">
      <c r="A67" s="55"/>
      <c r="B67" s="57"/>
      <c r="C67" s="358"/>
      <c r="D67" s="358"/>
      <c r="E67" s="358"/>
      <c r="F67" s="480"/>
      <c r="G67" s="480"/>
      <c r="H67" s="481"/>
      <c r="I67" s="481"/>
      <c r="J67" s="663"/>
      <c r="K67" s="382" t="s">
        <v>745</v>
      </c>
      <c r="L67" s="378" t="s">
        <v>0</v>
      </c>
      <c r="M67" s="374">
        <v>500</v>
      </c>
      <c r="N67" s="433"/>
      <c r="O67" s="150"/>
      <c r="P67" s="139"/>
      <c r="Q67" s="101"/>
      <c r="R67" s="101"/>
      <c r="S67" s="101"/>
      <c r="T67" s="101"/>
      <c r="U67" s="101"/>
      <c r="AD67" s="603"/>
    </row>
    <row r="68" spans="1:51" s="137" customFormat="1" ht="18" customHeight="1">
      <c r="A68" s="55"/>
      <c r="B68" s="57"/>
      <c r="C68" s="358"/>
      <c r="D68" s="358"/>
      <c r="E68" s="358"/>
      <c r="F68" s="480"/>
      <c r="G68" s="480"/>
      <c r="H68" s="481"/>
      <c r="I68" s="481"/>
      <c r="J68" s="663"/>
      <c r="K68" s="604" t="s">
        <v>736</v>
      </c>
      <c r="L68" s="378"/>
      <c r="M68" s="379"/>
      <c r="N68" s="433"/>
      <c r="O68" s="150"/>
      <c r="P68" s="139"/>
      <c r="Q68" s="101"/>
      <c r="R68" s="101"/>
      <c r="S68" s="101"/>
      <c r="T68" s="101"/>
      <c r="U68" s="101"/>
      <c r="AD68" s="603"/>
    </row>
    <row r="69" spans="1:51" s="137" customFormat="1" ht="18" customHeight="1">
      <c r="A69" s="63"/>
      <c r="B69" s="65"/>
      <c r="C69" s="358"/>
      <c r="D69" s="358"/>
      <c r="E69" s="358"/>
      <c r="F69" s="480"/>
      <c r="G69" s="480"/>
      <c r="H69" s="481"/>
      <c r="I69" s="481"/>
      <c r="J69" s="663"/>
      <c r="K69" s="655" t="s">
        <v>746</v>
      </c>
      <c r="L69" s="373" t="s">
        <v>39</v>
      </c>
      <c r="M69" s="374">
        <v>3000</v>
      </c>
      <c r="N69" s="434" t="s">
        <v>4</v>
      </c>
      <c r="O69" s="150"/>
      <c r="P69" s="139">
        <v>10380</v>
      </c>
      <c r="Q69" s="101">
        <v>8</v>
      </c>
      <c r="R69" s="101">
        <v>4</v>
      </c>
      <c r="S69" s="101">
        <v>12</v>
      </c>
      <c r="T69" s="101"/>
      <c r="U69" s="101"/>
      <c r="AD69" s="576"/>
    </row>
    <row r="70" spans="1:51" s="137" customFormat="1" ht="18" customHeight="1">
      <c r="A70" s="55"/>
      <c r="B70" s="57"/>
      <c r="C70" s="358"/>
      <c r="D70" s="358"/>
      <c r="E70" s="358"/>
      <c r="F70" s="480"/>
      <c r="G70" s="477" t="s">
        <v>303</v>
      </c>
      <c r="H70" s="478">
        <f>M70</f>
        <v>7776</v>
      </c>
      <c r="I70" s="478">
        <v>7776</v>
      </c>
      <c r="J70" s="664">
        <f>H70-I70</f>
        <v>0</v>
      </c>
      <c r="K70" s="386" t="s">
        <v>304</v>
      </c>
      <c r="L70" s="521"/>
      <c r="M70" s="388">
        <f>SUM(M71)</f>
        <v>7776</v>
      </c>
      <c r="N70" s="433" t="s">
        <v>10</v>
      </c>
      <c r="O70" s="150"/>
      <c r="P70" s="139">
        <v>10380</v>
      </c>
      <c r="Q70" s="101">
        <v>0.5</v>
      </c>
      <c r="R70" s="101">
        <v>0.5</v>
      </c>
      <c r="S70" s="101">
        <v>4</v>
      </c>
      <c r="T70" s="101">
        <v>5</v>
      </c>
      <c r="U70" s="101">
        <v>52</v>
      </c>
      <c r="AD70" s="576"/>
    </row>
    <row r="71" spans="1:51" s="137" customFormat="1" ht="18" customHeight="1">
      <c r="A71" s="63"/>
      <c r="B71" s="65"/>
      <c r="C71" s="358"/>
      <c r="D71" s="358"/>
      <c r="E71" s="358"/>
      <c r="F71" s="480"/>
      <c r="G71" s="480"/>
      <c r="H71" s="481"/>
      <c r="I71" s="481"/>
      <c r="J71" s="663"/>
      <c r="K71" s="380" t="s">
        <v>390</v>
      </c>
      <c r="L71" s="373" t="s">
        <v>37</v>
      </c>
      <c r="M71" s="374">
        <v>7776</v>
      </c>
      <c r="N71" s="434" t="s">
        <v>4</v>
      </c>
      <c r="O71" s="150"/>
      <c r="P71" s="139">
        <v>10380</v>
      </c>
      <c r="Q71" s="101">
        <v>8</v>
      </c>
      <c r="R71" s="101">
        <v>4</v>
      </c>
      <c r="S71" s="101">
        <v>12</v>
      </c>
      <c r="T71" s="101"/>
      <c r="U71" s="101"/>
      <c r="AD71" s="576"/>
    </row>
    <row r="72" spans="1:51" s="137" customFormat="1" ht="18" customHeight="1">
      <c r="A72" s="63"/>
      <c r="B72" s="65"/>
      <c r="C72" s="358"/>
      <c r="D72" s="358"/>
      <c r="E72" s="358"/>
      <c r="F72" s="711" t="s">
        <v>40</v>
      </c>
      <c r="G72" s="712"/>
      <c r="H72" s="511">
        <f>H73</f>
        <v>9000</v>
      </c>
      <c r="I72" s="511">
        <v>9000</v>
      </c>
      <c r="J72" s="662">
        <f>H72-I72</f>
        <v>0</v>
      </c>
      <c r="K72" s="587"/>
      <c r="L72" s="588"/>
      <c r="M72" s="385"/>
      <c r="N72" s="435"/>
      <c r="P72" s="141"/>
      <c r="V72" s="54"/>
      <c r="W72" s="59"/>
      <c r="X72" s="59"/>
      <c r="Y72" s="59"/>
      <c r="Z72" s="59"/>
      <c r="AA72" s="59"/>
      <c r="AB72" s="59"/>
      <c r="AC72" s="59"/>
      <c r="AD72" s="576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</row>
    <row r="73" spans="1:51" s="137" customFormat="1" ht="18" customHeight="1">
      <c r="A73" s="63"/>
      <c r="B73" s="65"/>
      <c r="C73" s="358"/>
      <c r="D73" s="358"/>
      <c r="E73" s="358"/>
      <c r="F73" s="513"/>
      <c r="G73" s="471" t="s">
        <v>41</v>
      </c>
      <c r="H73" s="486">
        <f>M73</f>
        <v>9000</v>
      </c>
      <c r="I73" s="478">
        <v>9000</v>
      </c>
      <c r="J73" s="14">
        <f>H73-I73</f>
        <v>0</v>
      </c>
      <c r="K73" s="386" t="s">
        <v>49</v>
      </c>
      <c r="L73" s="589"/>
      <c r="M73" s="388">
        <f>SUM(M74:M75)</f>
        <v>9000</v>
      </c>
      <c r="N73" s="436"/>
      <c r="O73" s="150"/>
      <c r="P73" s="139"/>
      <c r="Q73" s="101"/>
      <c r="R73" s="101"/>
      <c r="S73" s="101"/>
      <c r="V73" s="54"/>
      <c r="W73" s="59"/>
      <c r="X73" s="59"/>
      <c r="Y73" s="59"/>
      <c r="Z73" s="59"/>
      <c r="AA73" s="59"/>
      <c r="AB73" s="59"/>
      <c r="AC73" s="59"/>
      <c r="AD73" s="576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</row>
    <row r="74" spans="1:51" s="137" customFormat="1" ht="18" customHeight="1">
      <c r="A74" s="63"/>
      <c r="B74" s="65"/>
      <c r="C74" s="358"/>
      <c r="D74" s="358"/>
      <c r="E74" s="358"/>
      <c r="F74" s="472"/>
      <c r="G74" s="472"/>
      <c r="H74" s="481"/>
      <c r="I74" s="522"/>
      <c r="J74" s="663"/>
      <c r="K74" s="382" t="s">
        <v>567</v>
      </c>
      <c r="L74" s="418" t="s">
        <v>0</v>
      </c>
      <c r="M74" s="374">
        <v>2400</v>
      </c>
      <c r="N74" s="437" t="s">
        <v>17</v>
      </c>
      <c r="O74" s="150"/>
      <c r="P74" s="139">
        <v>670000</v>
      </c>
      <c r="Q74" s="101">
        <v>1</v>
      </c>
      <c r="R74" s="101">
        <v>1</v>
      </c>
      <c r="S74" s="101"/>
      <c r="V74" s="54"/>
      <c r="W74" s="59"/>
      <c r="X74" s="59"/>
      <c r="Y74" s="59"/>
      <c r="Z74" s="59"/>
      <c r="AA74" s="59"/>
      <c r="AB74" s="59"/>
      <c r="AC74" s="59"/>
      <c r="AD74" s="576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</row>
    <row r="75" spans="1:51" s="137" customFormat="1" ht="18" customHeight="1">
      <c r="A75" s="63"/>
      <c r="B75" s="65"/>
      <c r="C75" s="358"/>
      <c r="D75" s="358"/>
      <c r="E75" s="358"/>
      <c r="F75" s="491"/>
      <c r="G75" s="491"/>
      <c r="H75" s="516"/>
      <c r="I75" s="523"/>
      <c r="J75" s="665"/>
      <c r="K75" s="380" t="s">
        <v>568</v>
      </c>
      <c r="L75" s="519" t="s">
        <v>0</v>
      </c>
      <c r="M75" s="381">
        <v>6600</v>
      </c>
      <c r="N75" s="437" t="s">
        <v>18</v>
      </c>
      <c r="O75" s="150"/>
      <c r="P75" s="139">
        <v>26000</v>
      </c>
      <c r="Q75" s="101">
        <v>16</v>
      </c>
      <c r="R75" s="101"/>
      <c r="S75" s="101"/>
      <c r="AD75" s="576"/>
    </row>
    <row r="76" spans="1:51" s="137" customFormat="1" ht="18" customHeight="1">
      <c r="A76" s="63"/>
      <c r="B76" s="65"/>
      <c r="C76" s="358"/>
      <c r="D76" s="358"/>
      <c r="E76" s="358"/>
      <c r="F76" s="711" t="s">
        <v>42</v>
      </c>
      <c r="G76" s="712"/>
      <c r="H76" s="511">
        <f>H77</f>
        <v>1500</v>
      </c>
      <c r="I76" s="511">
        <v>1500</v>
      </c>
      <c r="J76" s="662">
        <f>H76-I76</f>
        <v>0</v>
      </c>
      <c r="K76" s="587"/>
      <c r="L76" s="588"/>
      <c r="M76" s="385"/>
      <c r="N76" s="435"/>
      <c r="P76" s="141"/>
      <c r="V76" s="54"/>
      <c r="W76" s="59"/>
      <c r="X76" s="59"/>
      <c r="Y76" s="59"/>
      <c r="Z76" s="59"/>
      <c r="AA76" s="59"/>
      <c r="AB76" s="59"/>
      <c r="AC76" s="59"/>
      <c r="AD76" s="576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</row>
    <row r="77" spans="1:51" s="137" customFormat="1" ht="18" customHeight="1">
      <c r="A77" s="63"/>
      <c r="B77" s="65"/>
      <c r="C77" s="358"/>
      <c r="D77" s="358"/>
      <c r="E77" s="358"/>
      <c r="F77" s="472"/>
      <c r="G77" s="513" t="s">
        <v>43</v>
      </c>
      <c r="H77" s="486">
        <f>M77</f>
        <v>1500</v>
      </c>
      <c r="I77" s="486">
        <v>1500</v>
      </c>
      <c r="J77" s="14">
        <f>H77-I77</f>
        <v>0</v>
      </c>
      <c r="K77" s="36" t="s">
        <v>503</v>
      </c>
      <c r="L77" s="412"/>
      <c r="M77" s="388">
        <f>SUM(M78)</f>
        <v>1500</v>
      </c>
      <c r="N77" s="438"/>
      <c r="O77" s="150"/>
      <c r="P77" s="139"/>
      <c r="Q77" s="101"/>
      <c r="R77" s="101"/>
      <c r="S77" s="101"/>
      <c r="AD77" s="576"/>
    </row>
    <row r="78" spans="1:51" s="137" customFormat="1" ht="18" customHeight="1">
      <c r="A78" s="314"/>
      <c r="B78" s="315"/>
      <c r="C78" s="515"/>
      <c r="D78" s="515"/>
      <c r="E78" s="515"/>
      <c r="F78" s="491"/>
      <c r="G78" s="491"/>
      <c r="H78" s="516"/>
      <c r="I78" s="517"/>
      <c r="J78" s="665"/>
      <c r="K78" s="518" t="s">
        <v>569</v>
      </c>
      <c r="L78" s="519" t="s">
        <v>0</v>
      </c>
      <c r="M78" s="381">
        <v>1500</v>
      </c>
      <c r="N78" s="439" t="s">
        <v>11</v>
      </c>
      <c r="O78" s="150"/>
      <c r="P78" s="139">
        <v>130000</v>
      </c>
      <c r="Q78" s="101">
        <v>1</v>
      </c>
      <c r="R78" s="101"/>
      <c r="S78" s="101"/>
      <c r="AD78" s="576"/>
    </row>
    <row r="79" spans="1:51" customFormat="1">
      <c r="A79" s="63"/>
      <c r="B79" s="65"/>
      <c r="C79" s="358"/>
      <c r="D79" s="358"/>
      <c r="E79" s="358"/>
      <c r="F79" s="510" t="s">
        <v>87</v>
      </c>
      <c r="G79" s="524"/>
      <c r="H79" s="145">
        <f>H80</f>
        <v>2100</v>
      </c>
      <c r="I79" s="145">
        <v>2100</v>
      </c>
      <c r="J79" s="145">
        <f>H79-I79</f>
        <v>0</v>
      </c>
      <c r="K79" s="525"/>
      <c r="L79" s="526"/>
      <c r="M79" s="527"/>
      <c r="AD79" s="576"/>
    </row>
    <row r="80" spans="1:51" customFormat="1">
      <c r="A80" s="63"/>
      <c r="B80" s="65"/>
      <c r="C80" s="358"/>
      <c r="D80" s="358"/>
      <c r="E80" s="358"/>
      <c r="F80" s="467"/>
      <c r="G80" s="358" t="s">
        <v>91</v>
      </c>
      <c r="H80" s="468">
        <f>M80</f>
        <v>2100</v>
      </c>
      <c r="I80" s="468">
        <v>2100</v>
      </c>
      <c r="J80" s="50">
        <f>H80-I80</f>
        <v>0</v>
      </c>
      <c r="K80" s="386" t="s">
        <v>383</v>
      </c>
      <c r="L80" s="411"/>
      <c r="M80" s="388">
        <f>M81</f>
        <v>2100</v>
      </c>
      <c r="AD80" s="576"/>
    </row>
    <row r="81" spans="1:30" customFormat="1" ht="17.25" thickBot="1">
      <c r="A81" s="287"/>
      <c r="B81" s="69"/>
      <c r="C81" s="69"/>
      <c r="D81" s="69"/>
      <c r="E81" s="69"/>
      <c r="F81" s="332"/>
      <c r="G81" s="199"/>
      <c r="H81" s="333"/>
      <c r="I81" s="334"/>
      <c r="J81" s="335"/>
      <c r="K81" s="230" t="s">
        <v>395</v>
      </c>
      <c r="L81" s="231" t="s">
        <v>0</v>
      </c>
      <c r="M81" s="240">
        <v>2100</v>
      </c>
      <c r="N81">
        <v>8</v>
      </c>
      <c r="AD81" s="576"/>
    </row>
    <row r="82" spans="1:30" s="137" customFormat="1" ht="18" customHeight="1">
      <c r="AD82" s="576"/>
    </row>
    <row r="83" spans="1:30" s="137" customFormat="1" ht="18" customHeight="1">
      <c r="AD83" s="576"/>
    </row>
    <row r="84" spans="1:30" s="137" customFormat="1" ht="18" customHeight="1">
      <c r="AD84" s="576"/>
    </row>
    <row r="85" spans="1:30" s="137" customFormat="1" ht="18" customHeight="1">
      <c r="AD85" s="576"/>
    </row>
    <row r="86" spans="1:30" s="137" customFormat="1" ht="18" customHeight="1">
      <c r="AD86" s="576"/>
    </row>
    <row r="87" spans="1:30" s="137" customFormat="1" ht="18" customHeight="1">
      <c r="AD87" s="576"/>
    </row>
    <row r="88" spans="1:30" s="137" customFormat="1" ht="18" customHeight="1">
      <c r="AD88" s="576"/>
    </row>
    <row r="89" spans="1:30" s="137" customFormat="1" ht="18" customHeight="1">
      <c r="AD89" s="576"/>
    </row>
    <row r="90" spans="1:30" s="137" customFormat="1" ht="18" customHeight="1">
      <c r="AD90" s="576"/>
    </row>
    <row r="91" spans="1:30" s="137" customFormat="1" ht="18" customHeight="1">
      <c r="AD91" s="576"/>
    </row>
    <row r="92" spans="1:30" s="137" customFormat="1" ht="18" customHeight="1">
      <c r="AD92" s="576"/>
    </row>
    <row r="93" spans="1:30" s="137" customFormat="1" ht="18" customHeight="1">
      <c r="A93" s="1"/>
      <c r="AD93" s="576"/>
    </row>
    <row r="94" spans="1:30" s="137" customFormat="1" ht="18" customHeight="1">
      <c r="A94" s="1"/>
      <c r="AD94" s="576"/>
    </row>
    <row r="95" spans="1:30" s="137" customFormat="1" ht="18" customHeight="1">
      <c r="A95" s="1"/>
      <c r="AD95" s="576"/>
    </row>
    <row r="96" spans="1:30" s="137" customFormat="1" ht="18" customHeight="1">
      <c r="A96" s="1"/>
      <c r="AD96" s="576"/>
    </row>
    <row r="97" spans="1:30" s="137" customFormat="1" ht="18" customHeight="1">
      <c r="A97" s="1"/>
      <c r="AD97" s="576"/>
    </row>
    <row r="98" spans="1:30" s="137" customFormat="1" ht="18" customHeight="1">
      <c r="A98" s="157"/>
      <c r="AD98" s="576"/>
    </row>
    <row r="99" spans="1:30" s="137" customFormat="1" ht="18" customHeight="1">
      <c r="A99" s="157"/>
      <c r="AD99" s="576"/>
    </row>
    <row r="100" spans="1:30" s="137" customFormat="1" ht="18" customHeight="1">
      <c r="AD100" s="576"/>
    </row>
    <row r="101" spans="1:30" s="137" customFormat="1" ht="18" customHeight="1">
      <c r="AD101" s="576"/>
    </row>
    <row r="102" spans="1:30" s="137" customFormat="1" ht="18" customHeight="1">
      <c r="AD102" s="576"/>
    </row>
    <row r="103" spans="1:30" s="137" customFormat="1" ht="18" customHeight="1">
      <c r="A103" s="1"/>
      <c r="B103" s="1"/>
      <c r="C103" s="1"/>
      <c r="D103" s="1"/>
      <c r="E103" s="1"/>
      <c r="F103" s="1"/>
      <c r="G103" s="1"/>
      <c r="H103" s="1"/>
      <c r="AD103" s="576"/>
    </row>
    <row r="104" spans="1:30" s="137" customFormat="1" ht="18" customHeight="1">
      <c r="A104" s="1"/>
      <c r="B104" s="1"/>
      <c r="C104" s="1"/>
      <c r="D104" s="1"/>
      <c r="E104" s="1"/>
      <c r="F104" s="1"/>
      <c r="G104" s="1"/>
      <c r="H104" s="1"/>
      <c r="AD104" s="576"/>
    </row>
    <row r="105" spans="1:30" s="1" customFormat="1" ht="18" customHeight="1">
      <c r="AD105" s="576"/>
    </row>
    <row r="106" spans="1:30" s="1" customFormat="1" ht="18" customHeight="1">
      <c r="AD106" s="576"/>
    </row>
    <row r="107" spans="1:30" s="137" customFormat="1" ht="18" customHeight="1">
      <c r="A107" s="1"/>
      <c r="B107" s="1"/>
      <c r="C107" s="1"/>
      <c r="D107" s="1"/>
      <c r="E107" s="1"/>
      <c r="F107" s="1"/>
      <c r="G107" s="1"/>
      <c r="H107" s="1"/>
      <c r="AD107" s="576"/>
    </row>
    <row r="108" spans="1:30" s="137" customFormat="1" ht="18" customHeight="1">
      <c r="A108" s="156"/>
      <c r="B108" s="157"/>
      <c r="C108" s="157"/>
      <c r="D108" s="157"/>
      <c r="E108" s="157"/>
      <c r="F108" s="157"/>
      <c r="G108" s="157"/>
      <c r="H108" s="157"/>
      <c r="AD108" s="576"/>
    </row>
    <row r="109" spans="1:30" s="137" customFormat="1" ht="18" customHeight="1">
      <c r="A109" s="24"/>
      <c r="B109" s="24"/>
      <c r="C109" s="24"/>
      <c r="D109" s="24"/>
      <c r="E109" s="24"/>
      <c r="F109" s="24"/>
      <c r="G109" s="24"/>
      <c r="H109" s="77"/>
      <c r="AD109" s="576"/>
    </row>
    <row r="110" spans="1:30" s="137" customFormat="1" ht="18" customHeight="1">
      <c r="A110" s="24"/>
      <c r="B110" s="24"/>
      <c r="C110" s="24"/>
      <c r="D110" s="24"/>
      <c r="E110" s="24"/>
      <c r="F110" s="24"/>
      <c r="G110" s="24"/>
      <c r="H110" s="77"/>
      <c r="AD110" s="576"/>
    </row>
    <row r="111" spans="1:30" s="137" customFormat="1" ht="18" customHeight="1">
      <c r="A111" s="24"/>
      <c r="B111" s="24"/>
      <c r="C111" s="24"/>
      <c r="D111" s="24"/>
      <c r="E111" s="24"/>
      <c r="F111" s="24"/>
      <c r="G111" s="24"/>
      <c r="H111" s="77"/>
      <c r="AD111" s="576"/>
    </row>
    <row r="112" spans="1:30" s="137" customFormat="1" ht="18" customHeight="1">
      <c r="A112" s="24"/>
      <c r="B112" s="24"/>
      <c r="C112" s="24"/>
      <c r="D112" s="24"/>
      <c r="E112" s="24"/>
      <c r="F112" s="24"/>
      <c r="G112" s="24"/>
      <c r="H112" s="77"/>
      <c r="AD112" s="576"/>
    </row>
    <row r="113" spans="1:30" s="137" customFormat="1" ht="18" customHeight="1">
      <c r="A113" s="24"/>
      <c r="B113" s="24"/>
      <c r="C113" s="24"/>
      <c r="D113" s="24"/>
      <c r="E113" s="24"/>
      <c r="F113" s="24"/>
      <c r="G113" s="24"/>
      <c r="H113" s="77"/>
      <c r="AD113" s="576"/>
    </row>
    <row r="114" spans="1:30" s="137" customFormat="1" ht="18" customHeight="1">
      <c r="A114" s="24"/>
      <c r="B114" s="24"/>
      <c r="C114" s="24"/>
      <c r="D114" s="24"/>
      <c r="E114" s="24"/>
      <c r="F114" s="24"/>
      <c r="G114" s="24"/>
      <c r="H114" s="77"/>
      <c r="AD114" s="576"/>
    </row>
    <row r="115" spans="1:30" s="137" customFormat="1" ht="18" customHeight="1">
      <c r="A115" s="24"/>
      <c r="B115" s="24"/>
      <c r="C115" s="24"/>
      <c r="D115" s="24"/>
      <c r="E115" s="24"/>
      <c r="F115" s="24"/>
      <c r="G115" s="24"/>
      <c r="H115" s="77"/>
      <c r="AD115" s="576"/>
    </row>
    <row r="116" spans="1:30" s="137" customFormat="1" ht="18" customHeight="1">
      <c r="A116" s="24"/>
      <c r="B116" s="24"/>
      <c r="C116" s="24"/>
      <c r="D116" s="24"/>
      <c r="E116" s="24"/>
      <c r="F116" s="24"/>
      <c r="G116" s="24"/>
      <c r="H116" s="77"/>
      <c r="AD116" s="576"/>
    </row>
    <row r="117" spans="1:30" s="137" customFormat="1" ht="18" customHeight="1">
      <c r="A117" s="24"/>
      <c r="B117" s="24"/>
      <c r="C117" s="24"/>
      <c r="D117" s="24"/>
      <c r="E117" s="24"/>
      <c r="F117" s="24"/>
      <c r="G117" s="24"/>
      <c r="H117" s="77"/>
      <c r="AD117" s="576"/>
    </row>
    <row r="118" spans="1:30" s="137" customFormat="1" ht="18" customHeight="1">
      <c r="A118" s="24"/>
      <c r="B118" s="24"/>
      <c r="C118" s="24"/>
      <c r="D118" s="24"/>
      <c r="E118" s="24"/>
      <c r="F118" s="24"/>
      <c r="G118" s="24"/>
      <c r="H118" s="77"/>
      <c r="AD118" s="576"/>
    </row>
    <row r="119" spans="1:30" s="137" customFormat="1" ht="18" customHeight="1">
      <c r="A119" s="24"/>
      <c r="B119" s="24"/>
      <c r="C119" s="24"/>
      <c r="D119" s="24"/>
      <c r="E119" s="24"/>
      <c r="F119" s="24"/>
      <c r="G119" s="24"/>
      <c r="H119" s="77"/>
      <c r="AD119" s="576"/>
    </row>
    <row r="120" spans="1:30" s="137" customFormat="1" ht="18" customHeight="1">
      <c r="A120" s="24"/>
      <c r="B120" s="24"/>
      <c r="C120" s="24"/>
      <c r="D120" s="24"/>
      <c r="E120" s="24"/>
      <c r="F120" s="24"/>
      <c r="G120" s="24"/>
      <c r="H120" s="77"/>
      <c r="AD120" s="576"/>
    </row>
    <row r="121" spans="1:30" s="137" customFormat="1" ht="18" customHeight="1">
      <c r="A121" s="24"/>
      <c r="B121" s="24"/>
      <c r="C121" s="24"/>
      <c r="D121" s="24"/>
      <c r="E121" s="24"/>
      <c r="F121" s="24"/>
      <c r="G121" s="24"/>
      <c r="H121" s="77"/>
      <c r="AD121" s="576"/>
    </row>
    <row r="122" spans="1:30" s="137" customFormat="1" ht="18" customHeight="1">
      <c r="A122" s="24"/>
      <c r="B122" s="24"/>
      <c r="C122" s="24"/>
      <c r="D122" s="24"/>
      <c r="E122" s="24"/>
      <c r="F122" s="24"/>
      <c r="G122" s="24"/>
      <c r="H122" s="77"/>
      <c r="AD122" s="576"/>
    </row>
    <row r="123" spans="1:30" s="137" customFormat="1" ht="18" customHeight="1">
      <c r="A123" s="24"/>
      <c r="B123" s="24"/>
      <c r="C123" s="24"/>
      <c r="D123" s="24"/>
      <c r="E123" s="24"/>
      <c r="F123" s="24"/>
      <c r="G123" s="24"/>
      <c r="H123" s="77"/>
      <c r="AD123" s="576"/>
    </row>
    <row r="124" spans="1:30" s="137" customFormat="1" ht="18" customHeight="1">
      <c r="A124" s="24"/>
      <c r="B124" s="24"/>
      <c r="C124" s="24"/>
      <c r="D124" s="24"/>
      <c r="E124" s="24"/>
      <c r="F124" s="24"/>
      <c r="G124" s="24"/>
      <c r="H124" s="77"/>
      <c r="AD124" s="576"/>
    </row>
    <row r="125" spans="1:30" s="137" customFormat="1" ht="18" customHeight="1">
      <c r="A125" s="24"/>
      <c r="B125" s="24"/>
      <c r="C125" s="24"/>
      <c r="D125" s="24"/>
      <c r="E125" s="24"/>
      <c r="F125" s="24"/>
      <c r="G125" s="24"/>
      <c r="H125" s="77"/>
      <c r="AD125" s="576"/>
    </row>
    <row r="126" spans="1:30" s="137" customFormat="1" ht="18" customHeight="1">
      <c r="A126" s="24"/>
      <c r="B126" s="24"/>
      <c r="C126" s="24"/>
      <c r="D126" s="24"/>
      <c r="E126" s="24"/>
      <c r="F126" s="24"/>
      <c r="G126" s="24"/>
      <c r="H126" s="77"/>
      <c r="AD126" s="576"/>
    </row>
    <row r="127" spans="1:30" s="137" customFormat="1" ht="18" customHeight="1">
      <c r="A127" s="24"/>
      <c r="B127" s="24"/>
      <c r="C127" s="24"/>
      <c r="D127" s="24"/>
      <c r="E127" s="24"/>
      <c r="F127" s="24"/>
      <c r="G127" s="24"/>
      <c r="H127" s="77"/>
      <c r="AD127" s="576"/>
    </row>
    <row r="128" spans="1:30" s="137" customFormat="1" ht="18" customHeight="1">
      <c r="A128" s="24"/>
      <c r="B128" s="24"/>
      <c r="C128" s="24"/>
      <c r="D128" s="24"/>
      <c r="E128" s="24"/>
      <c r="F128" s="24"/>
      <c r="G128" s="24"/>
      <c r="H128" s="77"/>
      <c r="AD128" s="576"/>
    </row>
    <row r="129" spans="1:38" s="137" customFormat="1" ht="18" customHeight="1">
      <c r="A129" s="24"/>
      <c r="B129" s="24"/>
      <c r="C129" s="24"/>
      <c r="D129" s="24"/>
      <c r="E129" s="24"/>
      <c r="F129" s="24"/>
      <c r="G129" s="24"/>
      <c r="H129" s="77"/>
      <c r="AD129" s="576"/>
    </row>
    <row r="130" spans="1:38" s="137" customFormat="1" ht="18" customHeight="1">
      <c r="A130" s="24"/>
      <c r="B130" s="24"/>
      <c r="C130" s="24"/>
      <c r="D130" s="24"/>
      <c r="E130" s="24"/>
      <c r="F130" s="24"/>
      <c r="G130" s="24"/>
      <c r="H130" s="77"/>
      <c r="AD130" s="576"/>
    </row>
    <row r="131" spans="1:38" s="137" customFormat="1" ht="18" customHeight="1">
      <c r="A131" s="24"/>
      <c r="B131" s="24"/>
      <c r="C131" s="24"/>
      <c r="D131" s="24"/>
      <c r="E131" s="24"/>
      <c r="F131" s="24"/>
      <c r="G131" s="24"/>
      <c r="H131" s="77"/>
      <c r="AD131" s="576"/>
    </row>
    <row r="132" spans="1:38" s="137" customFormat="1" ht="18" customHeight="1">
      <c r="A132" s="24"/>
      <c r="B132" s="24"/>
      <c r="C132" s="24"/>
      <c r="D132" s="24"/>
      <c r="E132" s="24"/>
      <c r="F132" s="24"/>
      <c r="G132" s="24"/>
      <c r="H132" s="77"/>
      <c r="AD132" s="576"/>
    </row>
    <row r="133" spans="1:38" s="137" customFormat="1" ht="18" customHeight="1">
      <c r="A133" s="24"/>
      <c r="B133" s="24"/>
      <c r="C133" s="24"/>
      <c r="D133" s="24"/>
      <c r="E133" s="24"/>
      <c r="F133" s="24"/>
      <c r="G133" s="24"/>
      <c r="H133" s="77"/>
      <c r="AD133" s="576"/>
    </row>
    <row r="134" spans="1:38" s="137" customFormat="1" ht="18" customHeight="1">
      <c r="A134" s="24"/>
      <c r="B134" s="24"/>
      <c r="C134" s="24"/>
      <c r="D134" s="24"/>
      <c r="E134" s="24"/>
      <c r="F134" s="24"/>
      <c r="G134" s="24"/>
      <c r="H134" s="77"/>
      <c r="AD134" s="576"/>
    </row>
    <row r="135" spans="1:38" s="137" customFormat="1" ht="18" customHeight="1">
      <c r="A135" s="24"/>
      <c r="B135" s="24"/>
      <c r="C135" s="24"/>
      <c r="D135" s="24"/>
      <c r="E135" s="24"/>
      <c r="F135" s="24"/>
      <c r="G135" s="24"/>
      <c r="H135" s="77"/>
      <c r="AD135" s="576"/>
    </row>
    <row r="136" spans="1:38" s="137" customFormat="1" ht="18" customHeight="1">
      <c r="A136" s="24"/>
      <c r="B136" s="24"/>
      <c r="C136" s="24"/>
      <c r="D136" s="24"/>
      <c r="E136" s="24"/>
      <c r="F136" s="24"/>
      <c r="G136" s="24"/>
      <c r="H136" s="77"/>
      <c r="AD136" s="576"/>
    </row>
    <row r="137" spans="1:38" s="137" customFormat="1" ht="18" customHeight="1">
      <c r="A137" s="24"/>
      <c r="B137" s="24"/>
      <c r="C137" s="24"/>
      <c r="D137" s="24"/>
      <c r="E137" s="24"/>
      <c r="F137" s="24"/>
      <c r="G137" s="24"/>
      <c r="H137" s="77"/>
      <c r="I137" s="54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76"/>
      <c r="AE137" s="59"/>
      <c r="AF137" s="59"/>
      <c r="AG137" s="59"/>
      <c r="AH137" s="59"/>
      <c r="AI137" s="59"/>
      <c r="AJ137" s="59"/>
      <c r="AK137" s="59"/>
      <c r="AL137" s="59"/>
    </row>
    <row r="138" spans="1:38" s="137" customFormat="1" ht="18" customHeight="1">
      <c r="A138" s="24"/>
      <c r="B138" s="24"/>
      <c r="C138" s="24"/>
      <c r="D138" s="24"/>
      <c r="E138" s="24"/>
      <c r="F138" s="24"/>
      <c r="G138" s="24"/>
      <c r="H138" s="77"/>
      <c r="I138" s="54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76"/>
      <c r="AE138" s="59"/>
      <c r="AF138" s="59"/>
      <c r="AG138" s="59"/>
      <c r="AH138" s="59"/>
      <c r="AI138" s="59"/>
      <c r="AJ138" s="59"/>
      <c r="AK138" s="59"/>
      <c r="AL138" s="59"/>
    </row>
    <row r="139" spans="1:38" s="1" customFormat="1" ht="18" customHeight="1">
      <c r="A139" s="24"/>
      <c r="B139" s="24"/>
      <c r="C139" s="24"/>
      <c r="D139" s="24"/>
      <c r="E139" s="24"/>
      <c r="F139" s="24"/>
      <c r="G139" s="24"/>
      <c r="H139" s="77"/>
      <c r="AD139" s="576"/>
    </row>
    <row r="140" spans="1:38" s="1" customFormat="1" ht="18" customHeight="1">
      <c r="A140" s="24"/>
      <c r="B140" s="24"/>
      <c r="C140" s="24"/>
      <c r="D140" s="24"/>
      <c r="E140" s="24"/>
      <c r="F140" s="24"/>
      <c r="G140" s="24"/>
      <c r="H140" s="77"/>
      <c r="AD140" s="576"/>
    </row>
    <row r="141" spans="1:38" s="1" customFormat="1" ht="18" customHeight="1">
      <c r="A141" s="24"/>
      <c r="B141" s="24"/>
      <c r="C141" s="24"/>
      <c r="D141" s="24"/>
      <c r="E141" s="24"/>
      <c r="F141" s="24"/>
      <c r="G141" s="24"/>
      <c r="H141" s="77"/>
      <c r="AD141" s="576"/>
    </row>
    <row r="142" spans="1:38" s="137" customFormat="1" ht="18" customHeight="1">
      <c r="A142" s="24"/>
      <c r="B142" s="24"/>
      <c r="C142" s="24"/>
      <c r="D142" s="24"/>
      <c r="E142" s="24"/>
      <c r="F142" s="24"/>
      <c r="G142" s="24"/>
      <c r="H142" s="77"/>
      <c r="AD142" s="576"/>
    </row>
    <row r="143" spans="1:38" s="137" customFormat="1" ht="18" customHeight="1">
      <c r="A143" s="24"/>
      <c r="B143" s="24"/>
      <c r="C143" s="24"/>
      <c r="D143" s="24"/>
      <c r="E143" s="24"/>
      <c r="F143" s="24"/>
      <c r="G143" s="24"/>
      <c r="H143" s="77"/>
      <c r="I143" s="54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76"/>
      <c r="AE143" s="59"/>
      <c r="AF143" s="59"/>
      <c r="AG143" s="59"/>
      <c r="AH143" s="59"/>
      <c r="AI143" s="59"/>
      <c r="AJ143" s="59"/>
      <c r="AK143" s="59"/>
      <c r="AL143" s="59"/>
    </row>
    <row r="144" spans="1:38" s="137" customFormat="1" ht="18" customHeight="1">
      <c r="A144" s="24"/>
      <c r="B144" s="24"/>
      <c r="C144" s="24"/>
      <c r="D144" s="24"/>
      <c r="E144" s="24"/>
      <c r="F144" s="24"/>
      <c r="G144" s="24"/>
      <c r="H144" s="77"/>
      <c r="I144" s="54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76"/>
      <c r="AE144" s="59"/>
      <c r="AF144" s="59"/>
      <c r="AG144" s="59"/>
      <c r="AH144" s="59"/>
      <c r="AI144" s="59"/>
      <c r="AJ144" s="59"/>
      <c r="AK144" s="59"/>
      <c r="AL144" s="59"/>
    </row>
    <row r="145" spans="1:38" s="137" customFormat="1" ht="18" customHeight="1">
      <c r="A145" s="24"/>
      <c r="B145" s="24"/>
      <c r="C145" s="24"/>
      <c r="D145" s="24"/>
      <c r="E145" s="24"/>
      <c r="F145" s="24"/>
      <c r="G145" s="24"/>
      <c r="H145" s="77"/>
      <c r="I145" s="54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76"/>
      <c r="AE145" s="59"/>
      <c r="AF145" s="59"/>
      <c r="AG145" s="59"/>
      <c r="AH145" s="59"/>
      <c r="AI145" s="59"/>
      <c r="AJ145" s="59"/>
      <c r="AK145" s="59"/>
      <c r="AL145" s="59"/>
    </row>
    <row r="146" spans="1:38" s="137" customFormat="1" ht="18" customHeight="1">
      <c r="A146" s="24"/>
      <c r="B146" s="24"/>
      <c r="C146" s="24"/>
      <c r="D146" s="24"/>
      <c r="E146" s="24"/>
      <c r="F146" s="24"/>
      <c r="G146" s="24"/>
      <c r="H146" s="77"/>
      <c r="I146" s="54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76"/>
      <c r="AE146" s="59"/>
      <c r="AF146" s="59"/>
      <c r="AG146" s="59"/>
      <c r="AH146" s="59"/>
      <c r="AI146" s="59"/>
      <c r="AJ146" s="59"/>
      <c r="AK146" s="59"/>
      <c r="AL146" s="59"/>
    </row>
    <row r="147" spans="1:38" s="137" customFormat="1" ht="18" customHeight="1">
      <c r="A147" s="24"/>
      <c r="B147" s="24"/>
      <c r="C147" s="24"/>
      <c r="D147" s="24"/>
      <c r="E147" s="24"/>
      <c r="F147" s="24"/>
      <c r="G147" s="24"/>
      <c r="H147" s="77"/>
      <c r="I147" s="54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76"/>
      <c r="AE147" s="59"/>
      <c r="AF147" s="59"/>
      <c r="AG147" s="59"/>
      <c r="AH147" s="59"/>
      <c r="AI147" s="59"/>
      <c r="AJ147" s="59"/>
      <c r="AK147" s="59"/>
      <c r="AL147" s="59"/>
    </row>
    <row r="148" spans="1:38" s="137" customFormat="1" ht="18" customHeight="1">
      <c r="A148" s="24"/>
      <c r="B148" s="24"/>
      <c r="C148" s="24"/>
      <c r="D148" s="24"/>
      <c r="E148" s="24"/>
      <c r="F148" s="24"/>
      <c r="G148" s="24"/>
      <c r="H148" s="77"/>
      <c r="I148" s="54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76"/>
      <c r="AE148" s="59"/>
      <c r="AF148" s="59"/>
      <c r="AG148" s="59"/>
      <c r="AH148" s="59"/>
      <c r="AI148" s="59"/>
      <c r="AJ148" s="59"/>
      <c r="AK148" s="59"/>
      <c r="AL148" s="59"/>
    </row>
    <row r="149" spans="1:38" s="137" customFormat="1" ht="18" customHeight="1">
      <c r="A149" s="24"/>
      <c r="B149" s="24"/>
      <c r="C149" s="24"/>
      <c r="D149" s="24"/>
      <c r="E149" s="24"/>
      <c r="F149" s="24"/>
      <c r="G149" s="24"/>
      <c r="H149" s="77"/>
      <c r="I149" s="54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76"/>
      <c r="AE149" s="59"/>
      <c r="AF149" s="59"/>
      <c r="AG149" s="59"/>
      <c r="AH149" s="59"/>
      <c r="AI149" s="59"/>
      <c r="AJ149" s="59"/>
      <c r="AK149" s="59"/>
      <c r="AL149" s="59"/>
    </row>
    <row r="150" spans="1:38" s="137" customFormat="1" ht="18" customHeight="1">
      <c r="A150" s="24"/>
      <c r="B150" s="24"/>
      <c r="C150" s="24"/>
      <c r="D150" s="24"/>
      <c r="E150" s="24"/>
      <c r="F150" s="24"/>
      <c r="G150" s="24"/>
      <c r="H150" s="77"/>
      <c r="I150" s="54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76"/>
      <c r="AE150" s="59"/>
      <c r="AF150" s="59"/>
      <c r="AG150" s="59"/>
      <c r="AH150" s="59"/>
      <c r="AI150" s="59"/>
      <c r="AJ150" s="59"/>
      <c r="AK150" s="59"/>
      <c r="AL150" s="59"/>
    </row>
    <row r="151" spans="1:38" s="137" customFormat="1" ht="18" customHeight="1">
      <c r="A151" s="24"/>
      <c r="B151" s="24"/>
      <c r="C151" s="24"/>
      <c r="D151" s="24"/>
      <c r="E151" s="24"/>
      <c r="F151" s="24"/>
      <c r="G151" s="24"/>
      <c r="H151" s="77"/>
      <c r="I151" s="54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76"/>
      <c r="AE151" s="59"/>
      <c r="AF151" s="59"/>
      <c r="AG151" s="59"/>
      <c r="AH151" s="59"/>
      <c r="AI151" s="59"/>
      <c r="AJ151" s="59"/>
      <c r="AK151" s="59"/>
      <c r="AL151" s="59"/>
    </row>
    <row r="152" spans="1:38" s="137" customFormat="1" ht="18" customHeight="1">
      <c r="A152" s="24"/>
      <c r="B152" s="24"/>
      <c r="C152" s="24"/>
      <c r="D152" s="24"/>
      <c r="E152" s="24"/>
      <c r="F152" s="24"/>
      <c r="G152" s="24"/>
      <c r="H152" s="77"/>
      <c r="I152" s="54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76"/>
      <c r="AE152" s="59"/>
      <c r="AF152" s="59"/>
      <c r="AG152" s="59"/>
      <c r="AH152" s="59"/>
      <c r="AI152" s="59"/>
      <c r="AJ152" s="59"/>
      <c r="AK152" s="59"/>
      <c r="AL152" s="59"/>
    </row>
    <row r="153" spans="1:38" s="137" customFormat="1" ht="18" customHeight="1">
      <c r="A153" s="24"/>
      <c r="B153" s="24"/>
      <c r="C153" s="24"/>
      <c r="D153" s="24"/>
      <c r="E153" s="24"/>
      <c r="F153" s="24"/>
      <c r="G153" s="24"/>
      <c r="H153" s="77"/>
      <c r="I153" s="54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76"/>
      <c r="AE153" s="59"/>
      <c r="AF153" s="59"/>
      <c r="AG153" s="59"/>
      <c r="AH153" s="59"/>
      <c r="AI153" s="59"/>
      <c r="AJ153" s="59"/>
      <c r="AK153" s="59"/>
      <c r="AL153" s="59"/>
    </row>
    <row r="154" spans="1:38" s="137" customFormat="1" ht="18" customHeight="1">
      <c r="A154" s="24"/>
      <c r="B154" s="24"/>
      <c r="C154" s="24"/>
      <c r="D154" s="24"/>
      <c r="E154" s="24"/>
      <c r="F154" s="24"/>
      <c r="G154" s="24"/>
      <c r="H154" s="77"/>
      <c r="I154" s="54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76"/>
      <c r="AE154" s="59"/>
      <c r="AF154" s="59"/>
      <c r="AG154" s="59"/>
      <c r="AH154" s="59"/>
      <c r="AI154" s="59"/>
      <c r="AJ154" s="59"/>
      <c r="AK154" s="59"/>
      <c r="AL154" s="59"/>
    </row>
    <row r="155" spans="1:38" s="137" customFormat="1" ht="18" customHeight="1">
      <c r="A155" s="24"/>
      <c r="B155" s="24"/>
      <c r="C155" s="24"/>
      <c r="D155" s="24"/>
      <c r="E155" s="24"/>
      <c r="F155" s="24"/>
      <c r="G155" s="24"/>
      <c r="H155" s="77"/>
      <c r="I155" s="54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76"/>
      <c r="AE155" s="59"/>
      <c r="AF155" s="59"/>
      <c r="AG155" s="59"/>
      <c r="AH155" s="59"/>
      <c r="AI155" s="59"/>
      <c r="AJ155" s="59"/>
      <c r="AK155" s="59"/>
      <c r="AL155" s="59"/>
    </row>
    <row r="156" spans="1:38" s="137" customFormat="1" ht="18" customHeight="1">
      <c r="A156" s="24"/>
      <c r="B156" s="24"/>
      <c r="C156" s="24"/>
      <c r="D156" s="24"/>
      <c r="E156" s="24"/>
      <c r="F156" s="24"/>
      <c r="G156" s="24"/>
      <c r="H156" s="77"/>
      <c r="I156" s="54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76"/>
      <c r="AE156" s="59"/>
      <c r="AF156" s="59"/>
      <c r="AG156" s="59"/>
      <c r="AH156" s="59"/>
      <c r="AI156" s="59"/>
      <c r="AJ156" s="59"/>
      <c r="AK156" s="59"/>
      <c r="AL156" s="59"/>
    </row>
    <row r="157" spans="1:38" s="137" customFormat="1" ht="18" customHeight="1">
      <c r="A157" s="24"/>
      <c r="B157" s="24"/>
      <c r="C157" s="24"/>
      <c r="D157" s="24"/>
      <c r="E157" s="24"/>
      <c r="F157" s="24"/>
      <c r="G157" s="24"/>
      <c r="H157" s="77"/>
      <c r="I157" s="54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76"/>
      <c r="AE157" s="59"/>
      <c r="AF157" s="59"/>
      <c r="AG157" s="59"/>
      <c r="AH157" s="59"/>
      <c r="AI157" s="59"/>
      <c r="AJ157" s="59"/>
      <c r="AK157" s="59"/>
      <c r="AL157" s="59"/>
    </row>
    <row r="158" spans="1:38" s="137" customFormat="1" ht="18" customHeight="1">
      <c r="A158" s="24"/>
      <c r="B158" s="24"/>
      <c r="C158" s="24"/>
      <c r="D158" s="24"/>
      <c r="E158" s="24"/>
      <c r="F158" s="24"/>
      <c r="G158" s="24"/>
      <c r="H158" s="77"/>
      <c r="I158" s="54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76"/>
      <c r="AE158" s="59"/>
      <c r="AF158" s="59"/>
      <c r="AG158" s="59"/>
      <c r="AH158" s="59"/>
      <c r="AI158" s="59"/>
      <c r="AJ158" s="59"/>
      <c r="AK158" s="59"/>
      <c r="AL158" s="59"/>
    </row>
    <row r="159" spans="1:38" s="137" customFormat="1" ht="18" customHeight="1">
      <c r="A159" s="24"/>
      <c r="B159" s="24"/>
      <c r="C159" s="24"/>
      <c r="D159" s="24"/>
      <c r="E159" s="24"/>
      <c r="F159" s="24"/>
      <c r="G159" s="24"/>
      <c r="H159" s="77"/>
      <c r="I159" s="54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76"/>
      <c r="AE159" s="59"/>
      <c r="AF159" s="59"/>
      <c r="AG159" s="59"/>
      <c r="AH159" s="59"/>
      <c r="AI159" s="59"/>
      <c r="AJ159" s="59"/>
      <c r="AK159" s="59"/>
      <c r="AL159" s="59"/>
    </row>
    <row r="160" spans="1:38" s="137" customFormat="1" ht="18" customHeight="1">
      <c r="A160" s="24"/>
      <c r="B160" s="24"/>
      <c r="C160" s="24"/>
      <c r="D160" s="24"/>
      <c r="E160" s="24"/>
      <c r="F160" s="24"/>
      <c r="G160" s="24"/>
      <c r="H160" s="77"/>
      <c r="I160" s="54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76"/>
      <c r="AE160" s="59"/>
      <c r="AF160" s="59"/>
      <c r="AG160" s="59"/>
      <c r="AH160" s="59"/>
      <c r="AI160" s="59"/>
      <c r="AJ160" s="59"/>
      <c r="AK160" s="59"/>
      <c r="AL160" s="59"/>
    </row>
    <row r="161" spans="1:38" s="137" customFormat="1" ht="18" customHeight="1">
      <c r="A161" s="24"/>
      <c r="B161" s="24"/>
      <c r="C161" s="24"/>
      <c r="D161" s="24"/>
      <c r="E161" s="24"/>
      <c r="F161" s="24"/>
      <c r="G161" s="24"/>
      <c r="H161" s="77"/>
      <c r="I161" s="54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76"/>
      <c r="AE161" s="59"/>
      <c r="AF161" s="59"/>
      <c r="AG161" s="59"/>
      <c r="AH161" s="59"/>
      <c r="AI161" s="59"/>
      <c r="AJ161" s="59"/>
      <c r="AK161" s="59"/>
      <c r="AL161" s="59"/>
    </row>
    <row r="162" spans="1:38" s="137" customFormat="1" ht="18" customHeight="1">
      <c r="A162" s="24"/>
      <c r="B162" s="24"/>
      <c r="C162" s="24"/>
      <c r="D162" s="24"/>
      <c r="E162" s="24"/>
      <c r="F162" s="24"/>
      <c r="G162" s="24"/>
      <c r="H162" s="77"/>
      <c r="I162" s="54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76"/>
      <c r="AE162" s="59"/>
      <c r="AF162" s="59"/>
      <c r="AG162" s="59"/>
      <c r="AH162" s="59"/>
      <c r="AI162" s="59"/>
      <c r="AJ162" s="59"/>
      <c r="AK162" s="59"/>
      <c r="AL162" s="59"/>
    </row>
    <row r="163" spans="1:38" s="137" customFormat="1" ht="18" customHeight="1">
      <c r="A163" s="24"/>
      <c r="B163" s="24"/>
      <c r="C163" s="24"/>
      <c r="D163" s="24"/>
      <c r="E163" s="24"/>
      <c r="F163" s="24"/>
      <c r="G163" s="24"/>
      <c r="H163" s="77"/>
      <c r="I163" s="54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76"/>
      <c r="AE163" s="59"/>
      <c r="AF163" s="59"/>
      <c r="AG163" s="59"/>
      <c r="AH163" s="59"/>
      <c r="AI163" s="59"/>
      <c r="AJ163" s="59"/>
      <c r="AK163" s="59"/>
      <c r="AL163" s="59"/>
    </row>
    <row r="164" spans="1:38" s="137" customFormat="1" ht="18" customHeight="1">
      <c r="A164" s="24"/>
      <c r="B164" s="24"/>
      <c r="C164" s="24"/>
      <c r="D164" s="24"/>
      <c r="E164" s="24"/>
      <c r="F164" s="24"/>
      <c r="G164" s="24"/>
      <c r="H164" s="77"/>
      <c r="I164" s="54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76"/>
      <c r="AE164" s="59"/>
      <c r="AF164" s="59"/>
      <c r="AG164" s="59"/>
      <c r="AH164" s="59"/>
      <c r="AI164" s="59"/>
      <c r="AJ164" s="59"/>
      <c r="AK164" s="59"/>
      <c r="AL164" s="59"/>
    </row>
    <row r="165" spans="1:38" s="137" customFormat="1" ht="18" customHeight="1">
      <c r="A165" s="24"/>
      <c r="B165" s="24"/>
      <c r="C165" s="24"/>
      <c r="D165" s="24"/>
      <c r="E165" s="24"/>
      <c r="F165" s="24"/>
      <c r="G165" s="24"/>
      <c r="H165" s="77"/>
      <c r="I165" s="54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76"/>
      <c r="AE165" s="59"/>
      <c r="AF165" s="59"/>
      <c r="AG165" s="59"/>
      <c r="AH165" s="59"/>
      <c r="AI165" s="59"/>
      <c r="AJ165" s="59"/>
      <c r="AK165" s="59"/>
      <c r="AL165" s="59"/>
    </row>
    <row r="166" spans="1:38" s="137" customFormat="1" ht="18" customHeight="1">
      <c r="A166" s="24"/>
      <c r="B166" s="24"/>
      <c r="C166" s="24"/>
      <c r="D166" s="24"/>
      <c r="E166" s="24"/>
      <c r="F166" s="24"/>
      <c r="G166" s="24"/>
      <c r="H166" s="77"/>
      <c r="I166" s="54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76"/>
      <c r="AE166" s="59"/>
      <c r="AF166" s="59"/>
      <c r="AG166" s="59"/>
      <c r="AH166" s="59"/>
      <c r="AI166" s="59"/>
      <c r="AJ166" s="59"/>
      <c r="AK166" s="59"/>
      <c r="AL166" s="59"/>
    </row>
    <row r="167" spans="1:38" s="137" customFormat="1" ht="18" customHeight="1">
      <c r="A167" s="24"/>
      <c r="B167" s="24"/>
      <c r="C167" s="24"/>
      <c r="D167" s="24"/>
      <c r="E167" s="24"/>
      <c r="F167" s="24"/>
      <c r="G167" s="24"/>
      <c r="H167" s="77"/>
      <c r="I167" s="54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76"/>
      <c r="AE167" s="59"/>
      <c r="AF167" s="59"/>
      <c r="AG167" s="59"/>
      <c r="AH167" s="59"/>
      <c r="AI167" s="59"/>
      <c r="AJ167" s="59"/>
      <c r="AK167" s="59"/>
      <c r="AL167" s="59"/>
    </row>
    <row r="168" spans="1:38" s="137" customFormat="1" ht="18" customHeight="1">
      <c r="A168" s="24"/>
      <c r="B168" s="24"/>
      <c r="C168" s="24"/>
      <c r="D168" s="24"/>
      <c r="E168" s="24"/>
      <c r="F168" s="24"/>
      <c r="G168" s="24"/>
      <c r="H168" s="77"/>
      <c r="I168" s="54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76"/>
      <c r="AE168" s="59"/>
      <c r="AF168" s="59"/>
      <c r="AG168" s="59"/>
      <c r="AH168" s="59"/>
      <c r="AI168" s="59"/>
      <c r="AJ168" s="59"/>
      <c r="AK168" s="59"/>
      <c r="AL168" s="59"/>
    </row>
    <row r="169" spans="1:38" s="137" customFormat="1" ht="18" customHeight="1">
      <c r="A169" s="24"/>
      <c r="B169" s="24"/>
      <c r="C169" s="24"/>
      <c r="D169" s="24"/>
      <c r="E169" s="24"/>
      <c r="F169" s="24"/>
      <c r="G169" s="24"/>
      <c r="H169" s="77"/>
      <c r="I169" s="54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76"/>
      <c r="AE169" s="59"/>
      <c r="AF169" s="59"/>
      <c r="AG169" s="59"/>
      <c r="AH169" s="59"/>
      <c r="AI169" s="59"/>
      <c r="AJ169" s="59"/>
      <c r="AK169" s="59"/>
      <c r="AL169" s="59"/>
    </row>
    <row r="170" spans="1:38" s="137" customFormat="1" ht="18" customHeight="1">
      <c r="A170" s="24"/>
      <c r="B170" s="24"/>
      <c r="C170" s="24"/>
      <c r="D170" s="24"/>
      <c r="E170" s="24"/>
      <c r="F170" s="24"/>
      <c r="G170" s="24"/>
      <c r="H170" s="77"/>
      <c r="I170" s="54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76"/>
      <c r="AE170" s="59"/>
      <c r="AF170" s="59"/>
      <c r="AG170" s="59"/>
      <c r="AH170" s="59"/>
      <c r="AI170" s="59"/>
      <c r="AJ170" s="59"/>
      <c r="AK170" s="59"/>
      <c r="AL170" s="59"/>
    </row>
    <row r="171" spans="1:38" s="137" customFormat="1" ht="18" customHeight="1">
      <c r="A171" s="24"/>
      <c r="B171" s="24"/>
      <c r="C171" s="24"/>
      <c r="D171" s="24"/>
      <c r="E171" s="24"/>
      <c r="F171" s="24"/>
      <c r="G171" s="24"/>
      <c r="H171" s="77"/>
      <c r="I171" s="54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76"/>
      <c r="AE171" s="59"/>
      <c r="AF171" s="59"/>
      <c r="AG171" s="59"/>
      <c r="AH171" s="59"/>
      <c r="AI171" s="59"/>
      <c r="AJ171" s="59"/>
      <c r="AK171" s="59"/>
      <c r="AL171" s="59"/>
    </row>
    <row r="172" spans="1:38" s="137" customFormat="1" ht="18" customHeight="1">
      <c r="A172" s="24"/>
      <c r="B172" s="24"/>
      <c r="C172" s="24"/>
      <c r="D172" s="24"/>
      <c r="E172" s="24"/>
      <c r="F172" s="24"/>
      <c r="G172" s="24"/>
      <c r="H172" s="77"/>
      <c r="I172" s="54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76"/>
      <c r="AE172" s="59"/>
      <c r="AF172" s="59"/>
      <c r="AG172" s="59"/>
      <c r="AH172" s="59"/>
      <c r="AI172" s="59"/>
      <c r="AJ172" s="59"/>
      <c r="AK172" s="59"/>
      <c r="AL172" s="59"/>
    </row>
    <row r="173" spans="1:38" s="137" customFormat="1" ht="18" customHeight="1">
      <c r="A173" s="24"/>
      <c r="B173" s="24"/>
      <c r="C173" s="24"/>
      <c r="D173" s="24"/>
      <c r="E173" s="24"/>
      <c r="F173" s="24"/>
      <c r="G173" s="24"/>
      <c r="H173" s="77"/>
      <c r="I173" s="54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76"/>
      <c r="AE173" s="59"/>
      <c r="AF173" s="59"/>
      <c r="AG173" s="59"/>
      <c r="AH173" s="59"/>
      <c r="AI173" s="59"/>
      <c r="AJ173" s="59"/>
      <c r="AK173" s="59"/>
      <c r="AL173" s="59"/>
    </row>
    <row r="174" spans="1:38" s="137" customFormat="1" ht="18" customHeight="1">
      <c r="A174" s="24"/>
      <c r="B174" s="24"/>
      <c r="C174" s="24"/>
      <c r="D174" s="24"/>
      <c r="E174" s="24"/>
      <c r="F174" s="24"/>
      <c r="G174" s="24"/>
      <c r="H174" s="77"/>
      <c r="I174" s="54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76"/>
      <c r="AE174" s="59"/>
      <c r="AF174" s="59"/>
      <c r="AG174" s="59"/>
      <c r="AH174" s="59"/>
      <c r="AI174" s="59"/>
      <c r="AJ174" s="59"/>
      <c r="AK174" s="59"/>
      <c r="AL174" s="59"/>
    </row>
    <row r="175" spans="1:38" s="137" customFormat="1" ht="18" customHeight="1">
      <c r="A175" s="24"/>
      <c r="B175" s="24"/>
      <c r="C175" s="24"/>
      <c r="D175" s="24"/>
      <c r="E175" s="24"/>
      <c r="F175" s="24"/>
      <c r="G175" s="24"/>
      <c r="H175" s="77"/>
      <c r="I175" s="54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76"/>
      <c r="AE175" s="59"/>
      <c r="AF175" s="59"/>
      <c r="AG175" s="59"/>
      <c r="AH175" s="59"/>
      <c r="AI175" s="59"/>
      <c r="AJ175" s="59"/>
      <c r="AK175" s="59"/>
      <c r="AL175" s="59"/>
    </row>
    <row r="176" spans="1:38" s="137" customFormat="1" ht="18" customHeight="1">
      <c r="A176" s="24"/>
      <c r="B176" s="24"/>
      <c r="C176" s="24"/>
      <c r="D176" s="24"/>
      <c r="E176" s="24"/>
      <c r="F176" s="24"/>
      <c r="G176" s="24"/>
      <c r="H176" s="77"/>
      <c r="I176" s="54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76"/>
      <c r="AE176" s="59"/>
      <c r="AF176" s="59"/>
      <c r="AG176" s="59"/>
      <c r="AH176" s="59"/>
      <c r="AI176" s="59"/>
      <c r="AJ176" s="59"/>
      <c r="AK176" s="59"/>
      <c r="AL176" s="59"/>
    </row>
    <row r="177" spans="1:38" s="137" customFormat="1" ht="18" customHeight="1">
      <c r="A177" s="24"/>
      <c r="B177" s="24"/>
      <c r="C177" s="24"/>
      <c r="D177" s="24"/>
      <c r="E177" s="24"/>
      <c r="F177" s="24"/>
      <c r="G177" s="24"/>
      <c r="H177" s="77"/>
      <c r="I177" s="54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76"/>
      <c r="AE177" s="59"/>
      <c r="AF177" s="59"/>
      <c r="AG177" s="59"/>
      <c r="AH177" s="59"/>
      <c r="AI177" s="59"/>
      <c r="AJ177" s="59"/>
      <c r="AK177" s="59"/>
      <c r="AL177" s="59"/>
    </row>
    <row r="178" spans="1:38" s="137" customFormat="1" ht="18" customHeight="1">
      <c r="A178" s="24"/>
      <c r="B178" s="24"/>
      <c r="C178" s="24"/>
      <c r="D178" s="24"/>
      <c r="E178" s="24"/>
      <c r="F178" s="24"/>
      <c r="G178" s="24"/>
      <c r="H178" s="77"/>
      <c r="I178" s="54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76"/>
      <c r="AE178" s="59"/>
      <c r="AF178" s="59"/>
      <c r="AG178" s="59"/>
      <c r="AH178" s="59"/>
      <c r="AI178" s="59"/>
      <c r="AJ178" s="59"/>
      <c r="AK178" s="59"/>
      <c r="AL178" s="59"/>
    </row>
    <row r="179" spans="1:38" s="137" customFormat="1" ht="18" customHeight="1">
      <c r="A179" s="24"/>
      <c r="B179" s="24"/>
      <c r="C179" s="24"/>
      <c r="D179" s="24"/>
      <c r="E179" s="24"/>
      <c r="F179" s="24"/>
      <c r="G179" s="24"/>
      <c r="H179" s="77"/>
      <c r="I179" s="54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76"/>
      <c r="AE179" s="59"/>
      <c r="AF179" s="59"/>
      <c r="AG179" s="59"/>
      <c r="AH179" s="59"/>
      <c r="AI179" s="59"/>
      <c r="AJ179" s="59"/>
      <c r="AK179" s="59"/>
      <c r="AL179" s="59"/>
    </row>
    <row r="180" spans="1:38" s="137" customFormat="1" ht="18" customHeight="1">
      <c r="A180" s="24"/>
      <c r="B180" s="24"/>
      <c r="C180" s="24"/>
      <c r="D180" s="24"/>
      <c r="E180" s="24"/>
      <c r="F180" s="24"/>
      <c r="G180" s="24"/>
      <c r="H180" s="77"/>
      <c r="I180" s="54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76"/>
      <c r="AE180" s="59"/>
      <c r="AF180" s="59"/>
      <c r="AG180" s="59"/>
      <c r="AH180" s="59"/>
      <c r="AI180" s="59"/>
      <c r="AJ180" s="59"/>
      <c r="AK180" s="59"/>
      <c r="AL180" s="59"/>
    </row>
    <row r="181" spans="1:38" s="137" customFormat="1" ht="18" customHeight="1">
      <c r="A181" s="24"/>
      <c r="B181" s="24"/>
      <c r="C181" s="24"/>
      <c r="D181" s="24"/>
      <c r="E181" s="24"/>
      <c r="F181" s="24"/>
      <c r="G181" s="24"/>
      <c r="H181" s="77"/>
      <c r="I181" s="54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76"/>
      <c r="AE181" s="59"/>
      <c r="AF181" s="59"/>
      <c r="AG181" s="59"/>
      <c r="AH181" s="59"/>
      <c r="AI181" s="59"/>
      <c r="AJ181" s="59"/>
      <c r="AK181" s="59"/>
      <c r="AL181" s="59"/>
    </row>
    <row r="182" spans="1:38" s="137" customFormat="1" ht="18" customHeight="1">
      <c r="A182" s="24"/>
      <c r="B182" s="24"/>
      <c r="C182" s="24"/>
      <c r="D182" s="24"/>
      <c r="E182" s="24"/>
      <c r="F182" s="24"/>
      <c r="G182" s="24"/>
      <c r="H182" s="77"/>
      <c r="I182" s="54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76"/>
      <c r="AE182" s="59"/>
      <c r="AF182" s="59"/>
      <c r="AG182" s="59"/>
      <c r="AH182" s="59"/>
      <c r="AI182" s="59"/>
      <c r="AJ182" s="59"/>
      <c r="AK182" s="59"/>
      <c r="AL182" s="59"/>
    </row>
    <row r="183" spans="1:38" s="137" customFormat="1" ht="18" customHeight="1">
      <c r="A183" s="24"/>
      <c r="B183" s="24"/>
      <c r="C183" s="24"/>
      <c r="D183" s="24"/>
      <c r="E183" s="24"/>
      <c r="F183" s="24"/>
      <c r="G183" s="24"/>
      <c r="H183" s="77"/>
      <c r="I183" s="54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76"/>
      <c r="AE183" s="59"/>
      <c r="AF183" s="59"/>
      <c r="AG183" s="59"/>
      <c r="AH183" s="59"/>
      <c r="AI183" s="59"/>
      <c r="AJ183" s="59"/>
      <c r="AK183" s="59"/>
      <c r="AL183" s="59"/>
    </row>
    <row r="184" spans="1:38" s="137" customFormat="1" ht="18" customHeight="1">
      <c r="A184" s="24"/>
      <c r="B184" s="24"/>
      <c r="C184" s="24"/>
      <c r="D184" s="24"/>
      <c r="E184" s="24"/>
      <c r="F184" s="24"/>
      <c r="G184" s="24"/>
      <c r="H184" s="77"/>
      <c r="I184" s="54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76"/>
      <c r="AE184" s="59"/>
      <c r="AF184" s="59"/>
      <c r="AG184" s="59"/>
      <c r="AH184" s="59"/>
      <c r="AI184" s="59"/>
      <c r="AJ184" s="59"/>
      <c r="AK184" s="59"/>
      <c r="AL184" s="59"/>
    </row>
    <row r="185" spans="1:38" s="137" customFormat="1" ht="18" customHeight="1">
      <c r="A185" s="24"/>
      <c r="B185" s="24"/>
      <c r="C185" s="24"/>
      <c r="D185" s="24"/>
      <c r="E185" s="24"/>
      <c r="F185" s="24"/>
      <c r="G185" s="24"/>
      <c r="H185" s="77"/>
      <c r="I185" s="54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76"/>
      <c r="AE185" s="59"/>
      <c r="AF185" s="59"/>
      <c r="AG185" s="59"/>
      <c r="AH185" s="59"/>
      <c r="AI185" s="59"/>
      <c r="AJ185" s="59"/>
      <c r="AK185" s="59"/>
      <c r="AL185" s="59"/>
    </row>
    <row r="186" spans="1:38" s="137" customFormat="1" ht="18" customHeight="1">
      <c r="A186" s="24"/>
      <c r="B186" s="24"/>
      <c r="C186" s="24"/>
      <c r="D186" s="24"/>
      <c r="E186" s="24"/>
      <c r="F186" s="24"/>
      <c r="G186" s="24"/>
      <c r="H186" s="77"/>
      <c r="I186" s="54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76"/>
      <c r="AE186" s="59"/>
      <c r="AF186" s="59"/>
      <c r="AG186" s="59"/>
      <c r="AH186" s="59"/>
      <c r="AI186" s="59"/>
      <c r="AJ186" s="59"/>
      <c r="AK186" s="59"/>
      <c r="AL186" s="59"/>
    </row>
    <row r="187" spans="1:38" s="137" customFormat="1" ht="18" customHeight="1">
      <c r="A187" s="24"/>
      <c r="B187" s="24"/>
      <c r="C187" s="24"/>
      <c r="D187" s="24"/>
      <c r="E187" s="24"/>
      <c r="F187" s="24"/>
      <c r="G187" s="24"/>
      <c r="H187" s="77"/>
      <c r="I187" s="54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76"/>
      <c r="AE187" s="59"/>
      <c r="AF187" s="59"/>
      <c r="AG187" s="59"/>
      <c r="AH187" s="59"/>
      <c r="AI187" s="59"/>
      <c r="AJ187" s="59"/>
      <c r="AK187" s="59"/>
      <c r="AL187" s="59"/>
    </row>
    <row r="188" spans="1:38" s="137" customFormat="1" ht="18" customHeight="1">
      <c r="A188" s="24"/>
      <c r="B188" s="24"/>
      <c r="C188" s="24"/>
      <c r="D188" s="24"/>
      <c r="E188" s="24"/>
      <c r="F188" s="24"/>
      <c r="G188" s="24"/>
      <c r="H188" s="77"/>
      <c r="I188" s="54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76"/>
      <c r="AE188" s="59"/>
      <c r="AF188" s="59"/>
      <c r="AG188" s="59"/>
      <c r="AH188" s="59"/>
      <c r="AI188" s="59"/>
      <c r="AJ188" s="59"/>
      <c r="AK188" s="59"/>
      <c r="AL188" s="59"/>
    </row>
    <row r="189" spans="1:38" s="137" customFormat="1" ht="18" customHeight="1">
      <c r="A189" s="24"/>
      <c r="B189" s="24"/>
      <c r="C189" s="24"/>
      <c r="D189" s="24"/>
      <c r="E189" s="24"/>
      <c r="F189" s="24"/>
      <c r="G189" s="24"/>
      <c r="H189" s="77"/>
      <c r="I189" s="54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76"/>
      <c r="AE189" s="59"/>
      <c r="AF189" s="59"/>
      <c r="AG189" s="59"/>
      <c r="AH189" s="59"/>
      <c r="AI189" s="59"/>
      <c r="AJ189" s="59"/>
      <c r="AK189" s="59"/>
      <c r="AL189" s="59"/>
    </row>
    <row r="190" spans="1:38" s="137" customFormat="1" ht="18" customHeight="1">
      <c r="A190" s="24"/>
      <c r="B190" s="24"/>
      <c r="C190" s="24"/>
      <c r="D190" s="24"/>
      <c r="E190" s="24"/>
      <c r="F190" s="24"/>
      <c r="G190" s="24"/>
      <c r="H190" s="77"/>
      <c r="I190" s="54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76"/>
      <c r="AE190" s="59"/>
      <c r="AF190" s="59"/>
      <c r="AG190" s="59"/>
      <c r="AH190" s="59"/>
      <c r="AI190" s="59"/>
      <c r="AJ190" s="59"/>
      <c r="AK190" s="59"/>
      <c r="AL190" s="59"/>
    </row>
    <row r="191" spans="1:38" s="137" customFormat="1" ht="18" customHeight="1">
      <c r="A191" s="24"/>
      <c r="B191" s="24"/>
      <c r="C191" s="24"/>
      <c r="D191" s="24"/>
      <c r="E191" s="24"/>
      <c r="F191" s="24"/>
      <c r="G191" s="24"/>
      <c r="H191" s="77"/>
      <c r="I191" s="54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76"/>
      <c r="AE191" s="59"/>
      <c r="AF191" s="59"/>
      <c r="AG191" s="59"/>
      <c r="AH191" s="59"/>
      <c r="AI191" s="59"/>
      <c r="AJ191" s="59"/>
      <c r="AK191" s="59"/>
      <c r="AL191" s="59"/>
    </row>
    <row r="192" spans="1:38" s="137" customFormat="1" ht="18" customHeight="1">
      <c r="A192" s="24"/>
      <c r="B192" s="24"/>
      <c r="C192" s="24"/>
      <c r="D192" s="24"/>
      <c r="E192" s="24"/>
      <c r="F192" s="24"/>
      <c r="G192" s="24"/>
      <c r="H192" s="77"/>
      <c r="I192" s="54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76"/>
      <c r="AE192" s="59"/>
      <c r="AF192" s="59"/>
      <c r="AG192" s="59"/>
      <c r="AH192" s="59"/>
      <c r="AI192" s="59"/>
      <c r="AJ192" s="59"/>
      <c r="AK192" s="59"/>
      <c r="AL192" s="59"/>
    </row>
    <row r="193" spans="1:38" s="1" customFormat="1" ht="18" customHeight="1">
      <c r="A193" s="24"/>
      <c r="B193" s="24"/>
      <c r="C193" s="24"/>
      <c r="D193" s="24"/>
      <c r="E193" s="24"/>
      <c r="F193" s="24"/>
      <c r="G193" s="24"/>
      <c r="H193" s="77"/>
      <c r="AD193" s="576"/>
    </row>
    <row r="194" spans="1:38" s="1" customFormat="1" ht="18" customHeight="1">
      <c r="A194" s="24"/>
      <c r="B194" s="24"/>
      <c r="C194" s="24"/>
      <c r="D194" s="24"/>
      <c r="E194" s="24"/>
      <c r="F194" s="24"/>
      <c r="G194" s="24"/>
      <c r="H194" s="77"/>
      <c r="AD194" s="576"/>
    </row>
    <row r="195" spans="1:38" s="137" customFormat="1" ht="18" customHeight="1">
      <c r="A195" s="24"/>
      <c r="B195" s="24"/>
      <c r="C195" s="24"/>
      <c r="D195" s="24"/>
      <c r="E195" s="24"/>
      <c r="F195" s="24"/>
      <c r="G195" s="24"/>
      <c r="H195" s="77"/>
      <c r="I195" s="54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76"/>
      <c r="AE195" s="59"/>
      <c r="AF195" s="59"/>
      <c r="AG195" s="59"/>
      <c r="AH195" s="59"/>
      <c r="AI195" s="59"/>
      <c r="AJ195" s="59"/>
      <c r="AK195" s="59"/>
      <c r="AL195" s="59"/>
    </row>
    <row r="196" spans="1:38" s="137" customFormat="1" ht="18" customHeight="1">
      <c r="A196" s="24"/>
      <c r="B196" s="24"/>
      <c r="C196" s="24"/>
      <c r="D196" s="24"/>
      <c r="E196" s="24"/>
      <c r="F196" s="24"/>
      <c r="G196" s="24"/>
      <c r="H196" s="77"/>
      <c r="I196" s="54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76"/>
      <c r="AE196" s="59"/>
      <c r="AF196" s="59"/>
      <c r="AG196" s="59"/>
      <c r="AH196" s="59"/>
      <c r="AI196" s="59"/>
      <c r="AJ196" s="59"/>
      <c r="AK196" s="59"/>
      <c r="AL196" s="59"/>
    </row>
    <row r="197" spans="1:38" s="137" customFormat="1" ht="18" customHeight="1">
      <c r="A197" s="24"/>
      <c r="B197" s="24"/>
      <c r="C197" s="24"/>
      <c r="D197" s="24"/>
      <c r="E197" s="24"/>
      <c r="F197" s="24"/>
      <c r="G197" s="24"/>
      <c r="H197" s="77"/>
      <c r="I197" s="54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76"/>
      <c r="AE197" s="59"/>
      <c r="AF197" s="59"/>
      <c r="AG197" s="59"/>
      <c r="AH197" s="59"/>
      <c r="AI197" s="59"/>
      <c r="AJ197" s="59"/>
      <c r="AK197" s="59"/>
      <c r="AL197" s="59"/>
    </row>
    <row r="198" spans="1:38" s="137" customFormat="1" ht="18" customHeight="1">
      <c r="A198" s="24"/>
      <c r="B198" s="24"/>
      <c r="C198" s="24"/>
      <c r="D198" s="24"/>
      <c r="E198" s="24"/>
      <c r="F198" s="24"/>
      <c r="G198" s="24"/>
      <c r="H198" s="77"/>
      <c r="I198" s="54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76"/>
      <c r="AE198" s="59"/>
      <c r="AF198" s="59"/>
      <c r="AG198" s="59"/>
      <c r="AH198" s="59"/>
      <c r="AI198" s="59"/>
      <c r="AJ198" s="59"/>
      <c r="AK198" s="59"/>
      <c r="AL198" s="59"/>
    </row>
    <row r="199" spans="1:38" s="137" customFormat="1" ht="18" customHeight="1">
      <c r="A199" s="24"/>
      <c r="B199" s="24"/>
      <c r="C199" s="24"/>
      <c r="D199" s="24"/>
      <c r="E199" s="24"/>
      <c r="F199" s="24"/>
      <c r="G199" s="24"/>
      <c r="H199" s="77"/>
      <c r="I199" s="54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76"/>
      <c r="AE199" s="59"/>
      <c r="AF199" s="59"/>
      <c r="AG199" s="59"/>
      <c r="AH199" s="59"/>
      <c r="AI199" s="59"/>
      <c r="AJ199" s="59"/>
      <c r="AK199" s="59"/>
      <c r="AL199" s="59"/>
    </row>
    <row r="200" spans="1:38" s="137" customFormat="1" ht="18" customHeight="1">
      <c r="A200" s="24"/>
      <c r="B200" s="24"/>
      <c r="C200" s="24"/>
      <c r="D200" s="24"/>
      <c r="E200" s="24"/>
      <c r="F200" s="24"/>
      <c r="G200" s="24"/>
      <c r="H200" s="77"/>
      <c r="I200" s="54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76"/>
      <c r="AE200" s="59"/>
      <c r="AF200" s="59"/>
      <c r="AG200" s="59"/>
      <c r="AH200" s="59"/>
      <c r="AI200" s="59"/>
      <c r="AJ200" s="59"/>
      <c r="AK200" s="59"/>
      <c r="AL200" s="59"/>
    </row>
    <row r="201" spans="1:38" s="137" customFormat="1" ht="18" customHeight="1">
      <c r="A201" s="24"/>
      <c r="B201" s="24"/>
      <c r="C201" s="24"/>
      <c r="D201" s="24"/>
      <c r="E201" s="24"/>
      <c r="F201" s="24"/>
      <c r="G201" s="24"/>
      <c r="H201" s="77"/>
      <c r="I201" s="54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76"/>
      <c r="AE201" s="59"/>
      <c r="AF201" s="59"/>
      <c r="AG201" s="59"/>
      <c r="AH201" s="59"/>
      <c r="AI201" s="59"/>
      <c r="AJ201" s="59"/>
      <c r="AK201" s="59"/>
      <c r="AL201" s="59"/>
    </row>
    <row r="202" spans="1:38" s="137" customFormat="1" ht="18" customHeight="1">
      <c r="A202" s="24"/>
      <c r="B202" s="24"/>
      <c r="C202" s="24"/>
      <c r="D202" s="24"/>
      <c r="E202" s="24"/>
      <c r="F202" s="24"/>
      <c r="G202" s="24"/>
      <c r="H202" s="77"/>
      <c r="I202" s="54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76"/>
      <c r="AE202" s="59"/>
      <c r="AF202" s="59"/>
      <c r="AG202" s="59"/>
      <c r="AH202" s="59"/>
      <c r="AI202" s="59"/>
      <c r="AJ202" s="59"/>
      <c r="AK202" s="59"/>
      <c r="AL202" s="59"/>
    </row>
    <row r="203" spans="1:38" s="137" customFormat="1" ht="18" customHeight="1">
      <c r="A203" s="24"/>
      <c r="B203" s="24"/>
      <c r="C203" s="24"/>
      <c r="D203" s="24"/>
      <c r="E203" s="24"/>
      <c r="F203" s="24"/>
      <c r="G203" s="24"/>
      <c r="H203" s="77"/>
      <c r="I203" s="54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76"/>
      <c r="AE203" s="59"/>
      <c r="AF203" s="59"/>
      <c r="AG203" s="59"/>
      <c r="AH203" s="59"/>
      <c r="AI203" s="59"/>
      <c r="AJ203" s="59"/>
      <c r="AK203" s="59"/>
      <c r="AL203" s="59"/>
    </row>
    <row r="204" spans="1:38" s="137" customFormat="1" ht="18" customHeight="1">
      <c r="A204" s="24"/>
      <c r="B204" s="24"/>
      <c r="C204" s="24"/>
      <c r="D204" s="24"/>
      <c r="E204" s="24"/>
      <c r="F204" s="24"/>
      <c r="G204" s="24"/>
      <c r="H204" s="77"/>
      <c r="I204" s="54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76"/>
      <c r="AE204" s="59"/>
      <c r="AF204" s="59"/>
      <c r="AG204" s="59"/>
      <c r="AH204" s="59"/>
      <c r="AI204" s="59"/>
      <c r="AJ204" s="59"/>
      <c r="AK204" s="59"/>
      <c r="AL204" s="59"/>
    </row>
    <row r="205" spans="1:38" s="137" customFormat="1" ht="18" customHeight="1">
      <c r="A205" s="24"/>
      <c r="B205" s="24"/>
      <c r="C205" s="24"/>
      <c r="D205" s="24"/>
      <c r="E205" s="24"/>
      <c r="F205" s="24"/>
      <c r="G205" s="24"/>
      <c r="H205" s="77"/>
      <c r="I205" s="54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76"/>
      <c r="AE205" s="59"/>
      <c r="AF205" s="59"/>
      <c r="AG205" s="59"/>
      <c r="AH205" s="59"/>
      <c r="AI205" s="59"/>
      <c r="AJ205" s="59"/>
      <c r="AK205" s="59"/>
      <c r="AL205" s="59"/>
    </row>
    <row r="206" spans="1:38" s="137" customFormat="1" ht="18" customHeight="1">
      <c r="A206" s="24"/>
      <c r="B206" s="24"/>
      <c r="C206" s="24"/>
      <c r="D206" s="24"/>
      <c r="E206" s="24"/>
      <c r="F206" s="24"/>
      <c r="G206" s="24"/>
      <c r="H206" s="77"/>
      <c r="I206" s="54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76"/>
      <c r="AE206" s="59"/>
      <c r="AF206" s="59"/>
      <c r="AG206" s="59"/>
      <c r="AH206" s="59"/>
      <c r="AI206" s="59"/>
      <c r="AJ206" s="59"/>
      <c r="AK206" s="59"/>
      <c r="AL206" s="59"/>
    </row>
    <row r="207" spans="1:38" s="137" customFormat="1" ht="18" customHeight="1">
      <c r="A207" s="24"/>
      <c r="B207" s="24"/>
      <c r="C207" s="24"/>
      <c r="D207" s="24"/>
      <c r="E207" s="24"/>
      <c r="F207" s="24"/>
      <c r="G207" s="24"/>
      <c r="H207" s="77"/>
      <c r="I207" s="54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76"/>
      <c r="AE207" s="59"/>
      <c r="AF207" s="59"/>
      <c r="AG207" s="59"/>
      <c r="AH207" s="59"/>
      <c r="AI207" s="59"/>
      <c r="AJ207" s="59"/>
      <c r="AK207" s="59"/>
      <c r="AL207" s="59"/>
    </row>
    <row r="208" spans="1:38" s="137" customFormat="1" ht="18" customHeight="1">
      <c r="A208" s="24"/>
      <c r="B208" s="24"/>
      <c r="C208" s="24"/>
      <c r="D208" s="24"/>
      <c r="E208" s="24"/>
      <c r="F208" s="24"/>
      <c r="G208" s="24"/>
      <c r="H208" s="77"/>
      <c r="I208" s="54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76"/>
      <c r="AE208" s="59"/>
      <c r="AF208" s="59"/>
      <c r="AG208" s="59"/>
      <c r="AH208" s="59"/>
      <c r="AI208" s="59"/>
      <c r="AJ208" s="59"/>
      <c r="AK208" s="59"/>
      <c r="AL208" s="59"/>
    </row>
    <row r="209" spans="1:38" s="137" customFormat="1" ht="18" customHeight="1">
      <c r="A209" s="24"/>
      <c r="B209" s="24"/>
      <c r="C209" s="24"/>
      <c r="D209" s="24"/>
      <c r="E209" s="24"/>
      <c r="F209" s="24"/>
      <c r="G209" s="24"/>
      <c r="H209" s="77"/>
      <c r="I209" s="54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76"/>
      <c r="AE209" s="59"/>
      <c r="AF209" s="59"/>
      <c r="AG209" s="59"/>
      <c r="AH209" s="59"/>
      <c r="AI209" s="59"/>
      <c r="AJ209" s="59"/>
      <c r="AK209" s="59"/>
      <c r="AL209" s="59"/>
    </row>
    <row r="210" spans="1:38" s="137" customFormat="1" ht="18" customHeight="1">
      <c r="A210" s="24"/>
      <c r="B210" s="24"/>
      <c r="C210" s="24"/>
      <c r="D210" s="24"/>
      <c r="E210" s="24"/>
      <c r="F210" s="24"/>
      <c r="G210" s="24"/>
      <c r="H210" s="77"/>
      <c r="I210" s="54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76"/>
      <c r="AE210" s="59"/>
      <c r="AF210" s="59"/>
      <c r="AG210" s="59"/>
      <c r="AH210" s="59"/>
      <c r="AI210" s="59"/>
      <c r="AJ210" s="59"/>
      <c r="AK210" s="59"/>
      <c r="AL210" s="59"/>
    </row>
    <row r="211" spans="1:38" s="137" customFormat="1" ht="18" customHeight="1">
      <c r="A211" s="24"/>
      <c r="B211" s="24"/>
      <c r="C211" s="24"/>
      <c r="D211" s="24"/>
      <c r="E211" s="24"/>
      <c r="F211" s="24"/>
      <c r="G211" s="24"/>
      <c r="H211" s="77"/>
      <c r="I211" s="54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76"/>
      <c r="AE211" s="59"/>
      <c r="AF211" s="59"/>
      <c r="AG211" s="59"/>
      <c r="AH211" s="59"/>
      <c r="AI211" s="59"/>
      <c r="AJ211" s="59"/>
      <c r="AK211" s="59"/>
      <c r="AL211" s="59"/>
    </row>
    <row r="212" spans="1:38" s="137" customFormat="1" ht="18" customHeight="1">
      <c r="A212" s="24"/>
      <c r="B212" s="24"/>
      <c r="C212" s="24"/>
      <c r="D212" s="24"/>
      <c r="E212" s="24"/>
      <c r="F212" s="24"/>
      <c r="G212" s="24"/>
      <c r="H212" s="77"/>
      <c r="I212" s="54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76"/>
      <c r="AE212" s="59"/>
      <c r="AF212" s="59"/>
      <c r="AG212" s="59"/>
      <c r="AH212" s="59"/>
      <c r="AI212" s="59"/>
      <c r="AJ212" s="59"/>
      <c r="AK212" s="59"/>
      <c r="AL212" s="59"/>
    </row>
    <row r="213" spans="1:38" s="137" customFormat="1" ht="18" customHeight="1">
      <c r="A213" s="24"/>
      <c r="B213" s="24"/>
      <c r="C213" s="24"/>
      <c r="D213" s="24"/>
      <c r="E213" s="24"/>
      <c r="F213" s="24"/>
      <c r="G213" s="24"/>
      <c r="H213" s="77"/>
      <c r="I213" s="54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76"/>
      <c r="AE213" s="59"/>
      <c r="AF213" s="59"/>
      <c r="AG213" s="59"/>
      <c r="AH213" s="59"/>
      <c r="AI213" s="59"/>
      <c r="AJ213" s="59"/>
      <c r="AK213" s="59"/>
      <c r="AL213" s="59"/>
    </row>
    <row r="214" spans="1:38" s="137" customFormat="1" ht="18" customHeight="1">
      <c r="A214" s="24"/>
      <c r="B214" s="24"/>
      <c r="C214" s="24"/>
      <c r="D214" s="24"/>
      <c r="E214" s="24"/>
      <c r="F214" s="24"/>
      <c r="G214" s="24"/>
      <c r="H214" s="77"/>
      <c r="I214" s="54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76"/>
      <c r="AE214" s="59"/>
      <c r="AF214" s="59"/>
      <c r="AG214" s="59"/>
      <c r="AH214" s="59"/>
      <c r="AI214" s="59"/>
      <c r="AJ214" s="59"/>
      <c r="AK214" s="59"/>
      <c r="AL214" s="59"/>
    </row>
    <row r="215" spans="1:38" s="137" customFormat="1" ht="18" customHeight="1">
      <c r="A215" s="24"/>
      <c r="B215" s="24"/>
      <c r="C215" s="24"/>
      <c r="D215" s="24"/>
      <c r="E215" s="24"/>
      <c r="F215" s="24"/>
      <c r="G215" s="24"/>
      <c r="H215" s="77"/>
      <c r="I215" s="54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76"/>
      <c r="AE215" s="59"/>
      <c r="AF215" s="59"/>
      <c r="AG215" s="59"/>
      <c r="AH215" s="59"/>
      <c r="AI215" s="59"/>
      <c r="AJ215" s="59"/>
      <c r="AK215" s="59"/>
      <c r="AL215" s="59"/>
    </row>
    <row r="216" spans="1:38" s="137" customFormat="1" ht="18" customHeight="1">
      <c r="A216" s="24"/>
      <c r="B216" s="24"/>
      <c r="C216" s="24"/>
      <c r="D216" s="24"/>
      <c r="E216" s="24"/>
      <c r="F216" s="24"/>
      <c r="G216" s="24"/>
      <c r="H216" s="77"/>
      <c r="I216" s="54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76"/>
      <c r="AE216" s="59"/>
      <c r="AF216" s="59"/>
      <c r="AG216" s="59"/>
      <c r="AH216" s="59"/>
      <c r="AI216" s="59"/>
      <c r="AJ216" s="59"/>
      <c r="AK216" s="59"/>
      <c r="AL216" s="59"/>
    </row>
    <row r="217" spans="1:38" s="137" customFormat="1" ht="18" customHeight="1">
      <c r="A217" s="24"/>
      <c r="B217" s="24"/>
      <c r="C217" s="24"/>
      <c r="D217" s="24"/>
      <c r="E217" s="24"/>
      <c r="F217" s="24"/>
      <c r="G217" s="24"/>
      <c r="H217" s="77"/>
      <c r="I217" s="54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76"/>
      <c r="AE217" s="59"/>
      <c r="AF217" s="59"/>
      <c r="AG217" s="59"/>
      <c r="AH217" s="59"/>
      <c r="AI217" s="59"/>
      <c r="AJ217" s="59"/>
      <c r="AK217" s="59"/>
      <c r="AL217" s="59"/>
    </row>
    <row r="218" spans="1:38" s="1" customFormat="1" ht="18" customHeight="1">
      <c r="A218" s="24"/>
      <c r="B218" s="24"/>
      <c r="C218" s="24"/>
      <c r="D218" s="24"/>
      <c r="E218" s="24"/>
      <c r="F218" s="24"/>
      <c r="G218" s="24"/>
      <c r="H218" s="77"/>
      <c r="AD218" s="576"/>
    </row>
    <row r="219" spans="1:38" s="1" customFormat="1" ht="18" customHeight="1">
      <c r="A219" s="24"/>
      <c r="B219" s="24"/>
      <c r="C219" s="24"/>
      <c r="D219" s="24"/>
      <c r="E219" s="24"/>
      <c r="F219" s="24"/>
      <c r="G219" s="24"/>
      <c r="H219" s="77"/>
      <c r="AD219" s="576"/>
    </row>
    <row r="220" spans="1:38" s="1" customFormat="1" ht="18" customHeight="1">
      <c r="A220" s="24"/>
      <c r="B220" s="24"/>
      <c r="C220" s="24"/>
      <c r="D220" s="24"/>
      <c r="E220" s="24"/>
      <c r="F220" s="24"/>
      <c r="G220" s="24"/>
      <c r="H220" s="77"/>
      <c r="AD220" s="576"/>
    </row>
    <row r="221" spans="1:38" s="1" customFormat="1" ht="18" customHeight="1">
      <c r="A221" s="24"/>
      <c r="B221" s="24"/>
      <c r="C221" s="24"/>
      <c r="D221" s="24"/>
      <c r="E221" s="24"/>
      <c r="F221" s="24"/>
      <c r="G221" s="24"/>
      <c r="H221" s="77"/>
      <c r="AD221" s="576"/>
    </row>
    <row r="222" spans="1:38" s="1" customFormat="1" ht="18" customHeight="1">
      <c r="A222" s="24"/>
      <c r="B222" s="24"/>
      <c r="C222" s="24"/>
      <c r="D222" s="24"/>
      <c r="E222" s="24"/>
      <c r="F222" s="24"/>
      <c r="G222" s="24"/>
      <c r="H222" s="77"/>
      <c r="AD222" s="576"/>
    </row>
    <row r="223" spans="1:38" s="1" customFormat="1" ht="18" customHeight="1">
      <c r="A223" s="24"/>
      <c r="B223" s="24"/>
      <c r="C223" s="24"/>
      <c r="D223" s="24"/>
      <c r="E223" s="24"/>
      <c r="F223" s="24"/>
      <c r="G223" s="24"/>
      <c r="H223" s="77"/>
      <c r="AD223" s="576"/>
    </row>
    <row r="224" spans="1:38" s="1" customFormat="1" ht="18" customHeight="1">
      <c r="A224" s="24"/>
      <c r="B224" s="24"/>
      <c r="C224" s="24"/>
      <c r="D224" s="24"/>
      <c r="E224" s="24"/>
      <c r="F224" s="24"/>
      <c r="G224" s="24"/>
      <c r="H224" s="77"/>
      <c r="AD224" s="576"/>
    </row>
    <row r="225" spans="1:30" s="137" customFormat="1" ht="18" customHeight="1">
      <c r="A225" s="24"/>
      <c r="B225" s="24"/>
      <c r="C225" s="24"/>
      <c r="D225" s="24"/>
      <c r="E225" s="24"/>
      <c r="F225" s="24"/>
      <c r="G225" s="24"/>
      <c r="H225" s="77"/>
      <c r="I225" s="61"/>
      <c r="J225" s="61"/>
      <c r="K225" s="61"/>
      <c r="AD225" s="576"/>
    </row>
    <row r="226" spans="1:30" s="137" customFormat="1" ht="18" customHeight="1">
      <c r="A226" s="24"/>
      <c r="B226" s="24"/>
      <c r="C226" s="24"/>
      <c r="D226" s="24"/>
      <c r="E226" s="24"/>
      <c r="F226" s="24"/>
      <c r="G226" s="24"/>
      <c r="H226" s="77"/>
      <c r="I226" s="61"/>
      <c r="J226" s="61"/>
      <c r="K226" s="61"/>
      <c r="AD226" s="576"/>
    </row>
    <row r="227" spans="1:30" s="1" customFormat="1" ht="18" customHeight="1">
      <c r="A227" s="24"/>
      <c r="B227" s="24"/>
      <c r="C227" s="24"/>
      <c r="D227" s="24"/>
      <c r="E227" s="24"/>
      <c r="F227" s="24"/>
      <c r="G227" s="24"/>
      <c r="H227" s="77"/>
      <c r="AD227" s="576"/>
    </row>
    <row r="228" spans="1:30" s="1" customFormat="1" ht="18" customHeight="1">
      <c r="A228" s="24"/>
      <c r="B228" s="24"/>
      <c r="C228" s="24"/>
      <c r="D228" s="24"/>
      <c r="E228" s="24"/>
      <c r="F228" s="24"/>
      <c r="G228" s="24"/>
      <c r="H228" s="77"/>
      <c r="AD228" s="576"/>
    </row>
    <row r="229" spans="1:30" s="1" customFormat="1" ht="18" customHeight="1">
      <c r="A229" s="24"/>
      <c r="B229" s="24"/>
      <c r="C229" s="24"/>
      <c r="D229" s="24"/>
      <c r="E229" s="24"/>
      <c r="F229" s="24"/>
      <c r="G229" s="24"/>
      <c r="H229" s="77"/>
      <c r="AD229" s="576"/>
    </row>
    <row r="230" spans="1:30" s="1" customFormat="1" ht="18" customHeight="1">
      <c r="A230" s="24"/>
      <c r="B230" s="24"/>
      <c r="C230" s="24"/>
      <c r="D230" s="24"/>
      <c r="E230" s="24"/>
      <c r="F230" s="24"/>
      <c r="G230" s="24"/>
      <c r="H230" s="77"/>
      <c r="AD230" s="576"/>
    </row>
    <row r="231" spans="1:30" s="1" customFormat="1" ht="18" customHeight="1">
      <c r="A231" s="24"/>
      <c r="B231" s="24"/>
      <c r="C231" s="24"/>
      <c r="D231" s="24"/>
      <c r="E231" s="24"/>
      <c r="F231" s="24"/>
      <c r="G231" s="24"/>
      <c r="H231" s="77"/>
      <c r="AD231" s="576"/>
    </row>
    <row r="232" spans="1:30" s="137" customFormat="1" ht="18" customHeight="1">
      <c r="A232" s="24"/>
      <c r="B232" s="24"/>
      <c r="C232" s="24"/>
      <c r="D232" s="24"/>
      <c r="E232" s="24"/>
      <c r="F232" s="24"/>
      <c r="G232" s="24"/>
      <c r="H232" s="7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576"/>
    </row>
    <row r="233" spans="1:30" s="137" customFormat="1" ht="18" customHeight="1">
      <c r="A233" s="24"/>
      <c r="B233" s="24"/>
      <c r="C233" s="24"/>
      <c r="D233" s="24"/>
      <c r="E233" s="24"/>
      <c r="F233" s="24"/>
      <c r="G233" s="24"/>
      <c r="H233" s="7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576"/>
    </row>
    <row r="234" spans="1:30" s="137" customFormat="1" ht="18" customHeight="1">
      <c r="A234" s="24"/>
      <c r="B234" s="24"/>
      <c r="C234" s="24"/>
      <c r="D234" s="24"/>
      <c r="E234" s="24"/>
      <c r="F234" s="24"/>
      <c r="G234" s="24"/>
      <c r="H234" s="77"/>
      <c r="AD234" s="576"/>
    </row>
    <row r="235" spans="1:30" s="137" customFormat="1" ht="18" customHeight="1">
      <c r="A235" s="24"/>
      <c r="B235" s="24"/>
      <c r="C235" s="24"/>
      <c r="D235" s="24"/>
      <c r="E235" s="24"/>
      <c r="F235" s="24"/>
      <c r="G235" s="24"/>
      <c r="H235" s="77"/>
      <c r="AD235" s="576"/>
    </row>
    <row r="236" spans="1:30" s="137" customFormat="1" ht="18" customHeight="1">
      <c r="A236" s="24"/>
      <c r="B236" s="24"/>
      <c r="C236" s="24"/>
      <c r="D236" s="24"/>
      <c r="E236" s="24"/>
      <c r="F236" s="24"/>
      <c r="G236" s="24"/>
      <c r="H236" s="77"/>
      <c r="AD236" s="576"/>
    </row>
    <row r="237" spans="1:30" s="1" customFormat="1" ht="18" customHeight="1">
      <c r="A237" s="24"/>
      <c r="B237" s="24"/>
      <c r="C237" s="24"/>
      <c r="D237" s="24"/>
      <c r="E237" s="24"/>
      <c r="F237" s="24"/>
      <c r="G237" s="24"/>
      <c r="H237" s="77"/>
      <c r="AD237" s="576"/>
    </row>
    <row r="238" spans="1:30" s="1" customFormat="1" ht="18" customHeight="1">
      <c r="A238" s="24"/>
      <c r="B238" s="24"/>
      <c r="C238" s="24"/>
      <c r="D238" s="24"/>
      <c r="E238" s="24"/>
      <c r="F238" s="24"/>
      <c r="G238" s="24"/>
      <c r="H238" s="77"/>
      <c r="AD238" s="576"/>
    </row>
    <row r="239" spans="1:30" s="1" customFormat="1" ht="18" customHeight="1">
      <c r="A239" s="24"/>
      <c r="B239" s="24"/>
      <c r="C239" s="24"/>
      <c r="D239" s="24"/>
      <c r="E239" s="24"/>
      <c r="F239" s="24"/>
      <c r="G239" s="24"/>
      <c r="H239" s="77"/>
      <c r="AD239" s="576"/>
    </row>
    <row r="240" spans="1:30" s="1" customFormat="1" ht="18" customHeight="1">
      <c r="A240" s="24"/>
      <c r="B240" s="24"/>
      <c r="C240" s="24"/>
      <c r="D240" s="24"/>
      <c r="E240" s="24"/>
      <c r="F240" s="24"/>
      <c r="G240" s="24"/>
      <c r="H240" s="77"/>
      <c r="AD240" s="576"/>
    </row>
    <row r="241" spans="1:30" s="1" customFormat="1" ht="18" customHeight="1">
      <c r="A241" s="24"/>
      <c r="B241" s="24"/>
      <c r="C241" s="24"/>
      <c r="D241" s="24"/>
      <c r="E241" s="24"/>
      <c r="F241" s="24"/>
      <c r="G241" s="24"/>
      <c r="H241" s="77"/>
      <c r="AD241" s="576"/>
    </row>
    <row r="242" spans="1:30" s="137" customFormat="1" ht="18" customHeight="1">
      <c r="A242" s="24"/>
      <c r="B242" s="24"/>
      <c r="C242" s="24"/>
      <c r="D242" s="24"/>
      <c r="E242" s="24"/>
      <c r="F242" s="24"/>
      <c r="G242" s="24"/>
      <c r="H242" s="7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576"/>
    </row>
  </sheetData>
  <sheetProtection selectLockedCells="1" selectUnlockedCells="1"/>
  <protectedRanges>
    <protectedRange password="ECE8" sqref="O2:AC4" name="작성자만수정_1"/>
    <protectedRange password="ECE8" sqref="O5:AC9 A103:H107 I102:S224 B82:L101 A82:A97 I237:K241 I227:K231 O64:AC78 O32:AC35 O21:AC22 O60:AC62 O39:AC40 O44:AC45" name="작성자만수정_2_1_1"/>
  </protectedRanges>
  <autoFilter ref="A3:AY81">
    <filterColumn colId="10" showButton="0"/>
    <filterColumn colId="11" showButton="0"/>
  </autoFilter>
  <mergeCells count="13">
    <mergeCell ref="N60:U60"/>
    <mergeCell ref="A4:G4"/>
    <mergeCell ref="N7:U7"/>
    <mergeCell ref="F72:G72"/>
    <mergeCell ref="F76:G76"/>
    <mergeCell ref="F32:G32"/>
    <mergeCell ref="J2:J3"/>
    <mergeCell ref="K2:M3"/>
    <mergeCell ref="A2:A3"/>
    <mergeCell ref="B2:D2"/>
    <mergeCell ref="E2:G2"/>
    <mergeCell ref="H2:H3"/>
    <mergeCell ref="I2:I3"/>
  </mergeCells>
  <phoneticPr fontId="12" type="noConversion"/>
  <conditionalFormatting sqref="J77:J78">
    <cfRule type="containsText" dxfId="1295" priority="223" operator="containsText" text="허하나로">
      <formula>NOT(ISERROR(SEARCH("허하나로",H1103)))</formula>
    </cfRule>
    <cfRule type="containsText" dxfId="1294" priority="224" operator="containsText" text="한별">
      <formula>NOT(ISERROR(SEARCH("한별",H1103)))</formula>
    </cfRule>
    <cfRule type="containsText" dxfId="1293" priority="225" operator="containsText" text="정홍조">
      <formula>NOT(ISERROR(SEARCH("정홍조",H1103)))</formula>
    </cfRule>
    <cfRule type="containsText" dxfId="1292" priority="226" operator="containsText" text="김지윤">
      <formula>NOT(ISERROR(SEARCH("김지윤",H1103)))</formula>
    </cfRule>
    <cfRule type="containsText" dxfId="1291" priority="227" operator="containsText" text="전준영">
      <formula>NOT(ISERROR(SEARCH("전준영",H1103)))</formula>
    </cfRule>
    <cfRule type="containsText" dxfId="1290" priority="228" operator="containsText" text="차재성">
      <formula>NOT(ISERROR(SEARCH("차재성",H1103)))</formula>
    </cfRule>
  </conditionalFormatting>
  <conditionalFormatting sqref="J6:J9">
    <cfRule type="containsText" dxfId="1289" priority="235" operator="containsText" text="허하나로">
      <formula>NOT(ISERROR(SEARCH("허하나로",H740)))</formula>
    </cfRule>
    <cfRule type="containsText" dxfId="1288" priority="236" operator="containsText" text="한별">
      <formula>NOT(ISERROR(SEARCH("한별",H740)))</formula>
    </cfRule>
    <cfRule type="containsText" dxfId="1287" priority="237" operator="containsText" text="정홍조">
      <formula>NOT(ISERROR(SEARCH("정홍조",H740)))</formula>
    </cfRule>
    <cfRule type="containsText" dxfId="1286" priority="238" operator="containsText" text="김지윤">
      <formula>NOT(ISERROR(SEARCH("김지윤",H740)))</formula>
    </cfRule>
    <cfRule type="containsText" dxfId="1285" priority="239" operator="containsText" text="전준영">
      <formula>NOT(ISERROR(SEARCH("전준영",H740)))</formula>
    </cfRule>
    <cfRule type="containsText" dxfId="1284" priority="240" operator="containsText" text="차재성">
      <formula>NOT(ISERROR(SEARCH("차재성",H740)))</formula>
    </cfRule>
  </conditionalFormatting>
  <conditionalFormatting sqref="J5">
    <cfRule type="containsText" dxfId="1283" priority="229" operator="containsText" text="허하나로">
      <formula>NOT(ISERROR(SEARCH("허하나로",H739)))</formula>
    </cfRule>
    <cfRule type="containsText" dxfId="1282" priority="230" operator="containsText" text="한별">
      <formula>NOT(ISERROR(SEARCH("한별",H739)))</formula>
    </cfRule>
    <cfRule type="containsText" dxfId="1281" priority="231" operator="containsText" text="정홍조">
      <formula>NOT(ISERROR(SEARCH("정홍조",H739)))</formula>
    </cfRule>
    <cfRule type="containsText" dxfId="1280" priority="232" operator="containsText" text="김지윤">
      <formula>NOT(ISERROR(SEARCH("김지윤",H739)))</formula>
    </cfRule>
    <cfRule type="containsText" dxfId="1279" priority="233" operator="containsText" text="전준영">
      <formula>NOT(ISERROR(SEARCH("전준영",H739)))</formula>
    </cfRule>
    <cfRule type="containsText" dxfId="1278" priority="234" operator="containsText" text="차재성">
      <formula>NOT(ISERROR(SEARCH("차재성",H739)))</formula>
    </cfRule>
  </conditionalFormatting>
  <conditionalFormatting sqref="J60">
    <cfRule type="containsText" dxfId="1277" priority="145" operator="containsText" text="허하나로">
      <formula>NOT(ISERROR(SEARCH("허하나로",H873)))</formula>
    </cfRule>
    <cfRule type="containsText" dxfId="1276" priority="146" operator="containsText" text="한별">
      <formula>NOT(ISERROR(SEARCH("한별",H873)))</formula>
    </cfRule>
    <cfRule type="containsText" dxfId="1275" priority="147" operator="containsText" text="정홍조">
      <formula>NOT(ISERROR(SEARCH("정홍조",H873)))</formula>
    </cfRule>
    <cfRule type="containsText" dxfId="1274" priority="148" operator="containsText" text="김지윤">
      <formula>NOT(ISERROR(SEARCH("김지윤",H873)))</formula>
    </cfRule>
    <cfRule type="containsText" dxfId="1273" priority="149" operator="containsText" text="전준영">
      <formula>NOT(ISERROR(SEARCH("전준영",H873)))</formula>
    </cfRule>
    <cfRule type="containsText" dxfId="1272" priority="150" operator="containsText" text="차재성">
      <formula>NOT(ISERROR(SEARCH("차재성",H873)))</formula>
    </cfRule>
  </conditionalFormatting>
  <conditionalFormatting sqref="J63:J64">
    <cfRule type="containsText" dxfId="1271" priority="121" operator="containsText" text="허하나로">
      <formula>NOT(ISERROR(SEARCH("허하나로",H1081)))</formula>
    </cfRule>
    <cfRule type="containsText" dxfId="1270" priority="122" operator="containsText" text="한별">
      <formula>NOT(ISERROR(SEARCH("한별",H1081)))</formula>
    </cfRule>
    <cfRule type="containsText" dxfId="1269" priority="123" operator="containsText" text="정홍조">
      <formula>NOT(ISERROR(SEARCH("정홍조",H1081)))</formula>
    </cfRule>
    <cfRule type="containsText" dxfId="1268" priority="124" operator="containsText" text="김지윤">
      <formula>NOT(ISERROR(SEARCH("김지윤",H1081)))</formula>
    </cfRule>
    <cfRule type="containsText" dxfId="1267" priority="125" operator="containsText" text="전준영">
      <formula>NOT(ISERROR(SEARCH("전준영",H1081)))</formula>
    </cfRule>
    <cfRule type="containsText" dxfId="1266" priority="126" operator="containsText" text="차재성">
      <formula>NOT(ISERROR(SEARCH("차재성",H1081)))</formula>
    </cfRule>
  </conditionalFormatting>
  <conditionalFormatting sqref="J69">
    <cfRule type="containsText" dxfId="1265" priority="115" operator="containsText" text="허하나로">
      <formula>NOT(ISERROR(SEARCH("허하나로",H1078)))</formula>
    </cfRule>
    <cfRule type="containsText" dxfId="1264" priority="116" operator="containsText" text="한별">
      <formula>NOT(ISERROR(SEARCH("한별",H1078)))</formula>
    </cfRule>
    <cfRule type="containsText" dxfId="1263" priority="117" operator="containsText" text="정홍조">
      <formula>NOT(ISERROR(SEARCH("정홍조",H1078)))</formula>
    </cfRule>
    <cfRule type="containsText" dxfId="1262" priority="118" operator="containsText" text="김지윤">
      <formula>NOT(ISERROR(SEARCH("김지윤",H1078)))</formula>
    </cfRule>
    <cfRule type="containsText" dxfId="1261" priority="119" operator="containsText" text="전준영">
      <formula>NOT(ISERROR(SEARCH("전준영",H1078)))</formula>
    </cfRule>
    <cfRule type="containsText" dxfId="1260" priority="120" operator="containsText" text="차재성">
      <formula>NOT(ISERROR(SEARCH("차재성",H1078)))</formula>
    </cfRule>
  </conditionalFormatting>
  <conditionalFormatting sqref="J62">
    <cfRule type="containsText" dxfId="1259" priority="1201" operator="containsText" text="허하나로">
      <formula>NOT(ISERROR(SEARCH("허하나로",H1070)))</formula>
    </cfRule>
    <cfRule type="containsText" dxfId="1258" priority="1202" operator="containsText" text="한별">
      <formula>NOT(ISERROR(SEARCH("한별",H1070)))</formula>
    </cfRule>
    <cfRule type="containsText" dxfId="1257" priority="1203" operator="containsText" text="정홍조">
      <formula>NOT(ISERROR(SEARCH("정홍조",H1070)))</formula>
    </cfRule>
    <cfRule type="containsText" dxfId="1256" priority="1204" operator="containsText" text="김지윤">
      <formula>NOT(ISERROR(SEARCH("김지윤",H1070)))</formula>
    </cfRule>
    <cfRule type="containsText" dxfId="1255" priority="1205" operator="containsText" text="전준영">
      <formula>NOT(ISERROR(SEARCH("전준영",H1070)))</formula>
    </cfRule>
    <cfRule type="containsText" dxfId="1254" priority="1206" operator="containsText" text="차재성">
      <formula>NOT(ISERROR(SEARCH("차재성",H1070)))</formula>
    </cfRule>
  </conditionalFormatting>
  <conditionalFormatting sqref="J72:J75 J66:J67">
    <cfRule type="containsText" dxfId="1253" priority="1213" operator="containsText" text="허하나로">
      <formula>NOT(ISERROR(SEARCH("허하나로",H1077)))</formula>
    </cfRule>
    <cfRule type="containsText" dxfId="1252" priority="1214" operator="containsText" text="한별">
      <formula>NOT(ISERROR(SEARCH("한별",H1077)))</formula>
    </cfRule>
    <cfRule type="containsText" dxfId="1251" priority="1215" operator="containsText" text="정홍조">
      <formula>NOT(ISERROR(SEARCH("정홍조",H1077)))</formula>
    </cfRule>
    <cfRule type="containsText" dxfId="1250" priority="1216" operator="containsText" text="김지윤">
      <formula>NOT(ISERROR(SEARCH("김지윤",H1077)))</formula>
    </cfRule>
    <cfRule type="containsText" dxfId="1249" priority="1217" operator="containsText" text="전준영">
      <formula>NOT(ISERROR(SEARCH("전준영",H1077)))</formula>
    </cfRule>
    <cfRule type="containsText" dxfId="1248" priority="1218" operator="containsText" text="차재성">
      <formula>NOT(ISERROR(SEARCH("차재성",H1077)))</formula>
    </cfRule>
  </conditionalFormatting>
  <conditionalFormatting sqref="J76">
    <cfRule type="containsText" dxfId="1247" priority="103" operator="containsText" text="허하나로">
      <formula>NOT(ISERROR(SEARCH("허하나로",H1087)))</formula>
    </cfRule>
    <cfRule type="containsText" dxfId="1246" priority="104" operator="containsText" text="한별">
      <formula>NOT(ISERROR(SEARCH("한별",H1087)))</formula>
    </cfRule>
    <cfRule type="containsText" dxfId="1245" priority="105" operator="containsText" text="정홍조">
      <formula>NOT(ISERROR(SEARCH("정홍조",H1087)))</formula>
    </cfRule>
    <cfRule type="containsText" dxfId="1244" priority="106" operator="containsText" text="김지윤">
      <formula>NOT(ISERROR(SEARCH("김지윤",H1087)))</formula>
    </cfRule>
    <cfRule type="containsText" dxfId="1243" priority="107" operator="containsText" text="전준영">
      <formula>NOT(ISERROR(SEARCH("전준영",H1087)))</formula>
    </cfRule>
    <cfRule type="containsText" dxfId="1242" priority="108" operator="containsText" text="차재성">
      <formula>NOT(ISERROR(SEARCH("차재성",H1087)))</formula>
    </cfRule>
  </conditionalFormatting>
  <conditionalFormatting sqref="L73">
    <cfRule type="containsText" dxfId="1241" priority="97" operator="containsText" text="허하나로">
      <formula>NOT(ISERROR(SEARCH("허하나로",J1218)))</formula>
    </cfRule>
    <cfRule type="containsText" dxfId="1240" priority="98" operator="containsText" text="한별">
      <formula>NOT(ISERROR(SEARCH("한별",J1218)))</formula>
    </cfRule>
    <cfRule type="containsText" dxfId="1239" priority="99" operator="containsText" text="정홍조">
      <formula>NOT(ISERROR(SEARCH("정홍조",J1218)))</formula>
    </cfRule>
    <cfRule type="containsText" dxfId="1238" priority="100" operator="containsText" text="김지윤">
      <formula>NOT(ISERROR(SEARCH("김지윤",J1218)))</formula>
    </cfRule>
    <cfRule type="containsText" dxfId="1237" priority="101" operator="containsText" text="전준영">
      <formula>NOT(ISERROR(SEARCH("전준영",J1218)))</formula>
    </cfRule>
    <cfRule type="containsText" dxfId="1236" priority="102" operator="containsText" text="차재성">
      <formula>NOT(ISERROR(SEARCH("차재성",J1218)))</formula>
    </cfRule>
  </conditionalFormatting>
  <conditionalFormatting sqref="I78">
    <cfRule type="containsText" dxfId="1235" priority="91" operator="containsText" text="허하나로">
      <formula>NOT(ISERROR(SEARCH("허하나로",G1104)))</formula>
    </cfRule>
    <cfRule type="containsText" dxfId="1234" priority="92" operator="containsText" text="한별">
      <formula>NOT(ISERROR(SEARCH("한별",G1104)))</formula>
    </cfRule>
    <cfRule type="containsText" dxfId="1233" priority="93" operator="containsText" text="정홍조">
      <formula>NOT(ISERROR(SEARCH("정홍조",G1104)))</formula>
    </cfRule>
    <cfRule type="containsText" dxfId="1232" priority="94" operator="containsText" text="김지윤">
      <formula>NOT(ISERROR(SEARCH("김지윤",G1104)))</formula>
    </cfRule>
    <cfRule type="containsText" dxfId="1231" priority="95" operator="containsText" text="전준영">
      <formula>NOT(ISERROR(SEARCH("전준영",G1104)))</formula>
    </cfRule>
    <cfRule type="containsText" dxfId="1230" priority="96" operator="containsText" text="차재성">
      <formula>NOT(ISERROR(SEARCH("차재성",G1104)))</formula>
    </cfRule>
  </conditionalFormatting>
  <conditionalFormatting sqref="J70:J71">
    <cfRule type="containsText" dxfId="1229" priority="85" operator="containsText" text="허하나로">
      <formula>NOT(ISERROR(SEARCH("허하나로",H1079)))</formula>
    </cfRule>
    <cfRule type="containsText" dxfId="1228" priority="86" operator="containsText" text="한별">
      <formula>NOT(ISERROR(SEARCH("한별",H1079)))</formula>
    </cfRule>
    <cfRule type="containsText" dxfId="1227" priority="87" operator="containsText" text="정홍조">
      <formula>NOT(ISERROR(SEARCH("정홍조",H1079)))</formula>
    </cfRule>
    <cfRule type="containsText" dxfId="1226" priority="88" operator="containsText" text="김지윤">
      <formula>NOT(ISERROR(SEARCH("김지윤",H1079)))</formula>
    </cfRule>
    <cfRule type="containsText" dxfId="1225" priority="89" operator="containsText" text="전준영">
      <formula>NOT(ISERROR(SEARCH("전준영",H1079)))</formula>
    </cfRule>
    <cfRule type="containsText" dxfId="1224" priority="90" operator="containsText" text="차재성">
      <formula>NOT(ISERROR(SEARCH("차재성",H1079)))</formula>
    </cfRule>
  </conditionalFormatting>
  <conditionalFormatting sqref="J65">
    <cfRule type="containsText" dxfId="1223" priority="3679" operator="containsText" text="허하나로">
      <formula>NOT(ISERROR(SEARCH("허하나로",H1072)))</formula>
    </cfRule>
    <cfRule type="containsText" dxfId="1222" priority="3680" operator="containsText" text="한별">
      <formula>NOT(ISERROR(SEARCH("한별",H1072)))</formula>
    </cfRule>
    <cfRule type="containsText" dxfId="1221" priority="3681" operator="containsText" text="정홍조">
      <formula>NOT(ISERROR(SEARCH("정홍조",H1072)))</formula>
    </cfRule>
    <cfRule type="containsText" dxfId="1220" priority="3682" operator="containsText" text="김지윤">
      <formula>NOT(ISERROR(SEARCH("김지윤",H1072)))</formula>
    </cfRule>
    <cfRule type="containsText" dxfId="1219" priority="3683" operator="containsText" text="전준영">
      <formula>NOT(ISERROR(SEARCH("전준영",H1072)))</formula>
    </cfRule>
    <cfRule type="containsText" dxfId="1218" priority="3684" operator="containsText" text="차재성">
      <formula>NOT(ISERROR(SEARCH("차재성",H1072)))</formula>
    </cfRule>
  </conditionalFormatting>
  <conditionalFormatting sqref="J21:J22">
    <cfRule type="containsText" dxfId="1217" priority="49" operator="containsText" text="허하나로">
      <formula>NOT(ISERROR(SEARCH("허하나로",H764)))</formula>
    </cfRule>
    <cfRule type="containsText" dxfId="1216" priority="50" operator="containsText" text="한별">
      <formula>NOT(ISERROR(SEARCH("한별",H764)))</formula>
    </cfRule>
    <cfRule type="containsText" dxfId="1215" priority="51" operator="containsText" text="정홍조">
      <formula>NOT(ISERROR(SEARCH("정홍조",H764)))</formula>
    </cfRule>
    <cfRule type="containsText" dxfId="1214" priority="52" operator="containsText" text="김지윤">
      <formula>NOT(ISERROR(SEARCH("김지윤",H764)))</formula>
    </cfRule>
    <cfRule type="containsText" dxfId="1213" priority="53" operator="containsText" text="전준영">
      <formula>NOT(ISERROR(SEARCH("전준영",H764)))</formula>
    </cfRule>
    <cfRule type="containsText" dxfId="1212" priority="54" operator="containsText" text="차재성">
      <formula>NOT(ISERROR(SEARCH("차재성",H764)))</formula>
    </cfRule>
  </conditionalFormatting>
  <conditionalFormatting sqref="J35">
    <cfRule type="containsText" dxfId="1211" priority="43" operator="containsText" text="허하나로">
      <formula>NOT(ISERROR(SEARCH("허하나로",H770)))</formula>
    </cfRule>
    <cfRule type="containsText" dxfId="1210" priority="44" operator="containsText" text="한별">
      <formula>NOT(ISERROR(SEARCH("한별",H770)))</formula>
    </cfRule>
    <cfRule type="containsText" dxfId="1209" priority="45" operator="containsText" text="정홍조">
      <formula>NOT(ISERROR(SEARCH("정홍조",H770)))</formula>
    </cfRule>
    <cfRule type="containsText" dxfId="1208" priority="46" operator="containsText" text="김지윤">
      <formula>NOT(ISERROR(SEARCH("김지윤",H770)))</formula>
    </cfRule>
    <cfRule type="containsText" dxfId="1207" priority="47" operator="containsText" text="전준영">
      <formula>NOT(ISERROR(SEARCH("전준영",H770)))</formula>
    </cfRule>
    <cfRule type="containsText" dxfId="1206" priority="48" operator="containsText" text="차재성">
      <formula>NOT(ISERROR(SEARCH("차재성",H770)))</formula>
    </cfRule>
  </conditionalFormatting>
  <conditionalFormatting sqref="J2:J3">
    <cfRule type="containsText" dxfId="1205" priority="37" operator="containsText" text="허하나로">
      <formula>NOT(ISERROR(SEARCH("허하나로",H790)))</formula>
    </cfRule>
    <cfRule type="containsText" dxfId="1204" priority="38" operator="containsText" text="한별">
      <formula>NOT(ISERROR(SEARCH("한별",H790)))</formula>
    </cfRule>
    <cfRule type="containsText" dxfId="1203" priority="39" operator="containsText" text="정홍조">
      <formula>NOT(ISERROR(SEARCH("정홍조",H790)))</formula>
    </cfRule>
    <cfRule type="containsText" dxfId="1202" priority="40" operator="containsText" text="김지윤">
      <formula>NOT(ISERROR(SEARCH("김지윤",H790)))</formula>
    </cfRule>
    <cfRule type="containsText" dxfId="1201" priority="41" operator="containsText" text="전준영">
      <formula>NOT(ISERROR(SEARCH("전준영",H790)))</formula>
    </cfRule>
    <cfRule type="containsText" dxfId="1200" priority="42" operator="containsText" text="차재성">
      <formula>NOT(ISERROR(SEARCH("차재성",H790)))</formula>
    </cfRule>
  </conditionalFormatting>
  <conditionalFormatting sqref="J39:J40">
    <cfRule type="containsText" dxfId="1199" priority="19" operator="containsText" text="허하나로">
      <formula>NOT(ISERROR(SEARCH("허하나로",H792)))</formula>
    </cfRule>
    <cfRule type="containsText" dxfId="1198" priority="20" operator="containsText" text="한별">
      <formula>NOT(ISERROR(SEARCH("한별",H792)))</formula>
    </cfRule>
    <cfRule type="containsText" dxfId="1197" priority="21" operator="containsText" text="정홍조">
      <formula>NOT(ISERROR(SEARCH("정홍조",H792)))</formula>
    </cfRule>
    <cfRule type="containsText" dxfId="1196" priority="22" operator="containsText" text="김지윤">
      <formula>NOT(ISERROR(SEARCH("김지윤",H792)))</formula>
    </cfRule>
    <cfRule type="containsText" dxfId="1195" priority="23" operator="containsText" text="전준영">
      <formula>NOT(ISERROR(SEARCH("전준영",H792)))</formula>
    </cfRule>
    <cfRule type="containsText" dxfId="1194" priority="24" operator="containsText" text="차재성">
      <formula>NOT(ISERROR(SEARCH("차재성",H792)))</formula>
    </cfRule>
  </conditionalFormatting>
  <conditionalFormatting sqref="J32:J34">
    <cfRule type="containsText" dxfId="1193" priority="13" operator="containsText" text="허하나로">
      <formula>NOT(ISERROR(SEARCH("허하나로",H1061)))</formula>
    </cfRule>
    <cfRule type="containsText" dxfId="1192" priority="14" operator="containsText" text="한별">
      <formula>NOT(ISERROR(SEARCH("한별",H1061)))</formula>
    </cfRule>
    <cfRule type="containsText" dxfId="1191" priority="15" operator="containsText" text="정홍조">
      <formula>NOT(ISERROR(SEARCH("정홍조",H1061)))</formula>
    </cfRule>
    <cfRule type="containsText" dxfId="1190" priority="16" operator="containsText" text="김지윤">
      <formula>NOT(ISERROR(SEARCH("김지윤",H1061)))</formula>
    </cfRule>
    <cfRule type="containsText" dxfId="1189" priority="17" operator="containsText" text="전준영">
      <formula>NOT(ISERROR(SEARCH("전준영",H1061)))</formula>
    </cfRule>
    <cfRule type="containsText" dxfId="1188" priority="18" operator="containsText" text="차재성">
      <formula>NOT(ISERROR(SEARCH("차재성",H1061)))</formula>
    </cfRule>
  </conditionalFormatting>
  <conditionalFormatting sqref="L33">
    <cfRule type="containsText" dxfId="1187" priority="7" operator="containsText" text="허하나로">
      <formula>NOT(ISERROR(SEARCH("허하나로",J1196)))</formula>
    </cfRule>
    <cfRule type="containsText" dxfId="1186" priority="8" operator="containsText" text="한별">
      <formula>NOT(ISERROR(SEARCH("한별",J1196)))</formula>
    </cfRule>
    <cfRule type="containsText" dxfId="1185" priority="9" operator="containsText" text="정홍조">
      <formula>NOT(ISERROR(SEARCH("정홍조",J1196)))</formula>
    </cfRule>
    <cfRule type="containsText" dxfId="1184" priority="10" operator="containsText" text="김지윤">
      <formula>NOT(ISERROR(SEARCH("김지윤",J1196)))</formula>
    </cfRule>
    <cfRule type="containsText" dxfId="1183" priority="11" operator="containsText" text="전준영">
      <formula>NOT(ISERROR(SEARCH("전준영",J1196)))</formula>
    </cfRule>
    <cfRule type="containsText" dxfId="1182" priority="12" operator="containsText" text="차재성">
      <formula>NOT(ISERROR(SEARCH("차재성",J1196)))</formula>
    </cfRule>
  </conditionalFormatting>
  <conditionalFormatting sqref="J44:J45">
    <cfRule type="containsText" dxfId="1181" priority="1" operator="containsText" text="허하나로">
      <formula>NOT(ISERROR(SEARCH("허하나로",H797)))</formula>
    </cfRule>
    <cfRule type="containsText" dxfId="1180" priority="2" operator="containsText" text="한별">
      <formula>NOT(ISERROR(SEARCH("한별",H797)))</formula>
    </cfRule>
    <cfRule type="containsText" dxfId="1179" priority="3" operator="containsText" text="정홍조">
      <formula>NOT(ISERROR(SEARCH("정홍조",H797)))</formula>
    </cfRule>
    <cfRule type="containsText" dxfId="1178" priority="4" operator="containsText" text="김지윤">
      <formula>NOT(ISERROR(SEARCH("김지윤",H797)))</formula>
    </cfRule>
    <cfRule type="containsText" dxfId="1177" priority="5" operator="containsText" text="전준영">
      <formula>NOT(ISERROR(SEARCH("전준영",H797)))</formula>
    </cfRule>
    <cfRule type="containsText" dxfId="1176" priority="6" operator="containsText" text="차재성">
      <formula>NOT(ISERROR(SEARCH("차재성",H797)))</formula>
    </cfRule>
  </conditionalFormatting>
  <conditionalFormatting sqref="J68">
    <cfRule type="containsText" dxfId="1175" priority="5113" operator="containsText" text="허하나로">
      <formula>NOT(ISERROR(SEARCH("허하나로",H1078)))</formula>
    </cfRule>
    <cfRule type="containsText" dxfId="1174" priority="5114" operator="containsText" text="한별">
      <formula>NOT(ISERROR(SEARCH("한별",H1078)))</formula>
    </cfRule>
    <cfRule type="containsText" dxfId="1173" priority="5115" operator="containsText" text="정홍조">
      <formula>NOT(ISERROR(SEARCH("정홍조",H1078)))</formula>
    </cfRule>
    <cfRule type="containsText" dxfId="1172" priority="5116" operator="containsText" text="김지윤">
      <formula>NOT(ISERROR(SEARCH("김지윤",H1078)))</formula>
    </cfRule>
    <cfRule type="containsText" dxfId="1171" priority="5117" operator="containsText" text="전준영">
      <formula>NOT(ISERROR(SEARCH("전준영",H1078)))</formula>
    </cfRule>
    <cfRule type="containsText" dxfId="1170" priority="5118" operator="containsText" text="차재성">
      <formula>NOT(ISERROR(SEARCH("차재성",H1078)))</formula>
    </cfRule>
  </conditionalFormatting>
  <pageMargins left="0.25" right="0.25" top="0.75" bottom="0.75" header="0.3" footer="0.3"/>
  <pageSetup paperSize="9" scale="74" firstPageNumber="0" fitToHeight="0" orientation="landscape" useFirstPageNumber="1" r:id="rId1"/>
  <headerFooter alignWithMargins="0">
    <oddHeader xml:space="preserve">&amp;L&amp;"돋움,굵게"
</oddHeader>
  </headerFooter>
  <rowBreaks count="1" manualBreakCount="1">
    <brk id="38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text="허하나로" id="{79B152C1-B2E1-40E0-9E75-D7A9F76B9003}">
            <xm:f>NOT(ISERROR(SEARCH("허하나로",행정관리부!H1090)))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8FC6B557-ADFF-4EC7-A5F4-009BA2774F2C}">
            <xm:f>NOT(ISERROR(SEARCH("한별",행정관리부!H1090)))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4B8F03B6-AC04-4287-AD6B-88A50042BCD2}">
            <xm:f>NOT(ISERROR(SEARCH("정홍조",행정관리부!H1090)))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53B9FC3C-3C67-43D0-98A7-5EFFBE6CC4EC}">
            <xm:f>NOT(ISERROR(SEARCH("김지윤",행정관리부!H1090)))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CFBEE776-6AA4-4748-BCCC-D10B4A572B13}">
            <xm:f>NOT(ISERROR(SEARCH("전준영",행정관리부!H1090)))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FC84453E-808D-4BA6-AE79-F755C1A55E4A}">
            <xm:f>NOT(ISERROR(SEARCH("차재성",행정관리부!H1090)))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J81</xm:sqref>
        </x14:conditionalFormatting>
        <x14:conditionalFormatting xmlns:xm="http://schemas.microsoft.com/office/excel/2006/main">
          <x14:cfRule type="containsText" priority="73" operator="containsText" text="허하나로" id="{876F91CA-E610-40FE-81A7-44CDC5489935}">
            <xm:f>NOT(ISERROR(SEARCH("허하나로",행정관리부!H1146)))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5B556011-188D-4A3F-B13D-DC561B03F89B}">
            <xm:f>NOT(ISERROR(SEARCH("한별",행정관리부!H1146)))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ACAB305B-1D7C-4461-83B8-74D3DD016EA6}">
            <xm:f>NOT(ISERROR(SEARCH("정홍조",행정관리부!H1146)))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66FACC27-5BF4-415B-A45F-20971346D5CE}">
            <xm:f>NOT(ISERROR(SEARCH("김지윤",행정관리부!H1146)))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5FB2FFF1-D507-4E64-9BA9-BB6EF899BCB4}">
            <xm:f>NOT(ISERROR(SEARCH("전준영",행정관리부!H1146)))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89227B41-3E6A-4530-A8A2-E80A0BDFEB6D}">
            <xm:f>NOT(ISERROR(SEARCH("차재성",행정관리부!H1146)))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J79:J80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BP53"/>
  <sheetViews>
    <sheetView zoomScale="85" zoomScaleNormal="85" workbookViewId="0">
      <selection activeCell="G9" sqref="G9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" customWidth="1"/>
    <col min="10" max="10" width="14.625" customWidth="1"/>
    <col min="11" max="11" width="62.375" customWidth="1"/>
    <col min="12" max="12" width="3.875" customWidth="1"/>
    <col min="13" max="13" width="14.625" customWidth="1"/>
    <col min="14" max="14" width="9" style="576"/>
  </cols>
  <sheetData>
    <row r="1" spans="1:68" ht="17.25" thickBot="1">
      <c r="A1" s="88" t="s">
        <v>144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</row>
    <row r="2" spans="1:68" ht="16.5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896</v>
      </c>
      <c r="J2" s="709" t="s">
        <v>463</v>
      </c>
      <c r="K2" s="693" t="s">
        <v>1</v>
      </c>
      <c r="L2" s="694"/>
      <c r="M2" s="695"/>
    </row>
    <row r="3" spans="1:68" ht="17.25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</row>
    <row r="4" spans="1:68" ht="17.25" thickBot="1">
      <c r="A4" s="699" t="s">
        <v>30</v>
      </c>
      <c r="B4" s="700"/>
      <c r="C4" s="700"/>
      <c r="D4" s="700"/>
      <c r="E4" s="700"/>
      <c r="F4" s="700"/>
      <c r="G4" s="701"/>
      <c r="H4" s="184">
        <f>H5</f>
        <v>308648</v>
      </c>
      <c r="I4" s="184">
        <v>308648</v>
      </c>
      <c r="J4" s="120">
        <f>H4-I4</f>
        <v>0</v>
      </c>
      <c r="K4" s="89"/>
      <c r="L4" s="90"/>
      <c r="M4" s="121"/>
    </row>
    <row r="5" spans="1:68">
      <c r="A5" s="204" t="s">
        <v>2</v>
      </c>
      <c r="B5" s="122"/>
      <c r="C5" s="123"/>
      <c r="D5" s="123"/>
      <c r="E5" s="123"/>
      <c r="F5" s="123"/>
      <c r="G5" s="124"/>
      <c r="H5" s="94">
        <f>H6</f>
        <v>308648</v>
      </c>
      <c r="I5" s="94">
        <v>308648</v>
      </c>
      <c r="J5" s="95">
        <f t="shared" ref="J5:J39" si="0">H5-I5</f>
        <v>0</v>
      </c>
      <c r="K5" s="78"/>
      <c r="L5" s="79"/>
      <c r="M5" s="80"/>
    </row>
    <row r="6" spans="1:68">
      <c r="A6" s="10"/>
      <c r="B6" s="129" t="s">
        <v>248</v>
      </c>
      <c r="C6" s="129"/>
      <c r="D6" s="130"/>
      <c r="E6" s="130"/>
      <c r="F6" s="130"/>
      <c r="G6" s="131"/>
      <c r="H6" s="94">
        <f>SUM(H7,H35)</f>
        <v>308648</v>
      </c>
      <c r="I6" s="94">
        <v>308648</v>
      </c>
      <c r="J6" s="95">
        <f t="shared" si="0"/>
        <v>0</v>
      </c>
      <c r="K6" s="78"/>
      <c r="L6" s="79"/>
      <c r="M6" s="80"/>
    </row>
    <row r="7" spans="1:68">
      <c r="A7" s="10"/>
      <c r="B7" s="6"/>
      <c r="C7" s="178" t="s">
        <v>572</v>
      </c>
      <c r="D7" s="130"/>
      <c r="E7" s="130"/>
      <c r="F7" s="130"/>
      <c r="G7" s="131"/>
      <c r="H7" s="91">
        <f>SUM(H8,H18,H23,H29)</f>
        <v>287508</v>
      </c>
      <c r="I7" s="91">
        <v>287508</v>
      </c>
      <c r="J7" s="92">
        <f t="shared" ref="J7:J11" si="1">H7-I7</f>
        <v>0</v>
      </c>
      <c r="K7" s="158"/>
      <c r="L7" s="148"/>
      <c r="M7" s="149"/>
    </row>
    <row r="8" spans="1:68">
      <c r="A8" s="10"/>
      <c r="B8" s="6"/>
      <c r="C8" s="146"/>
      <c r="D8" s="129" t="s">
        <v>573</v>
      </c>
      <c r="E8" s="130"/>
      <c r="F8" s="130"/>
      <c r="G8" s="131"/>
      <c r="H8" s="132">
        <f>H9</f>
        <v>26300</v>
      </c>
      <c r="I8" s="132">
        <v>26300</v>
      </c>
      <c r="J8" s="9">
        <f t="shared" si="1"/>
        <v>0</v>
      </c>
      <c r="K8" s="147"/>
      <c r="L8" s="148"/>
      <c r="M8" s="149"/>
    </row>
    <row r="9" spans="1:68">
      <c r="A9" s="10"/>
      <c r="B9" s="6"/>
      <c r="C9" s="134"/>
      <c r="D9" s="135"/>
      <c r="E9" s="129" t="s">
        <v>33</v>
      </c>
      <c r="F9" s="130"/>
      <c r="G9" s="131"/>
      <c r="H9" s="91">
        <f>SUM(H10,H13)</f>
        <v>26300</v>
      </c>
      <c r="I9" s="91">
        <v>26300</v>
      </c>
      <c r="J9" s="92">
        <f t="shared" si="1"/>
        <v>0</v>
      </c>
      <c r="K9" s="84"/>
      <c r="L9" s="93"/>
      <c r="M9" s="82"/>
    </row>
    <row r="10" spans="1:68">
      <c r="A10" s="63"/>
      <c r="B10" s="65"/>
      <c r="C10" s="65"/>
      <c r="D10" s="65"/>
      <c r="E10" s="65"/>
      <c r="F10" s="136" t="s">
        <v>35</v>
      </c>
      <c r="G10" s="140"/>
      <c r="H10" s="72">
        <f>H11</f>
        <v>5000</v>
      </c>
      <c r="I10" s="72">
        <v>5000</v>
      </c>
      <c r="J10" s="98">
        <f t="shared" si="1"/>
        <v>0</v>
      </c>
      <c r="K10" s="143"/>
      <c r="L10" s="38"/>
      <c r="M10" s="37"/>
    </row>
    <row r="11" spans="1:68">
      <c r="A11" s="55"/>
      <c r="B11" s="57"/>
      <c r="C11" s="65"/>
      <c r="D11" s="65"/>
      <c r="E11" s="65"/>
      <c r="F11" s="191"/>
      <c r="G11" s="64" t="s">
        <v>7</v>
      </c>
      <c r="H11" s="206">
        <f>M11</f>
        <v>5000</v>
      </c>
      <c r="I11" s="206">
        <v>5000</v>
      </c>
      <c r="J11" s="41">
        <f t="shared" si="1"/>
        <v>0</v>
      </c>
      <c r="K11" s="552" t="s">
        <v>44</v>
      </c>
      <c r="L11" s="208"/>
      <c r="M11" s="217">
        <f>SUM(M12:M12)</f>
        <v>5000</v>
      </c>
    </row>
    <row r="12" spans="1:68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216" t="s">
        <v>574</v>
      </c>
      <c r="L12" s="203" t="s">
        <v>37</v>
      </c>
      <c r="M12" s="195">
        <v>5000</v>
      </c>
    </row>
    <row r="13" spans="1:68">
      <c r="A13" s="63"/>
      <c r="B13" s="65"/>
      <c r="C13" s="65"/>
      <c r="D13" s="65"/>
      <c r="E13" s="65"/>
      <c r="F13" s="702" t="s">
        <v>40</v>
      </c>
      <c r="G13" s="703"/>
      <c r="H13" s="151">
        <f>SUM(H14,H16)</f>
        <v>21300</v>
      </c>
      <c r="I13" s="151">
        <v>21300</v>
      </c>
      <c r="J13" s="152">
        <f>H13-I13</f>
        <v>0</v>
      </c>
      <c r="K13" s="153"/>
      <c r="L13" s="58"/>
      <c r="M13" s="551"/>
    </row>
    <row r="14" spans="1:68">
      <c r="A14" s="63"/>
      <c r="B14" s="65"/>
      <c r="C14" s="65"/>
      <c r="D14" s="65"/>
      <c r="E14" s="65"/>
      <c r="F14" s="109"/>
      <c r="G14" s="198" t="s">
        <v>41</v>
      </c>
      <c r="H14" s="209">
        <f>M14</f>
        <v>3300</v>
      </c>
      <c r="I14" s="206">
        <v>3300</v>
      </c>
      <c r="J14" s="201">
        <f>H14-I14</f>
        <v>0</v>
      </c>
      <c r="K14" s="36" t="s">
        <v>50</v>
      </c>
      <c r="L14" s="211"/>
      <c r="M14" s="217">
        <f>M15</f>
        <v>3300</v>
      </c>
    </row>
    <row r="15" spans="1:68" s="137" customFormat="1" ht="18" customHeight="1">
      <c r="A15" s="63"/>
      <c r="B15" s="65"/>
      <c r="C15" s="65"/>
      <c r="D15" s="358"/>
      <c r="E15" s="65"/>
      <c r="F15" s="193"/>
      <c r="G15" s="193"/>
      <c r="H15" s="100"/>
      <c r="I15" s="104"/>
      <c r="J15" s="102"/>
      <c r="K15" s="382" t="s">
        <v>640</v>
      </c>
      <c r="L15" s="418" t="s">
        <v>0</v>
      </c>
      <c r="M15" s="374">
        <v>3300</v>
      </c>
      <c r="N15" s="576"/>
      <c r="O15" s="575"/>
      <c r="P15"/>
      <c r="Q15"/>
      <c r="R15" s="101"/>
      <c r="U15" s="54"/>
      <c r="V15" s="59"/>
      <c r="W15" s="59"/>
      <c r="X15" s="59"/>
      <c r="Y15" s="59"/>
      <c r="Z15" s="59"/>
      <c r="AA15" s="59"/>
      <c r="AB15" s="59"/>
      <c r="AC15" s="59">
        <v>9</v>
      </c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</row>
    <row r="16" spans="1:68">
      <c r="A16" s="63"/>
      <c r="B16" s="65"/>
      <c r="C16" s="65"/>
      <c r="D16" s="358"/>
      <c r="E16" s="65"/>
      <c r="F16" s="105"/>
      <c r="G16" s="198" t="s">
        <v>424</v>
      </c>
      <c r="H16" s="209">
        <f>M16</f>
        <v>18000</v>
      </c>
      <c r="I16" s="206">
        <v>18000</v>
      </c>
      <c r="J16" s="201">
        <f>H16-I16</f>
        <v>0</v>
      </c>
      <c r="K16" s="386" t="s">
        <v>51</v>
      </c>
      <c r="L16" s="589"/>
      <c r="M16" s="388">
        <f>M17</f>
        <v>18000</v>
      </c>
    </row>
    <row r="17" spans="1:68" s="137" customFormat="1" ht="18" customHeight="1">
      <c r="A17" s="63"/>
      <c r="B17" s="65"/>
      <c r="C17" s="65"/>
      <c r="D17" s="358"/>
      <c r="E17" s="65"/>
      <c r="F17" s="193"/>
      <c r="G17" s="193"/>
      <c r="H17" s="100"/>
      <c r="I17" s="104"/>
      <c r="J17" s="102"/>
      <c r="K17" s="382" t="s">
        <v>673</v>
      </c>
      <c r="L17" s="519" t="s">
        <v>0</v>
      </c>
      <c r="M17" s="374">
        <v>18000</v>
      </c>
      <c r="N17" s="576"/>
      <c r="O17" s="575"/>
      <c r="P17"/>
      <c r="Q17"/>
      <c r="R17" s="101"/>
      <c r="U17" s="54"/>
      <c r="V17" s="59"/>
      <c r="W17" s="59"/>
      <c r="X17" s="59"/>
      <c r="Y17" s="59"/>
      <c r="Z17" s="59"/>
      <c r="AA17" s="59"/>
      <c r="AB17" s="59"/>
      <c r="AC17" s="59">
        <v>9</v>
      </c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</row>
    <row r="18" spans="1:68">
      <c r="A18" s="10"/>
      <c r="B18" s="6"/>
      <c r="C18" s="146"/>
      <c r="D18" s="349" t="s">
        <v>749</v>
      </c>
      <c r="E18" s="130"/>
      <c r="F18" s="130"/>
      <c r="G18" s="131"/>
      <c r="H18" s="132">
        <f>H19</f>
        <v>1208</v>
      </c>
      <c r="I18" s="132">
        <v>1208</v>
      </c>
      <c r="J18" s="9">
        <f t="shared" ref="J18:J21" si="2">H18-I18</f>
        <v>0</v>
      </c>
      <c r="K18" s="389"/>
      <c r="L18" s="390"/>
      <c r="M18" s="397"/>
      <c r="N18" s="603"/>
    </row>
    <row r="19" spans="1:68">
      <c r="A19" s="10"/>
      <c r="B19" s="6"/>
      <c r="C19" s="134"/>
      <c r="D19" s="458"/>
      <c r="E19" s="129" t="s">
        <v>750</v>
      </c>
      <c r="F19" s="130"/>
      <c r="G19" s="131"/>
      <c r="H19" s="91">
        <f>H20</f>
        <v>1208</v>
      </c>
      <c r="I19" s="91">
        <v>1208</v>
      </c>
      <c r="J19" s="92">
        <f t="shared" si="2"/>
        <v>0</v>
      </c>
      <c r="K19" s="351"/>
      <c r="L19" s="391"/>
      <c r="M19" s="392"/>
      <c r="N19" s="603"/>
    </row>
    <row r="20" spans="1:68">
      <c r="A20" s="63"/>
      <c r="B20" s="65"/>
      <c r="C20" s="65"/>
      <c r="D20" s="358"/>
      <c r="E20" s="65"/>
      <c r="F20" s="136" t="s">
        <v>751</v>
      </c>
      <c r="G20" s="140"/>
      <c r="H20" s="72">
        <f>H21</f>
        <v>1208</v>
      </c>
      <c r="I20" s="72">
        <v>1208</v>
      </c>
      <c r="J20" s="98">
        <f t="shared" si="2"/>
        <v>0</v>
      </c>
      <c r="K20" s="383"/>
      <c r="L20" s="384"/>
      <c r="M20" s="398"/>
      <c r="N20" s="603"/>
    </row>
    <row r="21" spans="1:68">
      <c r="A21" s="55"/>
      <c r="B21" s="57"/>
      <c r="C21" s="65"/>
      <c r="D21" s="358"/>
      <c r="E21" s="65"/>
      <c r="F21" s="191"/>
      <c r="G21" s="205" t="s">
        <v>752</v>
      </c>
      <c r="H21" s="206">
        <f>M21</f>
        <v>1208</v>
      </c>
      <c r="I21" s="206">
        <v>1208</v>
      </c>
      <c r="J21" s="41">
        <f t="shared" si="2"/>
        <v>0</v>
      </c>
      <c r="K21" s="607" t="s">
        <v>753</v>
      </c>
      <c r="L21" s="412"/>
      <c r="M21" s="388">
        <f>SUM(M22:M22)</f>
        <v>1208</v>
      </c>
      <c r="N21" s="603"/>
    </row>
    <row r="22" spans="1:68">
      <c r="A22" s="55"/>
      <c r="B22" s="57"/>
      <c r="C22" s="65"/>
      <c r="D22" s="358"/>
      <c r="E22" s="65"/>
      <c r="F22" s="56"/>
      <c r="G22" s="633"/>
      <c r="H22" s="100"/>
      <c r="I22" s="100"/>
      <c r="J22" s="102"/>
      <c r="K22" s="586" t="s">
        <v>754</v>
      </c>
      <c r="L22" s="378" t="s">
        <v>37</v>
      </c>
      <c r="M22" s="374">
        <v>1208</v>
      </c>
      <c r="N22" s="603"/>
    </row>
    <row r="23" spans="1:68">
      <c r="A23" s="452"/>
      <c r="B23" s="455"/>
      <c r="C23" s="455"/>
      <c r="D23" s="349" t="s">
        <v>807</v>
      </c>
      <c r="E23" s="453"/>
      <c r="F23" s="453"/>
      <c r="G23" s="454"/>
      <c r="H23" s="456">
        <f>H24</f>
        <v>50000</v>
      </c>
      <c r="I23" s="456">
        <v>50000</v>
      </c>
      <c r="J23" s="95">
        <f>H23-I23</f>
        <v>0</v>
      </c>
      <c r="K23" s="350"/>
      <c r="L23" s="405"/>
      <c r="M23" s="419"/>
      <c r="N23"/>
    </row>
    <row r="24" spans="1:68">
      <c r="A24" s="452"/>
      <c r="B24" s="455"/>
      <c r="C24" s="482"/>
      <c r="D24" s="458"/>
      <c r="E24" s="349" t="s">
        <v>216</v>
      </c>
      <c r="F24" s="453"/>
      <c r="G24" s="454"/>
      <c r="H24" s="92">
        <f>H25</f>
        <v>50000</v>
      </c>
      <c r="I24" s="92">
        <v>50000</v>
      </c>
      <c r="J24" s="95">
        <f>H24-I24</f>
        <v>0</v>
      </c>
      <c r="K24" s="351"/>
      <c r="L24" s="391"/>
      <c r="M24" s="392"/>
      <c r="N24"/>
    </row>
    <row r="25" spans="1:68">
      <c r="A25" s="357"/>
      <c r="B25" s="358"/>
      <c r="C25" s="460"/>
      <c r="D25" s="461"/>
      <c r="E25" s="462"/>
      <c r="F25" s="463" t="s">
        <v>217</v>
      </c>
      <c r="G25" s="464"/>
      <c r="H25" s="98">
        <f>SUM(H26)</f>
        <v>50000</v>
      </c>
      <c r="I25" s="98">
        <v>50000</v>
      </c>
      <c r="J25" s="98">
        <f>H25-I25</f>
        <v>0</v>
      </c>
      <c r="K25" s="420"/>
      <c r="L25" s="352"/>
      <c r="M25" s="394"/>
      <c r="N25"/>
    </row>
    <row r="26" spans="1:68">
      <c r="A26" s="357"/>
      <c r="B26" s="358"/>
      <c r="C26" s="358"/>
      <c r="D26" s="359"/>
      <c r="E26" s="360"/>
      <c r="F26" s="360"/>
      <c r="G26" s="361" t="s">
        <v>221</v>
      </c>
      <c r="H26" s="41">
        <f>SUM(M26)</f>
        <v>50000</v>
      </c>
      <c r="I26" s="41">
        <v>50000</v>
      </c>
      <c r="J26" s="41">
        <f>H26-I26</f>
        <v>0</v>
      </c>
      <c r="K26" s="591" t="s">
        <v>583</v>
      </c>
      <c r="L26" s="387"/>
      <c r="M26" s="388">
        <f>SUM(M28:M28)</f>
        <v>50000</v>
      </c>
      <c r="N26"/>
    </row>
    <row r="27" spans="1:68">
      <c r="A27" s="357"/>
      <c r="B27" s="358"/>
      <c r="C27" s="358"/>
      <c r="D27" s="359"/>
      <c r="E27" s="360"/>
      <c r="F27" s="360"/>
      <c r="G27" s="361"/>
      <c r="H27" s="50"/>
      <c r="I27" s="50"/>
      <c r="J27" s="50"/>
      <c r="K27" s="622" t="s">
        <v>774</v>
      </c>
      <c r="L27" s="375"/>
      <c r="M27" s="379"/>
      <c r="N27"/>
    </row>
    <row r="28" spans="1:68">
      <c r="A28" s="63"/>
      <c r="B28" s="65"/>
      <c r="C28" s="358"/>
      <c r="D28" s="498"/>
      <c r="E28" s="536"/>
      <c r="F28" s="536"/>
      <c r="G28" s="612"/>
      <c r="H28" s="613"/>
      <c r="I28" s="613"/>
      <c r="J28" s="613"/>
      <c r="K28" s="643" t="s">
        <v>832</v>
      </c>
      <c r="L28" s="377" t="s">
        <v>220</v>
      </c>
      <c r="M28" s="381">
        <v>50000</v>
      </c>
      <c r="N28"/>
    </row>
    <row r="29" spans="1:68">
      <c r="A29" s="452"/>
      <c r="B29" s="455"/>
      <c r="C29" s="455"/>
      <c r="D29" s="349" t="s">
        <v>808</v>
      </c>
      <c r="E29" s="453"/>
      <c r="F29" s="453"/>
      <c r="G29" s="454"/>
      <c r="H29" s="456">
        <f>H30</f>
        <v>210000</v>
      </c>
      <c r="I29" s="456">
        <v>210000</v>
      </c>
      <c r="J29" s="95">
        <f>H29-I29</f>
        <v>0</v>
      </c>
      <c r="K29" s="350"/>
      <c r="L29" s="405"/>
      <c r="M29" s="419"/>
      <c r="N29"/>
    </row>
    <row r="30" spans="1:68">
      <c r="A30" s="452"/>
      <c r="B30" s="455"/>
      <c r="C30" s="482"/>
      <c r="D30" s="458"/>
      <c r="E30" s="349" t="s">
        <v>216</v>
      </c>
      <c r="F30" s="453"/>
      <c r="G30" s="454"/>
      <c r="H30" s="92">
        <f>H31</f>
        <v>210000</v>
      </c>
      <c r="I30" s="92">
        <v>210000</v>
      </c>
      <c r="J30" s="95">
        <f>H30-I30</f>
        <v>0</v>
      </c>
      <c r="K30" s="351"/>
      <c r="L30" s="391"/>
      <c r="M30" s="392"/>
      <c r="N30"/>
    </row>
    <row r="31" spans="1:68">
      <c r="A31" s="357"/>
      <c r="B31" s="358"/>
      <c r="C31" s="460"/>
      <c r="D31" s="461"/>
      <c r="E31" s="462"/>
      <c r="F31" s="463" t="s">
        <v>217</v>
      </c>
      <c r="G31" s="464"/>
      <c r="H31" s="98">
        <f>SUM(H32)</f>
        <v>210000</v>
      </c>
      <c r="I31" s="98">
        <v>210000</v>
      </c>
      <c r="J31" s="98">
        <f>H31-I31</f>
        <v>0</v>
      </c>
      <c r="K31" s="420"/>
      <c r="L31" s="352"/>
      <c r="M31" s="394"/>
      <c r="N31"/>
    </row>
    <row r="32" spans="1:68">
      <c r="A32" s="357"/>
      <c r="B32" s="358"/>
      <c r="C32" s="358"/>
      <c r="D32" s="359"/>
      <c r="E32" s="360"/>
      <c r="F32" s="360"/>
      <c r="G32" s="361" t="s">
        <v>221</v>
      </c>
      <c r="H32" s="41">
        <f>SUM(M32)</f>
        <v>210000</v>
      </c>
      <c r="I32" s="41">
        <v>210000</v>
      </c>
      <c r="J32" s="41">
        <f>H32-I32</f>
        <v>0</v>
      </c>
      <c r="K32" s="591" t="s">
        <v>583</v>
      </c>
      <c r="L32" s="387"/>
      <c r="M32" s="388">
        <f>SUM(M34:M34)</f>
        <v>210000</v>
      </c>
      <c r="N32"/>
    </row>
    <row r="33" spans="1:68">
      <c r="A33" s="63"/>
      <c r="B33" s="65"/>
      <c r="C33" s="358"/>
      <c r="D33" s="359"/>
      <c r="E33" s="359"/>
      <c r="F33" s="360"/>
      <c r="G33" s="361"/>
      <c r="H33" s="74"/>
      <c r="I33" s="74"/>
      <c r="J33" s="50"/>
      <c r="K33" s="606" t="s">
        <v>772</v>
      </c>
      <c r="L33" s="375"/>
      <c r="M33" s="374"/>
      <c r="N33"/>
    </row>
    <row r="34" spans="1:68">
      <c r="A34" s="63"/>
      <c r="B34" s="65"/>
      <c r="C34" s="358"/>
      <c r="D34" s="359"/>
      <c r="E34" s="498"/>
      <c r="F34" s="536"/>
      <c r="G34" s="612"/>
      <c r="H34" s="613"/>
      <c r="I34" s="613"/>
      <c r="J34" s="613"/>
      <c r="K34" s="643" t="s">
        <v>840</v>
      </c>
      <c r="L34" s="377" t="s">
        <v>220</v>
      </c>
      <c r="M34" s="381">
        <v>210000</v>
      </c>
      <c r="N34"/>
    </row>
    <row r="35" spans="1:68">
      <c r="A35" s="10"/>
      <c r="B35" s="6"/>
      <c r="C35" s="178" t="s">
        <v>291</v>
      </c>
      <c r="D35" s="453"/>
      <c r="E35" s="130"/>
      <c r="F35" s="130"/>
      <c r="G35" s="131"/>
      <c r="H35" s="91">
        <f>H36</f>
        <v>21140</v>
      </c>
      <c r="I35" s="91">
        <v>21140</v>
      </c>
      <c r="J35" s="92">
        <f t="shared" si="0"/>
        <v>0</v>
      </c>
      <c r="K35" s="396"/>
      <c r="L35" s="390"/>
      <c r="M35" s="397"/>
    </row>
    <row r="36" spans="1:68">
      <c r="A36" s="10"/>
      <c r="B36" s="6"/>
      <c r="C36" s="146"/>
      <c r="D36" s="349" t="s">
        <v>34</v>
      </c>
      <c r="E36" s="130"/>
      <c r="F36" s="130"/>
      <c r="G36" s="131"/>
      <c r="H36" s="132">
        <f>H37</f>
        <v>21140</v>
      </c>
      <c r="I36" s="132">
        <v>21140</v>
      </c>
      <c r="J36" s="9">
        <f t="shared" si="0"/>
        <v>0</v>
      </c>
      <c r="K36" s="389"/>
      <c r="L36" s="390"/>
      <c r="M36" s="397"/>
    </row>
    <row r="37" spans="1:68">
      <c r="A37" s="10"/>
      <c r="B37" s="6"/>
      <c r="C37" s="134"/>
      <c r="D37" s="458"/>
      <c r="E37" s="129" t="s">
        <v>33</v>
      </c>
      <c r="F37" s="130"/>
      <c r="G37" s="131"/>
      <c r="H37" s="91">
        <f>SUM(H38,H43,H47,H51)</f>
        <v>21140</v>
      </c>
      <c r="I37" s="91">
        <v>21140</v>
      </c>
      <c r="J37" s="92">
        <f t="shared" si="0"/>
        <v>0</v>
      </c>
      <c r="K37" s="351"/>
      <c r="L37" s="391"/>
      <c r="M37" s="392"/>
    </row>
    <row r="38" spans="1:68">
      <c r="A38" s="63"/>
      <c r="B38" s="65"/>
      <c r="C38" s="65"/>
      <c r="D38" s="358"/>
      <c r="E38" s="65"/>
      <c r="F38" s="136" t="s">
        <v>35</v>
      </c>
      <c r="G38" s="140"/>
      <c r="H38" s="72">
        <f>SUM(H39,H41)</f>
        <v>7040</v>
      </c>
      <c r="I38" s="72">
        <v>7040</v>
      </c>
      <c r="J38" s="98">
        <f t="shared" si="0"/>
        <v>0</v>
      </c>
      <c r="K38" s="383"/>
      <c r="L38" s="384"/>
      <c r="M38" s="398"/>
    </row>
    <row r="39" spans="1:68">
      <c r="A39" s="55"/>
      <c r="B39" s="57"/>
      <c r="C39" s="65"/>
      <c r="D39" s="358"/>
      <c r="E39" s="65"/>
      <c r="F39" s="191"/>
      <c r="G39" s="205" t="s">
        <v>36</v>
      </c>
      <c r="H39" s="206">
        <f>M39</f>
        <v>2000</v>
      </c>
      <c r="I39" s="206">
        <v>2000</v>
      </c>
      <c r="J39" s="41">
        <f t="shared" si="0"/>
        <v>0</v>
      </c>
      <c r="K39" s="386" t="s">
        <v>52</v>
      </c>
      <c r="L39" s="412"/>
      <c r="M39" s="388">
        <f>SUM(M40:M40)</f>
        <v>2000</v>
      </c>
    </row>
    <row r="40" spans="1:68">
      <c r="A40" s="55"/>
      <c r="B40" s="57"/>
      <c r="C40" s="65"/>
      <c r="D40" s="358"/>
      <c r="E40" s="65"/>
      <c r="F40" s="56"/>
      <c r="G40" s="56"/>
      <c r="H40" s="100"/>
      <c r="I40" s="100"/>
      <c r="J40" s="102"/>
      <c r="K40" s="586" t="s">
        <v>575</v>
      </c>
      <c r="L40" s="378" t="s">
        <v>37</v>
      </c>
      <c r="M40" s="374">
        <v>2000</v>
      </c>
    </row>
    <row r="41" spans="1:68" s="137" customFormat="1" ht="18" customHeight="1">
      <c r="A41" s="55"/>
      <c r="B41" s="57"/>
      <c r="C41" s="65"/>
      <c r="D41" s="358"/>
      <c r="E41" s="65"/>
      <c r="F41" s="56"/>
      <c r="G41" s="205" t="s">
        <v>303</v>
      </c>
      <c r="H41" s="206">
        <f>M41</f>
        <v>5040</v>
      </c>
      <c r="I41" s="206">
        <v>5040</v>
      </c>
      <c r="J41" s="207">
        <f>H41-I41</f>
        <v>0</v>
      </c>
      <c r="K41" s="386" t="s">
        <v>304</v>
      </c>
      <c r="L41" s="521"/>
      <c r="M41" s="388">
        <f>SUM(M42)</f>
        <v>5040</v>
      </c>
      <c r="N41" s="576"/>
    </row>
    <row r="42" spans="1:68" s="137" customFormat="1" ht="18" customHeight="1">
      <c r="A42" s="63"/>
      <c r="B42" s="65"/>
      <c r="C42" s="65"/>
      <c r="D42" s="358"/>
      <c r="E42" s="65"/>
      <c r="F42" s="56"/>
      <c r="G42" s="56"/>
      <c r="H42" s="100"/>
      <c r="I42" s="100"/>
      <c r="J42" s="102"/>
      <c r="K42" s="380" t="s">
        <v>576</v>
      </c>
      <c r="L42" s="373" t="s">
        <v>37</v>
      </c>
      <c r="M42" s="374">
        <v>5040</v>
      </c>
      <c r="N42" s="576"/>
    </row>
    <row r="43" spans="1:68">
      <c r="A43" s="63"/>
      <c r="B43" s="65"/>
      <c r="C43" s="65"/>
      <c r="D43" s="65"/>
      <c r="E43" s="65"/>
      <c r="F43" s="702" t="s">
        <v>40</v>
      </c>
      <c r="G43" s="703"/>
      <c r="H43" s="151">
        <f>H44</f>
        <v>9000</v>
      </c>
      <c r="I43" s="151">
        <v>9000</v>
      </c>
      <c r="J43" s="152">
        <f>H43-I43</f>
        <v>0</v>
      </c>
      <c r="K43" s="587"/>
      <c r="L43" s="588"/>
      <c r="M43" s="385"/>
    </row>
    <row r="44" spans="1:68">
      <c r="A44" s="63"/>
      <c r="B44" s="65"/>
      <c r="C44" s="65"/>
      <c r="D44" s="65"/>
      <c r="E44" s="65"/>
      <c r="F44" s="109"/>
      <c r="G44" s="198" t="s">
        <v>41</v>
      </c>
      <c r="H44" s="209">
        <f>M44</f>
        <v>9000</v>
      </c>
      <c r="I44" s="206">
        <v>9000</v>
      </c>
      <c r="J44" s="201">
        <f>H44-I44</f>
        <v>0</v>
      </c>
      <c r="K44" s="386" t="s">
        <v>50</v>
      </c>
      <c r="L44" s="417"/>
      <c r="M44" s="388">
        <f>SUM(M45:M46)</f>
        <v>9000</v>
      </c>
    </row>
    <row r="45" spans="1:68" s="137" customFormat="1" ht="18" customHeight="1">
      <c r="A45" s="63"/>
      <c r="B45" s="65"/>
      <c r="C45" s="65"/>
      <c r="D45" s="65"/>
      <c r="E45" s="65"/>
      <c r="F45" s="193"/>
      <c r="G45" s="193"/>
      <c r="H45" s="100"/>
      <c r="I45" s="104"/>
      <c r="J45" s="102"/>
      <c r="K45" s="382" t="s">
        <v>674</v>
      </c>
      <c r="L45" s="418" t="s">
        <v>0</v>
      </c>
      <c r="M45" s="374">
        <v>2400</v>
      </c>
      <c r="N45" s="576"/>
      <c r="O45"/>
      <c r="P45"/>
      <c r="Q45"/>
      <c r="R45" s="101"/>
      <c r="U45" s="54"/>
      <c r="V45" s="59"/>
      <c r="W45" s="59"/>
      <c r="X45" s="59"/>
      <c r="Y45" s="59"/>
      <c r="Z45" s="59"/>
      <c r="AA45" s="59"/>
      <c r="AB45" s="59"/>
      <c r="AC45" s="59">
        <v>9</v>
      </c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</row>
    <row r="46" spans="1:68" s="137" customFormat="1" ht="18" customHeight="1">
      <c r="A46" s="63"/>
      <c r="B46" s="65"/>
      <c r="C46" s="65"/>
      <c r="D46" s="65"/>
      <c r="E46" s="65"/>
      <c r="F46" s="193"/>
      <c r="G46" s="193"/>
      <c r="H46" s="100"/>
      <c r="I46" s="104"/>
      <c r="J46" s="102"/>
      <c r="K46" s="380" t="s">
        <v>675</v>
      </c>
      <c r="L46" s="519" t="s">
        <v>0</v>
      </c>
      <c r="M46" s="374">
        <v>6600</v>
      </c>
      <c r="N46" s="576"/>
      <c r="O46"/>
      <c r="P46"/>
      <c r="Q46"/>
      <c r="R46" s="101"/>
    </row>
    <row r="47" spans="1:68">
      <c r="A47" s="63"/>
      <c r="B47" s="65"/>
      <c r="C47" s="65"/>
      <c r="D47" s="65"/>
      <c r="E47" s="65"/>
      <c r="F47" s="702" t="s">
        <v>42</v>
      </c>
      <c r="G47" s="703"/>
      <c r="H47" s="151">
        <f>H48</f>
        <v>3000</v>
      </c>
      <c r="I47" s="151">
        <v>3000</v>
      </c>
      <c r="J47" s="152">
        <f>H47-I47</f>
        <v>0</v>
      </c>
      <c r="K47" s="585"/>
      <c r="L47" s="415"/>
      <c r="M47" s="416"/>
    </row>
    <row r="48" spans="1:68">
      <c r="A48" s="63"/>
      <c r="B48" s="65"/>
      <c r="C48" s="65"/>
      <c r="D48" s="65"/>
      <c r="E48" s="65"/>
      <c r="F48" s="193"/>
      <c r="G48" s="109" t="s">
        <v>43</v>
      </c>
      <c r="H48" s="209">
        <f>M48</f>
        <v>3000</v>
      </c>
      <c r="I48" s="209">
        <v>3000</v>
      </c>
      <c r="J48" s="201">
        <f>H48-I48</f>
        <v>0</v>
      </c>
      <c r="K48" s="36" t="s">
        <v>503</v>
      </c>
      <c r="L48" s="208"/>
      <c r="M48" s="217">
        <f>SUM(M49:M50)</f>
        <v>3000</v>
      </c>
    </row>
    <row r="49" spans="1:13">
      <c r="A49" s="63"/>
      <c r="B49" s="65"/>
      <c r="C49" s="65"/>
      <c r="D49" s="65"/>
      <c r="E49" s="65"/>
      <c r="F49" s="193"/>
      <c r="G49" s="105"/>
      <c r="H49" s="106"/>
      <c r="I49" s="106"/>
      <c r="J49" s="107"/>
      <c r="K49" s="347" t="s">
        <v>577</v>
      </c>
      <c r="L49" s="96" t="s">
        <v>0</v>
      </c>
      <c r="M49" s="190">
        <v>1500</v>
      </c>
    </row>
    <row r="50" spans="1:13">
      <c r="A50" s="314"/>
      <c r="B50" s="315"/>
      <c r="C50" s="315"/>
      <c r="D50" s="315"/>
      <c r="E50" s="315"/>
      <c r="F50" s="194"/>
      <c r="G50" s="194"/>
      <c r="H50" s="103"/>
      <c r="I50" s="154"/>
      <c r="J50" s="154"/>
      <c r="K50" s="197" t="s">
        <v>578</v>
      </c>
      <c r="L50" s="210" t="s">
        <v>0</v>
      </c>
      <c r="M50" s="195">
        <v>1500</v>
      </c>
    </row>
    <row r="51" spans="1:13">
      <c r="A51" s="63"/>
      <c r="B51" s="65"/>
      <c r="C51" s="65"/>
      <c r="D51" s="65"/>
      <c r="E51" s="65"/>
      <c r="F51" s="330" t="s">
        <v>87</v>
      </c>
      <c r="G51" s="70"/>
      <c r="H51" s="71">
        <f>H52</f>
        <v>2100</v>
      </c>
      <c r="I51" s="71">
        <v>2100</v>
      </c>
      <c r="J51" s="145">
        <f>H51-I51</f>
        <v>0</v>
      </c>
      <c r="K51" s="271"/>
      <c r="L51" s="272"/>
      <c r="M51" s="331"/>
    </row>
    <row r="52" spans="1:13">
      <c r="A52" s="63"/>
      <c r="B52" s="65"/>
      <c r="C52" s="65"/>
      <c r="D52" s="65"/>
      <c r="E52" s="65"/>
      <c r="F52" s="142"/>
      <c r="G52" s="65" t="s">
        <v>91</v>
      </c>
      <c r="H52" s="75">
        <f>M52</f>
        <v>2100</v>
      </c>
      <c r="I52" s="75">
        <v>2100</v>
      </c>
      <c r="J52" s="48">
        <f>H52-I52</f>
        <v>0</v>
      </c>
      <c r="K52" s="36" t="s">
        <v>383</v>
      </c>
      <c r="L52" s="39"/>
      <c r="M52" s="217">
        <f>M53</f>
        <v>2100</v>
      </c>
    </row>
    <row r="53" spans="1:13" ht="17.25" thickBot="1">
      <c r="A53" s="287"/>
      <c r="B53" s="69"/>
      <c r="C53" s="69"/>
      <c r="D53" s="69"/>
      <c r="E53" s="69"/>
      <c r="F53" s="332"/>
      <c r="G53" s="199"/>
      <c r="H53" s="333"/>
      <c r="I53" s="334"/>
      <c r="J53" s="335"/>
      <c r="K53" s="230" t="s">
        <v>385</v>
      </c>
      <c r="L53" s="231" t="s">
        <v>0</v>
      </c>
      <c r="M53" s="240">
        <v>2100</v>
      </c>
    </row>
  </sheetData>
  <protectedRanges>
    <protectedRange password="ECE8" sqref="N41:U42" name="작성자만수정_2_1_1"/>
    <protectedRange password="ECE8" sqref="R45:AD46 R17:AD17 R15:AD15" name="작성자만수정_2_1_1_1"/>
  </protectedRanges>
  <autoFilter ref="A3:BP53">
    <filterColumn colId="10" showButton="0"/>
    <filterColumn colId="11" showButton="0"/>
  </autoFilter>
  <mergeCells count="11">
    <mergeCell ref="K2:M3"/>
    <mergeCell ref="A4:G4"/>
    <mergeCell ref="F43:G43"/>
    <mergeCell ref="F47:G47"/>
    <mergeCell ref="A2:A3"/>
    <mergeCell ref="B2:D2"/>
    <mergeCell ref="E2:G2"/>
    <mergeCell ref="H2:H3"/>
    <mergeCell ref="I2:I3"/>
    <mergeCell ref="J2:J3"/>
    <mergeCell ref="F13:G13"/>
  </mergeCells>
  <phoneticPr fontId="12" type="noConversion"/>
  <conditionalFormatting sqref="J50">
    <cfRule type="containsText" dxfId="1157" priority="277" operator="containsText" text="허하나로">
      <formula>NOT(ISERROR(SEARCH("허하나로",H1076)))</formula>
    </cfRule>
    <cfRule type="containsText" dxfId="1156" priority="278" operator="containsText" text="한별">
      <formula>NOT(ISERROR(SEARCH("한별",H1076)))</formula>
    </cfRule>
    <cfRule type="containsText" dxfId="1155" priority="279" operator="containsText" text="정홍조">
      <formula>NOT(ISERROR(SEARCH("정홍조",H1076)))</formula>
    </cfRule>
    <cfRule type="containsText" dxfId="1154" priority="280" operator="containsText" text="김지윤">
      <formula>NOT(ISERROR(SEARCH("김지윤",H1076)))</formula>
    </cfRule>
    <cfRule type="containsText" dxfId="1153" priority="281" operator="containsText" text="전준영">
      <formula>NOT(ISERROR(SEARCH("전준영",H1076)))</formula>
    </cfRule>
    <cfRule type="containsText" dxfId="1152" priority="282" operator="containsText" text="차재성">
      <formula>NOT(ISERROR(SEARCH("차재성",H1076)))</formula>
    </cfRule>
  </conditionalFormatting>
  <conditionalFormatting sqref="J6">
    <cfRule type="containsText" dxfId="1151" priority="289" operator="containsText" text="허하나로">
      <formula>NOT(ISERROR(SEARCH("허하나로",H712)))</formula>
    </cfRule>
    <cfRule type="containsText" dxfId="1150" priority="290" operator="containsText" text="한별">
      <formula>NOT(ISERROR(SEARCH("한별",H712)))</formula>
    </cfRule>
    <cfRule type="containsText" dxfId="1149" priority="291" operator="containsText" text="정홍조">
      <formula>NOT(ISERROR(SEARCH("정홍조",H712)))</formula>
    </cfRule>
    <cfRule type="containsText" dxfId="1148" priority="292" operator="containsText" text="김지윤">
      <formula>NOT(ISERROR(SEARCH("김지윤",H712)))</formula>
    </cfRule>
    <cfRule type="containsText" dxfId="1147" priority="293" operator="containsText" text="전준영">
      <formula>NOT(ISERROR(SEARCH("전준영",H712)))</formula>
    </cfRule>
    <cfRule type="containsText" dxfId="1146" priority="294" operator="containsText" text="차재성">
      <formula>NOT(ISERROR(SEARCH("차재성",H712)))</formula>
    </cfRule>
  </conditionalFormatting>
  <conditionalFormatting sqref="J5">
    <cfRule type="containsText" dxfId="1145" priority="283" operator="containsText" text="허하나로">
      <formula>NOT(ISERROR(SEARCH("허하나로",H711)))</formula>
    </cfRule>
    <cfRule type="containsText" dxfId="1144" priority="284" operator="containsText" text="한별">
      <formula>NOT(ISERROR(SEARCH("한별",H711)))</formula>
    </cfRule>
    <cfRule type="containsText" dxfId="1143" priority="285" operator="containsText" text="정홍조">
      <formula>NOT(ISERROR(SEARCH("정홍조",H711)))</formula>
    </cfRule>
    <cfRule type="containsText" dxfId="1142" priority="286" operator="containsText" text="김지윤">
      <formula>NOT(ISERROR(SEARCH("김지윤",H711)))</formula>
    </cfRule>
    <cfRule type="containsText" dxfId="1141" priority="287" operator="containsText" text="전준영">
      <formula>NOT(ISERROR(SEARCH("전준영",H711)))</formula>
    </cfRule>
    <cfRule type="containsText" dxfId="1140" priority="288" operator="containsText" text="차재성">
      <formula>NOT(ISERROR(SEARCH("차재성",H711)))</formula>
    </cfRule>
  </conditionalFormatting>
  <conditionalFormatting sqref="J35">
    <cfRule type="containsText" dxfId="1139" priority="271" operator="containsText" text="허하나로">
      <formula>NOT(ISERROR(SEARCH("허하나로",H845)))</formula>
    </cfRule>
    <cfRule type="containsText" dxfId="1138" priority="272" operator="containsText" text="한별">
      <formula>NOT(ISERROR(SEARCH("한별",H845)))</formula>
    </cfRule>
    <cfRule type="containsText" dxfId="1137" priority="273" operator="containsText" text="정홍조">
      <formula>NOT(ISERROR(SEARCH("정홍조",H845)))</formula>
    </cfRule>
    <cfRule type="containsText" dxfId="1136" priority="274" operator="containsText" text="김지윤">
      <formula>NOT(ISERROR(SEARCH("김지윤",H845)))</formula>
    </cfRule>
    <cfRule type="containsText" dxfId="1135" priority="275" operator="containsText" text="전준영">
      <formula>NOT(ISERROR(SEARCH("전준영",H845)))</formula>
    </cfRule>
    <cfRule type="containsText" dxfId="1134" priority="276" operator="containsText" text="차재성">
      <formula>NOT(ISERROR(SEARCH("차재성",H845)))</formula>
    </cfRule>
  </conditionalFormatting>
  <conditionalFormatting sqref="J38:J39">
    <cfRule type="containsText" dxfId="1133" priority="265" operator="containsText" text="허하나로">
      <formula>NOT(ISERROR(SEARCH("허하나로",H1053)))</formula>
    </cfRule>
    <cfRule type="containsText" dxfId="1132" priority="266" operator="containsText" text="한별">
      <formula>NOT(ISERROR(SEARCH("한별",H1053)))</formula>
    </cfRule>
    <cfRule type="containsText" dxfId="1131" priority="267" operator="containsText" text="정홍조">
      <formula>NOT(ISERROR(SEARCH("정홍조",H1053)))</formula>
    </cfRule>
    <cfRule type="containsText" dxfId="1130" priority="268" operator="containsText" text="김지윤">
      <formula>NOT(ISERROR(SEARCH("김지윤",H1053)))</formula>
    </cfRule>
    <cfRule type="containsText" dxfId="1129" priority="269" operator="containsText" text="전준영">
      <formula>NOT(ISERROR(SEARCH("전준영",H1053)))</formula>
    </cfRule>
    <cfRule type="containsText" dxfId="1128" priority="270" operator="containsText" text="차재성">
      <formula>NOT(ISERROR(SEARCH("차재성",H1053)))</formula>
    </cfRule>
  </conditionalFormatting>
  <conditionalFormatting sqref="J40">
    <cfRule type="containsText" dxfId="1127" priority="259" operator="containsText" text="허하나로">
      <formula>NOT(ISERROR(SEARCH("허하나로",H1044)))</formula>
    </cfRule>
    <cfRule type="containsText" dxfId="1126" priority="260" operator="containsText" text="한별">
      <formula>NOT(ISERROR(SEARCH("한별",H1044)))</formula>
    </cfRule>
    <cfRule type="containsText" dxfId="1125" priority="261" operator="containsText" text="정홍조">
      <formula>NOT(ISERROR(SEARCH("정홍조",H1044)))</formula>
    </cfRule>
    <cfRule type="containsText" dxfId="1124" priority="262" operator="containsText" text="김지윤">
      <formula>NOT(ISERROR(SEARCH("김지윤",H1044)))</formula>
    </cfRule>
    <cfRule type="containsText" dxfId="1123" priority="263" operator="containsText" text="전준영">
      <formula>NOT(ISERROR(SEARCH("전준영",H1044)))</formula>
    </cfRule>
    <cfRule type="containsText" dxfId="1122" priority="264" operator="containsText" text="차재성">
      <formula>NOT(ISERROR(SEARCH("차재성",H1044)))</formula>
    </cfRule>
  </conditionalFormatting>
  <conditionalFormatting sqref="J37">
    <cfRule type="containsText" dxfId="1121" priority="313" operator="containsText" text="허하나로">
      <formula>NOT(ISERROR(SEARCH("허하나로",H1042)))</formula>
    </cfRule>
    <cfRule type="containsText" dxfId="1120" priority="314" operator="containsText" text="한별">
      <formula>NOT(ISERROR(SEARCH("한별",H1042)))</formula>
    </cfRule>
    <cfRule type="containsText" dxfId="1119" priority="315" operator="containsText" text="정홍조">
      <formula>NOT(ISERROR(SEARCH("정홍조",H1042)))</formula>
    </cfRule>
    <cfRule type="containsText" dxfId="1118" priority="316" operator="containsText" text="김지윤">
      <formula>NOT(ISERROR(SEARCH("김지윤",H1042)))</formula>
    </cfRule>
    <cfRule type="containsText" dxfId="1117" priority="317" operator="containsText" text="전준영">
      <formula>NOT(ISERROR(SEARCH("전준영",H1042)))</formula>
    </cfRule>
    <cfRule type="containsText" dxfId="1116" priority="318" operator="containsText" text="차재성">
      <formula>NOT(ISERROR(SEARCH("차재성",H1042)))</formula>
    </cfRule>
  </conditionalFormatting>
  <conditionalFormatting sqref="J47">
    <cfRule type="containsText" dxfId="1115" priority="253" operator="containsText" text="허하나로">
      <formula>NOT(ISERROR(SEARCH("허하나로",H1059)))</formula>
    </cfRule>
    <cfRule type="containsText" dxfId="1114" priority="254" operator="containsText" text="한별">
      <formula>NOT(ISERROR(SEARCH("한별",H1059)))</formula>
    </cfRule>
    <cfRule type="containsText" dxfId="1113" priority="255" operator="containsText" text="정홍조">
      <formula>NOT(ISERROR(SEARCH("정홍조",H1059)))</formula>
    </cfRule>
    <cfRule type="containsText" dxfId="1112" priority="256" operator="containsText" text="김지윤">
      <formula>NOT(ISERROR(SEARCH("김지윤",H1059)))</formula>
    </cfRule>
    <cfRule type="containsText" dxfId="1111" priority="257" operator="containsText" text="전준영">
      <formula>NOT(ISERROR(SEARCH("전준영",H1059)))</formula>
    </cfRule>
    <cfRule type="containsText" dxfId="1110" priority="258" operator="containsText" text="차재성">
      <formula>NOT(ISERROR(SEARCH("차재성",H1059)))</formula>
    </cfRule>
  </conditionalFormatting>
  <conditionalFormatting sqref="L44">
    <cfRule type="containsText" dxfId="1109" priority="247" operator="containsText" text="허하나로">
      <formula>NOT(ISERROR(SEARCH("허하나로",J1190)))</formula>
    </cfRule>
    <cfRule type="containsText" dxfId="1108" priority="248" operator="containsText" text="한별">
      <formula>NOT(ISERROR(SEARCH("한별",J1190)))</formula>
    </cfRule>
    <cfRule type="containsText" dxfId="1107" priority="249" operator="containsText" text="정홍조">
      <formula>NOT(ISERROR(SEARCH("정홍조",J1190)))</formula>
    </cfRule>
    <cfRule type="containsText" dxfId="1106" priority="250" operator="containsText" text="김지윤">
      <formula>NOT(ISERROR(SEARCH("김지윤",J1190)))</formula>
    </cfRule>
    <cfRule type="containsText" dxfId="1105" priority="251" operator="containsText" text="전준영">
      <formula>NOT(ISERROR(SEARCH("전준영",J1190)))</formula>
    </cfRule>
    <cfRule type="containsText" dxfId="1104" priority="252" operator="containsText" text="차재성">
      <formula>NOT(ISERROR(SEARCH("차재성",J1190)))</formula>
    </cfRule>
  </conditionalFormatting>
  <conditionalFormatting sqref="I50">
    <cfRule type="containsText" dxfId="1103" priority="241" operator="containsText" text="허하나로">
      <formula>NOT(ISERROR(SEARCH("허하나로",G1076)))</formula>
    </cfRule>
    <cfRule type="containsText" dxfId="1102" priority="242" operator="containsText" text="한별">
      <formula>NOT(ISERROR(SEARCH("한별",G1076)))</formula>
    </cfRule>
    <cfRule type="containsText" dxfId="1101" priority="243" operator="containsText" text="정홍조">
      <formula>NOT(ISERROR(SEARCH("정홍조",G1076)))</formula>
    </cfRule>
    <cfRule type="containsText" dxfId="1100" priority="244" operator="containsText" text="김지윤">
      <formula>NOT(ISERROR(SEARCH("김지윤",G1076)))</formula>
    </cfRule>
    <cfRule type="containsText" dxfId="1099" priority="245" operator="containsText" text="전준영">
      <formula>NOT(ISERROR(SEARCH("전준영",G1076)))</formula>
    </cfRule>
    <cfRule type="containsText" dxfId="1098" priority="246" operator="containsText" text="차재성">
      <formula>NOT(ISERROR(SEARCH("차재성",G1076)))</formula>
    </cfRule>
  </conditionalFormatting>
  <conditionalFormatting sqref="J43:J44">
    <cfRule type="containsText" dxfId="1097" priority="1423" operator="containsText" text="허하나로">
      <formula>NOT(ISERROR(SEARCH("허하나로",H1055)))</formula>
    </cfRule>
    <cfRule type="containsText" dxfId="1096" priority="1424" operator="containsText" text="한별">
      <formula>NOT(ISERROR(SEARCH("한별",H1055)))</formula>
    </cfRule>
    <cfRule type="containsText" dxfId="1095" priority="1425" operator="containsText" text="정홍조">
      <formula>NOT(ISERROR(SEARCH("정홍조",H1055)))</formula>
    </cfRule>
    <cfRule type="containsText" dxfId="1094" priority="1426" operator="containsText" text="김지윤">
      <formula>NOT(ISERROR(SEARCH("김지윤",H1055)))</formula>
    </cfRule>
    <cfRule type="containsText" dxfId="1093" priority="1427" operator="containsText" text="전준영">
      <formula>NOT(ISERROR(SEARCH("전준영",H1055)))</formula>
    </cfRule>
    <cfRule type="containsText" dxfId="1092" priority="1428" operator="containsText" text="차재성">
      <formula>NOT(ISERROR(SEARCH("차재성",H1055)))</formula>
    </cfRule>
  </conditionalFormatting>
  <conditionalFormatting sqref="J48:J49">
    <cfRule type="containsText" dxfId="1091" priority="4045" operator="containsText" text="허하나로">
      <formula>NOT(ISERROR(SEARCH("허하나로",H1075)))</formula>
    </cfRule>
    <cfRule type="containsText" dxfId="1090" priority="4046" operator="containsText" text="한별">
      <formula>NOT(ISERROR(SEARCH("한별",H1075)))</formula>
    </cfRule>
    <cfRule type="containsText" dxfId="1089" priority="4047" operator="containsText" text="정홍조">
      <formula>NOT(ISERROR(SEARCH("정홍조",H1075)))</formula>
    </cfRule>
    <cfRule type="containsText" dxfId="1088" priority="4048" operator="containsText" text="김지윤">
      <formula>NOT(ISERROR(SEARCH("김지윤",H1075)))</formula>
    </cfRule>
    <cfRule type="containsText" dxfId="1087" priority="4049" operator="containsText" text="전준영">
      <formula>NOT(ISERROR(SEARCH("전준영",H1075)))</formula>
    </cfRule>
    <cfRule type="containsText" dxfId="1086" priority="4050" operator="containsText" text="차재성">
      <formula>NOT(ISERROR(SEARCH("차재성",H1075)))</formula>
    </cfRule>
  </conditionalFormatting>
  <conditionalFormatting sqref="J2:J3">
    <cfRule type="containsText" dxfId="1085" priority="85" operator="containsText" text="허하나로">
      <formula>NOT(ISERROR(SEARCH("허하나로",H784)))</formula>
    </cfRule>
    <cfRule type="containsText" dxfId="1084" priority="86" operator="containsText" text="한별">
      <formula>NOT(ISERROR(SEARCH("한별",H784)))</formula>
    </cfRule>
    <cfRule type="containsText" dxfId="1083" priority="87" operator="containsText" text="정홍조">
      <formula>NOT(ISERROR(SEARCH("정홍조",H784)))</formula>
    </cfRule>
    <cfRule type="containsText" dxfId="1082" priority="88" operator="containsText" text="김지윤">
      <formula>NOT(ISERROR(SEARCH("김지윤",H784)))</formula>
    </cfRule>
    <cfRule type="containsText" dxfId="1081" priority="89" operator="containsText" text="전준영">
      <formula>NOT(ISERROR(SEARCH("전준영",H784)))</formula>
    </cfRule>
    <cfRule type="containsText" dxfId="1080" priority="90" operator="containsText" text="차재성">
      <formula>NOT(ISERROR(SEARCH("차재성",H784)))</formula>
    </cfRule>
  </conditionalFormatting>
  <conditionalFormatting sqref="J7">
    <cfRule type="containsText" dxfId="1079" priority="73" operator="containsText" text="허하나로">
      <formula>NOT(ISERROR(SEARCH("허하나로",H837)))</formula>
    </cfRule>
    <cfRule type="containsText" dxfId="1078" priority="74" operator="containsText" text="한별">
      <formula>NOT(ISERROR(SEARCH("한별",H837)))</formula>
    </cfRule>
    <cfRule type="containsText" dxfId="1077" priority="75" operator="containsText" text="정홍조">
      <formula>NOT(ISERROR(SEARCH("정홍조",H837)))</formula>
    </cfRule>
    <cfRule type="containsText" dxfId="1076" priority="76" operator="containsText" text="김지윤">
      <formula>NOT(ISERROR(SEARCH("김지윤",H837)))</formula>
    </cfRule>
    <cfRule type="containsText" dxfId="1075" priority="77" operator="containsText" text="전준영">
      <formula>NOT(ISERROR(SEARCH("전준영",H837)))</formula>
    </cfRule>
    <cfRule type="containsText" dxfId="1074" priority="78" operator="containsText" text="차재성">
      <formula>NOT(ISERROR(SEARCH("차재성",H837)))</formula>
    </cfRule>
  </conditionalFormatting>
  <conditionalFormatting sqref="J10:J11">
    <cfRule type="containsText" dxfId="1073" priority="67" operator="containsText" text="허하나로">
      <formula>NOT(ISERROR(SEARCH("허하나로",H1045)))</formula>
    </cfRule>
    <cfRule type="containsText" dxfId="1072" priority="68" operator="containsText" text="한별">
      <formula>NOT(ISERROR(SEARCH("한별",H1045)))</formula>
    </cfRule>
    <cfRule type="containsText" dxfId="1071" priority="69" operator="containsText" text="정홍조">
      <formula>NOT(ISERROR(SEARCH("정홍조",H1045)))</formula>
    </cfRule>
    <cfRule type="containsText" dxfId="1070" priority="70" operator="containsText" text="김지윤">
      <formula>NOT(ISERROR(SEARCH("김지윤",H1045)))</formula>
    </cfRule>
    <cfRule type="containsText" dxfId="1069" priority="71" operator="containsText" text="전준영">
      <formula>NOT(ISERROR(SEARCH("전준영",H1045)))</formula>
    </cfRule>
    <cfRule type="containsText" dxfId="1068" priority="72" operator="containsText" text="차재성">
      <formula>NOT(ISERROR(SEARCH("차재성",H1045)))</formula>
    </cfRule>
  </conditionalFormatting>
  <conditionalFormatting sqref="J12">
    <cfRule type="containsText" dxfId="1067" priority="61" operator="containsText" text="허하나로">
      <formula>NOT(ISERROR(SEARCH("허하나로",H1036)))</formula>
    </cfRule>
    <cfRule type="containsText" dxfId="1066" priority="62" operator="containsText" text="한별">
      <formula>NOT(ISERROR(SEARCH("한별",H1036)))</formula>
    </cfRule>
    <cfRule type="containsText" dxfId="1065" priority="63" operator="containsText" text="정홍조">
      <formula>NOT(ISERROR(SEARCH("정홍조",H1036)))</formula>
    </cfRule>
    <cfRule type="containsText" dxfId="1064" priority="64" operator="containsText" text="김지윤">
      <formula>NOT(ISERROR(SEARCH("김지윤",H1036)))</formula>
    </cfRule>
    <cfRule type="containsText" dxfId="1063" priority="65" operator="containsText" text="전준영">
      <formula>NOT(ISERROR(SEARCH("전준영",H1036)))</formula>
    </cfRule>
    <cfRule type="containsText" dxfId="1062" priority="66" operator="containsText" text="차재성">
      <formula>NOT(ISERROR(SEARCH("차재성",H1036)))</formula>
    </cfRule>
  </conditionalFormatting>
  <conditionalFormatting sqref="J9">
    <cfRule type="containsText" dxfId="1061" priority="79" operator="containsText" text="허하나로">
      <formula>NOT(ISERROR(SEARCH("허하나로",H1034)))</formula>
    </cfRule>
    <cfRule type="containsText" dxfId="1060" priority="80" operator="containsText" text="한별">
      <formula>NOT(ISERROR(SEARCH("한별",H1034)))</formula>
    </cfRule>
    <cfRule type="containsText" dxfId="1059" priority="81" operator="containsText" text="정홍조">
      <formula>NOT(ISERROR(SEARCH("정홍조",H1034)))</formula>
    </cfRule>
    <cfRule type="containsText" dxfId="1058" priority="82" operator="containsText" text="김지윤">
      <formula>NOT(ISERROR(SEARCH("김지윤",H1034)))</formula>
    </cfRule>
    <cfRule type="containsText" dxfId="1057" priority="83" operator="containsText" text="전준영">
      <formula>NOT(ISERROR(SEARCH("전준영",H1034)))</formula>
    </cfRule>
    <cfRule type="containsText" dxfId="1056" priority="84" operator="containsText" text="차재성">
      <formula>NOT(ISERROR(SEARCH("차재성",H1034)))</formula>
    </cfRule>
  </conditionalFormatting>
  <conditionalFormatting sqref="L14">
    <cfRule type="containsText" dxfId="1055" priority="49" operator="containsText" text="허하나로">
      <formula>NOT(ISERROR(SEARCH("허하나로",J1175)))</formula>
    </cfRule>
    <cfRule type="containsText" dxfId="1054" priority="50" operator="containsText" text="한별">
      <formula>NOT(ISERROR(SEARCH("한별",J1175)))</formula>
    </cfRule>
    <cfRule type="containsText" dxfId="1053" priority="51" operator="containsText" text="정홍조">
      <formula>NOT(ISERROR(SEARCH("정홍조",J1175)))</formula>
    </cfRule>
    <cfRule type="containsText" dxfId="1052" priority="52" operator="containsText" text="김지윤">
      <formula>NOT(ISERROR(SEARCH("김지윤",J1175)))</formula>
    </cfRule>
    <cfRule type="containsText" dxfId="1051" priority="53" operator="containsText" text="전준영">
      <formula>NOT(ISERROR(SEARCH("전준영",J1175)))</formula>
    </cfRule>
    <cfRule type="containsText" dxfId="1050" priority="54" operator="containsText" text="차재성">
      <formula>NOT(ISERROR(SEARCH("차재성",J1175)))</formula>
    </cfRule>
  </conditionalFormatting>
  <conditionalFormatting sqref="J13:J14">
    <cfRule type="containsText" dxfId="1049" priority="55" operator="containsText" text="허하나로">
      <formula>NOT(ISERROR(SEARCH("허하나로",H1040)))</formula>
    </cfRule>
    <cfRule type="containsText" dxfId="1048" priority="56" operator="containsText" text="한별">
      <formula>NOT(ISERROR(SEARCH("한별",H1040)))</formula>
    </cfRule>
    <cfRule type="containsText" dxfId="1047" priority="57" operator="containsText" text="정홍조">
      <formula>NOT(ISERROR(SEARCH("정홍조",H1040)))</formula>
    </cfRule>
    <cfRule type="containsText" dxfId="1046" priority="58" operator="containsText" text="김지윤">
      <formula>NOT(ISERROR(SEARCH("김지윤",H1040)))</formula>
    </cfRule>
    <cfRule type="containsText" dxfId="1045" priority="59" operator="containsText" text="전준영">
      <formula>NOT(ISERROR(SEARCH("전준영",H1040)))</formula>
    </cfRule>
    <cfRule type="containsText" dxfId="1044" priority="60" operator="containsText" text="차재성">
      <formula>NOT(ISERROR(SEARCH("차재성",H1040)))</formula>
    </cfRule>
  </conditionalFormatting>
  <conditionalFormatting sqref="L16">
    <cfRule type="containsText" dxfId="1043" priority="25" operator="containsText" text="허하나로">
      <formula>NOT(ISERROR(SEARCH("허하나로",J1175)))</formula>
    </cfRule>
    <cfRule type="containsText" dxfId="1042" priority="26" operator="containsText" text="한별">
      <formula>NOT(ISERROR(SEARCH("한별",J1175)))</formula>
    </cfRule>
    <cfRule type="containsText" dxfId="1041" priority="27" operator="containsText" text="정홍조">
      <formula>NOT(ISERROR(SEARCH("정홍조",J1175)))</formula>
    </cfRule>
    <cfRule type="containsText" dxfId="1040" priority="28" operator="containsText" text="김지윤">
      <formula>NOT(ISERROR(SEARCH("김지윤",J1175)))</formula>
    </cfRule>
    <cfRule type="containsText" dxfId="1039" priority="29" operator="containsText" text="전준영">
      <formula>NOT(ISERROR(SEARCH("전준영",J1175)))</formula>
    </cfRule>
    <cfRule type="containsText" dxfId="1038" priority="30" operator="containsText" text="차재성">
      <formula>NOT(ISERROR(SEARCH("차재성",J1175)))</formula>
    </cfRule>
  </conditionalFormatting>
  <conditionalFormatting sqref="J16">
    <cfRule type="containsText" dxfId="1037" priority="31" operator="containsText" text="허하나로">
      <formula>NOT(ISERROR(SEARCH("허하나로",H1041)))</formula>
    </cfRule>
    <cfRule type="containsText" dxfId="1036" priority="32" operator="containsText" text="한별">
      <formula>NOT(ISERROR(SEARCH("한별",H1041)))</formula>
    </cfRule>
    <cfRule type="containsText" dxfId="1035" priority="33" operator="containsText" text="정홍조">
      <formula>NOT(ISERROR(SEARCH("정홍조",H1041)))</formula>
    </cfRule>
    <cfRule type="containsText" dxfId="1034" priority="34" operator="containsText" text="김지윤">
      <formula>NOT(ISERROR(SEARCH("김지윤",H1041)))</formula>
    </cfRule>
    <cfRule type="containsText" dxfId="1033" priority="35" operator="containsText" text="전준영">
      <formula>NOT(ISERROR(SEARCH("전준영",H1041)))</formula>
    </cfRule>
    <cfRule type="containsText" dxfId="1032" priority="36" operator="containsText" text="차재성">
      <formula>NOT(ISERROR(SEARCH("차재성",H1041)))</formula>
    </cfRule>
  </conditionalFormatting>
  <conditionalFormatting sqref="J20:J21">
    <cfRule type="containsText" dxfId="1031" priority="7" operator="containsText" text="허하나로">
      <formula>NOT(ISERROR(SEARCH("허하나로",H1047)))</formula>
    </cfRule>
    <cfRule type="containsText" dxfId="1030" priority="8" operator="containsText" text="한별">
      <formula>NOT(ISERROR(SEARCH("한별",H1047)))</formula>
    </cfRule>
    <cfRule type="containsText" dxfId="1029" priority="9" operator="containsText" text="정홍조">
      <formula>NOT(ISERROR(SEARCH("정홍조",H1047)))</formula>
    </cfRule>
    <cfRule type="containsText" dxfId="1028" priority="10" operator="containsText" text="김지윤">
      <formula>NOT(ISERROR(SEARCH("김지윤",H1047)))</formula>
    </cfRule>
    <cfRule type="containsText" dxfId="1027" priority="11" operator="containsText" text="전준영">
      <formula>NOT(ISERROR(SEARCH("전준영",H1047)))</formula>
    </cfRule>
    <cfRule type="containsText" dxfId="1026" priority="12" operator="containsText" text="차재성">
      <formula>NOT(ISERROR(SEARCH("차재성",H1047)))</formula>
    </cfRule>
  </conditionalFormatting>
  <conditionalFormatting sqref="J22">
    <cfRule type="containsText" dxfId="1025" priority="1" operator="containsText" text="허하나로">
      <formula>NOT(ISERROR(SEARCH("허하나로",H1038)))</formula>
    </cfRule>
    <cfRule type="containsText" dxfId="1024" priority="2" operator="containsText" text="한별">
      <formula>NOT(ISERROR(SEARCH("한별",H1038)))</formula>
    </cfRule>
    <cfRule type="containsText" dxfId="1023" priority="3" operator="containsText" text="정홍조">
      <formula>NOT(ISERROR(SEARCH("정홍조",H1038)))</formula>
    </cfRule>
    <cfRule type="containsText" dxfId="1022" priority="4" operator="containsText" text="김지윤">
      <formula>NOT(ISERROR(SEARCH("김지윤",H1038)))</formula>
    </cfRule>
    <cfRule type="containsText" dxfId="1021" priority="5" operator="containsText" text="전준영">
      <formula>NOT(ISERROR(SEARCH("전준영",H1038)))</formula>
    </cfRule>
    <cfRule type="containsText" dxfId="1020" priority="6" operator="containsText" text="차재성">
      <formula>NOT(ISERROR(SEARCH("차재성",H1038)))</formula>
    </cfRule>
  </conditionalFormatting>
  <conditionalFormatting sqref="J19">
    <cfRule type="containsText" dxfId="1019" priority="19" operator="containsText" text="허하나로">
      <formula>NOT(ISERROR(SEARCH("허하나로",H1036)))</formula>
    </cfRule>
    <cfRule type="containsText" dxfId="1018" priority="20" operator="containsText" text="한별">
      <formula>NOT(ISERROR(SEARCH("한별",H1036)))</formula>
    </cfRule>
    <cfRule type="containsText" dxfId="1017" priority="21" operator="containsText" text="정홍조">
      <formula>NOT(ISERROR(SEARCH("정홍조",H1036)))</formula>
    </cfRule>
    <cfRule type="containsText" dxfId="1016" priority="22" operator="containsText" text="김지윤">
      <formula>NOT(ISERROR(SEARCH("김지윤",H1036)))</formula>
    </cfRule>
    <cfRule type="containsText" dxfId="1015" priority="23" operator="containsText" text="전준영">
      <formula>NOT(ISERROR(SEARCH("전준영",H1036)))</formula>
    </cfRule>
    <cfRule type="containsText" dxfId="1014" priority="24" operator="containsText" text="차재성">
      <formula>NOT(ISERROR(SEARCH("차재성",H1036)))</formula>
    </cfRule>
  </conditionalFormatting>
  <pageMargins left="0.25" right="0.25" top="0.75" bottom="0.75" header="0.3" footer="0.3"/>
  <pageSetup paperSize="9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" operator="containsText" text="허하나로" id="{1494A34C-D8A3-4A8C-912C-87C4FAE6F4D6}">
            <xm:f>NOT(ISERROR(SEARCH("허하나로",수익사업부!H1084)))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34" operator="containsText" text="한별" id="{9A05B581-3CB0-40FA-A3D0-8C32539C02F3}">
            <xm:f>NOT(ISERROR(SEARCH("한별",수익사업부!H1084)))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35" operator="containsText" text="정홍조" id="{5CB65F46-528F-4FA5-9C17-1E1ECFAA8C5D}">
            <xm:f>NOT(ISERROR(SEARCH("정홍조",수익사업부!H1084)))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6" operator="containsText" text="김지윤" id="{37AD3EC3-7B9F-49D6-8946-4D398A5481FD}">
            <xm:f>NOT(ISERROR(SEARCH("김지윤",수익사업부!H1084)))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7" operator="containsText" text="전준영" id="{5BB14AEF-6986-4F7A-A602-93F94736D366}">
            <xm:f>NOT(ISERROR(SEARCH("전준영",수익사업부!H1084)))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8" operator="containsText" text="차재성" id="{6C58C232-8A4D-477E-A03B-63ABFEA63310}">
            <xm:f>NOT(ISERROR(SEARCH("차재성",수익사업부!H1084)))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J41:J42</xm:sqref>
        </x14:conditionalFormatting>
        <x14:conditionalFormatting xmlns:xm="http://schemas.microsoft.com/office/excel/2006/main">
          <x14:cfRule type="containsText" priority="127" operator="containsText" text="허하나로" id="{45A443E8-C4D8-4C0E-B9C6-937C0ABE67BC}">
            <xm:f>NOT(ISERROR(SEARCH("허하나로",행정관리부!H1102)))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8" operator="containsText" text="한별" id="{6B29D7AA-BD7B-404B-B384-4E108E74B95E}">
            <xm:f>NOT(ISERROR(SEARCH("한별",행정관리부!H1102)))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9" operator="containsText" text="정홍조" id="{E8F7FE3E-F176-4BB0-B382-DEB0465BE734}">
            <xm:f>NOT(ISERROR(SEARCH("정홍조",행정관리부!H1102)))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0" operator="containsText" text="김지윤" id="{CA469AEE-8E90-4132-9921-9DF657DF5252}">
            <xm:f>NOT(ISERROR(SEARCH("김지윤",행정관리부!H1102)))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1" operator="containsText" text="전준영" id="{1334EC84-C5B8-47A1-AC4E-426C4FED141E}">
            <xm:f>NOT(ISERROR(SEARCH("전준영",행정관리부!H1102)))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2" operator="containsText" text="차재성" id="{F502BF71-523A-4F2B-A23D-5E33A84B616B}">
            <xm:f>NOT(ISERROR(SEARCH("차재성",행정관리부!H1102)))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121" operator="containsText" text="허하나로" id="{683107EB-0B48-410E-BE87-36193006F129}">
            <xm:f>NOT(ISERROR(SEARCH("허하나로",행정관리부!H1158)))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FF49DDE7-374E-488B-AA43-A31F7AECA83B}">
            <xm:f>NOT(ISERROR(SEARCH("한별",행정관리부!H1158)))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4E23FB7A-C7E6-4FC1-BE14-6D722D9FA143}">
            <xm:f>NOT(ISERROR(SEARCH("정홍조",행정관리부!H1158)))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DE2B97C3-6AAE-4706-A105-7CEAFC0529CB}">
            <xm:f>NOT(ISERROR(SEARCH("김지윤",행정관리부!H1158)))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CC69DB47-5128-4DC0-932E-29D124CDF9A6}">
            <xm:f>NOT(ISERROR(SEARCH("전준영",행정관리부!H1158)))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AE3ACC82-37D8-41F2-8D5E-53099CE05503}">
            <xm:f>NOT(ISERROR(SEARCH("차재성",행정관리부!H1158)))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J51:J52</xm:sqref>
        </x14:conditionalFormatting>
        <x14:conditionalFormatting xmlns:xm="http://schemas.microsoft.com/office/excel/2006/main">
          <x14:cfRule type="containsText" priority="109" operator="containsText" text="허하나로" id="{5F8876F6-6D44-4F20-9C56-05284E2F0DA9}">
            <xm:f>NOT(ISERROR(SEARCH("허하나로",수익사업부!H1095)))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28E3B3F1-39ED-4490-BD5E-795907F76909}">
            <xm:f>NOT(ISERROR(SEARCH("한별",수익사업부!H1095)))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F2B1C16F-AC01-47A8-B3A3-25918990979B}">
            <xm:f>NOT(ISERROR(SEARCH("정홍조",수익사업부!H1095)))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C9F8655-497D-436E-9A66-1092FDFD16A7}">
            <xm:f>NOT(ISERROR(SEARCH("김지윤",수익사업부!H1095)))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8C357196-AB86-4B1B-9B9B-EB10841D3BE8}">
            <xm:f>NOT(ISERROR(SEARCH("전준영",수익사업부!H1095)))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1F84DB7C-7797-4DF7-B703-0DACB1D12B0E}">
            <xm:f>NOT(ISERROR(SEARCH("차재성",수익사업부!H1095)))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37" operator="containsText" text="허하나로" id="{A65A90C3-2390-47FC-8B35-706DCFEF541A}">
            <xm:f>NOT(ISERROR(SEARCH("허하나로",수익사업부!H1080)))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BF74BB58-4DB3-46CC-B3BA-C13A4671CFD6}">
            <xm:f>NOT(ISERROR(SEARCH("한별",수익사업부!H1080)))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46C9588D-EDCB-4A6C-9D19-EEF31AF476E0}">
            <xm:f>NOT(ISERROR(SEARCH("정홍조",수익사업부!H1080)))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218A9970-B3A2-473C-95F5-59FFE67449EA}">
            <xm:f>NOT(ISERROR(SEARCH("김지윤",수익사업부!H1080)))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E3216A6A-E8AF-48B5-B908-7EB01C3F68DC}">
            <xm:f>NOT(ISERROR(SEARCH("전준영",수익사업부!H1080)))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E059051F-1A91-4E36-9B1F-959D217B00D0}">
            <xm:f>NOT(ISERROR(SEARCH("차재성",수익사업부!H1080)))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4639" operator="containsText" text="허하나로" id="{5F8876F6-6D44-4F20-9C56-05284E2F0DA9}">
            <xm:f>NOT(ISERROR(SEARCH("허하나로",수익사업부!H1080)))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640" operator="containsText" text="한별" id="{28E3B3F1-39ED-4490-BD5E-795907F76909}">
            <xm:f>NOT(ISERROR(SEARCH("한별",수익사업부!H1080)))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641" operator="containsText" text="정홍조" id="{F2B1C16F-AC01-47A8-B3A3-25918990979B}">
            <xm:f>NOT(ISERROR(SEARCH("정홍조",수익사업부!H1080)))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42" operator="containsText" text="김지윤" id="{3C9F8655-497D-436E-9A66-1092FDFD16A7}">
            <xm:f>NOT(ISERROR(SEARCH("김지윤",수익사업부!H1080)))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643" operator="containsText" text="전준영" id="{8C357196-AB86-4B1B-9B9B-EB10841D3BE8}">
            <xm:f>NOT(ISERROR(SEARCH("전준영",수익사업부!H1080)))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644" operator="containsText" text="차재성" id="{1F84DB7C-7797-4DF7-B703-0DACB1D12B0E}">
            <xm:f>NOT(ISERROR(SEARCH("차재성",수익사업부!H1080)))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O66"/>
  <sheetViews>
    <sheetView topLeftCell="A4" zoomScale="85" zoomScaleNormal="85" workbookViewId="0">
      <selection activeCell="G12" sqref="G1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9.125" customWidth="1"/>
    <col min="10" max="10" width="14.625" customWidth="1"/>
    <col min="11" max="11" width="60.625" customWidth="1"/>
    <col min="12" max="12" width="3.875" customWidth="1"/>
    <col min="13" max="13" width="10.25" bestFit="1" customWidth="1"/>
    <col min="14" max="14" width="9" style="576"/>
  </cols>
  <sheetData>
    <row r="1" spans="1:14" ht="17.25" thickBot="1">
      <c r="A1" s="88" t="s">
        <v>342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343</v>
      </c>
    </row>
    <row r="2" spans="1:14" ht="17.25" customHeight="1">
      <c r="A2" s="704" t="s">
        <v>344</v>
      </c>
      <c r="B2" s="706" t="s">
        <v>345</v>
      </c>
      <c r="C2" s="707"/>
      <c r="D2" s="708"/>
      <c r="E2" s="706" t="s">
        <v>346</v>
      </c>
      <c r="F2" s="707"/>
      <c r="G2" s="708"/>
      <c r="H2" s="682" t="s">
        <v>704</v>
      </c>
      <c r="I2" s="682" t="s">
        <v>896</v>
      </c>
      <c r="J2" s="709" t="s">
        <v>463</v>
      </c>
      <c r="K2" s="693" t="s">
        <v>1</v>
      </c>
      <c r="L2" s="694"/>
      <c r="M2" s="695"/>
    </row>
    <row r="3" spans="1:14" ht="17.25" thickBot="1">
      <c r="A3" s="705"/>
      <c r="B3" s="119" t="s">
        <v>449</v>
      </c>
      <c r="C3" s="119" t="s">
        <v>347</v>
      </c>
      <c r="D3" s="119" t="s">
        <v>348</v>
      </c>
      <c r="E3" s="119" t="s">
        <v>349</v>
      </c>
      <c r="F3" s="119" t="s">
        <v>350</v>
      </c>
      <c r="G3" s="119" t="s">
        <v>351</v>
      </c>
      <c r="H3" s="683"/>
      <c r="I3" s="683"/>
      <c r="J3" s="710"/>
      <c r="K3" s="696"/>
      <c r="L3" s="697"/>
      <c r="M3" s="698"/>
    </row>
    <row r="4" spans="1:14" ht="17.25" thickBot="1">
      <c r="A4" s="699" t="s">
        <v>352</v>
      </c>
      <c r="B4" s="700"/>
      <c r="C4" s="700"/>
      <c r="D4" s="700"/>
      <c r="E4" s="700"/>
      <c r="F4" s="700"/>
      <c r="G4" s="701"/>
      <c r="H4" s="184">
        <f>H5</f>
        <v>5129112</v>
      </c>
      <c r="I4" s="184">
        <v>5129112</v>
      </c>
      <c r="J4" s="120">
        <f>H4-I4</f>
        <v>0</v>
      </c>
      <c r="K4" s="89"/>
      <c r="L4" s="90"/>
      <c r="M4" s="121"/>
    </row>
    <row r="5" spans="1:14">
      <c r="A5" s="204" t="s">
        <v>353</v>
      </c>
      <c r="B5" s="122"/>
      <c r="C5" s="123"/>
      <c r="D5" s="123"/>
      <c r="E5" s="123"/>
      <c r="F5" s="123"/>
      <c r="G5" s="124"/>
      <c r="H5" s="94">
        <f>H6</f>
        <v>5129112</v>
      </c>
      <c r="I5" s="94">
        <v>5129112</v>
      </c>
      <c r="J5" s="95">
        <f>H5-I5</f>
        <v>0</v>
      </c>
      <c r="K5" s="647"/>
      <c r="L5" s="564"/>
      <c r="M5" s="565"/>
    </row>
    <row r="6" spans="1:14">
      <c r="A6" s="10"/>
      <c r="B6" s="129" t="s">
        <v>255</v>
      </c>
      <c r="C6" s="129"/>
      <c r="D6" s="130"/>
      <c r="E6" s="130"/>
      <c r="F6" s="130"/>
      <c r="G6" s="131"/>
      <c r="H6" s="94">
        <f>SUM(H7,H14,H38)</f>
        <v>5129112</v>
      </c>
      <c r="I6" s="94">
        <v>5129112</v>
      </c>
      <c r="J6" s="95">
        <f>H6-I6</f>
        <v>0</v>
      </c>
      <c r="K6" s="648"/>
      <c r="L6" s="79"/>
      <c r="M6" s="80"/>
    </row>
    <row r="7" spans="1:14">
      <c r="A7" s="10"/>
      <c r="B7" s="6"/>
      <c r="C7" s="178" t="s">
        <v>354</v>
      </c>
      <c r="D7" s="130"/>
      <c r="E7" s="130"/>
      <c r="F7" s="130"/>
      <c r="G7" s="131"/>
      <c r="H7" s="94">
        <f>H8</f>
        <v>745000</v>
      </c>
      <c r="I7" s="94">
        <v>745000</v>
      </c>
      <c r="J7" s="95">
        <f t="shared" ref="J7:J17" si="0">H7-I7</f>
        <v>0</v>
      </c>
      <c r="K7" s="648"/>
      <c r="L7" s="79"/>
      <c r="M7" s="80"/>
    </row>
    <row r="8" spans="1:14">
      <c r="A8" s="10"/>
      <c r="B8" s="6"/>
      <c r="C8" s="7"/>
      <c r="D8" s="129" t="s">
        <v>889</v>
      </c>
      <c r="E8" s="130"/>
      <c r="F8" s="130"/>
      <c r="G8" s="131"/>
      <c r="H8" s="132">
        <f>SUM(H9)</f>
        <v>745000</v>
      </c>
      <c r="I8" s="132">
        <v>745000</v>
      </c>
      <c r="J8" s="95">
        <f t="shared" ref="J8:J10" si="1">H8-I8</f>
        <v>0</v>
      </c>
      <c r="K8" s="649"/>
      <c r="L8" s="133"/>
      <c r="M8" s="80"/>
      <c r="N8" s="657"/>
    </row>
    <row r="9" spans="1:14">
      <c r="A9" s="10"/>
      <c r="B9" s="6"/>
      <c r="C9" s="134"/>
      <c r="D9" s="135"/>
      <c r="E9" s="129" t="s">
        <v>31</v>
      </c>
      <c r="F9" s="130"/>
      <c r="G9" s="131"/>
      <c r="H9" s="91">
        <f>H10</f>
        <v>745000</v>
      </c>
      <c r="I9" s="91">
        <v>745000</v>
      </c>
      <c r="J9" s="95">
        <f t="shared" si="1"/>
        <v>0</v>
      </c>
      <c r="K9" s="650"/>
      <c r="L9" s="93"/>
      <c r="M9" s="82"/>
      <c r="N9" s="657"/>
    </row>
    <row r="10" spans="1:14">
      <c r="A10" s="63"/>
      <c r="B10" s="65"/>
      <c r="C10" s="185"/>
      <c r="D10" s="186"/>
      <c r="E10" s="187"/>
      <c r="F10" s="136" t="s">
        <v>35</v>
      </c>
      <c r="G10" s="188"/>
      <c r="H10" s="72">
        <f>SUM(H11)</f>
        <v>745000</v>
      </c>
      <c r="I10" s="72">
        <v>745000</v>
      </c>
      <c r="J10" s="72">
        <f t="shared" si="1"/>
        <v>0</v>
      </c>
      <c r="K10" s="556"/>
      <c r="L10" s="557"/>
      <c r="M10" s="40"/>
      <c r="N10" s="657"/>
    </row>
    <row r="11" spans="1:14">
      <c r="A11" s="63"/>
      <c r="B11" s="65"/>
      <c r="C11" s="65"/>
      <c r="D11" s="65"/>
      <c r="E11" s="65"/>
      <c r="F11" s="142"/>
      <c r="G11" s="65" t="s">
        <v>868</v>
      </c>
      <c r="H11" s="75">
        <f>M11</f>
        <v>745000</v>
      </c>
      <c r="I11" s="75">
        <v>745000</v>
      </c>
      <c r="J11" s="73">
        <f t="shared" ref="J11" si="2">H11-I11</f>
        <v>0</v>
      </c>
      <c r="K11" s="644" t="s">
        <v>871</v>
      </c>
      <c r="L11" s="378"/>
      <c r="M11" s="374">
        <f>M13</f>
        <v>745000</v>
      </c>
      <c r="N11" s="634"/>
    </row>
    <row r="12" spans="1:14">
      <c r="A12" s="63"/>
      <c r="B12" s="65"/>
      <c r="C12" s="65"/>
      <c r="D12" s="65"/>
      <c r="E12" s="65"/>
      <c r="F12" s="142"/>
      <c r="G12" s="614"/>
      <c r="H12" s="75"/>
      <c r="I12" s="75"/>
      <c r="J12" s="48"/>
      <c r="K12" s="616" t="s">
        <v>870</v>
      </c>
      <c r="L12" s="378"/>
      <c r="M12" s="374"/>
      <c r="N12" s="634"/>
    </row>
    <row r="13" spans="1:14">
      <c r="A13" s="63"/>
      <c r="B13" s="65"/>
      <c r="C13" s="65"/>
      <c r="D13" s="65"/>
      <c r="E13" s="65"/>
      <c r="F13" s="142"/>
      <c r="G13" s="67"/>
      <c r="H13" s="76"/>
      <c r="I13" s="76"/>
      <c r="J13" s="49"/>
      <c r="K13" s="558" t="s">
        <v>869</v>
      </c>
      <c r="L13" s="373" t="s">
        <v>0</v>
      </c>
      <c r="M13" s="381">
        <v>745000</v>
      </c>
      <c r="N13" s="634"/>
    </row>
    <row r="14" spans="1:14">
      <c r="A14" s="10"/>
      <c r="B14" s="6"/>
      <c r="C14" s="7"/>
      <c r="D14" s="129" t="s">
        <v>355</v>
      </c>
      <c r="E14" s="130"/>
      <c r="F14" s="130"/>
      <c r="G14" s="131"/>
      <c r="H14" s="132">
        <f>SUM(H15)</f>
        <v>4323788</v>
      </c>
      <c r="I14" s="132">
        <v>4323788</v>
      </c>
      <c r="J14" s="95">
        <f t="shared" si="0"/>
        <v>0</v>
      </c>
      <c r="K14" s="649"/>
      <c r="L14" s="133"/>
      <c r="M14" s="80"/>
    </row>
    <row r="15" spans="1:14">
      <c r="A15" s="10"/>
      <c r="B15" s="6"/>
      <c r="C15" s="134"/>
      <c r="D15" s="135"/>
      <c r="E15" s="129" t="s">
        <v>356</v>
      </c>
      <c r="F15" s="130"/>
      <c r="G15" s="131"/>
      <c r="H15" s="91">
        <f>H16</f>
        <v>4323788</v>
      </c>
      <c r="I15" s="91">
        <v>4323788</v>
      </c>
      <c r="J15" s="95">
        <f t="shared" si="0"/>
        <v>0</v>
      </c>
      <c r="K15" s="650"/>
      <c r="L15" s="93"/>
      <c r="M15" s="82"/>
    </row>
    <row r="16" spans="1:14">
      <c r="A16" s="63"/>
      <c r="B16" s="65"/>
      <c r="C16" s="185"/>
      <c r="D16" s="186"/>
      <c r="E16" s="187"/>
      <c r="F16" s="136" t="s">
        <v>60</v>
      </c>
      <c r="G16" s="188"/>
      <c r="H16" s="72">
        <f>SUM(H17,H28,H34)</f>
        <v>4323788</v>
      </c>
      <c r="I16" s="72">
        <v>4323788</v>
      </c>
      <c r="J16" s="72">
        <f t="shared" si="0"/>
        <v>0</v>
      </c>
      <c r="K16" s="556"/>
      <c r="L16" s="557"/>
      <c r="M16" s="40"/>
    </row>
    <row r="17" spans="1:14">
      <c r="A17" s="63"/>
      <c r="B17" s="65"/>
      <c r="C17" s="65"/>
      <c r="D17" s="144"/>
      <c r="E17" s="189"/>
      <c r="F17" s="189"/>
      <c r="G17" s="138" t="s">
        <v>357</v>
      </c>
      <c r="H17" s="73">
        <f>SUM(M17,M20,M24)</f>
        <v>41264</v>
      </c>
      <c r="I17" s="73">
        <v>41264</v>
      </c>
      <c r="J17" s="73">
        <f t="shared" si="0"/>
        <v>0</v>
      </c>
      <c r="K17" s="386" t="s">
        <v>47</v>
      </c>
      <c r="L17" s="412"/>
      <c r="M17" s="388">
        <f>M19</f>
        <v>40000</v>
      </c>
    </row>
    <row r="18" spans="1:14">
      <c r="A18" s="63"/>
      <c r="B18" s="65"/>
      <c r="C18" s="65"/>
      <c r="D18" s="144"/>
      <c r="E18" s="189"/>
      <c r="F18" s="189"/>
      <c r="G18" s="614"/>
      <c r="H18" s="74"/>
      <c r="I18" s="74"/>
      <c r="J18" s="74"/>
      <c r="K18" s="616" t="s">
        <v>845</v>
      </c>
      <c r="L18" s="378"/>
      <c r="M18" s="374"/>
      <c r="N18" s="635"/>
    </row>
    <row r="19" spans="1:14">
      <c r="A19" s="63"/>
      <c r="B19" s="65"/>
      <c r="C19" s="65"/>
      <c r="D19" s="144"/>
      <c r="E19" s="189"/>
      <c r="F19" s="189"/>
      <c r="G19" s="68"/>
      <c r="H19" s="74"/>
      <c r="I19" s="74"/>
      <c r="J19" s="74"/>
      <c r="K19" s="601" t="s">
        <v>883</v>
      </c>
      <c r="L19" s="378" t="s">
        <v>0</v>
      </c>
      <c r="M19" s="374">
        <v>40000</v>
      </c>
      <c r="N19" s="635"/>
    </row>
    <row r="20" spans="1:14">
      <c r="A20" s="63"/>
      <c r="B20" s="65"/>
      <c r="C20" s="65"/>
      <c r="D20" s="144"/>
      <c r="E20" s="189"/>
      <c r="F20" s="189"/>
      <c r="G20" s="68"/>
      <c r="H20" s="74"/>
      <c r="I20" s="74"/>
      <c r="J20" s="74"/>
      <c r="K20" s="356" t="s">
        <v>558</v>
      </c>
      <c r="L20" s="375"/>
      <c r="M20" s="409">
        <f>M23</f>
        <v>800</v>
      </c>
      <c r="N20" s="635"/>
    </row>
    <row r="21" spans="1:14">
      <c r="A21" s="63"/>
      <c r="B21" s="65"/>
      <c r="C21" s="65"/>
      <c r="D21" s="144"/>
      <c r="E21" s="189"/>
      <c r="F21" s="189"/>
      <c r="G21" s="68"/>
      <c r="H21" s="74"/>
      <c r="I21" s="74"/>
      <c r="J21" s="74"/>
      <c r="K21" s="382" t="s">
        <v>709</v>
      </c>
      <c r="L21" s="375" t="s">
        <v>196</v>
      </c>
      <c r="M21" s="399">
        <v>4000</v>
      </c>
    </row>
    <row r="22" spans="1:14">
      <c r="A22" s="63"/>
      <c r="B22" s="65"/>
      <c r="C22" s="65"/>
      <c r="D22" s="144"/>
      <c r="E22" s="189"/>
      <c r="F22" s="189"/>
      <c r="G22" s="614"/>
      <c r="H22" s="74"/>
      <c r="I22" s="74"/>
      <c r="J22" s="74"/>
      <c r="K22" s="673" t="s">
        <v>926</v>
      </c>
      <c r="L22" s="674"/>
      <c r="M22" s="675"/>
      <c r="N22" s="672"/>
    </row>
    <row r="23" spans="1:14">
      <c r="A23" s="63"/>
      <c r="B23" s="65"/>
      <c r="C23" s="65"/>
      <c r="D23" s="144"/>
      <c r="E23" s="189"/>
      <c r="F23" s="189"/>
      <c r="G23" s="68"/>
      <c r="H23" s="74"/>
      <c r="I23" s="74"/>
      <c r="J23" s="74"/>
      <c r="K23" s="382" t="s">
        <v>927</v>
      </c>
      <c r="L23" s="375" t="s">
        <v>928</v>
      </c>
      <c r="M23" s="399">
        <v>800</v>
      </c>
      <c r="N23" s="672"/>
    </row>
    <row r="24" spans="1:14">
      <c r="A24" s="63"/>
      <c r="B24" s="65"/>
      <c r="C24" s="65"/>
      <c r="D24" s="144"/>
      <c r="E24" s="144"/>
      <c r="F24" s="189"/>
      <c r="G24" s="68"/>
      <c r="H24" s="74"/>
      <c r="I24" s="74"/>
      <c r="J24" s="74"/>
      <c r="K24" s="356" t="s">
        <v>601</v>
      </c>
      <c r="L24" s="375"/>
      <c r="M24" s="409">
        <f>M27</f>
        <v>464</v>
      </c>
    </row>
    <row r="25" spans="1:14">
      <c r="A25" s="63"/>
      <c r="B25" s="65"/>
      <c r="C25" s="65"/>
      <c r="D25" s="144"/>
      <c r="E25" s="144"/>
      <c r="F25" s="189"/>
      <c r="G25" s="65"/>
      <c r="H25" s="74"/>
      <c r="I25" s="74"/>
      <c r="J25" s="74"/>
      <c r="K25" s="382" t="s">
        <v>710</v>
      </c>
      <c r="L25" s="375" t="s">
        <v>196</v>
      </c>
      <c r="M25" s="399">
        <v>1000</v>
      </c>
    </row>
    <row r="26" spans="1:14">
      <c r="A26" s="63"/>
      <c r="B26" s="65"/>
      <c r="C26" s="65"/>
      <c r="D26" s="144"/>
      <c r="E26" s="144"/>
      <c r="F26" s="144"/>
      <c r="G26" s="614"/>
      <c r="H26" s="74"/>
      <c r="I26" s="74"/>
      <c r="J26" s="74"/>
      <c r="K26" s="673" t="s">
        <v>925</v>
      </c>
      <c r="L26" s="674"/>
      <c r="M26" s="675"/>
      <c r="N26" s="672"/>
    </row>
    <row r="27" spans="1:14">
      <c r="A27" s="63"/>
      <c r="B27" s="65"/>
      <c r="C27" s="65"/>
      <c r="D27" s="144"/>
      <c r="E27" s="144"/>
      <c r="F27" s="144"/>
      <c r="G27" s="67"/>
      <c r="H27" s="71"/>
      <c r="I27" s="71"/>
      <c r="J27" s="71"/>
      <c r="K27" s="380" t="s">
        <v>929</v>
      </c>
      <c r="L27" s="377" t="s">
        <v>37</v>
      </c>
      <c r="M27" s="395">
        <v>464</v>
      </c>
      <c r="N27" s="672"/>
    </row>
    <row r="28" spans="1:14">
      <c r="A28" s="63"/>
      <c r="B28" s="65"/>
      <c r="C28" s="65"/>
      <c r="D28" s="65"/>
      <c r="E28" s="65"/>
      <c r="F28" s="142"/>
      <c r="G28" s="65" t="s">
        <v>63</v>
      </c>
      <c r="H28" s="75">
        <f>M28</f>
        <v>4282524</v>
      </c>
      <c r="I28" s="75">
        <v>4282524</v>
      </c>
      <c r="J28" s="48">
        <f>H28-I28</f>
        <v>0</v>
      </c>
      <c r="K28" s="356" t="s">
        <v>407</v>
      </c>
      <c r="L28" s="410"/>
      <c r="M28" s="379">
        <f>M33</f>
        <v>4282524</v>
      </c>
    </row>
    <row r="29" spans="1:14">
      <c r="A29" s="63"/>
      <c r="B29" s="65"/>
      <c r="C29" s="65"/>
      <c r="D29" s="65"/>
      <c r="E29" s="65"/>
      <c r="F29" s="142"/>
      <c r="G29" s="614"/>
      <c r="H29" s="75"/>
      <c r="I29" s="75"/>
      <c r="J29" s="48"/>
      <c r="K29" s="601" t="s">
        <v>776</v>
      </c>
      <c r="L29" s="378" t="s">
        <v>0</v>
      </c>
      <c r="M29" s="374">
        <v>3628156</v>
      </c>
    </row>
    <row r="30" spans="1:14">
      <c r="A30" s="63"/>
      <c r="B30" s="65"/>
      <c r="C30" s="65"/>
      <c r="D30" s="65"/>
      <c r="E30" s="65"/>
      <c r="F30" s="142"/>
      <c r="G30" s="65"/>
      <c r="H30" s="75"/>
      <c r="I30" s="75"/>
      <c r="J30" s="48"/>
      <c r="K30" s="616" t="s">
        <v>775</v>
      </c>
      <c r="L30" s="378"/>
      <c r="M30" s="374"/>
      <c r="N30" s="603"/>
    </row>
    <row r="31" spans="1:14">
      <c r="A31" s="63"/>
      <c r="B31" s="65"/>
      <c r="C31" s="65"/>
      <c r="D31" s="65"/>
      <c r="E31" s="65"/>
      <c r="F31" s="142"/>
      <c r="G31" s="65"/>
      <c r="H31" s="75"/>
      <c r="I31" s="75"/>
      <c r="J31" s="48"/>
      <c r="K31" s="601" t="s">
        <v>838</v>
      </c>
      <c r="L31" s="378" t="s">
        <v>0</v>
      </c>
      <c r="M31" s="374">
        <v>3810156</v>
      </c>
      <c r="N31" s="603"/>
    </row>
    <row r="32" spans="1:14">
      <c r="A32" s="63"/>
      <c r="B32" s="65"/>
      <c r="C32" s="65"/>
      <c r="D32" s="65"/>
      <c r="E32" s="65"/>
      <c r="F32" s="142"/>
      <c r="G32" s="65"/>
      <c r="H32" s="75"/>
      <c r="I32" s="75"/>
      <c r="J32" s="48"/>
      <c r="K32" s="616" t="s">
        <v>847</v>
      </c>
      <c r="L32" s="378"/>
      <c r="M32" s="374"/>
      <c r="N32" s="634"/>
    </row>
    <row r="33" spans="1:15">
      <c r="A33" s="63"/>
      <c r="B33" s="65"/>
      <c r="C33" s="65"/>
      <c r="D33" s="65"/>
      <c r="E33" s="65"/>
      <c r="F33" s="142"/>
      <c r="G33" s="67"/>
      <c r="H33" s="76"/>
      <c r="I33" s="76"/>
      <c r="J33" s="49"/>
      <c r="K33" s="558" t="s">
        <v>884</v>
      </c>
      <c r="L33" s="373" t="s">
        <v>0</v>
      </c>
      <c r="M33" s="381">
        <v>4282524</v>
      </c>
      <c r="N33" s="634"/>
    </row>
    <row r="34" spans="1:15">
      <c r="A34" s="63"/>
      <c r="B34" s="65"/>
      <c r="C34" s="65"/>
      <c r="D34" s="65"/>
      <c r="E34" s="65"/>
      <c r="F34" s="142"/>
      <c r="G34" s="65" t="s">
        <v>359</v>
      </c>
      <c r="H34" s="75">
        <f>M34</f>
        <v>0</v>
      </c>
      <c r="I34" s="75">
        <v>0</v>
      </c>
      <c r="J34" s="48">
        <f>H34-I34</f>
        <v>0</v>
      </c>
      <c r="K34" s="356" t="s">
        <v>360</v>
      </c>
      <c r="L34" s="410"/>
      <c r="M34" s="379">
        <f>M37</f>
        <v>0</v>
      </c>
    </row>
    <row r="35" spans="1:15">
      <c r="A35" s="63"/>
      <c r="B35" s="65"/>
      <c r="C35" s="65"/>
      <c r="D35" s="65"/>
      <c r="E35" s="65"/>
      <c r="F35" s="142"/>
      <c r="G35" s="65"/>
      <c r="H35" s="75"/>
      <c r="I35" s="75"/>
      <c r="J35" s="48"/>
      <c r="K35" s="382" t="s">
        <v>706</v>
      </c>
      <c r="L35" s="378" t="s">
        <v>0</v>
      </c>
      <c r="M35" s="374">
        <v>2000</v>
      </c>
    </row>
    <row r="36" spans="1:15">
      <c r="A36" s="63"/>
      <c r="B36" s="65"/>
      <c r="C36" s="65"/>
      <c r="D36" s="144"/>
      <c r="E36" s="189"/>
      <c r="F36" s="144"/>
      <c r="G36" s="614"/>
      <c r="H36" s="74"/>
      <c r="I36" s="74"/>
      <c r="J36" s="74"/>
      <c r="K36" s="673" t="s">
        <v>930</v>
      </c>
      <c r="L36" s="674"/>
      <c r="M36" s="675"/>
      <c r="N36" s="672"/>
    </row>
    <row r="37" spans="1:15">
      <c r="A37" s="63"/>
      <c r="B37" s="65"/>
      <c r="C37" s="65"/>
      <c r="D37" s="65"/>
      <c r="E37" s="65"/>
      <c r="F37" s="330"/>
      <c r="G37" s="67"/>
      <c r="H37" s="76"/>
      <c r="I37" s="76"/>
      <c r="J37" s="49"/>
      <c r="K37" s="380" t="s">
        <v>931</v>
      </c>
      <c r="L37" s="373" t="s">
        <v>0</v>
      </c>
      <c r="M37" s="381">
        <v>0</v>
      </c>
      <c r="N37" s="672"/>
    </row>
    <row r="38" spans="1:15">
      <c r="A38" s="10"/>
      <c r="B38" s="6"/>
      <c r="C38" s="178" t="s">
        <v>361</v>
      </c>
      <c r="D38" s="130"/>
      <c r="E38" s="130"/>
      <c r="F38" s="130"/>
      <c r="G38" s="131"/>
      <c r="H38" s="91">
        <f>H39</f>
        <v>60324</v>
      </c>
      <c r="I38" s="91">
        <v>60324</v>
      </c>
      <c r="J38" s="92">
        <f t="shared" ref="J38:J42" si="3">H38-I38</f>
        <v>0</v>
      </c>
      <c r="K38" s="396"/>
      <c r="L38" s="390"/>
      <c r="M38" s="397"/>
    </row>
    <row r="39" spans="1:15">
      <c r="A39" s="10"/>
      <c r="B39" s="6"/>
      <c r="C39" s="146"/>
      <c r="D39" s="129" t="s">
        <v>362</v>
      </c>
      <c r="E39" s="130"/>
      <c r="F39" s="130"/>
      <c r="G39" s="131"/>
      <c r="H39" s="132">
        <f>H40</f>
        <v>60324</v>
      </c>
      <c r="I39" s="132">
        <v>60324</v>
      </c>
      <c r="J39" s="9">
        <f t="shared" si="3"/>
        <v>0</v>
      </c>
      <c r="K39" s="389"/>
      <c r="L39" s="390"/>
      <c r="M39" s="397"/>
    </row>
    <row r="40" spans="1:15" s="137" customFormat="1" ht="18" customHeight="1">
      <c r="A40" s="10"/>
      <c r="B40" s="6"/>
      <c r="C40" s="134"/>
      <c r="D40" s="135"/>
      <c r="E40" s="129" t="s">
        <v>356</v>
      </c>
      <c r="F40" s="130"/>
      <c r="G40" s="131"/>
      <c r="H40" s="91">
        <f>SUM(H41,H52,H56,H62)</f>
        <v>60324</v>
      </c>
      <c r="I40" s="91">
        <v>60324</v>
      </c>
      <c r="J40" s="92">
        <f t="shared" si="3"/>
        <v>0</v>
      </c>
      <c r="K40" s="351"/>
      <c r="L40" s="391"/>
      <c r="M40" s="392"/>
      <c r="N40" s="576"/>
    </row>
    <row r="41" spans="1:15" s="137" customFormat="1" ht="18" customHeight="1">
      <c r="A41" s="63"/>
      <c r="B41" s="65"/>
      <c r="C41" s="65"/>
      <c r="D41" s="65"/>
      <c r="E41" s="65"/>
      <c r="F41" s="136" t="s">
        <v>363</v>
      </c>
      <c r="G41" s="140"/>
      <c r="H41" s="72">
        <f>SUM(H42,H50)</f>
        <v>33664</v>
      </c>
      <c r="I41" s="72">
        <v>33664</v>
      </c>
      <c r="J41" s="98">
        <f t="shared" si="3"/>
        <v>0</v>
      </c>
      <c r="K41" s="383"/>
      <c r="L41" s="384"/>
      <c r="M41" s="398"/>
      <c r="N41" s="576"/>
    </row>
    <row r="42" spans="1:15">
      <c r="A42" s="55"/>
      <c r="B42" s="57"/>
      <c r="C42" s="65"/>
      <c r="D42" s="65"/>
      <c r="E42" s="65"/>
      <c r="F42" s="191"/>
      <c r="G42" s="205" t="s">
        <v>357</v>
      </c>
      <c r="H42" s="206">
        <f>M42</f>
        <v>26536</v>
      </c>
      <c r="I42" s="73">
        <v>26536</v>
      </c>
      <c r="J42" s="41">
        <f t="shared" si="3"/>
        <v>0</v>
      </c>
      <c r="K42" s="386" t="s">
        <v>73</v>
      </c>
      <c r="L42" s="412"/>
      <c r="M42" s="388">
        <f>SUM(M45,M47,M49)</f>
        <v>26536</v>
      </c>
    </row>
    <row r="43" spans="1:15">
      <c r="A43" s="55"/>
      <c r="B43" s="57"/>
      <c r="C43" s="65"/>
      <c r="D43" s="65"/>
      <c r="E43" s="65"/>
      <c r="F43" s="221"/>
      <c r="G43" s="56"/>
      <c r="H43" s="100"/>
      <c r="I43" s="100"/>
      <c r="J43" s="50"/>
      <c r="K43" s="382" t="s">
        <v>707</v>
      </c>
      <c r="L43" s="378" t="s">
        <v>0</v>
      </c>
      <c r="M43" s="374">
        <v>6000</v>
      </c>
    </row>
    <row r="44" spans="1:15">
      <c r="A44" s="55"/>
      <c r="B44" s="57"/>
      <c r="C44" s="65"/>
      <c r="D44" s="65"/>
      <c r="E44" s="65"/>
      <c r="F44" s="221"/>
      <c r="G44" s="56"/>
      <c r="H44" s="100"/>
      <c r="I44" s="100"/>
      <c r="J44" s="50"/>
      <c r="K44" s="382" t="s">
        <v>711</v>
      </c>
      <c r="L44" s="378" t="s">
        <v>0</v>
      </c>
      <c r="M44" s="374">
        <v>7000</v>
      </c>
      <c r="O44" s="575"/>
    </row>
    <row r="45" spans="1:15">
      <c r="A45" s="55"/>
      <c r="B45" s="57"/>
      <c r="C45" s="65"/>
      <c r="D45" s="65"/>
      <c r="E45" s="65"/>
      <c r="F45" s="221"/>
      <c r="G45" s="56"/>
      <c r="H45" s="100"/>
      <c r="I45" s="100"/>
      <c r="J45" s="50"/>
      <c r="K45" s="382" t="s">
        <v>708</v>
      </c>
      <c r="L45" s="378" t="s">
        <v>0</v>
      </c>
      <c r="M45" s="374">
        <v>5000</v>
      </c>
    </row>
    <row r="46" spans="1:15">
      <c r="A46" s="63"/>
      <c r="B46" s="65"/>
      <c r="C46" s="65"/>
      <c r="D46" s="65"/>
      <c r="E46" s="65"/>
      <c r="F46" s="142"/>
      <c r="G46" s="65"/>
      <c r="H46" s="75"/>
      <c r="I46" s="75"/>
      <c r="J46" s="48"/>
      <c r="K46" s="616" t="s">
        <v>847</v>
      </c>
      <c r="L46" s="378"/>
      <c r="M46" s="374"/>
      <c r="N46" s="634"/>
    </row>
    <row r="47" spans="1:15">
      <c r="A47" s="63"/>
      <c r="B47" s="65"/>
      <c r="C47" s="65"/>
      <c r="D47" s="65"/>
      <c r="E47" s="65"/>
      <c r="F47" s="142"/>
      <c r="G47" s="65"/>
      <c r="H47" s="75"/>
      <c r="I47" s="75"/>
      <c r="J47" s="48"/>
      <c r="K47" s="601" t="s">
        <v>873</v>
      </c>
      <c r="L47" s="378" t="s">
        <v>0</v>
      </c>
      <c r="M47" s="374">
        <v>9800</v>
      </c>
      <c r="N47" s="634"/>
    </row>
    <row r="48" spans="1:15">
      <c r="A48" s="63"/>
      <c r="B48" s="65"/>
      <c r="C48" s="65"/>
      <c r="D48" s="144"/>
      <c r="E48" s="189"/>
      <c r="F48" s="144"/>
      <c r="G48" s="614"/>
      <c r="H48" s="74"/>
      <c r="I48" s="74"/>
      <c r="J48" s="74"/>
      <c r="K48" s="673" t="s">
        <v>925</v>
      </c>
      <c r="L48" s="674"/>
      <c r="M48" s="675"/>
      <c r="N48" s="672"/>
    </row>
    <row r="49" spans="1:15">
      <c r="A49" s="55"/>
      <c r="B49" s="57"/>
      <c r="C49" s="65"/>
      <c r="D49" s="65"/>
      <c r="E49" s="65"/>
      <c r="F49" s="221"/>
      <c r="G49" s="632"/>
      <c r="H49" s="103"/>
      <c r="I49" s="103"/>
      <c r="J49" s="145"/>
      <c r="K49" s="380" t="s">
        <v>932</v>
      </c>
      <c r="L49" s="373" t="s">
        <v>0</v>
      </c>
      <c r="M49" s="381">
        <v>11736</v>
      </c>
      <c r="N49" s="672"/>
    </row>
    <row r="50" spans="1:15">
      <c r="A50" s="63"/>
      <c r="B50" s="65"/>
      <c r="C50" s="65"/>
      <c r="D50" s="65"/>
      <c r="E50" s="65"/>
      <c r="F50" s="105"/>
      <c r="G50" s="329" t="s">
        <v>364</v>
      </c>
      <c r="H50" s="106">
        <f>M51</f>
        <v>7128</v>
      </c>
      <c r="I50" s="222">
        <v>7128</v>
      </c>
      <c r="J50" s="107">
        <f>H50-I50</f>
        <v>0</v>
      </c>
      <c r="K50" s="413" t="s">
        <v>365</v>
      </c>
      <c r="L50" s="378"/>
      <c r="M50" s="379">
        <f>M51</f>
        <v>7128</v>
      </c>
    </row>
    <row r="51" spans="1:15">
      <c r="A51" s="63"/>
      <c r="B51" s="65"/>
      <c r="C51" s="65"/>
      <c r="D51" s="65"/>
      <c r="E51" s="65"/>
      <c r="F51" s="223"/>
      <c r="G51" s="196"/>
      <c r="H51" s="106"/>
      <c r="I51" s="222"/>
      <c r="J51" s="107"/>
      <c r="K51" s="380" t="s">
        <v>712</v>
      </c>
      <c r="L51" s="373" t="s">
        <v>0</v>
      </c>
      <c r="M51" s="374">
        <v>7128</v>
      </c>
      <c r="O51" s="575"/>
    </row>
    <row r="52" spans="1:15">
      <c r="A52" s="63"/>
      <c r="B52" s="65"/>
      <c r="C52" s="65"/>
      <c r="D52" s="65"/>
      <c r="E52" s="65"/>
      <c r="F52" s="702" t="s">
        <v>53</v>
      </c>
      <c r="G52" s="703"/>
      <c r="H52" s="151">
        <f>H53</f>
        <v>10060</v>
      </c>
      <c r="I52" s="151">
        <v>10060</v>
      </c>
      <c r="J52" s="152">
        <f>H52-I52</f>
        <v>0</v>
      </c>
      <c r="K52" s="587"/>
      <c r="L52" s="588"/>
      <c r="M52" s="385"/>
    </row>
    <row r="53" spans="1:15">
      <c r="A53" s="63"/>
      <c r="B53" s="65"/>
      <c r="C53" s="65"/>
      <c r="D53" s="65"/>
      <c r="E53" s="65"/>
      <c r="F53" s="109"/>
      <c r="G53" s="198" t="s">
        <v>366</v>
      </c>
      <c r="H53" s="209">
        <f>M53</f>
        <v>10060</v>
      </c>
      <c r="I53" s="73">
        <v>10060</v>
      </c>
      <c r="J53" s="201">
        <f>H53-I53</f>
        <v>0</v>
      </c>
      <c r="K53" s="386" t="s">
        <v>367</v>
      </c>
      <c r="L53" s="589"/>
      <c r="M53" s="388">
        <f>SUM(M54:M55)</f>
        <v>10060</v>
      </c>
    </row>
    <row r="54" spans="1:15">
      <c r="A54" s="63"/>
      <c r="B54" s="65"/>
      <c r="C54" s="65"/>
      <c r="D54" s="65"/>
      <c r="E54" s="65"/>
      <c r="F54" s="105"/>
      <c r="G54" s="193"/>
      <c r="H54" s="106"/>
      <c r="I54" s="100"/>
      <c r="J54" s="107"/>
      <c r="K54" s="382" t="s">
        <v>604</v>
      </c>
      <c r="L54" s="418" t="s">
        <v>0</v>
      </c>
      <c r="M54" s="374">
        <v>2800</v>
      </c>
      <c r="O54" s="575"/>
    </row>
    <row r="55" spans="1:15">
      <c r="A55" s="63"/>
      <c r="B55" s="65"/>
      <c r="C55" s="65"/>
      <c r="D55" s="65"/>
      <c r="E55" s="65"/>
      <c r="F55" s="193"/>
      <c r="G55" s="193"/>
      <c r="H55" s="100"/>
      <c r="I55" s="104"/>
      <c r="J55" s="102"/>
      <c r="K55" s="382" t="s">
        <v>603</v>
      </c>
      <c r="L55" s="418" t="s">
        <v>0</v>
      </c>
      <c r="M55" s="374">
        <v>7260</v>
      </c>
      <c r="O55" s="575"/>
    </row>
    <row r="56" spans="1:15">
      <c r="A56" s="63"/>
      <c r="B56" s="65"/>
      <c r="C56" s="65"/>
      <c r="D56" s="65"/>
      <c r="E56" s="65"/>
      <c r="F56" s="136" t="s">
        <v>368</v>
      </c>
      <c r="G56" s="140"/>
      <c r="H56" s="72">
        <f>H57</f>
        <v>12100</v>
      </c>
      <c r="I56" s="72">
        <v>12100</v>
      </c>
      <c r="J56" s="98">
        <f>H56-I56</f>
        <v>0</v>
      </c>
      <c r="K56" s="383"/>
      <c r="L56" s="384"/>
      <c r="M56" s="385"/>
    </row>
    <row r="57" spans="1:15">
      <c r="A57" s="63"/>
      <c r="B57" s="65"/>
      <c r="C57" s="65"/>
      <c r="D57" s="65"/>
      <c r="E57" s="65"/>
      <c r="F57" s="142"/>
      <c r="G57" s="65" t="s">
        <v>369</v>
      </c>
      <c r="H57" s="75">
        <f>SUM(M57,M59)</f>
        <v>12100</v>
      </c>
      <c r="I57" s="75">
        <v>12100</v>
      </c>
      <c r="J57" s="48">
        <f>H57-I57</f>
        <v>0</v>
      </c>
      <c r="K57" s="386" t="s">
        <v>370</v>
      </c>
      <c r="L57" s="411"/>
      <c r="M57" s="388">
        <f>SUM(M58:M58)</f>
        <v>6600</v>
      </c>
    </row>
    <row r="58" spans="1:15">
      <c r="A58" s="63"/>
      <c r="B58" s="65"/>
      <c r="C58" s="65"/>
      <c r="D58" s="65"/>
      <c r="E58" s="65"/>
      <c r="F58" s="105"/>
      <c r="G58" s="196"/>
      <c r="H58" s="106"/>
      <c r="I58" s="222"/>
      <c r="J58" s="107"/>
      <c r="K58" s="382" t="s">
        <v>371</v>
      </c>
      <c r="L58" s="378" t="s">
        <v>0</v>
      </c>
      <c r="M58" s="374">
        <v>6600</v>
      </c>
    </row>
    <row r="59" spans="1:15">
      <c r="A59" s="63"/>
      <c r="B59" s="65"/>
      <c r="C59" s="65"/>
      <c r="D59" s="65"/>
      <c r="E59" s="65"/>
      <c r="F59" s="105"/>
      <c r="G59" s="196"/>
      <c r="H59" s="106"/>
      <c r="I59" s="222"/>
      <c r="J59" s="107"/>
      <c r="K59" s="356" t="s">
        <v>81</v>
      </c>
      <c r="L59" s="401"/>
      <c r="M59" s="379">
        <f>SUM(M60:M61)</f>
        <v>5500</v>
      </c>
    </row>
    <row r="60" spans="1:15">
      <c r="A60" s="63"/>
      <c r="B60" s="65"/>
      <c r="C60" s="65"/>
      <c r="D60" s="65"/>
      <c r="E60" s="65"/>
      <c r="F60" s="105"/>
      <c r="G60" s="196"/>
      <c r="H60" s="106"/>
      <c r="I60" s="222"/>
      <c r="J60" s="107"/>
      <c r="K60" s="382" t="s">
        <v>676</v>
      </c>
      <c r="L60" s="378" t="s">
        <v>0</v>
      </c>
      <c r="M60" s="374">
        <v>4000</v>
      </c>
      <c r="O60" s="575"/>
    </row>
    <row r="61" spans="1:15">
      <c r="A61" s="63"/>
      <c r="B61" s="65"/>
      <c r="C61" s="185"/>
      <c r="D61" s="186"/>
      <c r="E61" s="218"/>
      <c r="F61" s="144"/>
      <c r="G61" s="220"/>
      <c r="H61" s="74"/>
      <c r="I61" s="74"/>
      <c r="J61" s="74"/>
      <c r="K61" s="382" t="s">
        <v>677</v>
      </c>
      <c r="L61" s="375" t="s">
        <v>0</v>
      </c>
      <c r="M61" s="374">
        <v>1500</v>
      </c>
      <c r="O61" s="575"/>
    </row>
    <row r="62" spans="1:15">
      <c r="A62" s="63"/>
      <c r="B62" s="65"/>
      <c r="C62" s="65"/>
      <c r="D62" s="65"/>
      <c r="E62" s="65"/>
      <c r="F62" s="136" t="s">
        <v>372</v>
      </c>
      <c r="G62" s="140"/>
      <c r="H62" s="72">
        <f>SUM(M63,M65)</f>
        <v>4500</v>
      </c>
      <c r="I62" s="72">
        <v>4500</v>
      </c>
      <c r="J62" s="98">
        <f>H62-I62</f>
        <v>0</v>
      </c>
      <c r="K62" s="383"/>
      <c r="L62" s="384"/>
      <c r="M62" s="385"/>
    </row>
    <row r="63" spans="1:15">
      <c r="A63" s="63"/>
      <c r="B63" s="65"/>
      <c r="C63" s="65"/>
      <c r="D63" s="65"/>
      <c r="E63" s="65"/>
      <c r="F63" s="142"/>
      <c r="G63" s="65" t="s">
        <v>88</v>
      </c>
      <c r="H63" s="75">
        <f>M63</f>
        <v>2400</v>
      </c>
      <c r="I63" s="75">
        <v>2400</v>
      </c>
      <c r="J63" s="48">
        <f>H63-I63</f>
        <v>0</v>
      </c>
      <c r="K63" s="386" t="s">
        <v>373</v>
      </c>
      <c r="L63" s="411"/>
      <c r="M63" s="388">
        <f>M64</f>
        <v>2400</v>
      </c>
    </row>
    <row r="64" spans="1:15">
      <c r="A64" s="63"/>
      <c r="B64" s="65"/>
      <c r="C64" s="65"/>
      <c r="D64" s="65"/>
      <c r="E64" s="65"/>
      <c r="F64" s="105"/>
      <c r="G64" s="194"/>
      <c r="H64" s="108"/>
      <c r="I64" s="224"/>
      <c r="J64" s="155"/>
      <c r="K64" s="380" t="s">
        <v>605</v>
      </c>
      <c r="L64" s="373" t="s">
        <v>0</v>
      </c>
      <c r="M64" s="381">
        <v>2400</v>
      </c>
    </row>
    <row r="65" spans="1:13">
      <c r="A65" s="63"/>
      <c r="B65" s="65"/>
      <c r="C65" s="65"/>
      <c r="D65" s="65"/>
      <c r="E65" s="65"/>
      <c r="F65" s="105"/>
      <c r="G65" s="329" t="s">
        <v>374</v>
      </c>
      <c r="H65" s="106">
        <f>M65</f>
        <v>2100</v>
      </c>
      <c r="I65" s="73">
        <v>2100</v>
      </c>
      <c r="J65" s="107">
        <f>H65-I65</f>
        <v>0</v>
      </c>
      <c r="K65" s="356" t="s">
        <v>92</v>
      </c>
      <c r="L65" s="401"/>
      <c r="M65" s="379">
        <f>M66</f>
        <v>2100</v>
      </c>
    </row>
    <row r="66" spans="1:13" ht="17.25" thickBot="1">
      <c r="A66" s="287"/>
      <c r="B66" s="69"/>
      <c r="C66" s="69"/>
      <c r="D66" s="69"/>
      <c r="E66" s="69"/>
      <c r="F66" s="332"/>
      <c r="G66" s="336"/>
      <c r="H66" s="333"/>
      <c r="I66" s="334"/>
      <c r="J66" s="335"/>
      <c r="K66" s="230" t="s">
        <v>389</v>
      </c>
      <c r="L66" s="231" t="s">
        <v>0</v>
      </c>
      <c r="M66" s="240">
        <v>2100</v>
      </c>
    </row>
  </sheetData>
  <autoFilter ref="A3:M66">
    <filterColumn colId="10" showButton="0"/>
    <filterColumn colId="11" showButton="0"/>
  </autoFilter>
  <mergeCells count="9">
    <mergeCell ref="F52:G52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14:J15">
    <cfRule type="containsText" dxfId="977" priority="205" operator="containsText" text="허하나로">
      <formula>NOT(ISERROR(SEARCH("허하나로",H724)))</formula>
    </cfRule>
    <cfRule type="containsText" dxfId="976" priority="206" operator="containsText" text="한별">
      <formula>NOT(ISERROR(SEARCH("한별",H724)))</formula>
    </cfRule>
    <cfRule type="containsText" dxfId="975" priority="207" operator="containsText" text="정홍조">
      <formula>NOT(ISERROR(SEARCH("정홍조",H724)))</formula>
    </cfRule>
    <cfRule type="containsText" dxfId="974" priority="208" operator="containsText" text="김지윤">
      <formula>NOT(ISERROR(SEARCH("김지윤",H724)))</formula>
    </cfRule>
    <cfRule type="containsText" dxfId="973" priority="209" operator="containsText" text="전준영">
      <formula>NOT(ISERROR(SEARCH("전준영",H724)))</formula>
    </cfRule>
    <cfRule type="containsText" dxfId="972" priority="210" operator="containsText" text="차재성">
      <formula>NOT(ISERROR(SEARCH("차재성",H724)))</formula>
    </cfRule>
  </conditionalFormatting>
  <conditionalFormatting sqref="J5:J7">
    <cfRule type="containsText" dxfId="971" priority="199" operator="containsText" text="허하나로">
      <formula>NOT(ISERROR(SEARCH("허하나로",H721)))</formula>
    </cfRule>
    <cfRule type="containsText" dxfId="970" priority="200" operator="containsText" text="한별">
      <formula>NOT(ISERROR(SEARCH("한별",H721)))</formula>
    </cfRule>
    <cfRule type="containsText" dxfId="969" priority="201" operator="containsText" text="정홍조">
      <formula>NOT(ISERROR(SEARCH("정홍조",H721)))</formula>
    </cfRule>
    <cfRule type="containsText" dxfId="968" priority="202" operator="containsText" text="김지윤">
      <formula>NOT(ISERROR(SEARCH("김지윤",H721)))</formula>
    </cfRule>
    <cfRule type="containsText" dxfId="967" priority="203" operator="containsText" text="전준영">
      <formula>NOT(ISERROR(SEARCH("전준영",H721)))</formula>
    </cfRule>
    <cfRule type="containsText" dxfId="966" priority="204" operator="containsText" text="차재성">
      <formula>NOT(ISERROR(SEARCH("차재성",H721)))</formula>
    </cfRule>
  </conditionalFormatting>
  <conditionalFormatting sqref="J38">
    <cfRule type="containsText" dxfId="965" priority="193" operator="containsText" text="허하나로">
      <formula>NOT(ISERROR(SEARCH("허하나로",H855)))</formula>
    </cfRule>
    <cfRule type="containsText" dxfId="964" priority="194" operator="containsText" text="한별">
      <formula>NOT(ISERROR(SEARCH("한별",H855)))</formula>
    </cfRule>
    <cfRule type="containsText" dxfId="963" priority="195" operator="containsText" text="정홍조">
      <formula>NOT(ISERROR(SEARCH("정홍조",H855)))</formula>
    </cfRule>
    <cfRule type="containsText" dxfId="962" priority="196" operator="containsText" text="김지윤">
      <formula>NOT(ISERROR(SEARCH("김지윤",H855)))</formula>
    </cfRule>
    <cfRule type="containsText" dxfId="961" priority="197" operator="containsText" text="전준영">
      <formula>NOT(ISERROR(SEARCH("전준영",H855)))</formula>
    </cfRule>
    <cfRule type="containsText" dxfId="960" priority="198" operator="containsText" text="차재성">
      <formula>NOT(ISERROR(SEARCH("차재성",H855)))</formula>
    </cfRule>
  </conditionalFormatting>
  <conditionalFormatting sqref="J40">
    <cfRule type="containsText" dxfId="959" priority="217" operator="containsText" text="허하나로">
      <formula>NOT(ISERROR(SEARCH("허하나로",H1052)))</formula>
    </cfRule>
    <cfRule type="containsText" dxfId="958" priority="218" operator="containsText" text="한별">
      <formula>NOT(ISERROR(SEARCH("한별",H1052)))</formula>
    </cfRule>
    <cfRule type="containsText" dxfId="957" priority="219" operator="containsText" text="정홍조">
      <formula>NOT(ISERROR(SEARCH("정홍조",H1052)))</formula>
    </cfRule>
    <cfRule type="containsText" dxfId="956" priority="220" operator="containsText" text="김지윤">
      <formula>NOT(ISERROR(SEARCH("김지윤",H1052)))</formula>
    </cfRule>
    <cfRule type="containsText" dxfId="955" priority="221" operator="containsText" text="전준영">
      <formula>NOT(ISERROR(SEARCH("전준영",H1052)))</formula>
    </cfRule>
    <cfRule type="containsText" dxfId="954" priority="222" operator="containsText" text="차재성">
      <formula>NOT(ISERROR(SEARCH("차재성",H1052)))</formula>
    </cfRule>
  </conditionalFormatting>
  <conditionalFormatting sqref="J55">
    <cfRule type="containsText" dxfId="953" priority="223" operator="containsText" text="허하나로">
      <formula>NOT(ISERROR(SEARCH("허하나로",H1067)))</formula>
    </cfRule>
    <cfRule type="containsText" dxfId="952" priority="224" operator="containsText" text="한별">
      <formula>NOT(ISERROR(SEARCH("한별",H1067)))</formula>
    </cfRule>
    <cfRule type="containsText" dxfId="951" priority="225" operator="containsText" text="정홍조">
      <formula>NOT(ISERROR(SEARCH("정홍조",H1067)))</formula>
    </cfRule>
    <cfRule type="containsText" dxfId="950" priority="226" operator="containsText" text="김지윤">
      <formula>NOT(ISERROR(SEARCH("김지윤",H1067)))</formula>
    </cfRule>
    <cfRule type="containsText" dxfId="949" priority="227" operator="containsText" text="전준영">
      <formula>NOT(ISERROR(SEARCH("전준영",H1067)))</formula>
    </cfRule>
    <cfRule type="containsText" dxfId="948" priority="228" operator="containsText" text="차재성">
      <formula>NOT(ISERROR(SEARCH("차재성",H1067)))</formula>
    </cfRule>
  </conditionalFormatting>
  <conditionalFormatting sqref="L53">
    <cfRule type="containsText" dxfId="947" priority="187" operator="containsText" text="허하나로">
      <formula>NOT(ISERROR(SEARCH("허하나로",J1200)))</formula>
    </cfRule>
    <cfRule type="containsText" dxfId="946" priority="188" operator="containsText" text="한별">
      <formula>NOT(ISERROR(SEARCH("한별",J1200)))</formula>
    </cfRule>
    <cfRule type="containsText" dxfId="945" priority="189" operator="containsText" text="정홍조">
      <formula>NOT(ISERROR(SEARCH("정홍조",J1200)))</formula>
    </cfRule>
    <cfRule type="containsText" dxfId="944" priority="190" operator="containsText" text="김지윤">
      <formula>NOT(ISERROR(SEARCH("김지윤",J1200)))</formula>
    </cfRule>
    <cfRule type="containsText" dxfId="943" priority="191" operator="containsText" text="전준영">
      <formula>NOT(ISERROR(SEARCH("전준영",J1200)))</formula>
    </cfRule>
    <cfRule type="containsText" dxfId="942" priority="192" operator="containsText" text="차재성">
      <formula>NOT(ISERROR(SEARCH("차재성",J1200)))</formula>
    </cfRule>
  </conditionalFormatting>
  <conditionalFormatting sqref="J41:J42">
    <cfRule type="containsText" dxfId="941" priority="181" operator="containsText" text="허하나로">
      <formula>NOT(ISERROR(SEARCH("허하나로",H1059)))</formula>
    </cfRule>
    <cfRule type="containsText" dxfId="940" priority="182" operator="containsText" text="한별">
      <formula>NOT(ISERROR(SEARCH("한별",H1059)))</formula>
    </cfRule>
    <cfRule type="containsText" dxfId="939" priority="183" operator="containsText" text="정홍조">
      <formula>NOT(ISERROR(SEARCH("정홍조",H1059)))</formula>
    </cfRule>
    <cfRule type="containsText" dxfId="938" priority="184" operator="containsText" text="김지윤">
      <formula>NOT(ISERROR(SEARCH("김지윤",H1059)))</formula>
    </cfRule>
    <cfRule type="containsText" dxfId="937" priority="185" operator="containsText" text="전준영">
      <formula>NOT(ISERROR(SEARCH("전준영",H1059)))</formula>
    </cfRule>
    <cfRule type="containsText" dxfId="936" priority="186" operator="containsText" text="차재성">
      <formula>NOT(ISERROR(SEARCH("차재성",H1059)))</formula>
    </cfRule>
  </conditionalFormatting>
  <conditionalFormatting sqref="J34">
    <cfRule type="containsText" dxfId="935" priority="169" operator="containsText" text="허하나로">
      <formula>NOT(ISERROR(SEARCH("허하나로",H1125)))</formula>
    </cfRule>
    <cfRule type="containsText" dxfId="934" priority="170" operator="containsText" text="한별">
      <formula>NOT(ISERROR(SEARCH("한별",H1125)))</formula>
    </cfRule>
    <cfRule type="containsText" dxfId="933" priority="171" operator="containsText" text="정홍조">
      <formula>NOT(ISERROR(SEARCH("정홍조",H1125)))</formula>
    </cfRule>
    <cfRule type="containsText" dxfId="932" priority="172" operator="containsText" text="김지윤">
      <formula>NOT(ISERROR(SEARCH("김지윤",H1125)))</formula>
    </cfRule>
    <cfRule type="containsText" dxfId="931" priority="173" operator="containsText" text="전준영">
      <formula>NOT(ISERROR(SEARCH("전준영",H1125)))</formula>
    </cfRule>
    <cfRule type="containsText" dxfId="930" priority="174" operator="containsText" text="차재성">
      <formula>NOT(ISERROR(SEARCH("차재성",H1125)))</formula>
    </cfRule>
  </conditionalFormatting>
  <conditionalFormatting sqref="J35">
    <cfRule type="containsText" dxfId="929" priority="175" operator="containsText" text="허하나로">
      <formula>NOT(ISERROR(SEARCH("허하나로",H1125)))</formula>
    </cfRule>
    <cfRule type="containsText" dxfId="928" priority="176" operator="containsText" text="한별">
      <formula>NOT(ISERROR(SEARCH("한별",H1125)))</formula>
    </cfRule>
    <cfRule type="containsText" dxfId="927" priority="177" operator="containsText" text="정홍조">
      <formula>NOT(ISERROR(SEARCH("정홍조",H1125)))</formula>
    </cfRule>
    <cfRule type="containsText" dxfId="926" priority="178" operator="containsText" text="김지윤">
      <formula>NOT(ISERROR(SEARCH("김지윤",H1125)))</formula>
    </cfRule>
    <cfRule type="containsText" dxfId="925" priority="179" operator="containsText" text="전준영">
      <formula>NOT(ISERROR(SEARCH("전준영",H1125)))</formula>
    </cfRule>
    <cfRule type="containsText" dxfId="924" priority="180" operator="containsText" text="차재성">
      <formula>NOT(ISERROR(SEARCH("차재성",H1125)))</formula>
    </cfRule>
  </conditionalFormatting>
  <conditionalFormatting sqref="J28">
    <cfRule type="containsText" dxfId="923" priority="157" operator="containsText" text="허하나로">
      <formula>NOT(ISERROR(SEARCH("허하나로",H1123)))</formula>
    </cfRule>
    <cfRule type="containsText" dxfId="922" priority="158" operator="containsText" text="한별">
      <formula>NOT(ISERROR(SEARCH("한별",H1123)))</formula>
    </cfRule>
    <cfRule type="containsText" dxfId="921" priority="159" operator="containsText" text="정홍조">
      <formula>NOT(ISERROR(SEARCH("정홍조",H1123)))</formula>
    </cfRule>
    <cfRule type="containsText" dxfId="920" priority="160" operator="containsText" text="김지윤">
      <formula>NOT(ISERROR(SEARCH("김지윤",H1123)))</formula>
    </cfRule>
    <cfRule type="containsText" dxfId="919" priority="161" operator="containsText" text="전준영">
      <formula>NOT(ISERROR(SEARCH("전준영",H1123)))</formula>
    </cfRule>
    <cfRule type="containsText" dxfId="918" priority="162" operator="containsText" text="차재성">
      <formula>NOT(ISERROR(SEARCH("차재성",H1123)))</formula>
    </cfRule>
  </conditionalFormatting>
  <conditionalFormatting sqref="J58">
    <cfRule type="containsText" dxfId="917" priority="139" operator="containsText" text="허하나로">
      <formula>NOT(ISERROR(SEARCH("허하나로",H1092)))</formula>
    </cfRule>
    <cfRule type="containsText" dxfId="916" priority="140" operator="containsText" text="한별">
      <formula>NOT(ISERROR(SEARCH("한별",H1092)))</formula>
    </cfRule>
    <cfRule type="containsText" dxfId="915" priority="141" operator="containsText" text="정홍조">
      <formula>NOT(ISERROR(SEARCH("정홍조",H1092)))</formula>
    </cfRule>
    <cfRule type="containsText" dxfId="914" priority="142" operator="containsText" text="김지윤">
      <formula>NOT(ISERROR(SEARCH("김지윤",H1092)))</formula>
    </cfRule>
    <cfRule type="containsText" dxfId="913" priority="143" operator="containsText" text="전준영">
      <formula>NOT(ISERROR(SEARCH("전준영",H1092)))</formula>
    </cfRule>
    <cfRule type="containsText" dxfId="912" priority="144" operator="containsText" text="차재성">
      <formula>NOT(ISERROR(SEARCH("차재성",H1092)))</formula>
    </cfRule>
  </conditionalFormatting>
  <conditionalFormatting sqref="J56">
    <cfRule type="containsText" dxfId="911" priority="133" operator="containsText" text="허하나로">
      <formula>NOT(ISERROR(SEARCH("허하나로",H1138)))</formula>
    </cfRule>
    <cfRule type="containsText" dxfId="910" priority="134" operator="containsText" text="한별">
      <formula>NOT(ISERROR(SEARCH("한별",H1138)))</formula>
    </cfRule>
    <cfRule type="containsText" dxfId="909" priority="135" operator="containsText" text="정홍조">
      <formula>NOT(ISERROR(SEARCH("정홍조",H1138)))</formula>
    </cfRule>
    <cfRule type="containsText" dxfId="908" priority="136" operator="containsText" text="김지윤">
      <formula>NOT(ISERROR(SEARCH("김지윤",H1138)))</formula>
    </cfRule>
    <cfRule type="containsText" dxfId="907" priority="137" operator="containsText" text="전준영">
      <formula>NOT(ISERROR(SEARCH("전준영",H1138)))</formula>
    </cfRule>
    <cfRule type="containsText" dxfId="906" priority="138" operator="containsText" text="차재성">
      <formula>NOT(ISERROR(SEARCH("차재성",H1138)))</formula>
    </cfRule>
  </conditionalFormatting>
  <conditionalFormatting sqref="J57">
    <cfRule type="containsText" dxfId="905" priority="127" operator="containsText" text="허하나로">
      <formula>NOT(ISERROR(SEARCH("허하나로",H1139)))</formula>
    </cfRule>
    <cfRule type="containsText" dxfId="904" priority="128" operator="containsText" text="한별">
      <formula>NOT(ISERROR(SEARCH("한별",H1139)))</formula>
    </cfRule>
    <cfRule type="containsText" dxfId="903" priority="129" operator="containsText" text="정홍조">
      <formula>NOT(ISERROR(SEARCH("정홍조",H1139)))</formula>
    </cfRule>
    <cfRule type="containsText" dxfId="902" priority="130" operator="containsText" text="김지윤">
      <formula>NOT(ISERROR(SEARCH("김지윤",H1139)))</formula>
    </cfRule>
    <cfRule type="containsText" dxfId="901" priority="131" operator="containsText" text="전준영">
      <formula>NOT(ISERROR(SEARCH("전준영",H1139)))</formula>
    </cfRule>
    <cfRule type="containsText" dxfId="900" priority="132" operator="containsText" text="차재성">
      <formula>NOT(ISERROR(SEARCH("차재성",H1139)))</formula>
    </cfRule>
  </conditionalFormatting>
  <conditionalFormatting sqref="J51">
    <cfRule type="containsText" dxfId="899" priority="115" operator="containsText" text="허하나로">
      <formula>NOT(ISERROR(SEARCH("허하나로",H1093)))</formula>
    </cfRule>
    <cfRule type="containsText" dxfId="898" priority="116" operator="containsText" text="한별">
      <formula>NOT(ISERROR(SEARCH("한별",H1093)))</formula>
    </cfRule>
    <cfRule type="containsText" dxfId="897" priority="117" operator="containsText" text="정홍조">
      <formula>NOT(ISERROR(SEARCH("정홍조",H1093)))</formula>
    </cfRule>
    <cfRule type="containsText" dxfId="896" priority="118" operator="containsText" text="김지윤">
      <formula>NOT(ISERROR(SEARCH("김지윤",H1093)))</formula>
    </cfRule>
    <cfRule type="containsText" dxfId="895" priority="119" operator="containsText" text="전준영">
      <formula>NOT(ISERROR(SEARCH("전준영",H1093)))</formula>
    </cfRule>
    <cfRule type="containsText" dxfId="894" priority="120" operator="containsText" text="차재성">
      <formula>NOT(ISERROR(SEARCH("차재성",H1093)))</formula>
    </cfRule>
  </conditionalFormatting>
  <conditionalFormatting sqref="J50">
    <cfRule type="containsText" dxfId="893" priority="121" operator="containsText" text="허하나로">
      <formula>NOT(ISERROR(SEARCH("허하나로",H1093)))</formula>
    </cfRule>
    <cfRule type="containsText" dxfId="892" priority="122" operator="containsText" text="한별">
      <formula>NOT(ISERROR(SEARCH("한별",H1093)))</formula>
    </cfRule>
    <cfRule type="containsText" dxfId="891" priority="123" operator="containsText" text="정홍조">
      <formula>NOT(ISERROR(SEARCH("정홍조",H1093)))</formula>
    </cfRule>
    <cfRule type="containsText" dxfId="890" priority="124" operator="containsText" text="김지윤">
      <formula>NOT(ISERROR(SEARCH("김지윤",H1093)))</formula>
    </cfRule>
    <cfRule type="containsText" dxfId="889" priority="125" operator="containsText" text="전준영">
      <formula>NOT(ISERROR(SEARCH("전준영",H1093)))</formula>
    </cfRule>
    <cfRule type="containsText" dxfId="888" priority="126" operator="containsText" text="차재성">
      <formula>NOT(ISERROR(SEARCH("차재성",H1093)))</formula>
    </cfRule>
  </conditionalFormatting>
  <conditionalFormatting sqref="J66">
    <cfRule type="containsText" dxfId="887" priority="103" operator="containsText" text="허하나로">
      <formula>NOT(ISERROR(SEARCH("허하나로",H1081)))</formula>
    </cfRule>
    <cfRule type="containsText" dxfId="886" priority="104" operator="containsText" text="한별">
      <formula>NOT(ISERROR(SEARCH("한별",H1081)))</formula>
    </cfRule>
    <cfRule type="containsText" dxfId="885" priority="105" operator="containsText" text="정홍조">
      <formula>NOT(ISERROR(SEARCH("정홍조",H1081)))</formula>
    </cfRule>
    <cfRule type="containsText" dxfId="884" priority="106" operator="containsText" text="김지윤">
      <formula>NOT(ISERROR(SEARCH("김지윤",H1081)))</formula>
    </cfRule>
    <cfRule type="containsText" dxfId="883" priority="107" operator="containsText" text="전준영">
      <formula>NOT(ISERROR(SEARCH("전준영",H1081)))</formula>
    </cfRule>
    <cfRule type="containsText" dxfId="882" priority="108" operator="containsText" text="차재성">
      <formula>NOT(ISERROR(SEARCH("차재성",H1081)))</formula>
    </cfRule>
  </conditionalFormatting>
  <conditionalFormatting sqref="J65">
    <cfRule type="containsText" dxfId="881" priority="109" operator="containsText" text="허하나로">
      <formula>NOT(ISERROR(SEARCH("허하나로",H1081)))</formula>
    </cfRule>
    <cfRule type="containsText" dxfId="880" priority="110" operator="containsText" text="한별">
      <formula>NOT(ISERROR(SEARCH("한별",H1081)))</formula>
    </cfRule>
    <cfRule type="containsText" dxfId="879" priority="111" operator="containsText" text="정홍조">
      <formula>NOT(ISERROR(SEARCH("정홍조",H1081)))</formula>
    </cfRule>
    <cfRule type="containsText" dxfId="878" priority="112" operator="containsText" text="김지윤">
      <formula>NOT(ISERROR(SEARCH("김지윤",H1081)))</formula>
    </cfRule>
    <cfRule type="containsText" dxfId="877" priority="113" operator="containsText" text="전준영">
      <formula>NOT(ISERROR(SEARCH("전준영",H1081)))</formula>
    </cfRule>
    <cfRule type="containsText" dxfId="876" priority="114" operator="containsText" text="차재성">
      <formula>NOT(ISERROR(SEARCH("차재성",H1081)))</formula>
    </cfRule>
  </conditionalFormatting>
  <conditionalFormatting sqref="J64">
    <cfRule type="containsText" dxfId="875" priority="97" operator="containsText" text="허하나로">
      <formula>NOT(ISERROR(SEARCH("허하나로",H1087)))</formula>
    </cfRule>
    <cfRule type="containsText" dxfId="874" priority="98" operator="containsText" text="한별">
      <formula>NOT(ISERROR(SEARCH("한별",H1087)))</formula>
    </cfRule>
    <cfRule type="containsText" dxfId="873" priority="99" operator="containsText" text="정홍조">
      <formula>NOT(ISERROR(SEARCH("정홍조",H1087)))</formula>
    </cfRule>
    <cfRule type="containsText" dxfId="872" priority="100" operator="containsText" text="김지윤">
      <formula>NOT(ISERROR(SEARCH("김지윤",H1087)))</formula>
    </cfRule>
    <cfRule type="containsText" dxfId="871" priority="101" operator="containsText" text="전준영">
      <formula>NOT(ISERROR(SEARCH("전준영",H1087)))</formula>
    </cfRule>
    <cfRule type="containsText" dxfId="870" priority="102" operator="containsText" text="차재성">
      <formula>NOT(ISERROR(SEARCH("차재성",H1087)))</formula>
    </cfRule>
  </conditionalFormatting>
  <conditionalFormatting sqref="J62">
    <cfRule type="containsText" dxfId="869" priority="91" operator="containsText" text="허하나로">
      <formula>NOT(ISERROR(SEARCH("허하나로",H1143)))</formula>
    </cfRule>
    <cfRule type="containsText" dxfId="868" priority="92" operator="containsText" text="한별">
      <formula>NOT(ISERROR(SEARCH("한별",H1143)))</formula>
    </cfRule>
    <cfRule type="containsText" dxfId="867" priority="93" operator="containsText" text="정홍조">
      <formula>NOT(ISERROR(SEARCH("정홍조",H1143)))</formula>
    </cfRule>
    <cfRule type="containsText" dxfId="866" priority="94" operator="containsText" text="김지윤">
      <formula>NOT(ISERROR(SEARCH("김지윤",H1143)))</formula>
    </cfRule>
    <cfRule type="containsText" dxfId="865" priority="95" operator="containsText" text="전준영">
      <formula>NOT(ISERROR(SEARCH("전준영",H1143)))</formula>
    </cfRule>
    <cfRule type="containsText" dxfId="864" priority="96" operator="containsText" text="차재성">
      <formula>NOT(ISERROR(SEARCH("차재성",H1143)))</formula>
    </cfRule>
  </conditionalFormatting>
  <conditionalFormatting sqref="J63">
    <cfRule type="containsText" dxfId="863" priority="85" operator="containsText" text="허하나로">
      <formula>NOT(ISERROR(SEARCH("허하나로",H1144)))</formula>
    </cfRule>
    <cfRule type="containsText" dxfId="862" priority="86" operator="containsText" text="한별">
      <formula>NOT(ISERROR(SEARCH("한별",H1144)))</formula>
    </cfRule>
    <cfRule type="containsText" dxfId="861" priority="87" operator="containsText" text="정홍조">
      <formula>NOT(ISERROR(SEARCH("정홍조",H1144)))</formula>
    </cfRule>
    <cfRule type="containsText" dxfId="860" priority="88" operator="containsText" text="김지윤">
      <formula>NOT(ISERROR(SEARCH("김지윤",H1144)))</formula>
    </cfRule>
    <cfRule type="containsText" dxfId="859" priority="89" operator="containsText" text="전준영">
      <formula>NOT(ISERROR(SEARCH("전준영",H1144)))</formula>
    </cfRule>
    <cfRule type="containsText" dxfId="858" priority="90" operator="containsText" text="차재성">
      <formula>NOT(ISERROR(SEARCH("차재성",H1144)))</formula>
    </cfRule>
  </conditionalFormatting>
  <conditionalFormatting sqref="J52:J54">
    <cfRule type="containsText" dxfId="857" priority="3607" operator="containsText" text="허하나로">
      <formula>NOT(ISERROR(SEARCH("허하나로",H1065)))</formula>
    </cfRule>
    <cfRule type="containsText" dxfId="856" priority="3608" operator="containsText" text="한별">
      <formula>NOT(ISERROR(SEARCH("한별",H1065)))</formula>
    </cfRule>
    <cfRule type="containsText" dxfId="855" priority="3609" operator="containsText" text="정홍조">
      <formula>NOT(ISERROR(SEARCH("정홍조",H1065)))</formula>
    </cfRule>
    <cfRule type="containsText" dxfId="854" priority="3610" operator="containsText" text="김지윤">
      <formula>NOT(ISERROR(SEARCH("김지윤",H1065)))</formula>
    </cfRule>
    <cfRule type="containsText" dxfId="853" priority="3611" operator="containsText" text="전준영">
      <formula>NOT(ISERROR(SEARCH("전준영",H1065)))</formula>
    </cfRule>
    <cfRule type="containsText" dxfId="852" priority="3612" operator="containsText" text="차재성">
      <formula>NOT(ISERROR(SEARCH("차재성",H1065)))</formula>
    </cfRule>
  </conditionalFormatting>
  <conditionalFormatting sqref="J2:J3">
    <cfRule type="containsText" dxfId="851" priority="67" operator="containsText" text="허하나로">
      <formula>NOT(ISERROR(SEARCH("허하나로",H786)))</formula>
    </cfRule>
    <cfRule type="containsText" dxfId="850" priority="68" operator="containsText" text="한별">
      <formula>NOT(ISERROR(SEARCH("한별",H786)))</formula>
    </cfRule>
    <cfRule type="containsText" dxfId="849" priority="69" operator="containsText" text="정홍조">
      <formula>NOT(ISERROR(SEARCH("정홍조",H786)))</formula>
    </cfRule>
    <cfRule type="containsText" dxfId="848" priority="70" operator="containsText" text="김지윤">
      <formula>NOT(ISERROR(SEARCH("김지윤",H786)))</formula>
    </cfRule>
    <cfRule type="containsText" dxfId="847" priority="71" operator="containsText" text="전준영">
      <formula>NOT(ISERROR(SEARCH("전준영",H786)))</formula>
    </cfRule>
    <cfRule type="containsText" dxfId="846" priority="72" operator="containsText" text="차재성">
      <formula>NOT(ISERROR(SEARCH("차재성",H786)))</formula>
    </cfRule>
  </conditionalFormatting>
  <conditionalFormatting sqref="J29:J30">
    <cfRule type="containsText" dxfId="845" priority="5293" operator="containsText" text="허하나로">
      <formula>NOT(ISERROR(SEARCH("허하나로",H1123)))</formula>
    </cfRule>
    <cfRule type="containsText" dxfId="844" priority="5294" operator="containsText" text="한별">
      <formula>NOT(ISERROR(SEARCH("한별",H1123)))</formula>
    </cfRule>
    <cfRule type="containsText" dxfId="843" priority="5295" operator="containsText" text="정홍조">
      <formula>NOT(ISERROR(SEARCH("정홍조",H1123)))</formula>
    </cfRule>
    <cfRule type="containsText" dxfId="842" priority="5296" operator="containsText" text="김지윤">
      <formula>NOT(ISERROR(SEARCH("김지윤",H1123)))</formula>
    </cfRule>
    <cfRule type="containsText" dxfId="841" priority="5297" operator="containsText" text="전준영">
      <formula>NOT(ISERROR(SEARCH("전준영",H1123)))</formula>
    </cfRule>
    <cfRule type="containsText" dxfId="840" priority="5298" operator="containsText" text="차재성">
      <formula>NOT(ISERROR(SEARCH("차재성",H1123)))</formula>
    </cfRule>
  </conditionalFormatting>
  <conditionalFormatting sqref="J31">
    <cfRule type="containsText" dxfId="839" priority="5803" operator="containsText" text="허하나로">
      <formula>NOT(ISERROR(SEARCH("허하나로",H1124)))</formula>
    </cfRule>
    <cfRule type="containsText" dxfId="838" priority="5804" operator="containsText" text="한별">
      <formula>NOT(ISERROR(SEARCH("한별",H1124)))</formula>
    </cfRule>
    <cfRule type="containsText" dxfId="837" priority="5805" operator="containsText" text="정홍조">
      <formula>NOT(ISERROR(SEARCH("정홍조",H1124)))</formula>
    </cfRule>
    <cfRule type="containsText" dxfId="836" priority="5806" operator="containsText" text="김지윤">
      <formula>NOT(ISERROR(SEARCH("김지윤",H1124)))</formula>
    </cfRule>
    <cfRule type="containsText" dxfId="835" priority="5807" operator="containsText" text="전준영">
      <formula>NOT(ISERROR(SEARCH("전준영",H1124)))</formula>
    </cfRule>
    <cfRule type="containsText" dxfId="834" priority="5808" operator="containsText" text="차재성">
      <formula>NOT(ISERROR(SEARCH("차재성",H1124)))</formula>
    </cfRule>
  </conditionalFormatting>
  <conditionalFormatting sqref="J32">
    <cfRule type="containsText" dxfId="833" priority="43" operator="containsText" text="허하나로">
      <formula>NOT(ISERROR(SEARCH("허하나로",H1126)))</formula>
    </cfRule>
    <cfRule type="containsText" dxfId="832" priority="44" operator="containsText" text="한별">
      <formula>NOT(ISERROR(SEARCH("한별",H1126)))</formula>
    </cfRule>
    <cfRule type="containsText" dxfId="831" priority="45" operator="containsText" text="정홍조">
      <formula>NOT(ISERROR(SEARCH("정홍조",H1126)))</formula>
    </cfRule>
    <cfRule type="containsText" dxfId="830" priority="46" operator="containsText" text="김지윤">
      <formula>NOT(ISERROR(SEARCH("김지윤",H1126)))</formula>
    </cfRule>
    <cfRule type="containsText" dxfId="829" priority="47" operator="containsText" text="전준영">
      <formula>NOT(ISERROR(SEARCH("전준영",H1126)))</formula>
    </cfRule>
    <cfRule type="containsText" dxfId="828" priority="48" operator="containsText" text="차재성">
      <formula>NOT(ISERROR(SEARCH("차재성",H1126)))</formula>
    </cfRule>
  </conditionalFormatting>
  <conditionalFormatting sqref="J33">
    <cfRule type="containsText" dxfId="827" priority="49" operator="containsText" text="허하나로">
      <formula>NOT(ISERROR(SEARCH("허하나로",H1126)))</formula>
    </cfRule>
    <cfRule type="containsText" dxfId="826" priority="50" operator="containsText" text="한별">
      <formula>NOT(ISERROR(SEARCH("한별",H1126)))</formula>
    </cfRule>
    <cfRule type="containsText" dxfId="825" priority="51" operator="containsText" text="정홍조">
      <formula>NOT(ISERROR(SEARCH("정홍조",H1126)))</formula>
    </cfRule>
    <cfRule type="containsText" dxfId="824" priority="52" operator="containsText" text="김지윤">
      <formula>NOT(ISERROR(SEARCH("김지윤",H1126)))</formula>
    </cfRule>
    <cfRule type="containsText" dxfId="823" priority="53" operator="containsText" text="전준영">
      <formula>NOT(ISERROR(SEARCH("전준영",H1126)))</formula>
    </cfRule>
    <cfRule type="containsText" dxfId="822" priority="54" operator="containsText" text="차재성">
      <formula>NOT(ISERROR(SEARCH("차재성",H1126)))</formula>
    </cfRule>
  </conditionalFormatting>
  <conditionalFormatting sqref="J12">
    <cfRule type="containsText" dxfId="821" priority="31" operator="containsText" text="허하나로">
      <formula>NOT(ISERROR(SEARCH("허하나로",H1121)))</formula>
    </cfRule>
    <cfRule type="containsText" dxfId="820" priority="32" operator="containsText" text="한별">
      <formula>NOT(ISERROR(SEARCH("한별",H1121)))</formula>
    </cfRule>
    <cfRule type="containsText" dxfId="819" priority="33" operator="containsText" text="정홍조">
      <formula>NOT(ISERROR(SEARCH("정홍조",H1121)))</formula>
    </cfRule>
    <cfRule type="containsText" dxfId="818" priority="34" operator="containsText" text="김지윤">
      <formula>NOT(ISERROR(SEARCH("김지윤",H1121)))</formula>
    </cfRule>
    <cfRule type="containsText" dxfId="817" priority="35" operator="containsText" text="전준영">
      <formula>NOT(ISERROR(SEARCH("전준영",H1121)))</formula>
    </cfRule>
    <cfRule type="containsText" dxfId="816" priority="36" operator="containsText" text="차재성">
      <formula>NOT(ISERROR(SEARCH("차재성",H1121)))</formula>
    </cfRule>
  </conditionalFormatting>
  <conditionalFormatting sqref="J13">
    <cfRule type="containsText" dxfId="815" priority="37" operator="containsText" text="허하나로">
      <formula>NOT(ISERROR(SEARCH("허하나로",H1120)))</formula>
    </cfRule>
    <cfRule type="containsText" dxfId="814" priority="38" operator="containsText" text="한별">
      <formula>NOT(ISERROR(SEARCH("한별",H1120)))</formula>
    </cfRule>
    <cfRule type="containsText" dxfId="813" priority="39" operator="containsText" text="정홍조">
      <formula>NOT(ISERROR(SEARCH("정홍조",H1120)))</formula>
    </cfRule>
    <cfRule type="containsText" dxfId="812" priority="40" operator="containsText" text="김지윤">
      <formula>NOT(ISERROR(SEARCH("김지윤",H1120)))</formula>
    </cfRule>
    <cfRule type="containsText" dxfId="811" priority="41" operator="containsText" text="전준영">
      <formula>NOT(ISERROR(SEARCH("전준영",H1120)))</formula>
    </cfRule>
    <cfRule type="containsText" dxfId="810" priority="42" operator="containsText" text="차재성">
      <formula>NOT(ISERROR(SEARCH("차재성",H1120)))</formula>
    </cfRule>
  </conditionalFormatting>
  <conditionalFormatting sqref="J46">
    <cfRule type="containsText" dxfId="809" priority="19" operator="containsText" text="허하나로">
      <formula>NOT(ISERROR(SEARCH("허하나로",H1138)))</formula>
    </cfRule>
    <cfRule type="containsText" dxfId="808" priority="20" operator="containsText" text="한별">
      <formula>NOT(ISERROR(SEARCH("한별",H1138)))</formula>
    </cfRule>
    <cfRule type="containsText" dxfId="807" priority="21" operator="containsText" text="정홍조">
      <formula>NOT(ISERROR(SEARCH("정홍조",H1138)))</formula>
    </cfRule>
    <cfRule type="containsText" dxfId="806" priority="22" operator="containsText" text="김지윤">
      <formula>NOT(ISERROR(SEARCH("김지윤",H1138)))</formula>
    </cfRule>
    <cfRule type="containsText" dxfId="805" priority="23" operator="containsText" text="전준영">
      <formula>NOT(ISERROR(SEARCH("전준영",H1138)))</formula>
    </cfRule>
    <cfRule type="containsText" dxfId="804" priority="24" operator="containsText" text="차재성">
      <formula>NOT(ISERROR(SEARCH("차재성",H1138)))</formula>
    </cfRule>
  </conditionalFormatting>
  <conditionalFormatting sqref="J47">
    <cfRule type="containsText" dxfId="803" priority="25" operator="containsText" text="허하나로">
      <formula>NOT(ISERROR(SEARCH("허하나로",H1138)))</formula>
    </cfRule>
    <cfRule type="containsText" dxfId="802" priority="26" operator="containsText" text="한별">
      <formula>NOT(ISERROR(SEARCH("한별",H1138)))</formula>
    </cfRule>
    <cfRule type="containsText" dxfId="801" priority="27" operator="containsText" text="정홍조">
      <formula>NOT(ISERROR(SEARCH("정홍조",H1138)))</formula>
    </cfRule>
    <cfRule type="containsText" dxfId="800" priority="28" operator="containsText" text="김지윤">
      <formula>NOT(ISERROR(SEARCH("김지윤",H1138)))</formula>
    </cfRule>
    <cfRule type="containsText" dxfId="799" priority="29" operator="containsText" text="전준영">
      <formula>NOT(ISERROR(SEARCH("전준영",H1138)))</formula>
    </cfRule>
    <cfRule type="containsText" dxfId="798" priority="30" operator="containsText" text="차재성">
      <formula>NOT(ISERROR(SEARCH("차재성",H1138)))</formula>
    </cfRule>
  </conditionalFormatting>
  <conditionalFormatting sqref="J8:J9">
    <cfRule type="containsText" dxfId="797" priority="13" operator="containsText" text="허하나로">
      <formula>NOT(ISERROR(SEARCH("허하나로",H720)))</formula>
    </cfRule>
    <cfRule type="containsText" dxfId="796" priority="14" operator="containsText" text="한별">
      <formula>NOT(ISERROR(SEARCH("한별",H720)))</formula>
    </cfRule>
    <cfRule type="containsText" dxfId="795" priority="15" operator="containsText" text="정홍조">
      <formula>NOT(ISERROR(SEARCH("정홍조",H720)))</formula>
    </cfRule>
    <cfRule type="containsText" dxfId="794" priority="16" operator="containsText" text="김지윤">
      <formula>NOT(ISERROR(SEARCH("김지윤",H720)))</formula>
    </cfRule>
    <cfRule type="containsText" dxfId="793" priority="17" operator="containsText" text="전준영">
      <formula>NOT(ISERROR(SEARCH("전준영",H720)))</formula>
    </cfRule>
    <cfRule type="containsText" dxfId="792" priority="18" operator="containsText" text="차재성">
      <formula>NOT(ISERROR(SEARCH("차재성",H720)))</formula>
    </cfRule>
  </conditionalFormatting>
  <conditionalFormatting sqref="J37">
    <cfRule type="containsText" dxfId="791" priority="7" operator="containsText" text="허하나로">
      <formula>NOT(ISERROR(SEARCH("허하나로",H1129)))</formula>
    </cfRule>
    <cfRule type="containsText" dxfId="790" priority="8" operator="containsText" text="한별">
      <formula>NOT(ISERROR(SEARCH("한별",H1129)))</formula>
    </cfRule>
    <cfRule type="containsText" dxfId="789" priority="9" operator="containsText" text="정홍조">
      <formula>NOT(ISERROR(SEARCH("정홍조",H1129)))</formula>
    </cfRule>
    <cfRule type="containsText" dxfId="788" priority="10" operator="containsText" text="김지윤">
      <formula>NOT(ISERROR(SEARCH("김지윤",H1129)))</formula>
    </cfRule>
    <cfRule type="containsText" dxfId="787" priority="11" operator="containsText" text="전준영">
      <formula>NOT(ISERROR(SEARCH("전준영",H1129)))</formula>
    </cfRule>
    <cfRule type="containsText" dxfId="786" priority="12" operator="containsText" text="차재성">
      <formula>NOT(ISERROR(SEARCH("차재성",H1129)))</formula>
    </cfRule>
  </conditionalFormatting>
  <pageMargins left="0.25" right="0.25" top="0.75" bottom="0.75" header="0.3" footer="0.3"/>
  <pageSetup paperSize="9" scale="73" fitToHeight="0" orientation="landscape" r:id="rId1"/>
  <rowBreaks count="1" manualBreakCount="1">
    <brk id="55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5" operator="containsText" text="허하나로" id="{C294F580-39A9-4097-98FA-8F17556D2A41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6" operator="containsText" text="한별" id="{E7D6554B-9C46-4666-A85D-C58AD45BA43E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7" operator="containsText" text="정홍조" id="{7C07EAAA-F9A7-4E58-83CC-2C49472B8520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8" operator="containsText" text="김지윤" id="{1AF6A9A8-B2DD-42B6-81DF-A708F725FAEE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9" operator="containsText" text="전준영" id="{2DC022A8-EE30-4726-8784-39BFC158A152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0" operator="containsText" text="차재성" id="{F9BAE3D1-2C60-4D14-9EA3-DA93C37C3B1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</xm:sqref>
        </x14:conditionalFormatting>
        <x14:conditionalFormatting xmlns:xm="http://schemas.microsoft.com/office/excel/2006/main">
          <x14:cfRule type="containsText" priority="151" operator="containsText" text="허하나로" id="{D420B4E7-1BEB-4CD1-A9C9-65CC61F04197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52" operator="containsText" text="한별" id="{90F099D4-7C37-4BDB-901B-04D78DC2D52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3" operator="containsText" text="정홍조" id="{21538F85-3204-4525-8782-CBF07A523A8D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54" operator="containsText" text="김지윤" id="{8529A7A3-9362-4706-81B8-C7F4319C3C58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5" operator="containsText" text="전준영" id="{800EB218-3CD1-4F18-A482-DB1E0FE67E65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6" operator="containsText" text="차재성" id="{101D2B35-E144-4998-A601-0B57C844CF6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J43:J44</xm:sqref>
        </x14:conditionalFormatting>
        <x14:conditionalFormatting xmlns:xm="http://schemas.microsoft.com/office/excel/2006/main">
          <x14:cfRule type="containsText" priority="79" operator="containsText" text="허하나로" id="{D43E79B1-EE6A-4EA3-B52C-6BD7978B8DEE}">
            <xm:f>NOT(ISERROR(SEARCH("허하나로",행정관리부!H1097)))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4F73E9-1D7E-4266-B557-5ACD8AA5E762}">
            <xm:f>NOT(ISERROR(SEARCH("한별",행정관리부!H1097)))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32804C67-EC96-4BA9-ACCB-ECCFBC9E3A3A}">
            <xm:f>NOT(ISERROR(SEARCH("정홍조",행정관리부!H1097)))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C38D4C6C-F422-410A-8EBD-B53F54AD5EEC}">
            <xm:f>NOT(ISERROR(SEARCH("김지윤",행정관리부!H1097)))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C76CB348-C024-4FC3-907D-DF0066147DB2}">
            <xm:f>NOT(ISERROR(SEARCH("전준영",행정관리부!H1097)))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8B876EBE-049B-4999-A9C7-262844F64215}">
            <xm:f>NOT(ISERROR(SEARCH("차재성",행정관리부!H1097)))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73" operator="containsText" text="허하나로" id="{08CD5C75-19D4-4A24-ADA7-CFB6DC3C4BA0}">
            <xm:f>NOT(ISERROR(SEARCH("허하나로",행정관리부!H1096)))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99960472-C61B-40D2-A3BC-3BA232C4FDED}">
            <xm:f>NOT(ISERROR(SEARCH("한별",행정관리부!H1096)))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20CEEC82-27B8-4AD0-B37E-2F4091C6F9BD}">
            <xm:f>NOT(ISERROR(SEARCH("정홍조",행정관리부!H1096)))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5D7B9C1E-0A64-49F9-A95C-24667468298A}">
            <xm:f>NOT(ISERROR(SEARCH("김지윤",행정관리부!H1096)))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E193CF20-FF69-48C7-84C2-19442BB48DEB}">
            <xm:f>NOT(ISERROR(SEARCH("전준영",행정관리부!H1096)))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515AFE08-532C-4B52-BA37-2D16F4065E65}">
            <xm:f>NOT(ISERROR(SEARCH("차재성",행정관리부!H1096)))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J60</xm:sqref>
        </x14:conditionalFormatting>
        <x14:conditionalFormatting xmlns:xm="http://schemas.microsoft.com/office/excel/2006/main">
          <x14:cfRule type="containsText" priority="1" operator="containsText" text="허하나로" id="{1553D380-EBF3-4948-A8F8-98538F8831B8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DC2E4E7F-D883-481E-9FF1-2AD5D621EFD9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E2F9C426-FAE1-4EFC-8D0A-06ED06D62318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12C952C8-BF47-493B-B819-9BB9D1C7F993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EF76D266-58E9-4198-B2E8-3B3187FF41E9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DDD0F1D7-8FC9-4E69-A640-DF444B89BA6E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R32"/>
  <sheetViews>
    <sheetView zoomScale="85" zoomScaleNormal="85" workbookViewId="0">
      <selection activeCell="G7" sqref="G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.875" style="576" bestFit="1" customWidth="1"/>
  </cols>
  <sheetData>
    <row r="1" spans="1:13" ht="17.25" thickBot="1">
      <c r="A1" s="88" t="s">
        <v>171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</row>
    <row r="2" spans="1:13" ht="16.5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895</v>
      </c>
      <c r="J2" s="709" t="s">
        <v>463</v>
      </c>
      <c r="K2" s="693" t="s">
        <v>1</v>
      </c>
      <c r="L2" s="694"/>
      <c r="M2" s="695"/>
    </row>
    <row r="3" spans="1:13" ht="17.25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</row>
    <row r="4" spans="1:13" ht="17.25" thickBot="1">
      <c r="A4" s="699" t="s">
        <v>30</v>
      </c>
      <c r="B4" s="700"/>
      <c r="C4" s="700"/>
      <c r="D4" s="700"/>
      <c r="E4" s="700"/>
      <c r="F4" s="700"/>
      <c r="G4" s="701"/>
      <c r="H4" s="184">
        <f>H5</f>
        <v>96648</v>
      </c>
      <c r="I4" s="184">
        <v>96648</v>
      </c>
      <c r="J4" s="120">
        <f t="shared" ref="J4:J11" si="0">H4-I4</f>
        <v>0</v>
      </c>
      <c r="K4" s="89"/>
      <c r="L4" s="90"/>
      <c r="M4" s="121"/>
    </row>
    <row r="5" spans="1:13">
      <c r="A5" s="204" t="s">
        <v>2</v>
      </c>
      <c r="B5" s="122"/>
      <c r="C5" s="123"/>
      <c r="D5" s="123"/>
      <c r="E5" s="123"/>
      <c r="F5" s="123"/>
      <c r="G5" s="124"/>
      <c r="H5" s="94">
        <f>H6</f>
        <v>96648</v>
      </c>
      <c r="I5" s="94">
        <v>96648</v>
      </c>
      <c r="J5" s="95">
        <f t="shared" si="0"/>
        <v>0</v>
      </c>
      <c r="K5" s="78"/>
      <c r="L5" s="79"/>
      <c r="M5" s="80"/>
    </row>
    <row r="6" spans="1:13">
      <c r="A6" s="10"/>
      <c r="B6" s="129" t="s">
        <v>286</v>
      </c>
      <c r="C6" s="129"/>
      <c r="D6" s="130"/>
      <c r="E6" s="130"/>
      <c r="F6" s="130"/>
      <c r="G6" s="131"/>
      <c r="H6" s="94">
        <f>SUM(H7,H25)</f>
        <v>96648</v>
      </c>
      <c r="I6" s="94">
        <v>96648</v>
      </c>
      <c r="J6" s="95">
        <f t="shared" si="0"/>
        <v>0</v>
      </c>
      <c r="K6" s="78"/>
      <c r="L6" s="79"/>
      <c r="M6" s="80"/>
    </row>
    <row r="7" spans="1:13">
      <c r="A7" s="10"/>
      <c r="B7" s="6"/>
      <c r="C7" s="178" t="s">
        <v>239</v>
      </c>
      <c r="D7" s="130"/>
      <c r="E7" s="130"/>
      <c r="F7" s="130"/>
      <c r="G7" s="131"/>
      <c r="H7" s="91">
        <f>H8</f>
        <v>20648</v>
      </c>
      <c r="I7" s="91">
        <v>20648</v>
      </c>
      <c r="J7" s="92">
        <f t="shared" si="0"/>
        <v>0</v>
      </c>
      <c r="K7" s="158"/>
      <c r="L7" s="148"/>
      <c r="M7" s="149"/>
    </row>
    <row r="8" spans="1:13">
      <c r="A8" s="10"/>
      <c r="B8" s="6"/>
      <c r="C8" s="146"/>
      <c r="D8" s="129" t="s">
        <v>34</v>
      </c>
      <c r="E8" s="130"/>
      <c r="F8" s="130"/>
      <c r="G8" s="131"/>
      <c r="H8" s="132">
        <f>H9</f>
        <v>20648</v>
      </c>
      <c r="I8" s="132">
        <v>20648</v>
      </c>
      <c r="J8" s="9">
        <f t="shared" si="0"/>
        <v>0</v>
      </c>
      <c r="K8" s="147"/>
      <c r="L8" s="148"/>
      <c r="M8" s="149"/>
    </row>
    <row r="9" spans="1:13">
      <c r="A9" s="10"/>
      <c r="B9" s="6"/>
      <c r="C9" s="134"/>
      <c r="D9" s="135"/>
      <c r="E9" s="129" t="s">
        <v>31</v>
      </c>
      <c r="F9" s="130"/>
      <c r="G9" s="131"/>
      <c r="H9" s="91">
        <f>SUM(H10,H15,H19,H22)</f>
        <v>20648</v>
      </c>
      <c r="I9" s="91">
        <v>20648</v>
      </c>
      <c r="J9" s="92">
        <f t="shared" si="0"/>
        <v>0</v>
      </c>
      <c r="K9" s="84"/>
      <c r="L9" s="93"/>
      <c r="M9" s="82"/>
    </row>
    <row r="10" spans="1:13">
      <c r="A10" s="63"/>
      <c r="B10" s="65"/>
      <c r="C10" s="65"/>
      <c r="D10" s="65"/>
      <c r="E10" s="65"/>
      <c r="F10" s="136" t="s">
        <v>35</v>
      </c>
      <c r="G10" s="140"/>
      <c r="H10" s="72">
        <f>SUM(H11,H13)</f>
        <v>8048</v>
      </c>
      <c r="I10" s="72">
        <v>8048</v>
      </c>
      <c r="J10" s="98">
        <f t="shared" si="0"/>
        <v>0</v>
      </c>
      <c r="K10" s="383"/>
      <c r="L10" s="384"/>
      <c r="M10" s="398"/>
    </row>
    <row r="11" spans="1:13">
      <c r="A11" s="55"/>
      <c r="B11" s="57"/>
      <c r="C11" s="65"/>
      <c r="D11" s="65"/>
      <c r="E11" s="65"/>
      <c r="F11" s="191"/>
      <c r="G11" s="205" t="s">
        <v>36</v>
      </c>
      <c r="H11" s="206">
        <f>M11</f>
        <v>2000</v>
      </c>
      <c r="I11" s="206">
        <v>2000</v>
      </c>
      <c r="J11" s="41">
        <f t="shared" si="0"/>
        <v>0</v>
      </c>
      <c r="K11" s="386" t="s">
        <v>47</v>
      </c>
      <c r="L11" s="412"/>
      <c r="M11" s="388">
        <f>SUM(M12:M12)</f>
        <v>2000</v>
      </c>
    </row>
    <row r="12" spans="1:13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586" t="s">
        <v>606</v>
      </c>
      <c r="L12" s="378" t="s">
        <v>37</v>
      </c>
      <c r="M12" s="374">
        <v>2000</v>
      </c>
    </row>
    <row r="13" spans="1:13">
      <c r="A13" s="55"/>
      <c r="B13" s="57"/>
      <c r="C13" s="65"/>
      <c r="D13" s="65"/>
      <c r="E13" s="65"/>
      <c r="F13" s="56"/>
      <c r="G13" s="205" t="s">
        <v>306</v>
      </c>
      <c r="H13" s="206">
        <f>M13</f>
        <v>6048</v>
      </c>
      <c r="I13" s="206">
        <v>6048</v>
      </c>
      <c r="J13" s="207">
        <f>H13-I13</f>
        <v>0</v>
      </c>
      <c r="K13" s="386" t="s">
        <v>307</v>
      </c>
      <c r="L13" s="521"/>
      <c r="M13" s="388">
        <f>SUM(M14)</f>
        <v>6048</v>
      </c>
    </row>
    <row r="14" spans="1:13">
      <c r="A14" s="63"/>
      <c r="B14" s="65"/>
      <c r="C14" s="65"/>
      <c r="D14" s="65"/>
      <c r="E14" s="65"/>
      <c r="F14" s="56"/>
      <c r="G14" s="56"/>
      <c r="H14" s="100"/>
      <c r="I14" s="100"/>
      <c r="J14" s="102"/>
      <c r="K14" s="380" t="s">
        <v>608</v>
      </c>
      <c r="L14" s="373" t="s">
        <v>37</v>
      </c>
      <c r="M14" s="374">
        <v>6048</v>
      </c>
    </row>
    <row r="15" spans="1:13">
      <c r="A15" s="63"/>
      <c r="B15" s="65"/>
      <c r="C15" s="65"/>
      <c r="D15" s="65"/>
      <c r="E15" s="65"/>
      <c r="F15" s="702" t="s">
        <v>40</v>
      </c>
      <c r="G15" s="703"/>
      <c r="H15" s="151">
        <f>H16</f>
        <v>9000</v>
      </c>
      <c r="I15" s="151">
        <v>9000</v>
      </c>
      <c r="J15" s="152">
        <f>H15-I15</f>
        <v>0</v>
      </c>
      <c r="K15" s="587"/>
      <c r="L15" s="588"/>
      <c r="M15" s="385"/>
    </row>
    <row r="16" spans="1:13">
      <c r="A16" s="63"/>
      <c r="B16" s="65"/>
      <c r="C16" s="65"/>
      <c r="D16" s="65"/>
      <c r="E16" s="65"/>
      <c r="F16" s="109"/>
      <c r="G16" s="198" t="s">
        <v>41</v>
      </c>
      <c r="H16" s="209">
        <f>M16</f>
        <v>9000</v>
      </c>
      <c r="I16" s="206">
        <v>9000</v>
      </c>
      <c r="J16" s="201">
        <f>H16-I16</f>
        <v>0</v>
      </c>
      <c r="K16" s="386" t="s">
        <v>49</v>
      </c>
      <c r="L16" s="589"/>
      <c r="M16" s="388">
        <f>SUM(M17:M18)</f>
        <v>9000</v>
      </c>
    </row>
    <row r="17" spans="1:18">
      <c r="A17" s="63"/>
      <c r="B17" s="65"/>
      <c r="C17" s="65"/>
      <c r="D17" s="65"/>
      <c r="E17" s="65"/>
      <c r="F17" s="193"/>
      <c r="G17" s="193"/>
      <c r="H17" s="100"/>
      <c r="I17" s="104"/>
      <c r="J17" s="102"/>
      <c r="K17" s="382" t="s">
        <v>678</v>
      </c>
      <c r="L17" s="418" t="s">
        <v>0</v>
      </c>
      <c r="M17" s="374">
        <v>2400</v>
      </c>
      <c r="P17" s="575"/>
    </row>
    <row r="18" spans="1:18">
      <c r="A18" s="63"/>
      <c r="B18" s="65"/>
      <c r="C18" s="65"/>
      <c r="D18" s="65"/>
      <c r="E18" s="65"/>
      <c r="F18" s="193"/>
      <c r="G18" s="193"/>
      <c r="H18" s="100"/>
      <c r="I18" s="104"/>
      <c r="J18" s="102"/>
      <c r="K18" s="380" t="s">
        <v>679</v>
      </c>
      <c r="L18" s="519" t="s">
        <v>0</v>
      </c>
      <c r="M18" s="374">
        <v>6600</v>
      </c>
      <c r="P18" s="575"/>
    </row>
    <row r="19" spans="1:18">
      <c r="A19" s="63"/>
      <c r="B19" s="65"/>
      <c r="C19" s="65"/>
      <c r="D19" s="65"/>
      <c r="E19" s="65"/>
      <c r="F19" s="702" t="s">
        <v>42</v>
      </c>
      <c r="G19" s="703"/>
      <c r="H19" s="151">
        <f>H20</f>
        <v>1500</v>
      </c>
      <c r="I19" s="151">
        <v>1500</v>
      </c>
      <c r="J19" s="152">
        <f>H19-I19</f>
        <v>0</v>
      </c>
      <c r="K19" s="587"/>
      <c r="L19" s="588"/>
      <c r="M19" s="385"/>
    </row>
    <row r="20" spans="1:18">
      <c r="A20" s="63"/>
      <c r="B20" s="65"/>
      <c r="C20" s="65"/>
      <c r="D20" s="65"/>
      <c r="E20" s="65"/>
      <c r="F20" s="193"/>
      <c r="G20" s="109" t="s">
        <v>43</v>
      </c>
      <c r="H20" s="209">
        <f>M20</f>
        <v>1500</v>
      </c>
      <c r="I20" s="209">
        <v>1500</v>
      </c>
      <c r="J20" s="201">
        <f>H20-I20</f>
        <v>0</v>
      </c>
      <c r="K20" s="386" t="s">
        <v>503</v>
      </c>
      <c r="L20" s="412"/>
      <c r="M20" s="388">
        <f>SUM(M21)</f>
        <v>1500</v>
      </c>
    </row>
    <row r="21" spans="1:18">
      <c r="A21" s="314"/>
      <c r="B21" s="315"/>
      <c r="C21" s="315"/>
      <c r="D21" s="315"/>
      <c r="E21" s="315"/>
      <c r="F21" s="194"/>
      <c r="G21" s="194"/>
      <c r="H21" s="103"/>
      <c r="I21" s="154"/>
      <c r="J21" s="154"/>
      <c r="K21" s="518" t="s">
        <v>607</v>
      </c>
      <c r="L21" s="519" t="s">
        <v>0</v>
      </c>
      <c r="M21" s="374">
        <v>1500</v>
      </c>
    </row>
    <row r="22" spans="1:18">
      <c r="A22" s="63"/>
      <c r="B22" s="65"/>
      <c r="C22" s="65"/>
      <c r="D22" s="65"/>
      <c r="E22" s="65"/>
      <c r="F22" s="330" t="s">
        <v>87</v>
      </c>
      <c r="G22" s="70"/>
      <c r="H22" s="71">
        <f>H23</f>
        <v>2100</v>
      </c>
      <c r="I22" s="71">
        <v>2100</v>
      </c>
      <c r="J22" s="145">
        <f>H22-I22</f>
        <v>0</v>
      </c>
      <c r="K22" s="525"/>
      <c r="L22" s="526"/>
      <c r="M22" s="385"/>
    </row>
    <row r="23" spans="1:18">
      <c r="A23" s="63"/>
      <c r="B23" s="65"/>
      <c r="C23" s="65"/>
      <c r="D23" s="65"/>
      <c r="E23" s="65"/>
      <c r="F23" s="142"/>
      <c r="G23" s="65" t="s">
        <v>91</v>
      </c>
      <c r="H23" s="75">
        <f>M23</f>
        <v>2100</v>
      </c>
      <c r="I23" s="75">
        <v>2100</v>
      </c>
      <c r="J23" s="48">
        <f>H23-I23</f>
        <v>0</v>
      </c>
      <c r="K23" s="386" t="s">
        <v>383</v>
      </c>
      <c r="L23" s="411"/>
      <c r="M23" s="388">
        <f>M24</f>
        <v>2100</v>
      </c>
    </row>
    <row r="24" spans="1:18">
      <c r="A24" s="63"/>
      <c r="B24" s="65"/>
      <c r="C24" s="67"/>
      <c r="D24" s="67"/>
      <c r="E24" s="67"/>
      <c r="F24" s="223"/>
      <c r="G24" s="194"/>
      <c r="H24" s="108"/>
      <c r="I24" s="224"/>
      <c r="J24" s="155"/>
      <c r="K24" s="216" t="s">
        <v>386</v>
      </c>
      <c r="L24" s="203" t="s">
        <v>0</v>
      </c>
      <c r="M24" s="195">
        <v>2100</v>
      </c>
      <c r="P24" s="575"/>
    </row>
    <row r="25" spans="1:18" s="1" customFormat="1" ht="18" customHeight="1">
      <c r="A25" s="10"/>
      <c r="B25" s="455"/>
      <c r="C25" s="344" t="s">
        <v>777</v>
      </c>
      <c r="D25" s="537"/>
      <c r="E25" s="537"/>
      <c r="F25" s="537"/>
      <c r="G25" s="538"/>
      <c r="H25" s="95">
        <f>SUM(H26)</f>
        <v>76000</v>
      </c>
      <c r="I25" s="95">
        <v>76000</v>
      </c>
      <c r="J25" s="95">
        <f t="shared" ref="J25" si="1">H25-I25</f>
        <v>0</v>
      </c>
      <c r="K25" s="402"/>
      <c r="L25" s="403"/>
      <c r="M25" s="404"/>
      <c r="N25" s="578"/>
      <c r="O25" s="578"/>
      <c r="P25" s="578"/>
      <c r="Q25" s="578"/>
      <c r="R25" s="578"/>
    </row>
    <row r="26" spans="1:18" s="1" customFormat="1" ht="18" customHeight="1">
      <c r="A26" s="10"/>
      <c r="B26" s="455"/>
      <c r="C26" s="455"/>
      <c r="D26" s="344" t="s">
        <v>417</v>
      </c>
      <c r="E26" s="453"/>
      <c r="F26" s="453"/>
      <c r="G26" s="454"/>
      <c r="H26" s="456">
        <f>H27</f>
        <v>76000</v>
      </c>
      <c r="I26" s="456">
        <v>76000</v>
      </c>
      <c r="J26" s="92">
        <f>H26-I26</f>
        <v>0</v>
      </c>
      <c r="K26" s="350"/>
      <c r="L26" s="405"/>
      <c r="M26" s="404"/>
      <c r="N26" s="603"/>
      <c r="O26" s="603"/>
      <c r="P26" s="603"/>
      <c r="Q26" s="603"/>
      <c r="R26" s="603"/>
    </row>
    <row r="27" spans="1:18" s="1" customFormat="1" ht="18" customHeight="1">
      <c r="A27" s="10"/>
      <c r="B27" s="455"/>
      <c r="C27" s="457"/>
      <c r="D27" s="458"/>
      <c r="E27" s="349" t="s">
        <v>602</v>
      </c>
      <c r="F27" s="453"/>
      <c r="G27" s="454"/>
      <c r="H27" s="92">
        <f>H28</f>
        <v>76000</v>
      </c>
      <c r="I27" s="92">
        <v>76000</v>
      </c>
      <c r="J27" s="92">
        <f>H27-I27</f>
        <v>0</v>
      </c>
      <c r="K27" s="351"/>
      <c r="L27" s="391"/>
      <c r="M27" s="406"/>
      <c r="N27" s="603"/>
      <c r="O27" s="603"/>
      <c r="P27" s="603"/>
      <c r="Q27" s="603"/>
      <c r="R27" s="603"/>
    </row>
    <row r="28" spans="1:18" s="61" customFormat="1" ht="18" customHeight="1">
      <c r="A28" s="63"/>
      <c r="B28" s="358"/>
      <c r="C28" s="460"/>
      <c r="D28" s="461"/>
      <c r="E28" s="462"/>
      <c r="F28" s="463" t="s">
        <v>363</v>
      </c>
      <c r="G28" s="464"/>
      <c r="H28" s="98">
        <f>H29</f>
        <v>76000</v>
      </c>
      <c r="I28" s="98">
        <v>76000</v>
      </c>
      <c r="J28" s="98">
        <f t="shared" ref="J28:J29" si="2">H28-I28</f>
        <v>0</v>
      </c>
      <c r="K28" s="393"/>
      <c r="L28" s="352"/>
      <c r="M28" s="407"/>
      <c r="N28" s="603"/>
      <c r="O28" s="603"/>
      <c r="P28" s="603"/>
      <c r="Q28" s="603"/>
      <c r="R28" s="603"/>
    </row>
    <row r="29" spans="1:18" s="61" customFormat="1">
      <c r="A29" s="63"/>
      <c r="B29" s="358"/>
      <c r="C29" s="358"/>
      <c r="D29" s="359"/>
      <c r="E29" s="360"/>
      <c r="F29" s="360"/>
      <c r="G29" s="465" t="s">
        <v>600</v>
      </c>
      <c r="H29" s="41">
        <f>M29</f>
        <v>76000</v>
      </c>
      <c r="I29" s="41">
        <v>76000</v>
      </c>
      <c r="J29" s="41">
        <f t="shared" si="2"/>
        <v>0</v>
      </c>
      <c r="K29" s="386" t="s">
        <v>222</v>
      </c>
      <c r="L29" s="387"/>
      <c r="M29" s="408">
        <f>M31</f>
        <v>76000</v>
      </c>
      <c r="N29" s="603"/>
      <c r="O29" s="603"/>
      <c r="P29" s="603"/>
      <c r="Q29" s="603"/>
      <c r="R29" s="603"/>
    </row>
    <row r="30" spans="1:18" s="61" customFormat="1">
      <c r="A30" s="63"/>
      <c r="B30" s="358"/>
      <c r="C30" s="358"/>
      <c r="D30" s="359"/>
      <c r="E30" s="360"/>
      <c r="F30" s="360"/>
      <c r="G30" s="615"/>
      <c r="H30" s="50"/>
      <c r="I30" s="50"/>
      <c r="J30" s="50"/>
      <c r="K30" s="604" t="s">
        <v>732</v>
      </c>
      <c r="L30" s="375"/>
      <c r="M30" s="618"/>
      <c r="N30" s="603"/>
      <c r="O30" s="603"/>
      <c r="P30" s="603"/>
      <c r="Q30" s="603"/>
      <c r="R30" s="603"/>
    </row>
    <row r="31" spans="1:18" s="61" customFormat="1" ht="17.25" thickBot="1">
      <c r="A31" s="287"/>
      <c r="B31" s="504"/>
      <c r="C31" s="504"/>
      <c r="D31" s="528"/>
      <c r="E31" s="529"/>
      <c r="F31" s="529"/>
      <c r="G31" s="617"/>
      <c r="H31" s="229"/>
      <c r="I31" s="229"/>
      <c r="J31" s="229"/>
      <c r="K31" s="651" t="s">
        <v>833</v>
      </c>
      <c r="L31" s="652" t="s">
        <v>0</v>
      </c>
      <c r="M31" s="653">
        <v>76000</v>
      </c>
      <c r="N31" s="603"/>
      <c r="O31" s="603"/>
      <c r="P31" s="603"/>
      <c r="Q31" s="603"/>
      <c r="R31" s="603"/>
    </row>
    <row r="32" spans="1:18">
      <c r="O32" s="250"/>
      <c r="P32" s="575"/>
    </row>
  </sheetData>
  <protectedRanges>
    <protectedRange password="ECE8" sqref="N25:Z27" name="작성자만수정_2_1_1"/>
  </protectedRanges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755" priority="73" operator="containsText" text="허하나로">
      <formula>NOT(ISERROR(SEARCH("허하나로",H1053)))</formula>
    </cfRule>
    <cfRule type="containsText" dxfId="754" priority="74" operator="containsText" text="한별">
      <formula>NOT(ISERROR(SEARCH("한별",H1053)))</formula>
    </cfRule>
    <cfRule type="containsText" dxfId="753" priority="75" operator="containsText" text="정홍조">
      <formula>NOT(ISERROR(SEARCH("정홍조",H1053)))</formula>
    </cfRule>
    <cfRule type="containsText" dxfId="752" priority="76" operator="containsText" text="김지윤">
      <formula>NOT(ISERROR(SEARCH("김지윤",H1053)))</formula>
    </cfRule>
    <cfRule type="containsText" dxfId="751" priority="77" operator="containsText" text="전준영">
      <formula>NOT(ISERROR(SEARCH("전준영",H1053)))</formula>
    </cfRule>
    <cfRule type="containsText" dxfId="750" priority="78" operator="containsText" text="차재성">
      <formula>NOT(ISERROR(SEARCH("차재성",H1053)))</formula>
    </cfRule>
  </conditionalFormatting>
  <conditionalFormatting sqref="J6">
    <cfRule type="containsText" dxfId="749" priority="85" operator="containsText" text="허하나로">
      <formula>NOT(ISERROR(SEARCH("허하나로",H690)))</formula>
    </cfRule>
    <cfRule type="containsText" dxfId="748" priority="86" operator="containsText" text="한별">
      <formula>NOT(ISERROR(SEARCH("한별",H690)))</formula>
    </cfRule>
    <cfRule type="containsText" dxfId="747" priority="87" operator="containsText" text="정홍조">
      <formula>NOT(ISERROR(SEARCH("정홍조",H690)))</formula>
    </cfRule>
    <cfRule type="containsText" dxfId="746" priority="88" operator="containsText" text="김지윤">
      <formula>NOT(ISERROR(SEARCH("김지윤",H690)))</formula>
    </cfRule>
    <cfRule type="containsText" dxfId="745" priority="89" operator="containsText" text="전준영">
      <formula>NOT(ISERROR(SEARCH("전준영",H690)))</formula>
    </cfRule>
    <cfRule type="containsText" dxfId="744" priority="90" operator="containsText" text="차재성">
      <formula>NOT(ISERROR(SEARCH("차재성",H690)))</formula>
    </cfRule>
  </conditionalFormatting>
  <conditionalFormatting sqref="J5">
    <cfRule type="containsText" dxfId="743" priority="79" operator="containsText" text="허하나로">
      <formula>NOT(ISERROR(SEARCH("허하나로",H689)))</formula>
    </cfRule>
    <cfRule type="containsText" dxfId="742" priority="80" operator="containsText" text="한별">
      <formula>NOT(ISERROR(SEARCH("한별",H689)))</formula>
    </cfRule>
    <cfRule type="containsText" dxfId="741" priority="81" operator="containsText" text="정홍조">
      <formula>NOT(ISERROR(SEARCH("정홍조",H689)))</formula>
    </cfRule>
    <cfRule type="containsText" dxfId="740" priority="82" operator="containsText" text="김지윤">
      <formula>NOT(ISERROR(SEARCH("김지윤",H689)))</formula>
    </cfRule>
    <cfRule type="containsText" dxfId="739" priority="83" operator="containsText" text="전준영">
      <formula>NOT(ISERROR(SEARCH("전준영",H689)))</formula>
    </cfRule>
    <cfRule type="containsText" dxfId="738" priority="84" operator="containsText" text="차재성">
      <formula>NOT(ISERROR(SEARCH("차재성",H689)))</formula>
    </cfRule>
  </conditionalFormatting>
  <conditionalFormatting sqref="J7">
    <cfRule type="containsText" dxfId="737" priority="67" operator="containsText" text="허하나로">
      <formula>NOT(ISERROR(SEARCH("허하나로",H823)))</formula>
    </cfRule>
    <cfRule type="containsText" dxfId="736" priority="68" operator="containsText" text="한별">
      <formula>NOT(ISERROR(SEARCH("한별",H823)))</formula>
    </cfRule>
    <cfRule type="containsText" dxfId="735" priority="69" operator="containsText" text="정홍조">
      <formula>NOT(ISERROR(SEARCH("정홍조",H823)))</formula>
    </cfRule>
    <cfRule type="containsText" dxfId="734" priority="70" operator="containsText" text="김지윤">
      <formula>NOT(ISERROR(SEARCH("김지윤",H823)))</formula>
    </cfRule>
    <cfRule type="containsText" dxfId="733" priority="71" operator="containsText" text="전준영">
      <formula>NOT(ISERROR(SEARCH("전준영",H823)))</formula>
    </cfRule>
    <cfRule type="containsText" dxfId="732" priority="72" operator="containsText" text="차재성">
      <formula>NOT(ISERROR(SEARCH("차재성",H823)))</formula>
    </cfRule>
  </conditionalFormatting>
  <conditionalFormatting sqref="J10:J11">
    <cfRule type="containsText" dxfId="731" priority="61" operator="containsText" text="허하나로">
      <formula>NOT(ISERROR(SEARCH("허하나로",H1031)))</formula>
    </cfRule>
    <cfRule type="containsText" dxfId="730" priority="62" operator="containsText" text="한별">
      <formula>NOT(ISERROR(SEARCH("한별",H1031)))</formula>
    </cfRule>
    <cfRule type="containsText" dxfId="729" priority="63" operator="containsText" text="정홍조">
      <formula>NOT(ISERROR(SEARCH("정홍조",H1031)))</formula>
    </cfRule>
    <cfRule type="containsText" dxfId="728" priority="64" operator="containsText" text="김지윤">
      <formula>NOT(ISERROR(SEARCH("김지윤",H1031)))</formula>
    </cfRule>
    <cfRule type="containsText" dxfId="727" priority="65" operator="containsText" text="전준영">
      <formula>NOT(ISERROR(SEARCH("전준영",H1031)))</formula>
    </cfRule>
    <cfRule type="containsText" dxfId="726" priority="66" operator="containsText" text="차재성">
      <formula>NOT(ISERROR(SEARCH("차재성",H1031)))</formula>
    </cfRule>
  </conditionalFormatting>
  <conditionalFormatting sqref="J9">
    <cfRule type="containsText" dxfId="725" priority="103" operator="containsText" text="허하나로">
      <formula>NOT(ISERROR(SEARCH("허하나로",H1020)))</formula>
    </cfRule>
    <cfRule type="containsText" dxfId="724" priority="104" operator="containsText" text="한별">
      <formula>NOT(ISERROR(SEARCH("한별",H1020)))</formula>
    </cfRule>
    <cfRule type="containsText" dxfId="723" priority="105" operator="containsText" text="정홍조">
      <formula>NOT(ISERROR(SEARCH("정홍조",H1020)))</formula>
    </cfRule>
    <cfRule type="containsText" dxfId="722" priority="106" operator="containsText" text="김지윤">
      <formula>NOT(ISERROR(SEARCH("김지윤",H1020)))</formula>
    </cfRule>
    <cfRule type="containsText" dxfId="721" priority="107" operator="containsText" text="전준영">
      <formula>NOT(ISERROR(SEARCH("전준영",H1020)))</formula>
    </cfRule>
    <cfRule type="containsText" dxfId="720" priority="108" operator="containsText" text="차재성">
      <formula>NOT(ISERROR(SEARCH("차재성",H1020)))</formula>
    </cfRule>
  </conditionalFormatting>
  <conditionalFormatting sqref="J15:J18">
    <cfRule type="containsText" dxfId="719" priority="109" operator="containsText" text="허하나로">
      <formula>NOT(ISERROR(SEARCH("허하나로",H1033)))</formula>
    </cfRule>
    <cfRule type="containsText" dxfId="718" priority="110" operator="containsText" text="한별">
      <formula>NOT(ISERROR(SEARCH("한별",H1033)))</formula>
    </cfRule>
    <cfRule type="containsText" dxfId="717" priority="111" operator="containsText" text="정홍조">
      <formula>NOT(ISERROR(SEARCH("정홍조",H1033)))</formula>
    </cfRule>
    <cfRule type="containsText" dxfId="716" priority="112" operator="containsText" text="김지윤">
      <formula>NOT(ISERROR(SEARCH("김지윤",H1033)))</formula>
    </cfRule>
    <cfRule type="containsText" dxfId="715" priority="113" operator="containsText" text="전준영">
      <formula>NOT(ISERROR(SEARCH("전준영",H1033)))</formula>
    </cfRule>
    <cfRule type="containsText" dxfId="714" priority="114" operator="containsText" text="차재성">
      <formula>NOT(ISERROR(SEARCH("차재성",H1033)))</formula>
    </cfRule>
  </conditionalFormatting>
  <conditionalFormatting sqref="J19">
    <cfRule type="containsText" dxfId="713" priority="49" operator="containsText" text="허하나로">
      <formula>NOT(ISERROR(SEARCH("허하나로",H1037)))</formula>
    </cfRule>
    <cfRule type="containsText" dxfId="712" priority="50" operator="containsText" text="한별">
      <formula>NOT(ISERROR(SEARCH("한별",H1037)))</formula>
    </cfRule>
    <cfRule type="containsText" dxfId="711" priority="51" operator="containsText" text="정홍조">
      <formula>NOT(ISERROR(SEARCH("정홍조",H1037)))</formula>
    </cfRule>
    <cfRule type="containsText" dxfId="710" priority="52" operator="containsText" text="김지윤">
      <formula>NOT(ISERROR(SEARCH("김지윤",H1037)))</formula>
    </cfRule>
    <cfRule type="containsText" dxfId="709" priority="53" operator="containsText" text="전준영">
      <formula>NOT(ISERROR(SEARCH("전준영",H1037)))</formula>
    </cfRule>
    <cfRule type="containsText" dxfId="708" priority="54" operator="containsText" text="차재성">
      <formula>NOT(ISERROR(SEARCH("차재성",H1037)))</formula>
    </cfRule>
  </conditionalFormatting>
  <conditionalFormatting sqref="L16">
    <cfRule type="containsText" dxfId="707" priority="43" operator="containsText" text="허하나로">
      <formula>NOT(ISERROR(SEARCH("허하나로",J1168)))</formula>
    </cfRule>
    <cfRule type="containsText" dxfId="706" priority="44" operator="containsText" text="한별">
      <formula>NOT(ISERROR(SEARCH("한별",J1168)))</formula>
    </cfRule>
    <cfRule type="containsText" dxfId="705" priority="45" operator="containsText" text="정홍조">
      <formula>NOT(ISERROR(SEARCH("정홍조",J1168)))</formula>
    </cfRule>
    <cfRule type="containsText" dxfId="704" priority="46" operator="containsText" text="김지윤">
      <formula>NOT(ISERROR(SEARCH("김지윤",J1168)))</formula>
    </cfRule>
    <cfRule type="containsText" dxfId="703" priority="47" operator="containsText" text="전준영">
      <formula>NOT(ISERROR(SEARCH("전준영",J1168)))</formula>
    </cfRule>
    <cfRule type="containsText" dxfId="702" priority="48" operator="containsText" text="차재성">
      <formula>NOT(ISERROR(SEARCH("차재성",J1168)))</formula>
    </cfRule>
  </conditionalFormatting>
  <conditionalFormatting sqref="I21">
    <cfRule type="containsText" dxfId="701" priority="37" operator="containsText" text="허하나로">
      <formula>NOT(ISERROR(SEARCH("허하나로",G1054)))</formula>
    </cfRule>
    <cfRule type="containsText" dxfId="700" priority="38" operator="containsText" text="한별">
      <formula>NOT(ISERROR(SEARCH("한별",G1054)))</formula>
    </cfRule>
    <cfRule type="containsText" dxfId="699" priority="39" operator="containsText" text="정홍조">
      <formula>NOT(ISERROR(SEARCH("정홍조",G1054)))</formula>
    </cfRule>
    <cfRule type="containsText" dxfId="698" priority="40" operator="containsText" text="김지윤">
      <formula>NOT(ISERROR(SEARCH("김지윤",G1054)))</formula>
    </cfRule>
    <cfRule type="containsText" dxfId="697" priority="41" operator="containsText" text="전준영">
      <formula>NOT(ISERROR(SEARCH("전준영",G1054)))</formula>
    </cfRule>
    <cfRule type="containsText" dxfId="696" priority="42" operator="containsText" text="차재성">
      <formula>NOT(ISERROR(SEARCH("차재성",G1054)))</formula>
    </cfRule>
  </conditionalFormatting>
  <conditionalFormatting sqref="J13:J14">
    <cfRule type="containsText" dxfId="695" priority="31" operator="containsText" text="허하나로">
      <formula>NOT(ISERROR(SEARCH("허하나로",H1029)))</formula>
    </cfRule>
    <cfRule type="containsText" dxfId="694" priority="32" operator="containsText" text="한별">
      <formula>NOT(ISERROR(SEARCH("한별",H1029)))</formula>
    </cfRule>
    <cfRule type="containsText" dxfId="693" priority="33" operator="containsText" text="정홍조">
      <formula>NOT(ISERROR(SEARCH("정홍조",H1029)))</formula>
    </cfRule>
    <cfRule type="containsText" dxfId="692" priority="34" operator="containsText" text="김지윤">
      <formula>NOT(ISERROR(SEARCH("김지윤",H1029)))</formula>
    </cfRule>
    <cfRule type="containsText" dxfId="691" priority="35" operator="containsText" text="전준영">
      <formula>NOT(ISERROR(SEARCH("전준영",H1029)))</formula>
    </cfRule>
    <cfRule type="containsText" dxfId="690" priority="36" operator="containsText" text="차재성">
      <formula>NOT(ISERROR(SEARCH("차재성",H1029)))</formula>
    </cfRule>
  </conditionalFormatting>
  <conditionalFormatting sqref="J12">
    <cfRule type="containsText" dxfId="689" priority="3463" operator="containsText" text="허하나로">
      <formula>NOT(ISERROR(SEARCH("허하나로",H1022)))</formula>
    </cfRule>
    <cfRule type="containsText" dxfId="688" priority="3464" operator="containsText" text="한별">
      <formula>NOT(ISERROR(SEARCH("한별",H1022)))</formula>
    </cfRule>
    <cfRule type="containsText" dxfId="687" priority="3465" operator="containsText" text="정홍조">
      <formula>NOT(ISERROR(SEARCH("정홍조",H1022)))</formula>
    </cfRule>
    <cfRule type="containsText" dxfId="686" priority="3466" operator="containsText" text="김지윤">
      <formula>NOT(ISERROR(SEARCH("김지윤",H1022)))</formula>
    </cfRule>
    <cfRule type="containsText" dxfId="685" priority="3467" operator="containsText" text="전준영">
      <formula>NOT(ISERROR(SEARCH("전준영",H1022)))</formula>
    </cfRule>
    <cfRule type="containsText" dxfId="684" priority="3468" operator="containsText" text="차재성">
      <formula>NOT(ISERROR(SEARCH("차재성",H1022)))</formula>
    </cfRule>
  </conditionalFormatting>
  <conditionalFormatting sqref="J2:J3">
    <cfRule type="containsText" dxfId="683" priority="13" operator="containsText" text="허하나로">
      <formula>NOT(ISERROR(SEARCH("허하나로",H769)))</formula>
    </cfRule>
    <cfRule type="containsText" dxfId="682" priority="14" operator="containsText" text="한별">
      <formula>NOT(ISERROR(SEARCH("한별",H769)))</formula>
    </cfRule>
    <cfRule type="containsText" dxfId="681" priority="15" operator="containsText" text="정홍조">
      <formula>NOT(ISERROR(SEARCH("정홍조",H769)))</formula>
    </cfRule>
    <cfRule type="containsText" dxfId="680" priority="16" operator="containsText" text="김지윤">
      <formula>NOT(ISERROR(SEARCH("김지윤",H769)))</formula>
    </cfRule>
    <cfRule type="containsText" dxfId="679" priority="17" operator="containsText" text="전준영">
      <formula>NOT(ISERROR(SEARCH("전준영",H769)))</formula>
    </cfRule>
    <cfRule type="containsText" dxfId="678" priority="18" operator="containsText" text="차재성">
      <formula>NOT(ISERROR(SEARCH("차재성",H769)))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text="허하나로" id="{774F1957-6F7E-47F0-83F6-DDCC9E32F87C}">
            <xm:f>NOT(ISERROR(SEARCH("허하나로",행정관리부!H1075)))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5BA179BA-92F8-4DA7-8572-8DD8D06767D6}">
            <xm:f>NOT(ISERROR(SEARCH("한별",행정관리부!H1075)))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C9A7CB98-1908-4097-B954-21561F3ED660}">
            <xm:f>NOT(ISERROR(SEARCH("정홍조",행정관리부!H1075)))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F42696BF-6191-453B-91F0-A4C50C1E5F51}">
            <xm:f>NOT(ISERROR(SEARCH("김지윤",행정관리부!H1075)))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F6BE78ED-6A1A-4876-B007-2C5A7559D9E8}">
            <xm:f>NOT(ISERROR(SEARCH("전준영",행정관리부!H1075)))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DC424755-C126-42D9-900C-CDA0AA09D931}">
            <xm:f>NOT(ISERROR(SEARCH("차재성",행정관리부!H1075)))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19" operator="containsText" text="허하나로" id="{D86B4523-9939-4486-9282-D4DDFE713595}">
            <xm:f>NOT(ISERROR(SEARCH("허하나로",행정관리부!H1131)))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0C3EB3C8-FCE3-46D8-9153-BE59AF7908E1}">
            <xm:f>NOT(ISERROR(SEARCH("한별",행정관리부!H1131)))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F55C4DC4-1262-47FA-8412-8512C9DB54EC}">
            <xm:f>NOT(ISERROR(SEARCH("정홍조",행정관리부!H1131)))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E5306826-E6C4-4F06-8750-02736BA2C452}">
            <xm:f>NOT(ISERROR(SEARCH("김지윤",행정관리부!H1131)))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980CAFB1-FB54-401A-ABE4-71AF55BB55BA}">
            <xm:f>NOT(ISERROR(SEARCH("전준영",행정관리부!H1131)))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483E4931-8C71-4D92-A93D-6BB4D2EF8801}">
            <xm:f>NOT(ISERROR(SEARCH("차재성",행정관리부!H1131)))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containsText" priority="7" operator="containsText" text="허하나로" id="{8FD9F108-E5B7-403E-9DEE-58218C1A3F88}">
            <xm:f>NOT(ISERROR(SEARCH("허하나로",시설조성부!H1075)))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731F7470-4E32-426B-BED6-35C7BA042F6C}">
            <xm:f>NOT(ISERROR(SEARCH("한별",시설조성부!H1075)))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FA6ACEE2-2CF8-4D98-8FD7-5C34A6BC6244}">
            <xm:f>NOT(ISERROR(SEARCH("정홍조",시설조성부!H1075)))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FF19253F-D3E6-4C53-BF78-FAFFE8E591FE}">
            <xm:f>NOT(ISERROR(SEARCH("김지윤",시설조성부!H1075)))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58E87052-A2D2-4A2D-B423-E0F4DF59EF68}">
            <xm:f>NOT(ISERROR(SEARCH("전준영",시설조성부!H1075)))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2B797142-2460-46CC-B526-F4DA20A08BAA}">
            <xm:f>NOT(ISERROR(SEARCH("차재성",시설조성부!H1075)))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" operator="containsText" text="허하나로" id="{7FFCAF1B-7226-4EF0-B74C-9D17EACE1FBD}">
            <xm:f>NOT(ISERROR(SEARCH("허하나로",시설조성부!H764)))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3030D397-28CE-4778-B876-885E999C30EE}">
            <xm:f>NOT(ISERROR(SEARCH("한별",시설조성부!H764)))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78E9FFF9-225B-49AC-A345-242EEBBAC21C}">
            <xm:f>NOT(ISERROR(SEARCH("정홍조",시설조성부!H764)))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D01B19F9-CA5F-4838-9518-86B0AAF09942}">
            <xm:f>NOT(ISERROR(SEARCH("김지윤",시설조성부!H764)))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28888E18-148C-494F-B213-FA53CB16A203}">
            <xm:f>NOT(ISERROR(SEARCH("전준영",시설조성부!H764)))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597A7CB9-2631-4233-87C4-756F10A0EF73}">
            <xm:f>NOT(ISERROR(SEARCH("차재성",시설조성부!H764)))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R72"/>
  <sheetViews>
    <sheetView zoomScale="85" zoomScaleNormal="85" workbookViewId="0">
      <selection activeCell="G12" sqref="G1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76" bestFit="1" customWidth="1"/>
    <col min="15" max="15" width="22.25" style="576" customWidth="1"/>
    <col min="16" max="16" width="11.5" style="576" bestFit="1" customWidth="1"/>
    <col min="17" max="18" width="9" style="576"/>
  </cols>
  <sheetData>
    <row r="1" spans="1:18" ht="17.25" thickBot="1">
      <c r="A1" s="88" t="s">
        <v>172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</row>
    <row r="2" spans="1:18" ht="16.5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894</v>
      </c>
      <c r="J2" s="709" t="s">
        <v>463</v>
      </c>
      <c r="K2" s="693" t="s">
        <v>1</v>
      </c>
      <c r="L2" s="694"/>
      <c r="M2" s="695"/>
    </row>
    <row r="3" spans="1:18" ht="17.25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</row>
    <row r="4" spans="1:18" ht="17.25" thickBot="1">
      <c r="A4" s="699" t="s">
        <v>30</v>
      </c>
      <c r="B4" s="700"/>
      <c r="C4" s="700"/>
      <c r="D4" s="700"/>
      <c r="E4" s="700"/>
      <c r="F4" s="700"/>
      <c r="G4" s="701"/>
      <c r="H4" s="184">
        <f>H5+H42</f>
        <v>6523369</v>
      </c>
      <c r="I4" s="184">
        <v>6673369</v>
      </c>
      <c r="J4" s="120">
        <f>H4-I4</f>
        <v>-150000</v>
      </c>
      <c r="K4" s="89"/>
      <c r="L4" s="90"/>
      <c r="M4" s="121"/>
    </row>
    <row r="5" spans="1:18">
      <c r="A5" s="204" t="s">
        <v>2</v>
      </c>
      <c r="B5" s="122"/>
      <c r="C5" s="123"/>
      <c r="D5" s="123"/>
      <c r="E5" s="123"/>
      <c r="F5" s="123"/>
      <c r="G5" s="124"/>
      <c r="H5" s="94">
        <f>H6</f>
        <v>3124268</v>
      </c>
      <c r="I5" s="94">
        <v>3124268</v>
      </c>
      <c r="J5" s="95">
        <f t="shared" ref="J5:J20" si="0">H5-I5</f>
        <v>0</v>
      </c>
      <c r="K5" s="78"/>
      <c r="L5" s="79"/>
      <c r="M5" s="80"/>
    </row>
    <row r="6" spans="1:18">
      <c r="A6" s="10"/>
      <c r="B6" s="129" t="s">
        <v>285</v>
      </c>
      <c r="C6" s="129"/>
      <c r="D6" s="130"/>
      <c r="E6" s="130"/>
      <c r="F6" s="130"/>
      <c r="G6" s="131"/>
      <c r="H6" s="94">
        <f>SUM(H7,H16,H34)</f>
        <v>3124268</v>
      </c>
      <c r="I6" s="94">
        <v>3124268</v>
      </c>
      <c r="J6" s="95">
        <f t="shared" si="0"/>
        <v>0</v>
      </c>
      <c r="K6" s="78"/>
      <c r="L6" s="79"/>
      <c r="M6" s="80"/>
    </row>
    <row r="7" spans="1:18">
      <c r="A7" s="10"/>
      <c r="B7" s="6"/>
      <c r="C7" s="129" t="s">
        <v>835</v>
      </c>
      <c r="D7" s="130"/>
      <c r="E7" s="130"/>
      <c r="F7" s="130"/>
      <c r="G7" s="131"/>
      <c r="H7" s="91">
        <f>H8</f>
        <v>83000</v>
      </c>
      <c r="I7" s="91">
        <v>83000</v>
      </c>
      <c r="J7" s="92">
        <f t="shared" ref="J7:J11" si="1">H7-I7</f>
        <v>0</v>
      </c>
      <c r="K7" s="158"/>
      <c r="L7" s="148"/>
      <c r="M7" s="149"/>
      <c r="N7" s="603"/>
      <c r="O7" s="603"/>
      <c r="P7" s="603"/>
      <c r="Q7" s="603"/>
      <c r="R7" s="603"/>
    </row>
    <row r="8" spans="1:18">
      <c r="A8" s="10"/>
      <c r="B8" s="6"/>
      <c r="C8" s="146"/>
      <c r="D8" s="129" t="s">
        <v>834</v>
      </c>
      <c r="E8" s="130"/>
      <c r="F8" s="130"/>
      <c r="G8" s="131"/>
      <c r="H8" s="132">
        <f>H9</f>
        <v>83000</v>
      </c>
      <c r="I8" s="132">
        <v>83000</v>
      </c>
      <c r="J8" s="9">
        <f t="shared" si="1"/>
        <v>0</v>
      </c>
      <c r="K8" s="147"/>
      <c r="L8" s="148"/>
      <c r="M8" s="149"/>
      <c r="N8" s="603"/>
      <c r="O8" s="603"/>
      <c r="P8" s="603"/>
      <c r="Q8" s="603"/>
      <c r="R8" s="603"/>
    </row>
    <row r="9" spans="1:18">
      <c r="A9" s="10"/>
      <c r="B9" s="6"/>
      <c r="C9" s="134"/>
      <c r="D9" s="135"/>
      <c r="E9" s="129" t="s">
        <v>31</v>
      </c>
      <c r="F9" s="130"/>
      <c r="G9" s="131"/>
      <c r="H9" s="91">
        <f>H10</f>
        <v>83000</v>
      </c>
      <c r="I9" s="91">
        <v>83000</v>
      </c>
      <c r="J9" s="92">
        <f t="shared" si="1"/>
        <v>0</v>
      </c>
      <c r="K9" s="351"/>
      <c r="L9" s="391"/>
      <c r="M9" s="392"/>
      <c r="N9" s="603"/>
      <c r="O9" s="603"/>
      <c r="P9" s="603"/>
      <c r="Q9" s="603"/>
      <c r="R9" s="603"/>
    </row>
    <row r="10" spans="1:18">
      <c r="A10" s="63"/>
      <c r="B10" s="65"/>
      <c r="C10" s="65"/>
      <c r="D10" s="65"/>
      <c r="E10" s="65"/>
      <c r="F10" s="136" t="s">
        <v>35</v>
      </c>
      <c r="G10" s="140"/>
      <c r="H10" s="72">
        <f>H11</f>
        <v>83000</v>
      </c>
      <c r="I10" s="72">
        <v>83000</v>
      </c>
      <c r="J10" s="98">
        <f t="shared" si="1"/>
        <v>0</v>
      </c>
      <c r="K10" s="383"/>
      <c r="L10" s="384"/>
      <c r="M10" s="398"/>
      <c r="N10" s="603"/>
      <c r="O10" s="603"/>
      <c r="P10" s="603"/>
      <c r="Q10" s="603"/>
      <c r="R10" s="603"/>
    </row>
    <row r="11" spans="1:18">
      <c r="A11" s="55"/>
      <c r="B11" s="57"/>
      <c r="C11" s="65"/>
      <c r="D11" s="65"/>
      <c r="E11" s="65"/>
      <c r="F11" s="191"/>
      <c r="G11" s="205" t="s">
        <v>36</v>
      </c>
      <c r="H11" s="206">
        <f>M11</f>
        <v>83000</v>
      </c>
      <c r="I11" s="206">
        <v>83000</v>
      </c>
      <c r="J11" s="41">
        <f t="shared" si="1"/>
        <v>0</v>
      </c>
      <c r="K11" s="386" t="s">
        <v>47</v>
      </c>
      <c r="L11" s="412"/>
      <c r="M11" s="388">
        <f>M15</f>
        <v>83000</v>
      </c>
      <c r="N11" s="603"/>
      <c r="O11" s="603"/>
      <c r="P11" s="603"/>
      <c r="Q11" s="603"/>
      <c r="R11" s="603"/>
    </row>
    <row r="12" spans="1:18">
      <c r="A12" s="55"/>
      <c r="B12" s="57"/>
      <c r="C12" s="65"/>
      <c r="D12" s="65"/>
      <c r="E12" s="65"/>
      <c r="F12" s="221"/>
      <c r="G12" s="615"/>
      <c r="H12" s="100"/>
      <c r="I12" s="100"/>
      <c r="J12" s="50"/>
      <c r="K12" s="604" t="s">
        <v>772</v>
      </c>
      <c r="L12" s="418"/>
      <c r="M12" s="379"/>
      <c r="N12" s="603"/>
      <c r="O12" s="603"/>
      <c r="P12" s="603"/>
      <c r="Q12" s="603"/>
      <c r="R12" s="603"/>
    </row>
    <row r="13" spans="1:18">
      <c r="A13" s="55"/>
      <c r="B13" s="57"/>
      <c r="C13" s="65"/>
      <c r="D13" s="65"/>
      <c r="E13" s="65"/>
      <c r="F13" s="56"/>
      <c r="G13" s="56"/>
      <c r="H13" s="100"/>
      <c r="I13" s="100"/>
      <c r="J13" s="102"/>
      <c r="K13" s="586" t="s">
        <v>875</v>
      </c>
      <c r="L13" s="378" t="s">
        <v>37</v>
      </c>
      <c r="M13" s="374">
        <v>58000</v>
      </c>
      <c r="N13" s="603"/>
      <c r="O13" s="603"/>
      <c r="P13" s="603"/>
      <c r="Q13" s="603"/>
      <c r="R13" s="603"/>
    </row>
    <row r="14" spans="1:18">
      <c r="A14" s="55"/>
      <c r="B14" s="57"/>
      <c r="C14" s="65"/>
      <c r="D14" s="65"/>
      <c r="E14" s="65"/>
      <c r="F14" s="221"/>
      <c r="G14" s="615"/>
      <c r="H14" s="100"/>
      <c r="I14" s="100"/>
      <c r="J14" s="50"/>
      <c r="K14" s="604" t="s">
        <v>847</v>
      </c>
      <c r="L14" s="418"/>
      <c r="M14" s="379"/>
      <c r="N14" s="634"/>
      <c r="O14" s="634"/>
      <c r="P14" s="634"/>
      <c r="Q14" s="634"/>
      <c r="R14" s="634"/>
    </row>
    <row r="15" spans="1:18">
      <c r="A15" s="55"/>
      <c r="B15" s="57"/>
      <c r="C15" s="65"/>
      <c r="D15" s="65"/>
      <c r="E15" s="65"/>
      <c r="F15" s="56"/>
      <c r="G15" s="56"/>
      <c r="H15" s="100"/>
      <c r="I15" s="100"/>
      <c r="J15" s="102"/>
      <c r="K15" s="586" t="s">
        <v>874</v>
      </c>
      <c r="L15" s="378" t="s">
        <v>37</v>
      </c>
      <c r="M15" s="374">
        <v>83000</v>
      </c>
      <c r="N15" s="634"/>
      <c r="O15" s="634"/>
      <c r="P15" s="634"/>
      <c r="Q15" s="634"/>
      <c r="R15" s="634"/>
    </row>
    <row r="16" spans="1:18">
      <c r="A16" s="10"/>
      <c r="B16" s="6"/>
      <c r="C16" s="178" t="s">
        <v>240</v>
      </c>
      <c r="D16" s="130"/>
      <c r="E16" s="130"/>
      <c r="F16" s="130"/>
      <c r="G16" s="131"/>
      <c r="H16" s="91">
        <f>H17</f>
        <v>20648</v>
      </c>
      <c r="I16" s="91">
        <v>20648</v>
      </c>
      <c r="J16" s="92">
        <f t="shared" si="0"/>
        <v>0</v>
      </c>
      <c r="K16" s="158"/>
      <c r="L16" s="148"/>
      <c r="M16" s="149"/>
    </row>
    <row r="17" spans="1:13">
      <c r="A17" s="10"/>
      <c r="B17" s="6"/>
      <c r="C17" s="146"/>
      <c r="D17" s="129" t="s">
        <v>34</v>
      </c>
      <c r="E17" s="130"/>
      <c r="F17" s="130"/>
      <c r="G17" s="131"/>
      <c r="H17" s="132">
        <f>H18</f>
        <v>20648</v>
      </c>
      <c r="I17" s="132">
        <v>20648</v>
      </c>
      <c r="J17" s="9">
        <f t="shared" si="0"/>
        <v>0</v>
      </c>
      <c r="K17" s="147"/>
      <c r="L17" s="148"/>
      <c r="M17" s="149"/>
    </row>
    <row r="18" spans="1:13">
      <c r="A18" s="10"/>
      <c r="B18" s="6"/>
      <c r="C18" s="134"/>
      <c r="D18" s="135"/>
      <c r="E18" s="129" t="s">
        <v>31</v>
      </c>
      <c r="F18" s="130"/>
      <c r="G18" s="131"/>
      <c r="H18" s="91">
        <f>SUM(H19,H24,H28,H31)</f>
        <v>20648</v>
      </c>
      <c r="I18" s="91">
        <v>20648</v>
      </c>
      <c r="J18" s="92">
        <f t="shared" si="0"/>
        <v>0</v>
      </c>
      <c r="K18" s="351"/>
      <c r="L18" s="391"/>
      <c r="M18" s="392"/>
    </row>
    <row r="19" spans="1:13">
      <c r="A19" s="63"/>
      <c r="B19" s="65"/>
      <c r="C19" s="65"/>
      <c r="D19" s="65"/>
      <c r="E19" s="65"/>
      <c r="F19" s="136" t="s">
        <v>35</v>
      </c>
      <c r="G19" s="140"/>
      <c r="H19" s="72">
        <f>SUM(H20,H22)</f>
        <v>8048</v>
      </c>
      <c r="I19" s="72">
        <v>8048</v>
      </c>
      <c r="J19" s="98">
        <f t="shared" si="0"/>
        <v>0</v>
      </c>
      <c r="K19" s="383"/>
      <c r="L19" s="384"/>
      <c r="M19" s="398"/>
    </row>
    <row r="20" spans="1:13">
      <c r="A20" s="55"/>
      <c r="B20" s="57"/>
      <c r="C20" s="65"/>
      <c r="D20" s="65"/>
      <c r="E20" s="65"/>
      <c r="F20" s="191"/>
      <c r="G20" s="205" t="s">
        <v>36</v>
      </c>
      <c r="H20" s="206">
        <f>M20</f>
        <v>2000</v>
      </c>
      <c r="I20" s="206">
        <v>2000</v>
      </c>
      <c r="J20" s="41">
        <f t="shared" si="0"/>
        <v>0</v>
      </c>
      <c r="K20" s="386" t="s">
        <v>47</v>
      </c>
      <c r="L20" s="412"/>
      <c r="M20" s="388">
        <f>SUM(M21:M21)</f>
        <v>2000</v>
      </c>
    </row>
    <row r="21" spans="1:13">
      <c r="A21" s="55"/>
      <c r="B21" s="57"/>
      <c r="C21" s="65"/>
      <c r="D21" s="65"/>
      <c r="E21" s="65"/>
      <c r="F21" s="56"/>
      <c r="G21" s="56"/>
      <c r="H21" s="100"/>
      <c r="I21" s="100"/>
      <c r="J21" s="102"/>
      <c r="K21" s="586" t="s">
        <v>609</v>
      </c>
      <c r="L21" s="378" t="s">
        <v>37</v>
      </c>
      <c r="M21" s="374">
        <v>2000</v>
      </c>
    </row>
    <row r="22" spans="1:13">
      <c r="A22" s="55"/>
      <c r="B22" s="57"/>
      <c r="C22" s="65"/>
      <c r="D22" s="65"/>
      <c r="E22" s="65"/>
      <c r="F22" s="56"/>
      <c r="G22" s="205" t="s">
        <v>306</v>
      </c>
      <c r="H22" s="206">
        <f>M22</f>
        <v>6048</v>
      </c>
      <c r="I22" s="206">
        <v>6048</v>
      </c>
      <c r="J22" s="207">
        <f>H22-I22</f>
        <v>0</v>
      </c>
      <c r="K22" s="386" t="s">
        <v>307</v>
      </c>
      <c r="L22" s="521"/>
      <c r="M22" s="388">
        <f>M23</f>
        <v>6048</v>
      </c>
    </row>
    <row r="23" spans="1:13">
      <c r="A23" s="63"/>
      <c r="B23" s="65"/>
      <c r="C23" s="65"/>
      <c r="D23" s="65"/>
      <c r="E23" s="65"/>
      <c r="F23" s="56"/>
      <c r="G23" s="56"/>
      <c r="H23" s="100"/>
      <c r="I23" s="100"/>
      <c r="J23" s="102"/>
      <c r="K23" s="380" t="s">
        <v>382</v>
      </c>
      <c r="L23" s="373" t="s">
        <v>37</v>
      </c>
      <c r="M23" s="374">
        <v>6048</v>
      </c>
    </row>
    <row r="24" spans="1:13">
      <c r="A24" s="63"/>
      <c r="B24" s="65"/>
      <c r="C24" s="65"/>
      <c r="D24" s="65"/>
      <c r="E24" s="65"/>
      <c r="F24" s="702" t="s">
        <v>40</v>
      </c>
      <c r="G24" s="703"/>
      <c r="H24" s="151">
        <f>H25</f>
        <v>9000</v>
      </c>
      <c r="I24" s="151">
        <v>9000</v>
      </c>
      <c r="J24" s="152">
        <f>H24-I24</f>
        <v>0</v>
      </c>
      <c r="K24" s="587"/>
      <c r="L24" s="588"/>
      <c r="M24" s="385"/>
    </row>
    <row r="25" spans="1:13">
      <c r="A25" s="63"/>
      <c r="B25" s="65"/>
      <c r="C25" s="65"/>
      <c r="D25" s="65"/>
      <c r="E25" s="65"/>
      <c r="F25" s="109"/>
      <c r="G25" s="198" t="s">
        <v>41</v>
      </c>
      <c r="H25" s="209">
        <f>M25</f>
        <v>9000</v>
      </c>
      <c r="I25" s="206">
        <v>9000</v>
      </c>
      <c r="J25" s="201">
        <f>H25-I25</f>
        <v>0</v>
      </c>
      <c r="K25" s="386" t="s">
        <v>49</v>
      </c>
      <c r="L25" s="589"/>
      <c r="M25" s="388">
        <f>SUM(M26:M27)</f>
        <v>9000</v>
      </c>
    </row>
    <row r="26" spans="1:13">
      <c r="A26" s="63"/>
      <c r="B26" s="65"/>
      <c r="C26" s="65"/>
      <c r="D26" s="65"/>
      <c r="E26" s="65"/>
      <c r="F26" s="193"/>
      <c r="G26" s="193"/>
      <c r="H26" s="100"/>
      <c r="I26" s="104"/>
      <c r="J26" s="102"/>
      <c r="K26" s="382" t="s">
        <v>680</v>
      </c>
      <c r="L26" s="418" t="s">
        <v>0</v>
      </c>
      <c r="M26" s="374">
        <v>2400</v>
      </c>
    </row>
    <row r="27" spans="1:13">
      <c r="A27" s="63"/>
      <c r="B27" s="65"/>
      <c r="C27" s="65"/>
      <c r="D27" s="65"/>
      <c r="E27" s="65"/>
      <c r="F27" s="193"/>
      <c r="G27" s="193"/>
      <c r="H27" s="100"/>
      <c r="I27" s="104"/>
      <c r="J27" s="102"/>
      <c r="K27" s="518" t="s">
        <v>681</v>
      </c>
      <c r="L27" s="519" t="s">
        <v>0</v>
      </c>
      <c r="M27" s="374">
        <v>6600</v>
      </c>
    </row>
    <row r="28" spans="1:13">
      <c r="A28" s="63"/>
      <c r="B28" s="65"/>
      <c r="C28" s="65"/>
      <c r="D28" s="65"/>
      <c r="E28" s="65"/>
      <c r="F28" s="702" t="s">
        <v>42</v>
      </c>
      <c r="G28" s="703"/>
      <c r="H28" s="151">
        <f>H29</f>
        <v>1500</v>
      </c>
      <c r="I28" s="151">
        <v>1500</v>
      </c>
      <c r="J28" s="152">
        <f>H28-I28</f>
        <v>0</v>
      </c>
      <c r="K28" s="587"/>
      <c r="L28" s="588"/>
      <c r="M28" s="385"/>
    </row>
    <row r="29" spans="1:13">
      <c r="A29" s="63"/>
      <c r="B29" s="65"/>
      <c r="C29" s="65"/>
      <c r="D29" s="65"/>
      <c r="E29" s="65"/>
      <c r="F29" s="193"/>
      <c r="G29" s="109" t="s">
        <v>43</v>
      </c>
      <c r="H29" s="209">
        <f>M29</f>
        <v>1500</v>
      </c>
      <c r="I29" s="209">
        <v>1500</v>
      </c>
      <c r="J29" s="201">
        <f>H29-I29</f>
        <v>0</v>
      </c>
      <c r="K29" s="386" t="s">
        <v>503</v>
      </c>
      <c r="L29" s="412"/>
      <c r="M29" s="388">
        <f>SUM(M30)</f>
        <v>1500</v>
      </c>
    </row>
    <row r="30" spans="1:13">
      <c r="A30" s="314"/>
      <c r="B30" s="515"/>
      <c r="C30" s="515"/>
      <c r="D30" s="515"/>
      <c r="E30" s="515"/>
      <c r="F30" s="491"/>
      <c r="G30" s="491"/>
      <c r="H30" s="516"/>
      <c r="I30" s="517"/>
      <c r="J30" s="517"/>
      <c r="K30" s="518" t="s">
        <v>682</v>
      </c>
      <c r="L30" s="519" t="s">
        <v>0</v>
      </c>
      <c r="M30" s="381">
        <v>1500</v>
      </c>
    </row>
    <row r="31" spans="1:13">
      <c r="A31" s="63"/>
      <c r="B31" s="358"/>
      <c r="C31" s="358"/>
      <c r="D31" s="358"/>
      <c r="E31" s="358"/>
      <c r="F31" s="510" t="s">
        <v>87</v>
      </c>
      <c r="G31" s="524"/>
      <c r="H31" s="145">
        <f>H32</f>
        <v>2100</v>
      </c>
      <c r="I31" s="145">
        <v>2100</v>
      </c>
      <c r="J31" s="145">
        <f>H31-I31</f>
        <v>0</v>
      </c>
      <c r="K31" s="525"/>
      <c r="L31" s="526"/>
      <c r="M31" s="527"/>
    </row>
    <row r="32" spans="1:13">
      <c r="A32" s="63"/>
      <c r="B32" s="358"/>
      <c r="C32" s="358"/>
      <c r="D32" s="358"/>
      <c r="E32" s="358"/>
      <c r="F32" s="467"/>
      <c r="G32" s="358" t="s">
        <v>91</v>
      </c>
      <c r="H32" s="468">
        <f>M32</f>
        <v>2100</v>
      </c>
      <c r="I32" s="468">
        <v>2100</v>
      </c>
      <c r="J32" s="50">
        <f>H32-I32</f>
        <v>0</v>
      </c>
      <c r="K32" s="386" t="s">
        <v>383</v>
      </c>
      <c r="L32" s="411"/>
      <c r="M32" s="388">
        <f>M33</f>
        <v>2100</v>
      </c>
    </row>
    <row r="33" spans="1:18">
      <c r="A33" s="63"/>
      <c r="B33" s="358"/>
      <c r="C33" s="469"/>
      <c r="D33" s="469"/>
      <c r="E33" s="469"/>
      <c r="F33" s="496"/>
      <c r="G33" s="491"/>
      <c r="H33" s="492"/>
      <c r="I33" s="493"/>
      <c r="J33" s="494"/>
      <c r="K33" s="380" t="s">
        <v>387</v>
      </c>
      <c r="L33" s="373" t="s">
        <v>0</v>
      </c>
      <c r="M33" s="381">
        <v>2100</v>
      </c>
    </row>
    <row r="34" spans="1:18" s="1" customFormat="1" ht="18" customHeight="1">
      <c r="A34" s="10"/>
      <c r="B34" s="455"/>
      <c r="C34" s="178" t="s">
        <v>610</v>
      </c>
      <c r="D34" s="453"/>
      <c r="E34" s="453"/>
      <c r="F34" s="453"/>
      <c r="G34" s="454"/>
      <c r="H34" s="95">
        <f>SUM(H35)</f>
        <v>3020620</v>
      </c>
      <c r="I34" s="95">
        <v>3020620</v>
      </c>
      <c r="J34" s="95">
        <f t="shared" ref="J34" si="2">H34-I34</f>
        <v>0</v>
      </c>
      <c r="K34" s="402"/>
      <c r="L34" s="403"/>
      <c r="M34" s="404"/>
      <c r="N34" s="578"/>
      <c r="O34" s="578"/>
      <c r="P34" s="578"/>
      <c r="Q34" s="578"/>
      <c r="R34" s="578"/>
    </row>
    <row r="35" spans="1:18" s="1" customFormat="1" ht="18" customHeight="1">
      <c r="A35" s="10"/>
      <c r="B35" s="455"/>
      <c r="C35" s="455"/>
      <c r="D35" s="349" t="s">
        <v>611</v>
      </c>
      <c r="E35" s="453"/>
      <c r="F35" s="453"/>
      <c r="G35" s="454"/>
      <c r="H35" s="456">
        <f>H36</f>
        <v>3020620</v>
      </c>
      <c r="I35" s="456">
        <v>3020620</v>
      </c>
      <c r="J35" s="92">
        <f>H35-I35</f>
        <v>0</v>
      </c>
      <c r="K35" s="350"/>
      <c r="L35" s="405"/>
      <c r="M35" s="404"/>
      <c r="N35" s="576"/>
      <c r="O35" s="576"/>
      <c r="P35" s="576"/>
      <c r="Q35" s="576"/>
      <c r="R35" s="576"/>
    </row>
    <row r="36" spans="1:18" s="1" customFormat="1" ht="18" customHeight="1">
      <c r="A36" s="10"/>
      <c r="B36" s="455"/>
      <c r="C36" s="457"/>
      <c r="D36" s="458"/>
      <c r="E36" s="349" t="s">
        <v>602</v>
      </c>
      <c r="F36" s="453"/>
      <c r="G36" s="454"/>
      <c r="H36" s="92">
        <f>H37</f>
        <v>3020620</v>
      </c>
      <c r="I36" s="92">
        <v>3020620</v>
      </c>
      <c r="J36" s="92">
        <f>H36-I36</f>
        <v>0</v>
      </c>
      <c r="K36" s="351"/>
      <c r="L36" s="391"/>
      <c r="M36" s="406"/>
      <c r="N36" s="576"/>
      <c r="O36" s="576"/>
      <c r="P36" s="576"/>
      <c r="Q36" s="576"/>
      <c r="R36" s="576"/>
    </row>
    <row r="37" spans="1:18" s="61" customFormat="1" ht="18" customHeight="1">
      <c r="A37" s="63"/>
      <c r="B37" s="358"/>
      <c r="C37" s="460"/>
      <c r="D37" s="461"/>
      <c r="E37" s="462"/>
      <c r="F37" s="463" t="s">
        <v>363</v>
      </c>
      <c r="G37" s="464"/>
      <c r="H37" s="98">
        <f>H38</f>
        <v>3020620</v>
      </c>
      <c r="I37" s="98">
        <v>3020620</v>
      </c>
      <c r="J37" s="98">
        <f t="shared" ref="J37:J38" si="3">H37-I37</f>
        <v>0</v>
      </c>
      <c r="K37" s="393"/>
      <c r="L37" s="352"/>
      <c r="M37" s="407"/>
      <c r="N37" s="576"/>
      <c r="O37" s="576"/>
      <c r="P37" s="576"/>
      <c r="Q37" s="576"/>
      <c r="R37" s="576"/>
    </row>
    <row r="38" spans="1:18" s="61" customFormat="1" ht="18" customHeight="1">
      <c r="A38" s="63"/>
      <c r="B38" s="358"/>
      <c r="C38" s="358"/>
      <c r="D38" s="359"/>
      <c r="E38" s="360"/>
      <c r="F38" s="360"/>
      <c r="G38" s="465" t="s">
        <v>600</v>
      </c>
      <c r="H38" s="41">
        <f>M38</f>
        <v>3020620</v>
      </c>
      <c r="I38" s="41">
        <v>3020620</v>
      </c>
      <c r="J38" s="41">
        <f t="shared" si="3"/>
        <v>0</v>
      </c>
      <c r="K38" s="386" t="s">
        <v>612</v>
      </c>
      <c r="L38" s="387"/>
      <c r="M38" s="408">
        <f>M41</f>
        <v>3020620</v>
      </c>
      <c r="N38" s="576"/>
      <c r="O38" s="576"/>
      <c r="P38" s="576"/>
      <c r="Q38" s="576"/>
      <c r="R38" s="576"/>
    </row>
    <row r="39" spans="1:18" s="61" customFormat="1">
      <c r="A39" s="63"/>
      <c r="B39" s="358"/>
      <c r="C39" s="358"/>
      <c r="D39" s="359"/>
      <c r="E39" s="360"/>
      <c r="F39" s="360"/>
      <c r="G39" s="645"/>
      <c r="H39" s="50"/>
      <c r="I39" s="50"/>
      <c r="J39" s="50"/>
      <c r="K39" s="601" t="s">
        <v>781</v>
      </c>
      <c r="L39" s="375" t="s">
        <v>0</v>
      </c>
      <c r="M39" s="619">
        <v>1745000</v>
      </c>
      <c r="N39" s="576"/>
      <c r="O39" s="576"/>
      <c r="P39" s="576"/>
      <c r="Q39" s="576"/>
      <c r="R39" s="576"/>
    </row>
    <row r="40" spans="1:18">
      <c r="A40" s="55"/>
      <c r="B40" s="57"/>
      <c r="C40" s="65"/>
      <c r="D40" s="65"/>
      <c r="E40" s="65"/>
      <c r="F40" s="221"/>
      <c r="G40" s="615"/>
      <c r="H40" s="100"/>
      <c r="I40" s="100"/>
      <c r="J40" s="50"/>
      <c r="K40" s="604" t="s">
        <v>847</v>
      </c>
      <c r="L40" s="418"/>
      <c r="M40" s="379"/>
      <c r="N40" s="634"/>
      <c r="O40" s="634"/>
      <c r="P40" s="634"/>
      <c r="Q40" s="634"/>
      <c r="R40" s="634"/>
    </row>
    <row r="41" spans="1:18" ht="17.25" thickBot="1">
      <c r="A41" s="55"/>
      <c r="B41" s="57"/>
      <c r="C41" s="65"/>
      <c r="D41" s="65"/>
      <c r="E41" s="65"/>
      <c r="F41" s="56"/>
      <c r="G41" s="56"/>
      <c r="H41" s="100"/>
      <c r="I41" s="100"/>
      <c r="J41" s="102"/>
      <c r="K41" s="586" t="s">
        <v>876</v>
      </c>
      <c r="L41" s="378" t="s">
        <v>0</v>
      </c>
      <c r="M41" s="374">
        <v>3020620</v>
      </c>
      <c r="N41" s="634"/>
      <c r="O41" s="634"/>
      <c r="P41" s="634"/>
      <c r="Q41" s="634"/>
      <c r="R41" s="634"/>
    </row>
    <row r="42" spans="1:18">
      <c r="A42" s="204" t="s">
        <v>488</v>
      </c>
      <c r="B42" s="449"/>
      <c r="C42" s="450"/>
      <c r="D42" s="450"/>
      <c r="E42" s="450"/>
      <c r="F42" s="450"/>
      <c r="G42" s="451"/>
      <c r="H42" s="281">
        <f>SUM(H43,H52,H61)</f>
        <v>3399101</v>
      </c>
      <c r="I42" s="281">
        <v>3549101</v>
      </c>
      <c r="J42" s="281">
        <f t="shared" ref="J42" si="4">H42-I42</f>
        <v>-150000</v>
      </c>
      <c r="K42" s="568"/>
      <c r="L42" s="569"/>
      <c r="M42" s="570"/>
    </row>
    <row r="43" spans="1:18" s="1" customFormat="1" ht="18" customHeight="1">
      <c r="A43" s="10"/>
      <c r="B43" s="349" t="s">
        <v>494</v>
      </c>
      <c r="C43" s="349"/>
      <c r="D43" s="453"/>
      <c r="E43" s="453"/>
      <c r="F43" s="453"/>
      <c r="G43" s="454"/>
      <c r="H43" s="95">
        <f>SUM(H44,H72)</f>
        <v>3249101</v>
      </c>
      <c r="I43" s="95">
        <v>3249101</v>
      </c>
      <c r="J43" s="95">
        <f>H43-I43</f>
        <v>0</v>
      </c>
      <c r="K43" s="402"/>
      <c r="L43" s="403"/>
      <c r="M43" s="404"/>
      <c r="N43" s="576"/>
      <c r="O43" s="576"/>
      <c r="P43" s="576"/>
      <c r="Q43" s="576"/>
      <c r="R43" s="576"/>
    </row>
    <row r="44" spans="1:18" s="1" customFormat="1" ht="18" customHeight="1">
      <c r="A44" s="10"/>
      <c r="B44" s="455"/>
      <c r="C44" s="178" t="s">
        <v>482</v>
      </c>
      <c r="D44" s="453"/>
      <c r="E44" s="453"/>
      <c r="F44" s="453"/>
      <c r="G44" s="454"/>
      <c r="H44" s="95">
        <f>SUM(H45)</f>
        <v>3249101</v>
      </c>
      <c r="I44" s="95">
        <v>3249101</v>
      </c>
      <c r="J44" s="95">
        <f t="shared" ref="J44" si="5">H44-I44</f>
        <v>0</v>
      </c>
      <c r="K44" s="402"/>
      <c r="L44" s="403"/>
      <c r="M44" s="404"/>
      <c r="N44" s="714"/>
      <c r="O44" s="714"/>
      <c r="P44" s="714"/>
      <c r="Q44" s="714"/>
      <c r="R44" s="714"/>
    </row>
    <row r="45" spans="1:18" s="1" customFormat="1" ht="18" customHeight="1">
      <c r="A45" s="10"/>
      <c r="B45" s="455"/>
      <c r="C45" s="455"/>
      <c r="D45" s="349" t="s">
        <v>483</v>
      </c>
      <c r="E45" s="453"/>
      <c r="F45" s="453"/>
      <c r="G45" s="454"/>
      <c r="H45" s="456">
        <f>H46</f>
        <v>3249101</v>
      </c>
      <c r="I45" s="456">
        <v>3249101</v>
      </c>
      <c r="J45" s="92">
        <f>H45-I45</f>
        <v>0</v>
      </c>
      <c r="K45" s="350"/>
      <c r="L45" s="405"/>
      <c r="M45" s="404"/>
      <c r="N45" s="576"/>
      <c r="O45" s="576"/>
      <c r="P45" s="576"/>
      <c r="Q45" s="576"/>
      <c r="R45" s="576"/>
    </row>
    <row r="46" spans="1:18" s="1" customFormat="1" ht="18" customHeight="1">
      <c r="A46" s="10"/>
      <c r="B46" s="455"/>
      <c r="C46" s="457"/>
      <c r="D46" s="458"/>
      <c r="E46" s="349" t="s">
        <v>484</v>
      </c>
      <c r="F46" s="453"/>
      <c r="G46" s="454"/>
      <c r="H46" s="92">
        <f>H47</f>
        <v>3249101</v>
      </c>
      <c r="I46" s="92">
        <v>3249101</v>
      </c>
      <c r="J46" s="92">
        <f>H46-I46</f>
        <v>0</v>
      </c>
      <c r="K46" s="351"/>
      <c r="L46" s="391"/>
      <c r="M46" s="406"/>
      <c r="N46" s="576"/>
      <c r="O46" s="576"/>
      <c r="P46" s="576"/>
      <c r="Q46" s="576"/>
      <c r="R46" s="576"/>
    </row>
    <row r="47" spans="1:18" s="61" customFormat="1" ht="18" customHeight="1">
      <c r="A47" s="63"/>
      <c r="B47" s="358"/>
      <c r="C47" s="460"/>
      <c r="D47" s="461"/>
      <c r="E47" s="462"/>
      <c r="F47" s="463" t="s">
        <v>485</v>
      </c>
      <c r="G47" s="464"/>
      <c r="H47" s="98">
        <f>H48</f>
        <v>3249101</v>
      </c>
      <c r="I47" s="98">
        <v>3249101</v>
      </c>
      <c r="J47" s="98">
        <f t="shared" ref="J47:J48" si="6">H47-I47</f>
        <v>0</v>
      </c>
      <c r="K47" s="393"/>
      <c r="L47" s="352"/>
      <c r="M47" s="407"/>
      <c r="N47" s="576"/>
      <c r="O47" s="576"/>
      <c r="P47" s="576"/>
      <c r="Q47" s="576"/>
      <c r="R47" s="576"/>
    </row>
    <row r="48" spans="1:18" s="61" customFormat="1" ht="18" customHeight="1">
      <c r="A48" s="63"/>
      <c r="B48" s="358"/>
      <c r="C48" s="358"/>
      <c r="D48" s="359"/>
      <c r="E48" s="360"/>
      <c r="F48" s="360"/>
      <c r="G48" s="465" t="s">
        <v>486</v>
      </c>
      <c r="H48" s="41">
        <f>M48</f>
        <v>3249101</v>
      </c>
      <c r="I48" s="41">
        <v>3249101</v>
      </c>
      <c r="J48" s="41">
        <f t="shared" si="6"/>
        <v>0</v>
      </c>
      <c r="K48" s="386" t="s">
        <v>487</v>
      </c>
      <c r="L48" s="387"/>
      <c r="M48" s="408">
        <f>M51</f>
        <v>3249101</v>
      </c>
      <c r="N48" s="576"/>
      <c r="O48" s="576"/>
      <c r="P48" s="576"/>
      <c r="Q48" s="576"/>
      <c r="R48" s="576"/>
    </row>
    <row r="49" spans="1:18" s="61" customFormat="1">
      <c r="A49" s="63"/>
      <c r="B49" s="358"/>
      <c r="C49" s="358"/>
      <c r="D49" s="359"/>
      <c r="E49" s="360"/>
      <c r="F49" s="360"/>
      <c r="G49" s="360" t="s">
        <v>783</v>
      </c>
      <c r="H49" s="50"/>
      <c r="I49" s="50"/>
      <c r="J49" s="50"/>
      <c r="K49" s="601" t="s">
        <v>782</v>
      </c>
      <c r="L49" s="375" t="s">
        <v>0</v>
      </c>
      <c r="M49" s="619">
        <v>3233000</v>
      </c>
      <c r="N49" s="576"/>
      <c r="O49" s="576"/>
      <c r="P49" s="576"/>
      <c r="Q49" s="576"/>
      <c r="R49" s="576"/>
    </row>
    <row r="50" spans="1:18" s="61" customFormat="1">
      <c r="A50" s="63"/>
      <c r="B50" s="358"/>
      <c r="C50" s="358"/>
      <c r="D50" s="359"/>
      <c r="E50" s="360"/>
      <c r="F50" s="360"/>
      <c r="G50" s="360"/>
      <c r="H50" s="50"/>
      <c r="I50" s="50"/>
      <c r="J50" s="50"/>
      <c r="K50" s="616" t="s">
        <v>772</v>
      </c>
      <c r="L50" s="375"/>
      <c r="M50" s="619"/>
      <c r="N50" s="603"/>
      <c r="O50" s="603"/>
      <c r="P50" s="603"/>
      <c r="Q50" s="603"/>
      <c r="R50" s="603"/>
    </row>
    <row r="51" spans="1:18" s="61" customFormat="1">
      <c r="A51" s="63"/>
      <c r="B51" s="469"/>
      <c r="C51" s="469"/>
      <c r="D51" s="498"/>
      <c r="E51" s="536"/>
      <c r="F51" s="536"/>
      <c r="G51" s="536"/>
      <c r="H51" s="145"/>
      <c r="I51" s="145"/>
      <c r="J51" s="145"/>
      <c r="K51" s="558" t="s">
        <v>820</v>
      </c>
      <c r="L51" s="377" t="s">
        <v>0</v>
      </c>
      <c r="M51" s="656">
        <v>3249101</v>
      </c>
      <c r="N51" s="603"/>
      <c r="O51" s="603"/>
      <c r="P51" s="603"/>
      <c r="Q51" s="603"/>
      <c r="R51" s="603"/>
    </row>
    <row r="52" spans="1:18" s="1" customFormat="1" ht="18" customHeight="1">
      <c r="A52" s="10"/>
      <c r="B52" s="534" t="s">
        <v>618</v>
      </c>
      <c r="C52" s="534"/>
      <c r="D52" s="537"/>
      <c r="E52" s="537"/>
      <c r="F52" s="537"/>
      <c r="G52" s="538"/>
      <c r="H52" s="95">
        <f>SUM(H53,H72)</f>
        <v>0</v>
      </c>
      <c r="I52" s="95">
        <v>0</v>
      </c>
      <c r="J52" s="95">
        <f>H52-I52</f>
        <v>0</v>
      </c>
      <c r="K52" s="402"/>
      <c r="L52" s="403"/>
      <c r="M52" s="404"/>
      <c r="N52" s="576"/>
      <c r="O52" s="576"/>
      <c r="P52" s="576"/>
      <c r="Q52" s="576"/>
      <c r="R52" s="576"/>
    </row>
    <row r="53" spans="1:18" s="1" customFormat="1" ht="18" customHeight="1">
      <c r="A53" s="10"/>
      <c r="B53" s="455"/>
      <c r="C53" s="178" t="s">
        <v>614</v>
      </c>
      <c r="D53" s="453"/>
      <c r="E53" s="453"/>
      <c r="F53" s="453"/>
      <c r="G53" s="454"/>
      <c r="H53" s="95">
        <f>SUM(H54)</f>
        <v>0</v>
      </c>
      <c r="I53" s="95">
        <v>0</v>
      </c>
      <c r="J53" s="95">
        <f t="shared" ref="J53" si="7">H53-I53</f>
        <v>0</v>
      </c>
      <c r="K53" s="402"/>
      <c r="L53" s="403"/>
      <c r="M53" s="404"/>
      <c r="N53" s="714"/>
      <c r="O53" s="714"/>
      <c r="P53" s="714"/>
      <c r="Q53" s="714"/>
      <c r="R53" s="714"/>
    </row>
    <row r="54" spans="1:18" s="1" customFormat="1" ht="18" customHeight="1">
      <c r="A54" s="10"/>
      <c r="B54" s="455"/>
      <c r="C54" s="455"/>
      <c r="D54" s="349" t="s">
        <v>615</v>
      </c>
      <c r="E54" s="453"/>
      <c r="F54" s="453"/>
      <c r="G54" s="454"/>
      <c r="H54" s="456">
        <f>H55</f>
        <v>0</v>
      </c>
      <c r="I54" s="456">
        <v>0</v>
      </c>
      <c r="J54" s="92">
        <f>H54-I54</f>
        <v>0</v>
      </c>
      <c r="K54" s="350"/>
      <c r="L54" s="405"/>
      <c r="M54" s="404"/>
      <c r="N54" s="576"/>
      <c r="O54" s="576"/>
      <c r="P54" s="576"/>
      <c r="Q54" s="576"/>
      <c r="R54" s="576"/>
    </row>
    <row r="55" spans="1:18" s="1" customFormat="1" ht="18" customHeight="1">
      <c r="A55" s="10"/>
      <c r="B55" s="455"/>
      <c r="C55" s="457"/>
      <c r="D55" s="458"/>
      <c r="E55" s="349" t="s">
        <v>484</v>
      </c>
      <c r="F55" s="453"/>
      <c r="G55" s="454"/>
      <c r="H55" s="92">
        <f>H56</f>
        <v>0</v>
      </c>
      <c r="I55" s="92">
        <v>0</v>
      </c>
      <c r="J55" s="92">
        <f>H55-I55</f>
        <v>0</v>
      </c>
      <c r="K55" s="351"/>
      <c r="L55" s="391"/>
      <c r="M55" s="406"/>
      <c r="N55" s="576"/>
      <c r="O55" s="576"/>
      <c r="P55" s="576"/>
      <c r="Q55" s="576"/>
      <c r="R55" s="576"/>
    </row>
    <row r="56" spans="1:18" s="61" customFormat="1" ht="18" customHeight="1">
      <c r="A56" s="63"/>
      <c r="B56" s="358"/>
      <c r="C56" s="460"/>
      <c r="D56" s="461"/>
      <c r="E56" s="462"/>
      <c r="F56" s="463" t="s">
        <v>485</v>
      </c>
      <c r="G56" s="464"/>
      <c r="H56" s="98">
        <f>H57</f>
        <v>0</v>
      </c>
      <c r="I56" s="98">
        <v>0</v>
      </c>
      <c r="J56" s="98">
        <f t="shared" ref="J56:J57" si="8">H56-I56</f>
        <v>0</v>
      </c>
      <c r="K56" s="393"/>
      <c r="L56" s="352"/>
      <c r="M56" s="407"/>
      <c r="N56" s="576"/>
      <c r="O56" s="576"/>
      <c r="P56" s="576"/>
      <c r="Q56" s="576"/>
      <c r="R56" s="576"/>
    </row>
    <row r="57" spans="1:18" s="61" customFormat="1" ht="18" customHeight="1">
      <c r="A57" s="63"/>
      <c r="B57" s="358"/>
      <c r="C57" s="358"/>
      <c r="D57" s="359"/>
      <c r="E57" s="360"/>
      <c r="F57" s="360"/>
      <c r="G57" s="465" t="s">
        <v>486</v>
      </c>
      <c r="H57" s="41">
        <f>M57</f>
        <v>0</v>
      </c>
      <c r="I57" s="41">
        <v>0</v>
      </c>
      <c r="J57" s="41">
        <f t="shared" si="8"/>
        <v>0</v>
      </c>
      <c r="K57" s="386" t="s">
        <v>487</v>
      </c>
      <c r="L57" s="387"/>
      <c r="M57" s="408">
        <f>M60</f>
        <v>0</v>
      </c>
      <c r="N57" s="576"/>
      <c r="O57" s="576"/>
      <c r="P57" s="576"/>
      <c r="Q57" s="576"/>
      <c r="R57" s="576"/>
    </row>
    <row r="58" spans="1:18" s="61" customFormat="1" ht="18" customHeight="1">
      <c r="A58" s="63"/>
      <c r="B58" s="358"/>
      <c r="C58" s="358"/>
      <c r="D58" s="359"/>
      <c r="E58" s="360"/>
      <c r="F58" s="360"/>
      <c r="G58" s="361" t="s">
        <v>785</v>
      </c>
      <c r="H58" s="50"/>
      <c r="I58" s="50"/>
      <c r="J58" s="50"/>
      <c r="K58" s="382" t="s">
        <v>784</v>
      </c>
      <c r="L58" s="375" t="s">
        <v>0</v>
      </c>
      <c r="M58" s="620">
        <v>1000000</v>
      </c>
      <c r="N58" s="603"/>
      <c r="O58" s="603"/>
      <c r="P58" s="603"/>
      <c r="Q58" s="603"/>
      <c r="R58" s="603"/>
    </row>
    <row r="59" spans="1:18" s="61" customFormat="1" ht="18" customHeight="1">
      <c r="A59" s="63"/>
      <c r="B59" s="358"/>
      <c r="C59" s="358"/>
      <c r="D59" s="359"/>
      <c r="E59" s="360"/>
      <c r="F59" s="360"/>
      <c r="G59" s="361"/>
      <c r="H59" s="50"/>
      <c r="I59" s="50"/>
      <c r="J59" s="50"/>
      <c r="K59" s="604" t="s">
        <v>786</v>
      </c>
      <c r="L59" s="375"/>
      <c r="M59" s="620"/>
      <c r="N59" s="603"/>
      <c r="O59" s="603"/>
      <c r="P59" s="603"/>
      <c r="Q59" s="603"/>
      <c r="R59" s="603"/>
    </row>
    <row r="60" spans="1:18" s="61" customFormat="1">
      <c r="A60" s="63"/>
      <c r="B60" s="469"/>
      <c r="C60" s="469"/>
      <c r="D60" s="498"/>
      <c r="E60" s="536"/>
      <c r="F60" s="536"/>
      <c r="G60" s="536"/>
      <c r="H60" s="145"/>
      <c r="I60" s="145"/>
      <c r="J60" s="145"/>
      <c r="K60" s="558" t="s">
        <v>788</v>
      </c>
      <c r="L60" s="377" t="s">
        <v>0</v>
      </c>
      <c r="M60" s="656">
        <v>0</v>
      </c>
      <c r="N60" s="576"/>
      <c r="O60" s="576"/>
      <c r="P60" s="576"/>
      <c r="Q60" s="576"/>
      <c r="R60" s="576"/>
    </row>
    <row r="61" spans="1:18" s="1" customFormat="1" ht="18" customHeight="1">
      <c r="A61" s="10"/>
      <c r="B61" s="534" t="s">
        <v>616</v>
      </c>
      <c r="C61" s="534"/>
      <c r="D61" s="537"/>
      <c r="E61" s="537"/>
      <c r="F61" s="537"/>
      <c r="G61" s="538"/>
      <c r="H61" s="95">
        <f>SUM(H62,H79)</f>
        <v>150000</v>
      </c>
      <c r="I61" s="95">
        <v>300000</v>
      </c>
      <c r="J61" s="95">
        <f>H61-I61</f>
        <v>-150000</v>
      </c>
      <c r="K61" s="402"/>
      <c r="L61" s="403"/>
      <c r="M61" s="404"/>
      <c r="N61" s="576"/>
      <c r="O61" s="576"/>
      <c r="P61" s="576"/>
      <c r="Q61" s="576"/>
      <c r="R61" s="576"/>
    </row>
    <row r="62" spans="1:18" s="1" customFormat="1" ht="18" customHeight="1">
      <c r="A62" s="10"/>
      <c r="B62" s="455"/>
      <c r="C62" s="178" t="s">
        <v>617</v>
      </c>
      <c r="D62" s="453"/>
      <c r="E62" s="453"/>
      <c r="F62" s="453"/>
      <c r="G62" s="454"/>
      <c r="H62" s="95">
        <f>SUM(H63)</f>
        <v>150000</v>
      </c>
      <c r="I62" s="95">
        <v>300000</v>
      </c>
      <c r="J62" s="95">
        <f t="shared" ref="J62" si="9">H62-I62</f>
        <v>-150000</v>
      </c>
      <c r="K62" s="402"/>
      <c r="L62" s="403"/>
      <c r="M62" s="404"/>
      <c r="N62" s="714"/>
      <c r="O62" s="714"/>
      <c r="P62" s="714"/>
      <c r="Q62" s="714"/>
      <c r="R62" s="714"/>
    </row>
    <row r="63" spans="1:18" s="1" customFormat="1" ht="18" customHeight="1">
      <c r="A63" s="10"/>
      <c r="B63" s="455"/>
      <c r="C63" s="455"/>
      <c r="D63" s="178" t="s">
        <v>617</v>
      </c>
      <c r="E63" s="453"/>
      <c r="F63" s="453"/>
      <c r="G63" s="454"/>
      <c r="H63" s="456">
        <f>H64</f>
        <v>150000</v>
      </c>
      <c r="I63" s="456">
        <v>300000</v>
      </c>
      <c r="J63" s="92">
        <f>H63-I63</f>
        <v>-150000</v>
      </c>
      <c r="K63" s="350"/>
      <c r="L63" s="405"/>
      <c r="M63" s="404"/>
      <c r="N63" s="576"/>
      <c r="O63" s="576"/>
      <c r="P63" s="576"/>
      <c r="Q63" s="576"/>
      <c r="R63" s="576"/>
    </row>
    <row r="64" spans="1:18" s="1" customFormat="1" ht="18" customHeight="1">
      <c r="A64" s="10"/>
      <c r="B64" s="455"/>
      <c r="C64" s="457"/>
      <c r="D64" s="458"/>
      <c r="E64" s="349" t="s">
        <v>484</v>
      </c>
      <c r="F64" s="453"/>
      <c r="G64" s="454"/>
      <c r="H64" s="92">
        <f>H65</f>
        <v>150000</v>
      </c>
      <c r="I64" s="92">
        <v>300000</v>
      </c>
      <c r="J64" s="92">
        <f>H64-I64</f>
        <v>-150000</v>
      </c>
      <c r="K64" s="351"/>
      <c r="L64" s="391"/>
      <c r="M64" s="406"/>
      <c r="N64" s="576"/>
      <c r="O64" s="576"/>
      <c r="P64" s="576"/>
      <c r="Q64" s="576"/>
      <c r="R64" s="576"/>
    </row>
    <row r="65" spans="1:18" s="61" customFormat="1" ht="18" customHeight="1">
      <c r="A65" s="63"/>
      <c r="B65" s="358"/>
      <c r="C65" s="460"/>
      <c r="D65" s="461"/>
      <c r="E65" s="462"/>
      <c r="F65" s="463" t="s">
        <v>485</v>
      </c>
      <c r="G65" s="464"/>
      <c r="H65" s="98">
        <f>H66</f>
        <v>150000</v>
      </c>
      <c r="I65" s="98">
        <v>300000</v>
      </c>
      <c r="J65" s="98">
        <f t="shared" ref="J65:J66" si="10">H65-I65</f>
        <v>-150000</v>
      </c>
      <c r="K65" s="393"/>
      <c r="L65" s="352"/>
      <c r="M65" s="407"/>
      <c r="N65" s="576"/>
      <c r="O65" s="576"/>
      <c r="P65" s="576"/>
      <c r="Q65" s="576"/>
      <c r="R65" s="576"/>
    </row>
    <row r="66" spans="1:18" s="61" customFormat="1" ht="18" customHeight="1">
      <c r="A66" s="63"/>
      <c r="B66" s="358"/>
      <c r="C66" s="358"/>
      <c r="D66" s="359"/>
      <c r="E66" s="360"/>
      <c r="F66" s="360"/>
      <c r="G66" s="465" t="s">
        <v>486</v>
      </c>
      <c r="H66" s="41">
        <f>M66</f>
        <v>150000</v>
      </c>
      <c r="I66" s="41">
        <v>300000</v>
      </c>
      <c r="J66" s="41">
        <f t="shared" si="10"/>
        <v>-150000</v>
      </c>
      <c r="K66" s="386" t="s">
        <v>487</v>
      </c>
      <c r="L66" s="387"/>
      <c r="M66" s="408">
        <f>M71</f>
        <v>150000</v>
      </c>
      <c r="N66" s="576"/>
      <c r="O66" s="576"/>
      <c r="P66" s="576"/>
      <c r="Q66" s="576"/>
      <c r="R66" s="576"/>
    </row>
    <row r="67" spans="1:18" s="61" customFormat="1" ht="18" customHeight="1">
      <c r="A67" s="63"/>
      <c r="B67" s="358"/>
      <c r="C67" s="358"/>
      <c r="D67" s="359"/>
      <c r="E67" s="360"/>
      <c r="F67" s="360"/>
      <c r="G67" s="615"/>
      <c r="H67" s="50"/>
      <c r="I67" s="50"/>
      <c r="J67" s="50"/>
      <c r="K67" s="382" t="s">
        <v>787</v>
      </c>
      <c r="L67" s="375" t="s">
        <v>0</v>
      </c>
      <c r="M67" s="620">
        <v>2000000</v>
      </c>
      <c r="N67" s="603"/>
      <c r="O67" s="603"/>
      <c r="P67" s="603"/>
      <c r="Q67" s="603"/>
      <c r="R67" s="603"/>
    </row>
    <row r="68" spans="1:18" s="61" customFormat="1" ht="18" customHeight="1">
      <c r="A68" s="63"/>
      <c r="B68" s="358"/>
      <c r="C68" s="358"/>
      <c r="D68" s="359"/>
      <c r="E68" s="360"/>
      <c r="F68" s="360"/>
      <c r="G68" s="361"/>
      <c r="H68" s="50"/>
      <c r="I68" s="50"/>
      <c r="J68" s="50"/>
      <c r="K68" s="604" t="s">
        <v>774</v>
      </c>
      <c r="L68" s="375"/>
      <c r="M68" s="618"/>
      <c r="N68" s="603"/>
      <c r="O68" s="603"/>
      <c r="P68" s="603"/>
      <c r="Q68" s="603"/>
      <c r="R68" s="603"/>
    </row>
    <row r="69" spans="1:18" s="61" customFormat="1">
      <c r="A69" s="63"/>
      <c r="B69" s="358"/>
      <c r="C69" s="358"/>
      <c r="D69" s="359"/>
      <c r="E69" s="360"/>
      <c r="F69" s="360"/>
      <c r="G69" s="666"/>
      <c r="H69" s="50"/>
      <c r="I69" s="50"/>
      <c r="J69" s="50"/>
      <c r="K69" s="601" t="s">
        <v>789</v>
      </c>
      <c r="L69" s="375" t="s">
        <v>0</v>
      </c>
      <c r="M69" s="619">
        <v>300000</v>
      </c>
      <c r="N69" s="576"/>
      <c r="O69" s="576"/>
      <c r="P69" s="576"/>
      <c r="Q69" s="576"/>
      <c r="R69" s="576"/>
    </row>
    <row r="70" spans="1:18" s="61" customFormat="1" ht="18" customHeight="1">
      <c r="A70" s="63"/>
      <c r="B70" s="358"/>
      <c r="C70" s="358"/>
      <c r="D70" s="359"/>
      <c r="E70" s="360"/>
      <c r="F70" s="360"/>
      <c r="G70" s="361"/>
      <c r="H70" s="50"/>
      <c r="I70" s="50"/>
      <c r="J70" s="50"/>
      <c r="K70" s="604" t="s">
        <v>906</v>
      </c>
      <c r="L70" s="375"/>
      <c r="M70" s="618"/>
      <c r="N70" s="658"/>
      <c r="O70" s="658"/>
      <c r="P70" s="658"/>
      <c r="Q70" s="658"/>
      <c r="R70" s="658"/>
    </row>
    <row r="71" spans="1:18" s="61" customFormat="1" ht="17.25" thickBot="1">
      <c r="A71" s="287"/>
      <c r="B71" s="504"/>
      <c r="C71" s="504"/>
      <c r="D71" s="528"/>
      <c r="E71" s="529"/>
      <c r="F71" s="529"/>
      <c r="G71" s="617"/>
      <c r="H71" s="229"/>
      <c r="I71" s="229"/>
      <c r="J71" s="229"/>
      <c r="K71" s="734" t="s">
        <v>907</v>
      </c>
      <c r="L71" s="735" t="s">
        <v>0</v>
      </c>
      <c r="M71" s="736">
        <v>150000</v>
      </c>
      <c r="N71" s="720"/>
      <c r="O71" s="658"/>
      <c r="P71" s="658"/>
      <c r="Q71" s="658"/>
      <c r="R71" s="658"/>
    </row>
    <row r="72" spans="1:18">
      <c r="B72" s="362"/>
      <c r="C72" s="362"/>
      <c r="D72" s="362"/>
      <c r="E72" s="362"/>
      <c r="F72" s="362"/>
      <c r="G72" s="362"/>
    </row>
  </sheetData>
  <protectedRanges>
    <protectedRange password="ECE8" sqref="N43:Z46 N34:Z36 N61:Z64 N52:Z55" name="작성자만수정_2_1_1"/>
  </protectedRanges>
  <autoFilter ref="A3:M33">
    <filterColumn colId="10" showButton="0"/>
    <filterColumn colId="11" showButton="0"/>
  </autoFilter>
  <mergeCells count="13">
    <mergeCell ref="N62:R62"/>
    <mergeCell ref="N53:R53"/>
    <mergeCell ref="N44:R44"/>
    <mergeCell ref="K2:M3"/>
    <mergeCell ref="F28:G28"/>
    <mergeCell ref="J2:J3"/>
    <mergeCell ref="A4:G4"/>
    <mergeCell ref="F24:G24"/>
    <mergeCell ref="A2:A3"/>
    <mergeCell ref="B2:D2"/>
    <mergeCell ref="E2:G2"/>
    <mergeCell ref="H2:H3"/>
    <mergeCell ref="I2:I3"/>
  </mergeCells>
  <phoneticPr fontId="12" type="noConversion"/>
  <conditionalFormatting sqref="J29:J30">
    <cfRule type="containsText" dxfId="653" priority="181" operator="containsText" text="허하나로">
      <formula>NOT(ISERROR(SEARCH("허하나로",H1085)))</formula>
    </cfRule>
    <cfRule type="containsText" dxfId="652" priority="182" operator="containsText" text="한별">
      <formula>NOT(ISERROR(SEARCH("한별",H1085)))</formula>
    </cfRule>
    <cfRule type="containsText" dxfId="651" priority="183" operator="containsText" text="정홍조">
      <formula>NOT(ISERROR(SEARCH("정홍조",H1085)))</formula>
    </cfRule>
    <cfRule type="containsText" dxfId="650" priority="184" operator="containsText" text="김지윤">
      <formula>NOT(ISERROR(SEARCH("김지윤",H1085)))</formula>
    </cfRule>
    <cfRule type="containsText" dxfId="649" priority="185" operator="containsText" text="전준영">
      <formula>NOT(ISERROR(SEARCH("전준영",H1085)))</formula>
    </cfRule>
    <cfRule type="containsText" dxfId="648" priority="186" operator="containsText" text="차재성">
      <formula>NOT(ISERROR(SEARCH("차재성",H1085)))</formula>
    </cfRule>
  </conditionalFormatting>
  <conditionalFormatting sqref="J6">
    <cfRule type="containsText" dxfId="647" priority="193" operator="containsText" text="허하나로">
      <formula>NOT(ISERROR(SEARCH("허하나로",H722)))</formula>
    </cfRule>
    <cfRule type="containsText" dxfId="646" priority="194" operator="containsText" text="한별">
      <formula>NOT(ISERROR(SEARCH("한별",H722)))</formula>
    </cfRule>
    <cfRule type="containsText" dxfId="645" priority="195" operator="containsText" text="정홍조">
      <formula>NOT(ISERROR(SEARCH("정홍조",H722)))</formula>
    </cfRule>
    <cfRule type="containsText" dxfId="644" priority="196" operator="containsText" text="김지윤">
      <formula>NOT(ISERROR(SEARCH("김지윤",H722)))</formula>
    </cfRule>
    <cfRule type="containsText" dxfId="643" priority="197" operator="containsText" text="전준영">
      <formula>NOT(ISERROR(SEARCH("전준영",H722)))</formula>
    </cfRule>
    <cfRule type="containsText" dxfId="642" priority="198" operator="containsText" text="차재성">
      <formula>NOT(ISERROR(SEARCH("차재성",H722)))</formula>
    </cfRule>
  </conditionalFormatting>
  <conditionalFormatting sqref="J16">
    <cfRule type="containsText" dxfId="641" priority="175" operator="containsText" text="허하나로">
      <formula>NOT(ISERROR(SEARCH("허하나로",H855)))</formula>
    </cfRule>
    <cfRule type="containsText" dxfId="640" priority="176" operator="containsText" text="한별">
      <formula>NOT(ISERROR(SEARCH("한별",H855)))</formula>
    </cfRule>
    <cfRule type="containsText" dxfId="639" priority="177" operator="containsText" text="정홍조">
      <formula>NOT(ISERROR(SEARCH("정홍조",H855)))</formula>
    </cfRule>
    <cfRule type="containsText" dxfId="638" priority="178" operator="containsText" text="김지윤">
      <formula>NOT(ISERROR(SEARCH("김지윤",H855)))</formula>
    </cfRule>
    <cfRule type="containsText" dxfId="637" priority="179" operator="containsText" text="전준영">
      <formula>NOT(ISERROR(SEARCH("전준영",H855)))</formula>
    </cfRule>
    <cfRule type="containsText" dxfId="636" priority="180" operator="containsText" text="차재성">
      <formula>NOT(ISERROR(SEARCH("차재성",H855)))</formula>
    </cfRule>
  </conditionalFormatting>
  <conditionalFormatting sqref="J19:J20">
    <cfRule type="containsText" dxfId="635" priority="169" operator="containsText" text="허하나로">
      <formula>NOT(ISERROR(SEARCH("허하나로",H1063)))</formula>
    </cfRule>
    <cfRule type="containsText" dxfId="634" priority="170" operator="containsText" text="한별">
      <formula>NOT(ISERROR(SEARCH("한별",H1063)))</formula>
    </cfRule>
    <cfRule type="containsText" dxfId="633" priority="171" operator="containsText" text="정홍조">
      <formula>NOT(ISERROR(SEARCH("정홍조",H1063)))</formula>
    </cfRule>
    <cfRule type="containsText" dxfId="632" priority="172" operator="containsText" text="김지윤">
      <formula>NOT(ISERROR(SEARCH("김지윤",H1063)))</formula>
    </cfRule>
    <cfRule type="containsText" dxfId="631" priority="173" operator="containsText" text="전준영">
      <formula>NOT(ISERROR(SEARCH("전준영",H1063)))</formula>
    </cfRule>
    <cfRule type="containsText" dxfId="630" priority="174" operator="containsText" text="차재성">
      <formula>NOT(ISERROR(SEARCH("차재성",H1063)))</formula>
    </cfRule>
  </conditionalFormatting>
  <conditionalFormatting sqref="J18">
    <cfRule type="containsText" dxfId="629" priority="211" operator="containsText" text="허하나로">
      <formula>NOT(ISERROR(SEARCH("허하나로",H1052)))</formula>
    </cfRule>
    <cfRule type="containsText" dxfId="628" priority="212" operator="containsText" text="한별">
      <formula>NOT(ISERROR(SEARCH("한별",H1052)))</formula>
    </cfRule>
    <cfRule type="containsText" dxfId="627" priority="213" operator="containsText" text="정홍조">
      <formula>NOT(ISERROR(SEARCH("정홍조",H1052)))</formula>
    </cfRule>
    <cfRule type="containsText" dxfId="626" priority="214" operator="containsText" text="김지윤">
      <formula>NOT(ISERROR(SEARCH("김지윤",H1052)))</formula>
    </cfRule>
    <cfRule type="containsText" dxfId="625" priority="215" operator="containsText" text="전준영">
      <formula>NOT(ISERROR(SEARCH("전준영",H1052)))</formula>
    </cfRule>
    <cfRule type="containsText" dxfId="624" priority="216" operator="containsText" text="차재성">
      <formula>NOT(ISERROR(SEARCH("차재성",H1052)))</formula>
    </cfRule>
  </conditionalFormatting>
  <conditionalFormatting sqref="J24:J27">
    <cfRule type="containsText" dxfId="623" priority="217" operator="containsText" text="허하나로">
      <formula>NOT(ISERROR(SEARCH("허하나로",H1065)))</formula>
    </cfRule>
    <cfRule type="containsText" dxfId="622" priority="218" operator="containsText" text="한별">
      <formula>NOT(ISERROR(SEARCH("한별",H1065)))</formula>
    </cfRule>
    <cfRule type="containsText" dxfId="621" priority="219" operator="containsText" text="정홍조">
      <formula>NOT(ISERROR(SEARCH("정홍조",H1065)))</formula>
    </cfRule>
    <cfRule type="containsText" dxfId="620" priority="220" operator="containsText" text="김지윤">
      <formula>NOT(ISERROR(SEARCH("김지윤",H1065)))</formula>
    </cfRule>
    <cfRule type="containsText" dxfId="619" priority="221" operator="containsText" text="전준영">
      <formula>NOT(ISERROR(SEARCH("전준영",H1065)))</formula>
    </cfRule>
    <cfRule type="containsText" dxfId="618" priority="222" operator="containsText" text="차재성">
      <formula>NOT(ISERROR(SEARCH("차재성",H1065)))</formula>
    </cfRule>
  </conditionalFormatting>
  <conditionalFormatting sqref="J28">
    <cfRule type="containsText" dxfId="617" priority="157" operator="containsText" text="허하나로">
      <formula>NOT(ISERROR(SEARCH("허하나로",H1069)))</formula>
    </cfRule>
    <cfRule type="containsText" dxfId="616" priority="158" operator="containsText" text="한별">
      <formula>NOT(ISERROR(SEARCH("한별",H1069)))</formula>
    </cfRule>
    <cfRule type="containsText" dxfId="615" priority="159" operator="containsText" text="정홍조">
      <formula>NOT(ISERROR(SEARCH("정홍조",H1069)))</formula>
    </cfRule>
    <cfRule type="containsText" dxfId="614" priority="160" operator="containsText" text="김지윤">
      <formula>NOT(ISERROR(SEARCH("김지윤",H1069)))</formula>
    </cfRule>
    <cfRule type="containsText" dxfId="613" priority="161" operator="containsText" text="전준영">
      <formula>NOT(ISERROR(SEARCH("전준영",H1069)))</formula>
    </cfRule>
    <cfRule type="containsText" dxfId="612" priority="162" operator="containsText" text="차재성">
      <formula>NOT(ISERROR(SEARCH("차재성",H1069)))</formula>
    </cfRule>
  </conditionalFormatting>
  <conditionalFormatting sqref="L25">
    <cfRule type="containsText" dxfId="611" priority="151" operator="containsText" text="허하나로">
      <formula>NOT(ISERROR(SEARCH("허하나로",J1200)))</formula>
    </cfRule>
    <cfRule type="containsText" dxfId="610" priority="152" operator="containsText" text="한별">
      <formula>NOT(ISERROR(SEARCH("한별",J1200)))</formula>
    </cfRule>
    <cfRule type="containsText" dxfId="609" priority="153" operator="containsText" text="정홍조">
      <formula>NOT(ISERROR(SEARCH("정홍조",J1200)))</formula>
    </cfRule>
    <cfRule type="containsText" dxfId="608" priority="154" operator="containsText" text="김지윤">
      <formula>NOT(ISERROR(SEARCH("김지윤",J1200)))</formula>
    </cfRule>
    <cfRule type="containsText" dxfId="607" priority="155" operator="containsText" text="전준영">
      <formula>NOT(ISERROR(SEARCH("전준영",J1200)))</formula>
    </cfRule>
    <cfRule type="containsText" dxfId="606" priority="156" operator="containsText" text="차재성">
      <formula>NOT(ISERROR(SEARCH("차재성",J1200)))</formula>
    </cfRule>
  </conditionalFormatting>
  <conditionalFormatting sqref="I30">
    <cfRule type="containsText" dxfId="605" priority="145" operator="containsText" text="허하나로">
      <formula>NOT(ISERROR(SEARCH("허하나로",G1086)))</formula>
    </cfRule>
    <cfRule type="containsText" dxfId="604" priority="146" operator="containsText" text="한별">
      <formula>NOT(ISERROR(SEARCH("한별",G1086)))</formula>
    </cfRule>
    <cfRule type="containsText" dxfId="603" priority="147" operator="containsText" text="정홍조">
      <formula>NOT(ISERROR(SEARCH("정홍조",G1086)))</formula>
    </cfRule>
    <cfRule type="containsText" dxfId="602" priority="148" operator="containsText" text="김지윤">
      <formula>NOT(ISERROR(SEARCH("김지윤",G1086)))</formula>
    </cfRule>
    <cfRule type="containsText" dxfId="601" priority="149" operator="containsText" text="전준영">
      <formula>NOT(ISERROR(SEARCH("전준영",G1086)))</formula>
    </cfRule>
    <cfRule type="containsText" dxfId="600" priority="150" operator="containsText" text="차재성">
      <formula>NOT(ISERROR(SEARCH("차재성",G1086)))</formula>
    </cfRule>
  </conditionalFormatting>
  <conditionalFormatting sqref="J21">
    <cfRule type="containsText" dxfId="599" priority="3859" operator="containsText" text="허하나로">
      <formula>NOT(ISERROR(SEARCH("허하나로",H1054)))</formula>
    </cfRule>
    <cfRule type="containsText" dxfId="598" priority="3860" operator="containsText" text="한별">
      <formula>NOT(ISERROR(SEARCH("한별",H1054)))</formula>
    </cfRule>
    <cfRule type="containsText" dxfId="597" priority="3861" operator="containsText" text="정홍조">
      <formula>NOT(ISERROR(SEARCH("정홍조",H1054)))</formula>
    </cfRule>
    <cfRule type="containsText" dxfId="596" priority="3862" operator="containsText" text="김지윤">
      <formula>NOT(ISERROR(SEARCH("김지윤",H1054)))</formula>
    </cfRule>
    <cfRule type="containsText" dxfId="595" priority="3863" operator="containsText" text="전준영">
      <formula>NOT(ISERROR(SEARCH("전준영",H1054)))</formula>
    </cfRule>
    <cfRule type="containsText" dxfId="594" priority="3864" operator="containsText" text="차재성">
      <formula>NOT(ISERROR(SEARCH("차재성",H1054)))</formula>
    </cfRule>
  </conditionalFormatting>
  <conditionalFormatting sqref="J2:J3">
    <cfRule type="containsText" dxfId="593" priority="109" operator="containsText" text="허하나로">
      <formula>NOT(ISERROR(SEARCH("허하나로",H809)))</formula>
    </cfRule>
    <cfRule type="containsText" dxfId="592" priority="110" operator="containsText" text="한별">
      <formula>NOT(ISERROR(SEARCH("한별",H809)))</formula>
    </cfRule>
    <cfRule type="containsText" dxfId="591" priority="111" operator="containsText" text="정홍조">
      <formula>NOT(ISERROR(SEARCH("정홍조",H809)))</formula>
    </cfRule>
    <cfRule type="containsText" dxfId="590" priority="112" operator="containsText" text="김지윤">
      <formula>NOT(ISERROR(SEARCH("김지윤",H809)))</formula>
    </cfRule>
    <cfRule type="containsText" dxfId="589" priority="113" operator="containsText" text="전준영">
      <formula>NOT(ISERROR(SEARCH("전준영",H809)))</formula>
    </cfRule>
    <cfRule type="containsText" dxfId="588" priority="114" operator="containsText" text="차재성">
      <formula>NOT(ISERROR(SEARCH("차재성",H809)))</formula>
    </cfRule>
  </conditionalFormatting>
  <conditionalFormatting sqref="J45:J46">
    <cfRule type="containsText" dxfId="587" priority="103" operator="containsText" text="허하나로">
      <formula>NOT(ISERROR(SEARCH("허하나로",H1068)))</formula>
    </cfRule>
    <cfRule type="containsText" dxfId="586" priority="104" operator="containsText" text="한별">
      <formula>NOT(ISERROR(SEARCH("한별",H1068)))</formula>
    </cfRule>
    <cfRule type="containsText" dxfId="585" priority="105" operator="containsText" text="정홍조">
      <formula>NOT(ISERROR(SEARCH("정홍조",H1068)))</formula>
    </cfRule>
    <cfRule type="containsText" dxfId="584" priority="106" operator="containsText" text="김지윤">
      <formula>NOT(ISERROR(SEARCH("김지윤",H1068)))</formula>
    </cfRule>
    <cfRule type="containsText" dxfId="583" priority="107" operator="containsText" text="전준영">
      <formula>NOT(ISERROR(SEARCH("전준영",H1068)))</formula>
    </cfRule>
    <cfRule type="containsText" dxfId="582" priority="108" operator="containsText" text="차재성">
      <formula>NOT(ISERROR(SEARCH("차재성",H1068)))</formula>
    </cfRule>
  </conditionalFormatting>
  <conditionalFormatting sqref="J43:J44">
    <cfRule type="containsText" dxfId="581" priority="97" operator="containsText" text="허하나로">
      <formula>NOT(ISERROR(SEARCH("허하나로",H756)))</formula>
    </cfRule>
    <cfRule type="containsText" dxfId="580" priority="98" operator="containsText" text="한별">
      <formula>NOT(ISERROR(SEARCH("한별",H756)))</formula>
    </cfRule>
    <cfRule type="containsText" dxfId="579" priority="99" operator="containsText" text="정홍조">
      <formula>NOT(ISERROR(SEARCH("정홍조",H756)))</formula>
    </cfRule>
    <cfRule type="containsText" dxfId="578" priority="100" operator="containsText" text="김지윤">
      <formula>NOT(ISERROR(SEARCH("김지윤",H756)))</formula>
    </cfRule>
    <cfRule type="containsText" dxfId="577" priority="101" operator="containsText" text="전준영">
      <formula>NOT(ISERROR(SEARCH("전준영",H756)))</formula>
    </cfRule>
    <cfRule type="containsText" dxfId="576" priority="102" operator="containsText" text="차재성">
      <formula>NOT(ISERROR(SEARCH("차재성",H756)))</formula>
    </cfRule>
  </conditionalFormatting>
  <conditionalFormatting sqref="J42">
    <cfRule type="containsText" dxfId="575" priority="91" operator="containsText" text="허하나로">
      <formula>NOT(ISERROR(SEARCH("허하나로",H741)))</formula>
    </cfRule>
    <cfRule type="containsText" dxfId="574" priority="92" operator="containsText" text="한별">
      <formula>NOT(ISERROR(SEARCH("한별",H741)))</formula>
    </cfRule>
    <cfRule type="containsText" dxfId="573" priority="93" operator="containsText" text="정홍조">
      <formula>NOT(ISERROR(SEARCH("정홍조",H741)))</formula>
    </cfRule>
    <cfRule type="containsText" dxfId="572" priority="94" operator="containsText" text="김지윤">
      <formula>NOT(ISERROR(SEARCH("김지윤",H741)))</formula>
    </cfRule>
    <cfRule type="containsText" dxfId="571" priority="95" operator="containsText" text="전준영">
      <formula>NOT(ISERROR(SEARCH("전준영",H741)))</formula>
    </cfRule>
    <cfRule type="containsText" dxfId="570" priority="96" operator="containsText" text="차재성">
      <formula>NOT(ISERROR(SEARCH("차재성",H741)))</formula>
    </cfRule>
  </conditionalFormatting>
  <conditionalFormatting sqref="J35:J36">
    <cfRule type="containsText" dxfId="569" priority="85" operator="containsText" text="허하나로">
      <formula>NOT(ISERROR(SEARCH("허하나로",H1075)))</formula>
    </cfRule>
    <cfRule type="containsText" dxfId="568" priority="86" operator="containsText" text="한별">
      <formula>NOT(ISERROR(SEARCH("한별",H1075)))</formula>
    </cfRule>
    <cfRule type="containsText" dxfId="567" priority="87" operator="containsText" text="정홍조">
      <formula>NOT(ISERROR(SEARCH("정홍조",H1075)))</formula>
    </cfRule>
    <cfRule type="containsText" dxfId="566" priority="88" operator="containsText" text="김지윤">
      <formula>NOT(ISERROR(SEARCH("김지윤",H1075)))</formula>
    </cfRule>
    <cfRule type="containsText" dxfId="565" priority="89" operator="containsText" text="전준영">
      <formula>NOT(ISERROR(SEARCH("전준영",H1075)))</formula>
    </cfRule>
    <cfRule type="containsText" dxfId="564" priority="90" operator="containsText" text="차재성">
      <formula>NOT(ISERROR(SEARCH("차재성",H1075)))</formula>
    </cfRule>
  </conditionalFormatting>
  <conditionalFormatting sqref="J34">
    <cfRule type="containsText" dxfId="563" priority="79" operator="containsText" text="허하나로">
      <formula>NOT(ISERROR(SEARCH("허하나로",H764)))</formula>
    </cfRule>
    <cfRule type="containsText" dxfId="562" priority="80" operator="containsText" text="한별">
      <formula>NOT(ISERROR(SEARCH("한별",H764)))</formula>
    </cfRule>
    <cfRule type="containsText" dxfId="561" priority="81" operator="containsText" text="정홍조">
      <formula>NOT(ISERROR(SEARCH("정홍조",H764)))</formula>
    </cfRule>
    <cfRule type="containsText" dxfId="560" priority="82" operator="containsText" text="김지윤">
      <formula>NOT(ISERROR(SEARCH("김지윤",H764)))</formula>
    </cfRule>
    <cfRule type="containsText" dxfId="559" priority="83" operator="containsText" text="전준영">
      <formula>NOT(ISERROR(SEARCH("전준영",H764)))</formula>
    </cfRule>
    <cfRule type="containsText" dxfId="558" priority="84" operator="containsText" text="차재성">
      <formula>NOT(ISERROR(SEARCH("차재성",H764)))</formula>
    </cfRule>
  </conditionalFormatting>
  <conditionalFormatting sqref="J63:J64">
    <cfRule type="containsText" dxfId="557" priority="73" operator="containsText" text="허하나로">
      <formula>NOT(ISERROR(SEARCH("허하나로",H1075)))</formula>
    </cfRule>
    <cfRule type="containsText" dxfId="556" priority="74" operator="containsText" text="한별">
      <formula>NOT(ISERROR(SEARCH("한별",H1075)))</formula>
    </cfRule>
    <cfRule type="containsText" dxfId="555" priority="75" operator="containsText" text="정홍조">
      <formula>NOT(ISERROR(SEARCH("정홍조",H1075)))</formula>
    </cfRule>
    <cfRule type="containsText" dxfId="554" priority="76" operator="containsText" text="김지윤">
      <formula>NOT(ISERROR(SEARCH("김지윤",H1075)))</formula>
    </cfRule>
    <cfRule type="containsText" dxfId="553" priority="77" operator="containsText" text="전준영">
      <formula>NOT(ISERROR(SEARCH("전준영",H1075)))</formula>
    </cfRule>
    <cfRule type="containsText" dxfId="552" priority="78" operator="containsText" text="차재성">
      <formula>NOT(ISERROR(SEARCH("차재성",H1075)))</formula>
    </cfRule>
  </conditionalFormatting>
  <conditionalFormatting sqref="J61:J62">
    <cfRule type="containsText" dxfId="551" priority="67" operator="containsText" text="허하나로">
      <formula>NOT(ISERROR(SEARCH("허하나로",H763)))</formula>
    </cfRule>
    <cfRule type="containsText" dxfId="550" priority="68" operator="containsText" text="한별">
      <formula>NOT(ISERROR(SEARCH("한별",H763)))</formula>
    </cfRule>
    <cfRule type="containsText" dxfId="549" priority="69" operator="containsText" text="정홍조">
      <formula>NOT(ISERROR(SEARCH("정홍조",H763)))</formula>
    </cfRule>
    <cfRule type="containsText" dxfId="548" priority="70" operator="containsText" text="김지윤">
      <formula>NOT(ISERROR(SEARCH("김지윤",H763)))</formula>
    </cfRule>
    <cfRule type="containsText" dxfId="547" priority="71" operator="containsText" text="전준영">
      <formula>NOT(ISERROR(SEARCH("전준영",H763)))</formula>
    </cfRule>
    <cfRule type="containsText" dxfId="546" priority="72" operator="containsText" text="차재성">
      <formula>NOT(ISERROR(SEARCH("차재성",H763)))</formula>
    </cfRule>
  </conditionalFormatting>
  <conditionalFormatting sqref="J54:J55">
    <cfRule type="containsText" dxfId="545" priority="61" operator="containsText" text="허하나로">
      <formula>NOT(ISERROR(SEARCH("허하나로",H1068)))</formula>
    </cfRule>
    <cfRule type="containsText" dxfId="544" priority="62" operator="containsText" text="한별">
      <formula>NOT(ISERROR(SEARCH("한별",H1068)))</formula>
    </cfRule>
    <cfRule type="containsText" dxfId="543" priority="63" operator="containsText" text="정홍조">
      <formula>NOT(ISERROR(SEARCH("정홍조",H1068)))</formula>
    </cfRule>
    <cfRule type="containsText" dxfId="542" priority="64" operator="containsText" text="김지윤">
      <formula>NOT(ISERROR(SEARCH("김지윤",H1068)))</formula>
    </cfRule>
    <cfRule type="containsText" dxfId="541" priority="65" operator="containsText" text="전준영">
      <formula>NOT(ISERROR(SEARCH("전준영",H1068)))</formula>
    </cfRule>
    <cfRule type="containsText" dxfId="540" priority="66" operator="containsText" text="차재성">
      <formula>NOT(ISERROR(SEARCH("차재성",H1068)))</formula>
    </cfRule>
  </conditionalFormatting>
  <conditionalFormatting sqref="J52:J53">
    <cfRule type="containsText" dxfId="539" priority="55" operator="containsText" text="허하나로">
      <formula>NOT(ISERROR(SEARCH("허하나로",H756)))</formula>
    </cfRule>
    <cfRule type="containsText" dxfId="538" priority="56" operator="containsText" text="한별">
      <formula>NOT(ISERROR(SEARCH("한별",H756)))</formula>
    </cfRule>
    <cfRule type="containsText" dxfId="537" priority="57" operator="containsText" text="정홍조">
      <formula>NOT(ISERROR(SEARCH("정홍조",H756)))</formula>
    </cfRule>
    <cfRule type="containsText" dxfId="536" priority="58" operator="containsText" text="김지윤">
      <formula>NOT(ISERROR(SEARCH("김지윤",H756)))</formula>
    </cfRule>
    <cfRule type="containsText" dxfId="535" priority="59" operator="containsText" text="전준영">
      <formula>NOT(ISERROR(SEARCH("전준영",H756)))</formula>
    </cfRule>
    <cfRule type="containsText" dxfId="534" priority="60" operator="containsText" text="차재성">
      <formula>NOT(ISERROR(SEARCH("차재성",H756)))</formula>
    </cfRule>
  </conditionalFormatting>
  <conditionalFormatting sqref="J5">
    <cfRule type="containsText" dxfId="533" priority="49" operator="containsText" text="허하나로">
      <formula>NOT(ISERROR(SEARCH("허하나로",H721)))</formula>
    </cfRule>
    <cfRule type="containsText" dxfId="532" priority="50" operator="containsText" text="한별">
      <formula>NOT(ISERROR(SEARCH("한별",H721)))</formula>
    </cfRule>
    <cfRule type="containsText" dxfId="531" priority="51" operator="containsText" text="정홍조">
      <formula>NOT(ISERROR(SEARCH("정홍조",H721)))</formula>
    </cfRule>
    <cfRule type="containsText" dxfId="530" priority="52" operator="containsText" text="김지윤">
      <formula>NOT(ISERROR(SEARCH("김지윤",H721)))</formula>
    </cfRule>
    <cfRule type="containsText" dxfId="529" priority="53" operator="containsText" text="전준영">
      <formula>NOT(ISERROR(SEARCH("전준영",H721)))</formula>
    </cfRule>
    <cfRule type="containsText" dxfId="528" priority="54" operator="containsText" text="차재성">
      <formula>NOT(ISERROR(SEARCH("차재성",H721)))</formula>
    </cfRule>
  </conditionalFormatting>
  <conditionalFormatting sqref="J7">
    <cfRule type="containsText" dxfId="527" priority="31" operator="containsText" text="허하나로">
      <formula>NOT(ISERROR(SEARCH("허하나로",H849)))</formula>
    </cfRule>
    <cfRule type="containsText" dxfId="526" priority="32" operator="containsText" text="한별">
      <formula>NOT(ISERROR(SEARCH("한별",H849)))</formula>
    </cfRule>
    <cfRule type="containsText" dxfId="525" priority="33" operator="containsText" text="정홍조">
      <formula>NOT(ISERROR(SEARCH("정홍조",H849)))</formula>
    </cfRule>
    <cfRule type="containsText" dxfId="524" priority="34" operator="containsText" text="김지윤">
      <formula>NOT(ISERROR(SEARCH("김지윤",H849)))</formula>
    </cfRule>
    <cfRule type="containsText" dxfId="523" priority="35" operator="containsText" text="전준영">
      <formula>NOT(ISERROR(SEARCH("전준영",H849)))</formula>
    </cfRule>
    <cfRule type="containsText" dxfId="522" priority="36" operator="containsText" text="차재성">
      <formula>NOT(ISERROR(SEARCH("차재성",H849)))</formula>
    </cfRule>
  </conditionalFormatting>
  <conditionalFormatting sqref="J10:J12">
    <cfRule type="containsText" dxfId="521" priority="25" operator="containsText" text="허하나로">
      <formula>NOT(ISERROR(SEARCH("허하나로",H1057)))</formula>
    </cfRule>
    <cfRule type="containsText" dxfId="520" priority="26" operator="containsText" text="한별">
      <formula>NOT(ISERROR(SEARCH("한별",H1057)))</formula>
    </cfRule>
    <cfRule type="containsText" dxfId="519" priority="27" operator="containsText" text="정홍조">
      <formula>NOT(ISERROR(SEARCH("정홍조",H1057)))</formula>
    </cfRule>
    <cfRule type="containsText" dxfId="518" priority="28" operator="containsText" text="김지윤">
      <formula>NOT(ISERROR(SEARCH("김지윤",H1057)))</formula>
    </cfRule>
    <cfRule type="containsText" dxfId="517" priority="29" operator="containsText" text="전준영">
      <formula>NOT(ISERROR(SEARCH("전준영",H1057)))</formula>
    </cfRule>
    <cfRule type="containsText" dxfId="516" priority="30" operator="containsText" text="차재성">
      <formula>NOT(ISERROR(SEARCH("차재성",H1057)))</formula>
    </cfRule>
  </conditionalFormatting>
  <conditionalFormatting sqref="J9">
    <cfRule type="containsText" dxfId="515" priority="37" operator="containsText" text="허하나로">
      <formula>NOT(ISERROR(SEARCH("허하나로",H1046)))</formula>
    </cfRule>
    <cfRule type="containsText" dxfId="514" priority="38" operator="containsText" text="한별">
      <formula>NOT(ISERROR(SEARCH("한별",H1046)))</formula>
    </cfRule>
    <cfRule type="containsText" dxfId="513" priority="39" operator="containsText" text="정홍조">
      <formula>NOT(ISERROR(SEARCH("정홍조",H1046)))</formula>
    </cfRule>
    <cfRule type="containsText" dxfId="512" priority="40" operator="containsText" text="김지윤">
      <formula>NOT(ISERROR(SEARCH("김지윤",H1046)))</formula>
    </cfRule>
    <cfRule type="containsText" dxfId="511" priority="41" operator="containsText" text="전준영">
      <formula>NOT(ISERROR(SEARCH("전준영",H1046)))</formula>
    </cfRule>
    <cfRule type="containsText" dxfId="510" priority="42" operator="containsText" text="차재성">
      <formula>NOT(ISERROR(SEARCH("차재성",H1046)))</formula>
    </cfRule>
  </conditionalFormatting>
  <conditionalFormatting sqref="J13">
    <cfRule type="containsText" dxfId="509" priority="43" operator="containsText" text="허하나로">
      <formula>NOT(ISERROR(SEARCH("허하나로",H1048)))</formula>
    </cfRule>
    <cfRule type="containsText" dxfId="508" priority="44" operator="containsText" text="한별">
      <formula>NOT(ISERROR(SEARCH("한별",H1048)))</formula>
    </cfRule>
    <cfRule type="containsText" dxfId="507" priority="45" operator="containsText" text="정홍조">
      <formula>NOT(ISERROR(SEARCH("정홍조",H1048)))</formula>
    </cfRule>
    <cfRule type="containsText" dxfId="506" priority="46" operator="containsText" text="김지윤">
      <formula>NOT(ISERROR(SEARCH("김지윤",H1048)))</formula>
    </cfRule>
    <cfRule type="containsText" dxfId="505" priority="47" operator="containsText" text="전준영">
      <formula>NOT(ISERROR(SEARCH("전준영",H1048)))</formula>
    </cfRule>
    <cfRule type="containsText" dxfId="504" priority="48" operator="containsText" text="차재성">
      <formula>NOT(ISERROR(SEARCH("차재성",H1048)))</formula>
    </cfRule>
  </conditionalFormatting>
  <conditionalFormatting sqref="J14">
    <cfRule type="containsText" dxfId="503" priority="13" operator="containsText" text="허하나로">
      <formula>NOT(ISERROR(SEARCH("허하나로",H1061)))</formula>
    </cfRule>
    <cfRule type="containsText" dxfId="502" priority="14" operator="containsText" text="한별">
      <formula>NOT(ISERROR(SEARCH("한별",H1061)))</formula>
    </cfRule>
    <cfRule type="containsText" dxfId="501" priority="15" operator="containsText" text="정홍조">
      <formula>NOT(ISERROR(SEARCH("정홍조",H1061)))</formula>
    </cfRule>
    <cfRule type="containsText" dxfId="500" priority="16" operator="containsText" text="김지윤">
      <formula>NOT(ISERROR(SEARCH("김지윤",H1061)))</formula>
    </cfRule>
    <cfRule type="containsText" dxfId="499" priority="17" operator="containsText" text="전준영">
      <formula>NOT(ISERROR(SEARCH("전준영",H1061)))</formula>
    </cfRule>
    <cfRule type="containsText" dxfId="498" priority="18" operator="containsText" text="차재성">
      <formula>NOT(ISERROR(SEARCH("차재성",H1061)))</formula>
    </cfRule>
  </conditionalFormatting>
  <conditionalFormatting sqref="J15">
    <cfRule type="containsText" dxfId="497" priority="19" operator="containsText" text="허하나로">
      <formula>NOT(ISERROR(SEARCH("허하나로",H1050)))</formula>
    </cfRule>
    <cfRule type="containsText" dxfId="496" priority="20" operator="containsText" text="한별">
      <formula>NOT(ISERROR(SEARCH("한별",H1050)))</formula>
    </cfRule>
    <cfRule type="containsText" dxfId="495" priority="21" operator="containsText" text="정홍조">
      <formula>NOT(ISERROR(SEARCH("정홍조",H1050)))</formula>
    </cfRule>
    <cfRule type="containsText" dxfId="494" priority="22" operator="containsText" text="김지윤">
      <formula>NOT(ISERROR(SEARCH("김지윤",H1050)))</formula>
    </cfRule>
    <cfRule type="containsText" dxfId="493" priority="23" operator="containsText" text="전준영">
      <formula>NOT(ISERROR(SEARCH("전준영",H1050)))</formula>
    </cfRule>
    <cfRule type="containsText" dxfId="492" priority="24" operator="containsText" text="차재성">
      <formula>NOT(ISERROR(SEARCH("차재성",H1050)))</formula>
    </cfRule>
  </conditionalFormatting>
  <conditionalFormatting sqref="J40">
    <cfRule type="containsText" dxfId="491" priority="1" operator="containsText" text="허하나로">
      <formula>NOT(ISERROR(SEARCH("허하나로",H1087)))</formula>
    </cfRule>
    <cfRule type="containsText" dxfId="490" priority="2" operator="containsText" text="한별">
      <formula>NOT(ISERROR(SEARCH("한별",H1087)))</formula>
    </cfRule>
    <cfRule type="containsText" dxfId="489" priority="3" operator="containsText" text="정홍조">
      <formula>NOT(ISERROR(SEARCH("정홍조",H1087)))</formula>
    </cfRule>
    <cfRule type="containsText" dxfId="488" priority="4" operator="containsText" text="김지윤">
      <formula>NOT(ISERROR(SEARCH("김지윤",H1087)))</formula>
    </cfRule>
    <cfRule type="containsText" dxfId="487" priority="5" operator="containsText" text="전준영">
      <formula>NOT(ISERROR(SEARCH("전준영",H1087)))</formula>
    </cfRule>
    <cfRule type="containsText" dxfId="486" priority="6" operator="containsText" text="차재성">
      <formula>NOT(ISERROR(SEARCH("차재성",H1087)))</formula>
    </cfRule>
  </conditionalFormatting>
  <conditionalFormatting sqref="J41">
    <cfRule type="containsText" dxfId="485" priority="7" operator="containsText" text="허하나로">
      <formula>NOT(ISERROR(SEARCH("허하나로",H1076)))</formula>
    </cfRule>
    <cfRule type="containsText" dxfId="484" priority="8" operator="containsText" text="한별">
      <formula>NOT(ISERROR(SEARCH("한별",H1076)))</formula>
    </cfRule>
    <cfRule type="containsText" dxfId="483" priority="9" operator="containsText" text="정홍조">
      <formula>NOT(ISERROR(SEARCH("정홍조",H1076)))</formula>
    </cfRule>
    <cfRule type="containsText" dxfId="482" priority="10" operator="containsText" text="김지윤">
      <formula>NOT(ISERROR(SEARCH("김지윤",H1076)))</formula>
    </cfRule>
    <cfRule type="containsText" dxfId="481" priority="11" operator="containsText" text="전준영">
      <formula>NOT(ISERROR(SEARCH("전준영",H1076)))</formula>
    </cfRule>
    <cfRule type="containsText" dxfId="480" priority="12" operator="containsText" text="차재성">
      <formula>NOT(ISERROR(SEARCH("차재성",H1076)))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41" max="12" man="1"/>
  </rowBreaks>
  <colBreaks count="1" manualBreakCount="1">
    <brk id="13" max="3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7" operator="containsText" text="허하나로" id="{84904E4D-5B15-4B62-AA9C-8EB1E5502C8B}">
            <xm:f>NOT(ISERROR(SEARCH("허하나로",행사부!H1029)))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8" operator="containsText" text="한별" id="{3AE28599-61A9-40FF-910A-ED8FEC8BB27B}">
            <xm:f>NOT(ISERROR(SEARCH("한별",행사부!H1029)))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9" operator="containsText" text="정홍조" id="{2121DB8C-F976-45F3-8569-4B4FACF40458}">
            <xm:f>NOT(ISERROR(SEARCH("정홍조",행사부!H1029)))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0" operator="containsText" text="김지윤" id="{CC22703E-A09D-41E3-854D-D4FA6F2E1DCE}">
            <xm:f>NOT(ISERROR(SEARCH("김지윤",행사부!H1029)))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1" operator="containsText" text="전준영" id="{211100FC-96EF-4F21-B3AA-EAB7669CDF51}">
            <xm:f>NOT(ISERROR(SEARCH("전준영",행사부!H1029)))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2" operator="containsText" text="차재성" id="{D5343758-1DA8-4C58-AC02-3AE3F9CAD79A}">
            <xm:f>NOT(ISERROR(SEARCH("차재성",행사부!H1029)))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containsText" priority="121" operator="containsText" text="허하나로" id="{73EEA989-06D8-43D8-97E0-C9877023C63C}">
            <xm:f>NOT(ISERROR(SEARCH("허하나로",행정관리부!H1085)))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C16141EF-4399-46BB-812F-F1F5F5C8F599}">
            <xm:f>NOT(ISERROR(SEARCH("한별",행정관리부!H1085)))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32A3A687-A26F-4881-8BE8-098DB7C7C929}">
            <xm:f>NOT(ISERROR(SEARCH("정홍조",행정관리부!H1085)))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75BD8FE2-8F17-4E0F-AF68-57AD6388DF06}">
            <xm:f>NOT(ISERROR(SEARCH("김지윤",행정관리부!H1085)))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D5FE593C-1B16-48A5-9411-143133F13B5D}">
            <xm:f>NOT(ISERROR(SEARCH("전준영",행정관리부!H1085)))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BFFD7824-8657-4D20-ADF4-0A510F7278D6}">
            <xm:f>NOT(ISERROR(SEARCH("차재성",행정관리부!H1085)))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J33</xm:sqref>
        </x14:conditionalFormatting>
        <x14:conditionalFormatting xmlns:xm="http://schemas.microsoft.com/office/excel/2006/main">
          <x14:cfRule type="containsText" priority="115" operator="containsText" text="허하나로" id="{05D302D0-1596-4FFA-9E67-35D13F14893F}">
            <xm:f>NOT(ISERROR(SEARCH("허하나로",행정관리부!H1141)))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59E41D1D-434E-49CE-875B-7F9D602DB4C5}">
            <xm:f>NOT(ISERROR(SEARCH("한별",행정관리부!H1141)))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314939BA-B48C-4E1B-BB16-261B18A7D298}">
            <xm:f>NOT(ISERROR(SEARCH("정홍조",행정관리부!H1141)))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7B68215-819D-44FE-8EA7-3057AB7CDE8B}">
            <xm:f>NOT(ISERROR(SEARCH("김지윤",행정관리부!H1141)))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A35168AE-39FE-4977-B984-4C61F6F4B286}">
            <xm:f>NOT(ISERROR(SEARCH("전준영",행정관리부!H1141)))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FBFB1745-6FD6-4FB0-829C-839E13FAD414}">
            <xm:f>NOT(ISERROR(SEARCH("차재성",행정관리부!H1141)))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J31:J32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R56"/>
  <sheetViews>
    <sheetView topLeftCell="A10" zoomScale="85" zoomScaleNormal="85" workbookViewId="0">
      <selection activeCell="G14" sqref="G1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76" bestFit="1" customWidth="1"/>
    <col min="16" max="16" width="11.5" bestFit="1" customWidth="1"/>
  </cols>
  <sheetData>
    <row r="1" spans="1:14" ht="17.25" thickBot="1">
      <c r="A1" s="88" t="s">
        <v>461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181" t="s">
        <v>32</v>
      </c>
    </row>
    <row r="2" spans="1:14" ht="16.5" customHeight="1">
      <c r="A2" s="704" t="s">
        <v>21</v>
      </c>
      <c r="B2" s="706" t="s">
        <v>22</v>
      </c>
      <c r="C2" s="707"/>
      <c r="D2" s="708"/>
      <c r="E2" s="706" t="s">
        <v>23</v>
      </c>
      <c r="F2" s="707"/>
      <c r="G2" s="708"/>
      <c r="H2" s="682" t="s">
        <v>704</v>
      </c>
      <c r="I2" s="682" t="s">
        <v>896</v>
      </c>
      <c r="J2" s="709" t="s">
        <v>463</v>
      </c>
      <c r="K2" s="693" t="s">
        <v>1</v>
      </c>
      <c r="L2" s="694"/>
      <c r="M2" s="695"/>
    </row>
    <row r="3" spans="1:14" ht="17.25" thickBot="1">
      <c r="A3" s="705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83"/>
      <c r="I3" s="683"/>
      <c r="J3" s="710"/>
      <c r="K3" s="696"/>
      <c r="L3" s="697"/>
      <c r="M3" s="698"/>
    </row>
    <row r="4" spans="1:14" ht="17.25" thickBot="1">
      <c r="A4" s="699" t="s">
        <v>30</v>
      </c>
      <c r="B4" s="700"/>
      <c r="C4" s="700"/>
      <c r="D4" s="700"/>
      <c r="E4" s="700"/>
      <c r="F4" s="700"/>
      <c r="G4" s="701"/>
      <c r="H4" s="184">
        <f>H5</f>
        <v>2121344</v>
      </c>
      <c r="I4" s="184">
        <v>2121344</v>
      </c>
      <c r="J4" s="120">
        <f t="shared" ref="J4:J43" si="0">H4-I4</f>
        <v>0</v>
      </c>
      <c r="K4" s="89"/>
      <c r="L4" s="90"/>
      <c r="M4" s="121"/>
    </row>
    <row r="5" spans="1:14">
      <c r="A5" s="204" t="s">
        <v>2</v>
      </c>
      <c r="B5" s="122"/>
      <c r="C5" s="123"/>
      <c r="D5" s="123"/>
      <c r="E5" s="123"/>
      <c r="F5" s="123"/>
      <c r="G5" s="124"/>
      <c r="H5" s="94">
        <f>H6</f>
        <v>2121344</v>
      </c>
      <c r="I5" s="94">
        <v>2121344</v>
      </c>
      <c r="J5" s="95">
        <f t="shared" si="0"/>
        <v>0</v>
      </c>
      <c r="K5" s="78"/>
      <c r="L5" s="79"/>
      <c r="M5" s="80"/>
    </row>
    <row r="6" spans="1:14">
      <c r="A6" s="10"/>
      <c r="B6" s="129" t="s">
        <v>284</v>
      </c>
      <c r="C6" s="129"/>
      <c r="D6" s="130"/>
      <c r="E6" s="130"/>
      <c r="F6" s="130"/>
      <c r="G6" s="131"/>
      <c r="H6" s="94">
        <f>SUM(H7,H39)</f>
        <v>2121344</v>
      </c>
      <c r="I6" s="94">
        <v>2121344</v>
      </c>
      <c r="J6" s="95">
        <f t="shared" si="0"/>
        <v>0</v>
      </c>
      <c r="K6" s="78"/>
      <c r="L6" s="79"/>
      <c r="M6" s="80"/>
    </row>
    <row r="7" spans="1:14">
      <c r="A7" s="10"/>
      <c r="B7" s="6"/>
      <c r="C7" s="178" t="s">
        <v>466</v>
      </c>
      <c r="D7" s="130"/>
      <c r="E7" s="130"/>
      <c r="F7" s="130"/>
      <c r="G7" s="131"/>
      <c r="H7" s="91">
        <f>SUM(H8,H29,H34)</f>
        <v>2101200</v>
      </c>
      <c r="I7" s="91">
        <v>2101200</v>
      </c>
      <c r="J7" s="92">
        <f t="shared" ref="J7:J31" si="1">H7-I7</f>
        <v>0</v>
      </c>
      <c r="K7" s="158"/>
      <c r="L7" s="148"/>
      <c r="M7" s="149"/>
    </row>
    <row r="8" spans="1:14">
      <c r="A8" s="10"/>
      <c r="B8" s="6"/>
      <c r="C8" s="146"/>
      <c r="D8" s="129" t="s">
        <v>620</v>
      </c>
      <c r="E8" s="130"/>
      <c r="F8" s="130"/>
      <c r="G8" s="131"/>
      <c r="H8" s="132">
        <f>H9</f>
        <v>2098000</v>
      </c>
      <c r="I8" s="132">
        <v>2098000</v>
      </c>
      <c r="J8" s="9">
        <f t="shared" ref="J8:J25" si="2">H8-I8</f>
        <v>0</v>
      </c>
      <c r="K8" s="389"/>
      <c r="L8" s="390"/>
      <c r="M8" s="397"/>
    </row>
    <row r="9" spans="1:14">
      <c r="A9" s="10"/>
      <c r="B9" s="6"/>
      <c r="C9" s="134"/>
      <c r="D9" s="135"/>
      <c r="E9" s="129" t="s">
        <v>31</v>
      </c>
      <c r="F9" s="130"/>
      <c r="G9" s="131"/>
      <c r="H9" s="91">
        <f>H10</f>
        <v>2098000</v>
      </c>
      <c r="I9" s="91">
        <v>2098000</v>
      </c>
      <c r="J9" s="92">
        <f t="shared" si="2"/>
        <v>0</v>
      </c>
      <c r="K9" s="351"/>
      <c r="L9" s="391"/>
      <c r="M9" s="392"/>
    </row>
    <row r="10" spans="1:14">
      <c r="A10" s="63"/>
      <c r="B10" s="65"/>
      <c r="C10" s="65"/>
      <c r="D10" s="65"/>
      <c r="E10" s="65"/>
      <c r="F10" s="136" t="s">
        <v>35</v>
      </c>
      <c r="G10" s="140"/>
      <c r="H10" s="72">
        <f>SUM(H11,H25)</f>
        <v>2098000</v>
      </c>
      <c r="I10" s="72">
        <v>2098000</v>
      </c>
      <c r="J10" s="98">
        <f t="shared" si="2"/>
        <v>0</v>
      </c>
      <c r="K10" s="383"/>
      <c r="L10" s="384"/>
      <c r="M10" s="398"/>
    </row>
    <row r="11" spans="1:14">
      <c r="A11" s="55"/>
      <c r="B11" s="57"/>
      <c r="C11" s="65"/>
      <c r="D11" s="65"/>
      <c r="E11" s="65"/>
      <c r="F11" s="56"/>
      <c r="G11" s="56" t="s">
        <v>36</v>
      </c>
      <c r="H11" s="100">
        <f>SUM(M11,M15,M21)</f>
        <v>5600</v>
      </c>
      <c r="I11" s="100">
        <v>5600</v>
      </c>
      <c r="J11" s="102">
        <f>H11-I11</f>
        <v>0</v>
      </c>
      <c r="K11" s="356" t="s">
        <v>881</v>
      </c>
      <c r="L11" s="375"/>
      <c r="M11" s="379">
        <f>M13</f>
        <v>515</v>
      </c>
      <c r="N11" s="596"/>
    </row>
    <row r="12" spans="1:14">
      <c r="A12" s="55"/>
      <c r="B12" s="57"/>
      <c r="C12" s="65"/>
      <c r="D12" s="65"/>
      <c r="E12" s="68"/>
      <c r="F12" s="597"/>
      <c r="G12" s="56"/>
      <c r="H12" s="100"/>
      <c r="I12" s="100"/>
      <c r="J12" s="102"/>
      <c r="K12" s="604" t="s">
        <v>847</v>
      </c>
      <c r="L12" s="375"/>
      <c r="M12" s="374"/>
      <c r="N12" s="634"/>
    </row>
    <row r="13" spans="1:14">
      <c r="A13" s="55"/>
      <c r="B13" s="57"/>
      <c r="C13" s="65"/>
      <c r="D13" s="65"/>
      <c r="E13" s="68"/>
      <c r="F13" s="597"/>
      <c r="G13" s="56"/>
      <c r="H13" s="100"/>
      <c r="I13" s="100"/>
      <c r="J13" s="102"/>
      <c r="K13" s="586" t="s">
        <v>882</v>
      </c>
      <c r="L13" s="418" t="s">
        <v>880</v>
      </c>
      <c r="M13" s="374">
        <v>515</v>
      </c>
      <c r="N13" s="634"/>
    </row>
    <row r="14" spans="1:14">
      <c r="A14" s="55"/>
      <c r="B14" s="57"/>
      <c r="C14" s="65"/>
      <c r="D14" s="65"/>
      <c r="E14" s="68"/>
      <c r="F14" s="597"/>
      <c r="G14" s="56"/>
      <c r="H14" s="100"/>
      <c r="I14" s="100"/>
      <c r="J14" s="102"/>
      <c r="K14" s="623" t="s">
        <v>698</v>
      </c>
      <c r="L14" s="624"/>
      <c r="M14" s="625"/>
      <c r="N14" s="634"/>
    </row>
    <row r="15" spans="1:14">
      <c r="A15" s="55"/>
      <c r="B15" s="57"/>
      <c r="C15" s="65"/>
      <c r="D15" s="65"/>
      <c r="E15" s="68"/>
      <c r="F15" s="597"/>
      <c r="G15" s="56"/>
      <c r="H15" s="100"/>
      <c r="I15" s="100"/>
      <c r="J15" s="102"/>
      <c r="K15" s="356" t="s">
        <v>62</v>
      </c>
      <c r="L15" s="375"/>
      <c r="M15" s="409">
        <f>SUM(M16,M19,M20)</f>
        <v>3885</v>
      </c>
      <c r="N15" s="634"/>
    </row>
    <row r="16" spans="1:14">
      <c r="A16" s="63"/>
      <c r="B16" s="65"/>
      <c r="C16" s="65"/>
      <c r="D16" s="144"/>
      <c r="E16" s="189"/>
      <c r="F16" s="189"/>
      <c r="G16" s="65"/>
      <c r="H16" s="74"/>
      <c r="I16" s="74"/>
      <c r="J16" s="74"/>
      <c r="K16" s="382" t="s">
        <v>696</v>
      </c>
      <c r="L16" s="375" t="s">
        <v>37</v>
      </c>
      <c r="M16" s="399">
        <v>3000</v>
      </c>
      <c r="N16" s="596"/>
    </row>
    <row r="17" spans="1:18">
      <c r="A17" s="63"/>
      <c r="B17" s="65"/>
      <c r="C17" s="65"/>
      <c r="D17" s="144"/>
      <c r="E17" s="189"/>
      <c r="F17" s="189"/>
      <c r="G17" s="68"/>
      <c r="H17" s="74"/>
      <c r="I17" s="74"/>
      <c r="J17" s="74"/>
      <c r="K17" s="382" t="s">
        <v>697</v>
      </c>
      <c r="L17" s="375"/>
      <c r="M17" s="399">
        <v>1000</v>
      </c>
      <c r="N17" s="596"/>
    </row>
    <row r="18" spans="1:18">
      <c r="A18" s="63"/>
      <c r="B18" s="65"/>
      <c r="C18" s="65"/>
      <c r="D18" s="144"/>
      <c r="E18" s="189"/>
      <c r="F18" s="189"/>
      <c r="G18" s="68"/>
      <c r="H18" s="74"/>
      <c r="I18" s="74"/>
      <c r="J18" s="74"/>
      <c r="K18" s="604" t="s">
        <v>847</v>
      </c>
      <c r="L18" s="418"/>
      <c r="M18" s="379"/>
      <c r="N18" s="596"/>
    </row>
    <row r="19" spans="1:18">
      <c r="A19" s="55"/>
      <c r="B19" s="57"/>
      <c r="C19" s="65"/>
      <c r="D19" s="65"/>
      <c r="E19" s="65"/>
      <c r="F19" s="221"/>
      <c r="G19" s="615"/>
      <c r="H19" s="100"/>
      <c r="I19" s="100"/>
      <c r="J19" s="50"/>
      <c r="K19" s="586" t="s">
        <v>878</v>
      </c>
      <c r="L19" s="418" t="s">
        <v>880</v>
      </c>
      <c r="M19" s="374">
        <v>585</v>
      </c>
      <c r="N19" s="634"/>
      <c r="O19" s="634"/>
      <c r="P19" s="634"/>
      <c r="Q19" s="634"/>
      <c r="R19" s="634"/>
    </row>
    <row r="20" spans="1:18">
      <c r="A20" s="55"/>
      <c r="B20" s="57"/>
      <c r="C20" s="65"/>
      <c r="D20" s="65"/>
      <c r="E20" s="65"/>
      <c r="F20" s="221"/>
      <c r="G20" s="615"/>
      <c r="H20" s="100"/>
      <c r="I20" s="100"/>
      <c r="J20" s="50"/>
      <c r="K20" s="586" t="s">
        <v>879</v>
      </c>
      <c r="L20" s="378" t="s">
        <v>880</v>
      </c>
      <c r="M20" s="374">
        <v>300</v>
      </c>
      <c r="N20" s="634"/>
      <c r="O20" s="634"/>
      <c r="P20" s="634"/>
      <c r="Q20" s="634"/>
      <c r="R20" s="634"/>
    </row>
    <row r="21" spans="1:18">
      <c r="A21" s="55"/>
      <c r="B21" s="57"/>
      <c r="C21" s="65"/>
      <c r="D21" s="65"/>
      <c r="E21" s="65"/>
      <c r="F21" s="56"/>
      <c r="G21" s="56"/>
      <c r="H21" s="100"/>
      <c r="I21" s="100"/>
      <c r="J21" s="102"/>
      <c r="K21" s="356" t="s">
        <v>695</v>
      </c>
      <c r="L21" s="378"/>
      <c r="M21" s="379">
        <f>M24</f>
        <v>1200</v>
      </c>
      <c r="N21" s="634"/>
      <c r="O21" s="634"/>
      <c r="P21" s="634"/>
      <c r="Q21" s="634"/>
      <c r="R21" s="634"/>
    </row>
    <row r="22" spans="1:18">
      <c r="A22" s="55"/>
      <c r="B22" s="57"/>
      <c r="C22" s="65"/>
      <c r="D22" s="65"/>
      <c r="E22" s="65"/>
      <c r="F22" s="56"/>
      <c r="G22" s="56"/>
      <c r="H22" s="100"/>
      <c r="I22" s="100"/>
      <c r="J22" s="102"/>
      <c r="K22" s="382" t="s">
        <v>636</v>
      </c>
      <c r="L22" s="378" t="s">
        <v>37</v>
      </c>
      <c r="M22" s="374">
        <v>1600</v>
      </c>
      <c r="N22" s="596"/>
    </row>
    <row r="23" spans="1:18">
      <c r="A23" s="63"/>
      <c r="B23" s="65"/>
      <c r="C23" s="65"/>
      <c r="D23" s="65"/>
      <c r="E23" s="65"/>
      <c r="F23" s="56"/>
      <c r="G23" s="56"/>
      <c r="H23" s="100"/>
      <c r="I23" s="100"/>
      <c r="J23" s="102"/>
      <c r="K23" s="604" t="s">
        <v>847</v>
      </c>
      <c r="L23" s="418"/>
      <c r="M23" s="379"/>
      <c r="N23" s="596"/>
      <c r="P23" s="575"/>
    </row>
    <row r="24" spans="1:18">
      <c r="A24" s="55"/>
      <c r="B24" s="57"/>
      <c r="C24" s="65"/>
      <c r="D24" s="65"/>
      <c r="E24" s="65"/>
      <c r="F24" s="221"/>
      <c r="G24" s="615"/>
      <c r="H24" s="100"/>
      <c r="I24" s="100"/>
      <c r="J24" s="50"/>
      <c r="K24" s="655" t="s">
        <v>877</v>
      </c>
      <c r="L24" s="373" t="s">
        <v>0</v>
      </c>
      <c r="M24" s="381">
        <v>1200</v>
      </c>
      <c r="N24" s="634"/>
      <c r="O24" s="634"/>
      <c r="P24" s="634"/>
      <c r="Q24" s="634"/>
      <c r="R24" s="634"/>
    </row>
    <row r="25" spans="1:18">
      <c r="A25" s="55"/>
      <c r="B25" s="57"/>
      <c r="C25" s="65"/>
      <c r="D25" s="65"/>
      <c r="E25" s="65"/>
      <c r="F25" s="221"/>
      <c r="G25" s="205" t="s">
        <v>621</v>
      </c>
      <c r="H25" s="206">
        <f>M25</f>
        <v>2092400</v>
      </c>
      <c r="I25" s="206">
        <v>2092400</v>
      </c>
      <c r="J25" s="41">
        <f t="shared" si="2"/>
        <v>0</v>
      </c>
      <c r="K25" s="386" t="s">
        <v>622</v>
      </c>
      <c r="L25" s="412"/>
      <c r="M25" s="388">
        <f>M28</f>
        <v>2092400</v>
      </c>
    </row>
    <row r="26" spans="1:18">
      <c r="A26" s="55"/>
      <c r="B26" s="57"/>
      <c r="C26" s="65"/>
      <c r="D26" s="65"/>
      <c r="E26" s="65"/>
      <c r="F26" s="56"/>
      <c r="G26" s="633"/>
      <c r="H26" s="100"/>
      <c r="I26" s="100"/>
      <c r="J26" s="102"/>
      <c r="K26" s="586" t="s">
        <v>623</v>
      </c>
      <c r="L26" s="378" t="s">
        <v>37</v>
      </c>
      <c r="M26" s="374">
        <v>2098000</v>
      </c>
      <c r="O26" s="250"/>
      <c r="P26" s="575"/>
    </row>
    <row r="27" spans="1:18">
      <c r="A27" s="55"/>
      <c r="B27" s="57"/>
      <c r="C27" s="65"/>
      <c r="D27" s="65"/>
      <c r="E27" s="65"/>
      <c r="F27" s="56"/>
      <c r="G27" s="646"/>
      <c r="H27" s="100"/>
      <c r="I27" s="100"/>
      <c r="J27" s="102"/>
      <c r="K27" s="623" t="s">
        <v>699</v>
      </c>
      <c r="L27" s="624"/>
      <c r="M27" s="625"/>
      <c r="N27" s="596"/>
      <c r="O27" s="250"/>
      <c r="P27" s="575"/>
    </row>
    <row r="28" spans="1:18">
      <c r="A28" s="55"/>
      <c r="B28" s="57"/>
      <c r="C28" s="65"/>
      <c r="D28" s="65"/>
      <c r="E28" s="65"/>
      <c r="F28" s="56"/>
      <c r="G28" s="597"/>
      <c r="H28" s="100"/>
      <c r="I28" s="100"/>
      <c r="J28" s="102"/>
      <c r="K28" s="602" t="s">
        <v>694</v>
      </c>
      <c r="L28" s="378" t="s">
        <v>0</v>
      </c>
      <c r="M28" s="374">
        <v>2092400</v>
      </c>
      <c r="N28" s="596"/>
      <c r="O28" s="250"/>
      <c r="P28" s="575"/>
    </row>
    <row r="29" spans="1:18">
      <c r="A29" s="10"/>
      <c r="B29" s="6"/>
      <c r="C29" s="146"/>
      <c r="D29" s="129" t="s">
        <v>467</v>
      </c>
      <c r="E29" s="130"/>
      <c r="F29" s="130"/>
      <c r="G29" s="131"/>
      <c r="H29" s="132">
        <f>H30</f>
        <v>1600</v>
      </c>
      <c r="I29" s="132">
        <v>1600</v>
      </c>
      <c r="J29" s="9">
        <f t="shared" si="1"/>
        <v>0</v>
      </c>
      <c r="K29" s="389"/>
      <c r="L29" s="390"/>
      <c r="M29" s="397"/>
    </row>
    <row r="30" spans="1:18">
      <c r="A30" s="10"/>
      <c r="B30" s="6"/>
      <c r="C30" s="134"/>
      <c r="D30" s="135"/>
      <c r="E30" s="129" t="s">
        <v>31</v>
      </c>
      <c r="F30" s="130"/>
      <c r="G30" s="131"/>
      <c r="H30" s="91">
        <f>H31</f>
        <v>1600</v>
      </c>
      <c r="I30" s="91">
        <v>1600</v>
      </c>
      <c r="J30" s="92">
        <f t="shared" si="1"/>
        <v>0</v>
      </c>
      <c r="K30" s="351"/>
      <c r="L30" s="391"/>
      <c r="M30" s="392"/>
    </row>
    <row r="31" spans="1:18">
      <c r="A31" s="63"/>
      <c r="B31" s="65"/>
      <c r="C31" s="65"/>
      <c r="D31" s="65"/>
      <c r="E31" s="65"/>
      <c r="F31" s="136" t="s">
        <v>35</v>
      </c>
      <c r="G31" s="140"/>
      <c r="H31" s="72">
        <f>SUM(H32)</f>
        <v>1600</v>
      </c>
      <c r="I31" s="72">
        <v>1600</v>
      </c>
      <c r="J31" s="98">
        <f t="shared" si="1"/>
        <v>0</v>
      </c>
      <c r="K31" s="383"/>
      <c r="L31" s="384"/>
      <c r="M31" s="398"/>
    </row>
    <row r="32" spans="1:18">
      <c r="A32" s="55"/>
      <c r="B32" s="57"/>
      <c r="C32" s="65"/>
      <c r="D32" s="65"/>
      <c r="E32" s="65"/>
      <c r="F32" s="56"/>
      <c r="G32" s="56" t="s">
        <v>624</v>
      </c>
      <c r="H32" s="100">
        <f>M32</f>
        <v>1600</v>
      </c>
      <c r="I32" s="100">
        <v>1600</v>
      </c>
      <c r="J32" s="102">
        <f>H32-I32</f>
        <v>0</v>
      </c>
      <c r="K32" s="356" t="s">
        <v>468</v>
      </c>
      <c r="L32" s="378"/>
      <c r="M32" s="379">
        <f>SUM(M33)</f>
        <v>1600</v>
      </c>
    </row>
    <row r="33" spans="1:16">
      <c r="A33" s="63"/>
      <c r="B33" s="65"/>
      <c r="C33" s="65"/>
      <c r="D33" s="65"/>
      <c r="E33" s="65"/>
      <c r="F33" s="56"/>
      <c r="G33" s="56"/>
      <c r="H33" s="100"/>
      <c r="I33" s="100"/>
      <c r="J33" s="102"/>
      <c r="K33" s="380" t="s">
        <v>637</v>
      </c>
      <c r="L33" s="373" t="s">
        <v>37</v>
      </c>
      <c r="M33" s="374">
        <v>1600</v>
      </c>
      <c r="P33" s="575"/>
    </row>
    <row r="34" spans="1:16">
      <c r="A34" s="10"/>
      <c r="B34" s="6"/>
      <c r="C34" s="146"/>
      <c r="D34" s="129" t="s">
        <v>469</v>
      </c>
      <c r="E34" s="130"/>
      <c r="F34" s="130"/>
      <c r="G34" s="131"/>
      <c r="H34" s="132">
        <f>H35</f>
        <v>1600</v>
      </c>
      <c r="I34" s="132">
        <v>1600</v>
      </c>
      <c r="J34" s="9">
        <f t="shared" ref="J34:J36" si="3">H34-I34</f>
        <v>0</v>
      </c>
      <c r="K34" s="389"/>
      <c r="L34" s="390"/>
      <c r="M34" s="397"/>
    </row>
    <row r="35" spans="1:16">
      <c r="A35" s="10"/>
      <c r="B35" s="6"/>
      <c r="C35" s="134"/>
      <c r="D35" s="135"/>
      <c r="E35" s="129" t="s">
        <v>31</v>
      </c>
      <c r="F35" s="130"/>
      <c r="G35" s="131"/>
      <c r="H35" s="91">
        <f>H36</f>
        <v>1600</v>
      </c>
      <c r="I35" s="91">
        <v>1600</v>
      </c>
      <c r="J35" s="92">
        <f t="shared" si="3"/>
        <v>0</v>
      </c>
      <c r="K35" s="351"/>
      <c r="L35" s="391"/>
      <c r="M35" s="392"/>
    </row>
    <row r="36" spans="1:16">
      <c r="A36" s="63"/>
      <c r="B36" s="65"/>
      <c r="C36" s="65"/>
      <c r="D36" s="65"/>
      <c r="E36" s="65"/>
      <c r="F36" s="136" t="s">
        <v>35</v>
      </c>
      <c r="G36" s="140"/>
      <c r="H36" s="72">
        <f>SUM(H37)</f>
        <v>1600</v>
      </c>
      <c r="I36" s="72">
        <v>1600</v>
      </c>
      <c r="J36" s="98">
        <f t="shared" si="3"/>
        <v>0</v>
      </c>
      <c r="K36" s="383"/>
      <c r="L36" s="384"/>
      <c r="M36" s="398"/>
    </row>
    <row r="37" spans="1:16">
      <c r="A37" s="55"/>
      <c r="B37" s="57"/>
      <c r="C37" s="65"/>
      <c r="D37" s="65"/>
      <c r="E37" s="65"/>
      <c r="F37" s="56"/>
      <c r="G37" s="56" t="s">
        <v>624</v>
      </c>
      <c r="H37" s="100">
        <f>M37</f>
        <v>1600</v>
      </c>
      <c r="I37" s="100">
        <v>1600</v>
      </c>
      <c r="J37" s="102">
        <f>H37-I37</f>
        <v>0</v>
      </c>
      <c r="K37" s="356" t="s">
        <v>468</v>
      </c>
      <c r="L37" s="378"/>
      <c r="M37" s="379">
        <f>SUM(M38)</f>
        <v>1600</v>
      </c>
    </row>
    <row r="38" spans="1:16">
      <c r="A38" s="63"/>
      <c r="B38" s="65"/>
      <c r="C38" s="65"/>
      <c r="D38" s="65"/>
      <c r="E38" s="65"/>
      <c r="F38" s="56"/>
      <c r="G38" s="56"/>
      <c r="H38" s="100"/>
      <c r="I38" s="100"/>
      <c r="J38" s="102"/>
      <c r="K38" s="380" t="s">
        <v>636</v>
      </c>
      <c r="L38" s="373" t="s">
        <v>37</v>
      </c>
      <c r="M38" s="374">
        <v>1600</v>
      </c>
      <c r="P38" s="575"/>
    </row>
    <row r="39" spans="1:16">
      <c r="A39" s="10"/>
      <c r="B39" s="6"/>
      <c r="C39" s="178" t="s">
        <v>241</v>
      </c>
      <c r="D39" s="130"/>
      <c r="E39" s="130"/>
      <c r="F39" s="130"/>
      <c r="G39" s="131"/>
      <c r="H39" s="91">
        <f>H40</f>
        <v>20144</v>
      </c>
      <c r="I39" s="91">
        <v>20144</v>
      </c>
      <c r="J39" s="92">
        <f t="shared" si="0"/>
        <v>0</v>
      </c>
      <c r="K39" s="396"/>
      <c r="L39" s="390"/>
      <c r="M39" s="397"/>
    </row>
    <row r="40" spans="1:16">
      <c r="A40" s="10"/>
      <c r="B40" s="6"/>
      <c r="C40" s="146"/>
      <c r="D40" s="129" t="s">
        <v>34</v>
      </c>
      <c r="E40" s="130"/>
      <c r="F40" s="130"/>
      <c r="G40" s="131"/>
      <c r="H40" s="132">
        <f>H41</f>
        <v>20144</v>
      </c>
      <c r="I40" s="132">
        <v>20144</v>
      </c>
      <c r="J40" s="9">
        <f t="shared" si="0"/>
        <v>0</v>
      </c>
      <c r="K40" s="389"/>
      <c r="L40" s="390"/>
      <c r="M40" s="397"/>
    </row>
    <row r="41" spans="1:16">
      <c r="A41" s="10"/>
      <c r="B41" s="6"/>
      <c r="C41" s="134"/>
      <c r="D41" s="135"/>
      <c r="E41" s="129" t="s">
        <v>31</v>
      </c>
      <c r="F41" s="130"/>
      <c r="G41" s="131"/>
      <c r="H41" s="91">
        <f>SUM(H42,H47,H51,H54)</f>
        <v>20144</v>
      </c>
      <c r="I41" s="91">
        <v>20144</v>
      </c>
      <c r="J41" s="92">
        <f t="shared" si="0"/>
        <v>0</v>
      </c>
      <c r="K41" s="351"/>
      <c r="L41" s="391"/>
      <c r="M41" s="392"/>
    </row>
    <row r="42" spans="1:16">
      <c r="A42" s="63"/>
      <c r="B42" s="65"/>
      <c r="C42" s="65"/>
      <c r="D42" s="65"/>
      <c r="E42" s="65"/>
      <c r="F42" s="136" t="s">
        <v>35</v>
      </c>
      <c r="G42" s="140"/>
      <c r="H42" s="72">
        <f>SUM(H43,H45)</f>
        <v>7544</v>
      </c>
      <c r="I42" s="72">
        <v>7544</v>
      </c>
      <c r="J42" s="98">
        <f t="shared" si="0"/>
        <v>0</v>
      </c>
      <c r="K42" s="383"/>
      <c r="L42" s="384"/>
      <c r="M42" s="398"/>
    </row>
    <row r="43" spans="1:16">
      <c r="A43" s="55"/>
      <c r="B43" s="57"/>
      <c r="C43" s="65"/>
      <c r="D43" s="65"/>
      <c r="E43" s="65"/>
      <c r="F43" s="191"/>
      <c r="G43" s="205" t="s">
        <v>36</v>
      </c>
      <c r="H43" s="206">
        <f>M43</f>
        <v>2000</v>
      </c>
      <c r="I43" s="206">
        <v>2000</v>
      </c>
      <c r="J43" s="41">
        <f t="shared" si="0"/>
        <v>0</v>
      </c>
      <c r="K43" s="386" t="s">
        <v>47</v>
      </c>
      <c r="L43" s="412"/>
      <c r="M43" s="388">
        <f>SUM(M44:M44)</f>
        <v>2000</v>
      </c>
    </row>
    <row r="44" spans="1:16">
      <c r="A44" s="55"/>
      <c r="B44" s="57"/>
      <c r="C44" s="65"/>
      <c r="D44" s="65"/>
      <c r="E44" s="65"/>
      <c r="F44" s="56"/>
      <c r="G44" s="56"/>
      <c r="H44" s="100"/>
      <c r="I44" s="100"/>
      <c r="J44" s="102"/>
      <c r="K44" s="586" t="s">
        <v>683</v>
      </c>
      <c r="L44" s="378" t="s">
        <v>37</v>
      </c>
      <c r="M44" s="374">
        <v>2000</v>
      </c>
    </row>
    <row r="45" spans="1:16">
      <c r="A45" s="55"/>
      <c r="B45" s="57"/>
      <c r="C45" s="65"/>
      <c r="D45" s="65"/>
      <c r="E45" s="65"/>
      <c r="F45" s="56"/>
      <c r="G45" s="205" t="s">
        <v>306</v>
      </c>
      <c r="H45" s="206">
        <f>M45</f>
        <v>5544</v>
      </c>
      <c r="I45" s="206">
        <v>5544</v>
      </c>
      <c r="J45" s="207">
        <f>H45-I45</f>
        <v>0</v>
      </c>
      <c r="K45" s="386" t="s">
        <v>307</v>
      </c>
      <c r="L45" s="521"/>
      <c r="M45" s="388">
        <f>SUM(M46)</f>
        <v>5544</v>
      </c>
    </row>
    <row r="46" spans="1:16">
      <c r="A46" s="63"/>
      <c r="B46" s="65"/>
      <c r="C46" s="65"/>
      <c r="D46" s="65"/>
      <c r="E46" s="65"/>
      <c r="F46" s="56"/>
      <c r="G46" s="56"/>
      <c r="H46" s="100"/>
      <c r="I46" s="100"/>
      <c r="J46" s="102"/>
      <c r="K46" s="380" t="s">
        <v>625</v>
      </c>
      <c r="L46" s="373" t="s">
        <v>37</v>
      </c>
      <c r="M46" s="374">
        <v>5544</v>
      </c>
    </row>
    <row r="47" spans="1:16">
      <c r="A47" s="63"/>
      <c r="B47" s="65"/>
      <c r="C47" s="65"/>
      <c r="D47" s="65"/>
      <c r="E47" s="65"/>
      <c r="F47" s="702" t="s">
        <v>40</v>
      </c>
      <c r="G47" s="703"/>
      <c r="H47" s="151">
        <f>H48</f>
        <v>9000</v>
      </c>
      <c r="I47" s="151">
        <v>9000</v>
      </c>
      <c r="J47" s="152">
        <f>H47-I47</f>
        <v>0</v>
      </c>
      <c r="K47" s="587"/>
      <c r="L47" s="588"/>
      <c r="M47" s="385"/>
    </row>
    <row r="48" spans="1:16">
      <c r="A48" s="63"/>
      <c r="B48" s="65"/>
      <c r="C48" s="65"/>
      <c r="D48" s="65"/>
      <c r="E48" s="65"/>
      <c r="F48" s="109"/>
      <c r="G48" s="198" t="s">
        <v>41</v>
      </c>
      <c r="H48" s="209">
        <f>M48</f>
        <v>9000</v>
      </c>
      <c r="I48" s="206">
        <v>9000</v>
      </c>
      <c r="J48" s="201">
        <f>H48-I48</f>
        <v>0</v>
      </c>
      <c r="K48" s="386" t="s">
        <v>49</v>
      </c>
      <c r="L48" s="589"/>
      <c r="M48" s="388">
        <f>SUM(M49:M50)</f>
        <v>9000</v>
      </c>
    </row>
    <row r="49" spans="1:16">
      <c r="A49" s="63"/>
      <c r="B49" s="65"/>
      <c r="C49" s="65"/>
      <c r="D49" s="65"/>
      <c r="E49" s="65"/>
      <c r="F49" s="193"/>
      <c r="G49" s="193"/>
      <c r="H49" s="100"/>
      <c r="I49" s="104"/>
      <c r="J49" s="102"/>
      <c r="K49" s="382" t="s">
        <v>684</v>
      </c>
      <c r="L49" s="418" t="s">
        <v>0</v>
      </c>
      <c r="M49" s="374">
        <v>2400</v>
      </c>
    </row>
    <row r="50" spans="1:16">
      <c r="A50" s="63"/>
      <c r="B50" s="65"/>
      <c r="C50" s="65"/>
      <c r="D50" s="65"/>
      <c r="E50" s="65"/>
      <c r="F50" s="193"/>
      <c r="G50" s="193"/>
      <c r="H50" s="100"/>
      <c r="I50" s="104"/>
      <c r="J50" s="102"/>
      <c r="K50" s="518" t="s">
        <v>685</v>
      </c>
      <c r="L50" s="519" t="s">
        <v>0</v>
      </c>
      <c r="M50" s="374">
        <v>6600</v>
      </c>
    </row>
    <row r="51" spans="1:16">
      <c r="A51" s="63"/>
      <c r="B51" s="65"/>
      <c r="C51" s="65"/>
      <c r="D51" s="65"/>
      <c r="E51" s="65"/>
      <c r="F51" s="702" t="s">
        <v>42</v>
      </c>
      <c r="G51" s="703"/>
      <c r="H51" s="151">
        <f>H52</f>
        <v>1500</v>
      </c>
      <c r="I51" s="151">
        <v>1500</v>
      </c>
      <c r="J51" s="152">
        <f>H51-I51</f>
        <v>0</v>
      </c>
      <c r="K51" s="587"/>
      <c r="L51" s="588"/>
      <c r="M51" s="385"/>
    </row>
    <row r="52" spans="1:16">
      <c r="A52" s="63"/>
      <c r="B52" s="65"/>
      <c r="C52" s="65"/>
      <c r="D52" s="65"/>
      <c r="E52" s="65"/>
      <c r="F52" s="193"/>
      <c r="G52" s="109" t="s">
        <v>43</v>
      </c>
      <c r="H52" s="209">
        <f>M52</f>
        <v>1500</v>
      </c>
      <c r="I52" s="209">
        <v>1500</v>
      </c>
      <c r="J52" s="201">
        <f>H52-I52</f>
        <v>0</v>
      </c>
      <c r="K52" s="386" t="s">
        <v>503</v>
      </c>
      <c r="L52" s="412"/>
      <c r="M52" s="388">
        <f>SUM(M53)</f>
        <v>1500</v>
      </c>
    </row>
    <row r="53" spans="1:16">
      <c r="A53" s="314"/>
      <c r="B53" s="315"/>
      <c r="C53" s="315"/>
      <c r="D53" s="315"/>
      <c r="E53" s="315"/>
      <c r="F53" s="194"/>
      <c r="G53" s="194"/>
      <c r="H53" s="103"/>
      <c r="I53" s="154"/>
      <c r="J53" s="154"/>
      <c r="K53" s="518" t="s">
        <v>626</v>
      </c>
      <c r="L53" s="519" t="s">
        <v>0</v>
      </c>
      <c r="M53" s="381">
        <v>1500</v>
      </c>
    </row>
    <row r="54" spans="1:16">
      <c r="A54" s="63"/>
      <c r="B54" s="65"/>
      <c r="C54" s="65"/>
      <c r="D54" s="65"/>
      <c r="E54" s="65"/>
      <c r="F54" s="330" t="s">
        <v>87</v>
      </c>
      <c r="G54" s="70"/>
      <c r="H54" s="71">
        <f>H55</f>
        <v>2100</v>
      </c>
      <c r="I54" s="71">
        <v>2100</v>
      </c>
      <c r="J54" s="145">
        <f>H54-I54</f>
        <v>0</v>
      </c>
      <c r="K54" s="525"/>
      <c r="L54" s="526"/>
      <c r="M54" s="527"/>
    </row>
    <row r="55" spans="1:16">
      <c r="A55" s="63"/>
      <c r="B55" s="65"/>
      <c r="C55" s="65"/>
      <c r="D55" s="65"/>
      <c r="E55" s="65"/>
      <c r="F55" s="142"/>
      <c r="G55" s="65" t="s">
        <v>91</v>
      </c>
      <c r="H55" s="75">
        <f>M55</f>
        <v>2100</v>
      </c>
      <c r="I55" s="75">
        <v>2100</v>
      </c>
      <c r="J55" s="48">
        <f>H55-I55</f>
        <v>0</v>
      </c>
      <c r="K55" s="36" t="s">
        <v>383</v>
      </c>
      <c r="L55" s="39"/>
      <c r="M55" s="217">
        <f>M56</f>
        <v>2100</v>
      </c>
    </row>
    <row r="56" spans="1:16" ht="17.25" thickBot="1">
      <c r="A56" s="287"/>
      <c r="B56" s="69"/>
      <c r="C56" s="69"/>
      <c r="D56" s="69"/>
      <c r="E56" s="69"/>
      <c r="F56" s="332"/>
      <c r="G56" s="199"/>
      <c r="H56" s="333"/>
      <c r="I56" s="334"/>
      <c r="J56" s="335"/>
      <c r="K56" s="230" t="s">
        <v>388</v>
      </c>
      <c r="L56" s="231" t="s">
        <v>0</v>
      </c>
      <c r="M56" s="240">
        <v>2100</v>
      </c>
      <c r="P56" s="575"/>
    </row>
  </sheetData>
  <autoFilter ref="A3:M56">
    <filterColumn colId="10" showButton="0"/>
    <filterColumn colId="11" showButton="0"/>
  </autoFilter>
  <mergeCells count="10">
    <mergeCell ref="K2:M3"/>
    <mergeCell ref="A4:G4"/>
    <mergeCell ref="F47:G47"/>
    <mergeCell ref="F51:G51"/>
    <mergeCell ref="A2:A3"/>
    <mergeCell ref="B2:D2"/>
    <mergeCell ref="E2:G2"/>
    <mergeCell ref="H2:H3"/>
    <mergeCell ref="I2:I3"/>
    <mergeCell ref="J2:J3"/>
  </mergeCells>
  <phoneticPr fontId="12" type="noConversion"/>
  <conditionalFormatting sqref="J52:J53">
    <cfRule type="containsText" dxfId="461" priority="235" operator="containsText" text="허하나로">
      <formula>NOT(ISERROR(SEARCH("허하나로",H1078)))</formula>
    </cfRule>
    <cfRule type="containsText" dxfId="460" priority="236" operator="containsText" text="한별">
      <formula>NOT(ISERROR(SEARCH("한별",H1078)))</formula>
    </cfRule>
    <cfRule type="containsText" dxfId="459" priority="237" operator="containsText" text="정홍조">
      <formula>NOT(ISERROR(SEARCH("정홍조",H1078)))</formula>
    </cfRule>
    <cfRule type="containsText" dxfId="458" priority="238" operator="containsText" text="김지윤">
      <formula>NOT(ISERROR(SEARCH("김지윤",H1078)))</formula>
    </cfRule>
    <cfRule type="containsText" dxfId="457" priority="239" operator="containsText" text="전준영">
      <formula>NOT(ISERROR(SEARCH("전준영",H1078)))</formula>
    </cfRule>
    <cfRule type="containsText" dxfId="456" priority="240" operator="containsText" text="차재성">
      <formula>NOT(ISERROR(SEARCH("차재성",H1078)))</formula>
    </cfRule>
  </conditionalFormatting>
  <conditionalFormatting sqref="J6">
    <cfRule type="containsText" dxfId="455" priority="247" operator="containsText" text="허하나로">
      <formula>NOT(ISERROR(SEARCH("허하나로",H715)))</formula>
    </cfRule>
    <cfRule type="containsText" dxfId="454" priority="248" operator="containsText" text="한별">
      <formula>NOT(ISERROR(SEARCH("한별",H715)))</formula>
    </cfRule>
    <cfRule type="containsText" dxfId="453" priority="249" operator="containsText" text="정홍조">
      <formula>NOT(ISERROR(SEARCH("정홍조",H715)))</formula>
    </cfRule>
    <cfRule type="containsText" dxfId="452" priority="250" operator="containsText" text="김지윤">
      <formula>NOT(ISERROR(SEARCH("김지윤",H715)))</formula>
    </cfRule>
    <cfRule type="containsText" dxfId="451" priority="251" operator="containsText" text="전준영">
      <formula>NOT(ISERROR(SEARCH("전준영",H715)))</formula>
    </cfRule>
    <cfRule type="containsText" dxfId="450" priority="252" operator="containsText" text="차재성">
      <formula>NOT(ISERROR(SEARCH("차재성",H715)))</formula>
    </cfRule>
  </conditionalFormatting>
  <conditionalFormatting sqref="J5">
    <cfRule type="containsText" dxfId="449" priority="241" operator="containsText" text="허하나로">
      <formula>NOT(ISERROR(SEARCH("허하나로",H714)))</formula>
    </cfRule>
    <cfRule type="containsText" dxfId="448" priority="242" operator="containsText" text="한별">
      <formula>NOT(ISERROR(SEARCH("한별",H714)))</formula>
    </cfRule>
    <cfRule type="containsText" dxfId="447" priority="243" operator="containsText" text="정홍조">
      <formula>NOT(ISERROR(SEARCH("정홍조",H714)))</formula>
    </cfRule>
    <cfRule type="containsText" dxfId="446" priority="244" operator="containsText" text="김지윤">
      <formula>NOT(ISERROR(SEARCH("김지윤",H714)))</formula>
    </cfRule>
    <cfRule type="containsText" dxfId="445" priority="245" operator="containsText" text="전준영">
      <formula>NOT(ISERROR(SEARCH("전준영",H714)))</formula>
    </cfRule>
    <cfRule type="containsText" dxfId="444" priority="246" operator="containsText" text="차재성">
      <formula>NOT(ISERROR(SEARCH("차재성",H714)))</formula>
    </cfRule>
  </conditionalFormatting>
  <conditionalFormatting sqref="J39">
    <cfRule type="containsText" dxfId="443" priority="229" operator="containsText" text="허하나로">
      <formula>NOT(ISERROR(SEARCH("허하나로",H848)))</formula>
    </cfRule>
    <cfRule type="containsText" dxfId="442" priority="230" operator="containsText" text="한별">
      <formula>NOT(ISERROR(SEARCH("한별",H848)))</formula>
    </cfRule>
    <cfRule type="containsText" dxfId="441" priority="231" operator="containsText" text="정홍조">
      <formula>NOT(ISERROR(SEARCH("정홍조",H848)))</formula>
    </cfRule>
    <cfRule type="containsText" dxfId="440" priority="232" operator="containsText" text="김지윤">
      <formula>NOT(ISERROR(SEARCH("김지윤",H848)))</formula>
    </cfRule>
    <cfRule type="containsText" dxfId="439" priority="233" operator="containsText" text="전준영">
      <formula>NOT(ISERROR(SEARCH("전준영",H848)))</formula>
    </cfRule>
    <cfRule type="containsText" dxfId="438" priority="234" operator="containsText" text="차재성">
      <formula>NOT(ISERROR(SEARCH("차재성",H848)))</formula>
    </cfRule>
  </conditionalFormatting>
  <conditionalFormatting sqref="J42:J43">
    <cfRule type="containsText" dxfId="437" priority="223" operator="containsText" text="허하나로">
      <formula>NOT(ISERROR(SEARCH("허하나로",H1056)))</formula>
    </cfRule>
    <cfRule type="containsText" dxfId="436" priority="224" operator="containsText" text="한별">
      <formula>NOT(ISERROR(SEARCH("한별",H1056)))</formula>
    </cfRule>
    <cfRule type="containsText" dxfId="435" priority="225" operator="containsText" text="정홍조">
      <formula>NOT(ISERROR(SEARCH("정홍조",H1056)))</formula>
    </cfRule>
    <cfRule type="containsText" dxfId="434" priority="226" operator="containsText" text="김지윤">
      <formula>NOT(ISERROR(SEARCH("김지윤",H1056)))</formula>
    </cfRule>
    <cfRule type="containsText" dxfId="433" priority="227" operator="containsText" text="전준영">
      <formula>NOT(ISERROR(SEARCH("전준영",H1056)))</formula>
    </cfRule>
    <cfRule type="containsText" dxfId="432" priority="228" operator="containsText" text="차재성">
      <formula>NOT(ISERROR(SEARCH("차재성",H1056)))</formula>
    </cfRule>
  </conditionalFormatting>
  <conditionalFormatting sqref="J41">
    <cfRule type="containsText" dxfId="431" priority="265" operator="containsText" text="허하나로">
      <formula>NOT(ISERROR(SEARCH("허하나로",H1045)))</formula>
    </cfRule>
    <cfRule type="containsText" dxfId="430" priority="266" operator="containsText" text="한별">
      <formula>NOT(ISERROR(SEARCH("한별",H1045)))</formula>
    </cfRule>
    <cfRule type="containsText" dxfId="429" priority="267" operator="containsText" text="정홍조">
      <formula>NOT(ISERROR(SEARCH("정홍조",H1045)))</formula>
    </cfRule>
    <cfRule type="containsText" dxfId="428" priority="268" operator="containsText" text="김지윤">
      <formula>NOT(ISERROR(SEARCH("김지윤",H1045)))</formula>
    </cfRule>
    <cfRule type="containsText" dxfId="427" priority="269" operator="containsText" text="전준영">
      <formula>NOT(ISERROR(SEARCH("전준영",H1045)))</formula>
    </cfRule>
    <cfRule type="containsText" dxfId="426" priority="270" operator="containsText" text="차재성">
      <formula>NOT(ISERROR(SEARCH("차재성",H1045)))</formula>
    </cfRule>
  </conditionalFormatting>
  <conditionalFormatting sqref="J47:J50">
    <cfRule type="containsText" dxfId="425" priority="271" operator="containsText" text="허하나로">
      <formula>NOT(ISERROR(SEARCH("허하나로",H1058)))</formula>
    </cfRule>
    <cfRule type="containsText" dxfId="424" priority="272" operator="containsText" text="한별">
      <formula>NOT(ISERROR(SEARCH("한별",H1058)))</formula>
    </cfRule>
    <cfRule type="containsText" dxfId="423" priority="273" operator="containsText" text="정홍조">
      <formula>NOT(ISERROR(SEARCH("정홍조",H1058)))</formula>
    </cfRule>
    <cfRule type="containsText" dxfId="422" priority="274" operator="containsText" text="김지윤">
      <formula>NOT(ISERROR(SEARCH("김지윤",H1058)))</formula>
    </cfRule>
    <cfRule type="containsText" dxfId="421" priority="275" operator="containsText" text="전준영">
      <formula>NOT(ISERROR(SEARCH("전준영",H1058)))</formula>
    </cfRule>
    <cfRule type="containsText" dxfId="420" priority="276" operator="containsText" text="차재성">
      <formula>NOT(ISERROR(SEARCH("차재성",H1058)))</formula>
    </cfRule>
  </conditionalFormatting>
  <conditionalFormatting sqref="J51">
    <cfRule type="containsText" dxfId="419" priority="211" operator="containsText" text="허하나로">
      <formula>NOT(ISERROR(SEARCH("허하나로",H1062)))</formula>
    </cfRule>
    <cfRule type="containsText" dxfId="418" priority="212" operator="containsText" text="한별">
      <formula>NOT(ISERROR(SEARCH("한별",H1062)))</formula>
    </cfRule>
    <cfRule type="containsText" dxfId="417" priority="213" operator="containsText" text="정홍조">
      <formula>NOT(ISERROR(SEARCH("정홍조",H1062)))</formula>
    </cfRule>
    <cfRule type="containsText" dxfId="416" priority="214" operator="containsText" text="김지윤">
      <formula>NOT(ISERROR(SEARCH("김지윤",H1062)))</formula>
    </cfRule>
    <cfRule type="containsText" dxfId="415" priority="215" operator="containsText" text="전준영">
      <formula>NOT(ISERROR(SEARCH("전준영",H1062)))</formula>
    </cfRule>
    <cfRule type="containsText" dxfId="414" priority="216" operator="containsText" text="차재성">
      <formula>NOT(ISERROR(SEARCH("차재성",H1062)))</formula>
    </cfRule>
  </conditionalFormatting>
  <conditionalFormatting sqref="L48">
    <cfRule type="containsText" dxfId="413" priority="205" operator="containsText" text="허하나로">
      <formula>NOT(ISERROR(SEARCH("허하나로",J1193)))</formula>
    </cfRule>
    <cfRule type="containsText" dxfId="412" priority="206" operator="containsText" text="한별">
      <formula>NOT(ISERROR(SEARCH("한별",J1193)))</formula>
    </cfRule>
    <cfRule type="containsText" dxfId="411" priority="207" operator="containsText" text="정홍조">
      <formula>NOT(ISERROR(SEARCH("정홍조",J1193)))</formula>
    </cfRule>
    <cfRule type="containsText" dxfId="410" priority="208" operator="containsText" text="김지윤">
      <formula>NOT(ISERROR(SEARCH("김지윤",J1193)))</formula>
    </cfRule>
    <cfRule type="containsText" dxfId="409" priority="209" operator="containsText" text="전준영">
      <formula>NOT(ISERROR(SEARCH("전준영",J1193)))</formula>
    </cfRule>
    <cfRule type="containsText" dxfId="408" priority="210" operator="containsText" text="차재성">
      <formula>NOT(ISERROR(SEARCH("차재성",J1193)))</formula>
    </cfRule>
  </conditionalFormatting>
  <conditionalFormatting sqref="I53">
    <cfRule type="containsText" dxfId="407" priority="199" operator="containsText" text="허하나로">
      <formula>NOT(ISERROR(SEARCH("허하나로",G1079)))</formula>
    </cfRule>
    <cfRule type="containsText" dxfId="406" priority="200" operator="containsText" text="한별">
      <formula>NOT(ISERROR(SEARCH("한별",G1079)))</formula>
    </cfRule>
    <cfRule type="containsText" dxfId="405" priority="201" operator="containsText" text="정홍조">
      <formula>NOT(ISERROR(SEARCH("정홍조",G1079)))</formula>
    </cfRule>
    <cfRule type="containsText" dxfId="404" priority="202" operator="containsText" text="김지윤">
      <formula>NOT(ISERROR(SEARCH("김지윤",G1079)))</formula>
    </cfRule>
    <cfRule type="containsText" dxfId="403" priority="203" operator="containsText" text="전준영">
      <formula>NOT(ISERROR(SEARCH("전준영",G1079)))</formula>
    </cfRule>
    <cfRule type="containsText" dxfId="402" priority="204" operator="containsText" text="차재성">
      <formula>NOT(ISERROR(SEARCH("차재성",G1079)))</formula>
    </cfRule>
  </conditionalFormatting>
  <conditionalFormatting sqref="J44">
    <cfRule type="containsText" dxfId="401" priority="4045" operator="containsText" text="허하나로">
      <formula>NOT(ISERROR(SEARCH("허하나로",H1047)))</formula>
    </cfRule>
    <cfRule type="containsText" dxfId="400" priority="4046" operator="containsText" text="한별">
      <formula>NOT(ISERROR(SEARCH("한별",H1047)))</formula>
    </cfRule>
    <cfRule type="containsText" dxfId="399" priority="4047" operator="containsText" text="정홍조">
      <formula>NOT(ISERROR(SEARCH("정홍조",H1047)))</formula>
    </cfRule>
    <cfRule type="containsText" dxfId="398" priority="4048" operator="containsText" text="김지윤">
      <formula>NOT(ISERROR(SEARCH("김지윤",H1047)))</formula>
    </cfRule>
    <cfRule type="containsText" dxfId="397" priority="4049" operator="containsText" text="전준영">
      <formula>NOT(ISERROR(SEARCH("전준영",H1047)))</formula>
    </cfRule>
    <cfRule type="containsText" dxfId="396" priority="4050" operator="containsText" text="차재성">
      <formula>NOT(ISERROR(SEARCH("차재성",H1047)))</formula>
    </cfRule>
  </conditionalFormatting>
  <conditionalFormatting sqref="J2:J3">
    <cfRule type="containsText" dxfId="395" priority="175" operator="containsText" text="허하나로">
      <formula>NOT(ISERROR(SEARCH("허하나로",H794)))</formula>
    </cfRule>
    <cfRule type="containsText" dxfId="394" priority="176" operator="containsText" text="한별">
      <formula>NOT(ISERROR(SEARCH("한별",H794)))</formula>
    </cfRule>
    <cfRule type="containsText" dxfId="393" priority="177" operator="containsText" text="정홍조">
      <formula>NOT(ISERROR(SEARCH("정홍조",H794)))</formula>
    </cfRule>
    <cfRule type="containsText" dxfId="392" priority="178" operator="containsText" text="김지윤">
      <formula>NOT(ISERROR(SEARCH("김지윤",H794)))</formula>
    </cfRule>
    <cfRule type="containsText" dxfId="391" priority="179" operator="containsText" text="전준영">
      <formula>NOT(ISERROR(SEARCH("전준영",H794)))</formula>
    </cfRule>
    <cfRule type="containsText" dxfId="390" priority="180" operator="containsText" text="차재성">
      <formula>NOT(ISERROR(SEARCH("차재성",H794)))</formula>
    </cfRule>
  </conditionalFormatting>
  <conditionalFormatting sqref="J7">
    <cfRule type="containsText" dxfId="389" priority="157" operator="containsText" text="허하나로">
      <formula>NOT(ISERROR(SEARCH("허하나로",H840)))</formula>
    </cfRule>
    <cfRule type="containsText" dxfId="388" priority="158" operator="containsText" text="한별">
      <formula>NOT(ISERROR(SEARCH("한별",H840)))</formula>
    </cfRule>
    <cfRule type="containsText" dxfId="387" priority="159" operator="containsText" text="정홍조">
      <formula>NOT(ISERROR(SEARCH("정홍조",H840)))</formula>
    </cfRule>
    <cfRule type="containsText" dxfId="386" priority="160" operator="containsText" text="김지윤">
      <formula>NOT(ISERROR(SEARCH("김지윤",H840)))</formula>
    </cfRule>
    <cfRule type="containsText" dxfId="385" priority="161" operator="containsText" text="전준영">
      <formula>NOT(ISERROR(SEARCH("전준영",H840)))</formula>
    </cfRule>
    <cfRule type="containsText" dxfId="384" priority="162" operator="containsText" text="차재성">
      <formula>NOT(ISERROR(SEARCH("차재성",H840)))</formula>
    </cfRule>
  </conditionalFormatting>
  <conditionalFormatting sqref="J31">
    <cfRule type="containsText" dxfId="383" priority="151" operator="containsText" text="허하나로">
      <formula>NOT(ISERROR(SEARCH("허하나로",H1048)))</formula>
    </cfRule>
    <cfRule type="containsText" dxfId="382" priority="152" operator="containsText" text="한별">
      <formula>NOT(ISERROR(SEARCH("한별",H1048)))</formula>
    </cfRule>
    <cfRule type="containsText" dxfId="381" priority="153" operator="containsText" text="정홍조">
      <formula>NOT(ISERROR(SEARCH("정홍조",H1048)))</formula>
    </cfRule>
    <cfRule type="containsText" dxfId="380" priority="154" operator="containsText" text="김지윤">
      <formula>NOT(ISERROR(SEARCH("김지윤",H1048)))</formula>
    </cfRule>
    <cfRule type="containsText" dxfId="379" priority="155" operator="containsText" text="전준영">
      <formula>NOT(ISERROR(SEARCH("전준영",H1048)))</formula>
    </cfRule>
    <cfRule type="containsText" dxfId="378" priority="156" operator="containsText" text="차재성">
      <formula>NOT(ISERROR(SEARCH("차재성",H1048)))</formula>
    </cfRule>
  </conditionalFormatting>
  <conditionalFormatting sqref="J30">
    <cfRule type="containsText" dxfId="377" priority="163" operator="containsText" text="허하나로">
      <formula>NOT(ISERROR(SEARCH("허하나로",H1037)))</formula>
    </cfRule>
    <cfRule type="containsText" dxfId="376" priority="164" operator="containsText" text="한별">
      <formula>NOT(ISERROR(SEARCH("한별",H1037)))</formula>
    </cfRule>
    <cfRule type="containsText" dxfId="375" priority="165" operator="containsText" text="정홍조">
      <formula>NOT(ISERROR(SEARCH("정홍조",H1037)))</formula>
    </cfRule>
    <cfRule type="containsText" dxfId="374" priority="166" operator="containsText" text="김지윤">
      <formula>NOT(ISERROR(SEARCH("김지윤",H1037)))</formula>
    </cfRule>
    <cfRule type="containsText" dxfId="373" priority="167" operator="containsText" text="전준영">
      <formula>NOT(ISERROR(SEARCH("전준영",H1037)))</formula>
    </cfRule>
    <cfRule type="containsText" dxfId="372" priority="168" operator="containsText" text="차재성">
      <formula>NOT(ISERROR(SEARCH("차재성",H1037)))</formula>
    </cfRule>
  </conditionalFormatting>
  <conditionalFormatting sqref="J36">
    <cfRule type="containsText" dxfId="371" priority="115" operator="containsText" text="허하나로">
      <formula>NOT(ISERROR(SEARCH("허하나로",H1058)))</formula>
    </cfRule>
    <cfRule type="containsText" dxfId="370" priority="116" operator="containsText" text="한별">
      <formula>NOT(ISERROR(SEARCH("한별",H1058)))</formula>
    </cfRule>
    <cfRule type="containsText" dxfId="369" priority="117" operator="containsText" text="정홍조">
      <formula>NOT(ISERROR(SEARCH("정홍조",H1058)))</formula>
    </cfRule>
    <cfRule type="containsText" dxfId="368" priority="118" operator="containsText" text="김지윤">
      <formula>NOT(ISERROR(SEARCH("김지윤",H1058)))</formula>
    </cfRule>
    <cfRule type="containsText" dxfId="367" priority="119" operator="containsText" text="전준영">
      <formula>NOT(ISERROR(SEARCH("전준영",H1058)))</formula>
    </cfRule>
    <cfRule type="containsText" dxfId="366" priority="120" operator="containsText" text="차재성">
      <formula>NOT(ISERROR(SEARCH("차재성",H1058)))</formula>
    </cfRule>
  </conditionalFormatting>
  <conditionalFormatting sqref="J35">
    <cfRule type="containsText" dxfId="365" priority="121" operator="containsText" text="허하나로">
      <formula>NOT(ISERROR(SEARCH("허하나로",H1047)))</formula>
    </cfRule>
    <cfRule type="containsText" dxfId="364" priority="122" operator="containsText" text="한별">
      <formula>NOT(ISERROR(SEARCH("한별",H1047)))</formula>
    </cfRule>
    <cfRule type="containsText" dxfId="363" priority="123" operator="containsText" text="정홍조">
      <formula>NOT(ISERROR(SEARCH("정홍조",H1047)))</formula>
    </cfRule>
    <cfRule type="containsText" dxfId="362" priority="124" operator="containsText" text="김지윤">
      <formula>NOT(ISERROR(SEARCH("김지윤",H1047)))</formula>
    </cfRule>
    <cfRule type="containsText" dxfId="361" priority="125" operator="containsText" text="전준영">
      <formula>NOT(ISERROR(SEARCH("전준영",H1047)))</formula>
    </cfRule>
    <cfRule type="containsText" dxfId="360" priority="126" operator="containsText" text="차재성">
      <formula>NOT(ISERROR(SEARCH("차재성",H1047)))</formula>
    </cfRule>
  </conditionalFormatting>
  <conditionalFormatting sqref="J25">
    <cfRule type="containsText" dxfId="359" priority="49" operator="containsText" text="허하나로">
      <formula>NOT(ISERROR(SEARCH("허하나로",H1041)))</formula>
    </cfRule>
    <cfRule type="containsText" dxfId="358" priority="50" operator="containsText" text="한별">
      <formula>NOT(ISERROR(SEARCH("한별",H1041)))</formula>
    </cfRule>
    <cfRule type="containsText" dxfId="357" priority="51" operator="containsText" text="정홍조">
      <formula>NOT(ISERROR(SEARCH("정홍조",H1041)))</formula>
    </cfRule>
    <cfRule type="containsText" dxfId="356" priority="52" operator="containsText" text="김지윤">
      <formula>NOT(ISERROR(SEARCH("김지윤",H1041)))</formula>
    </cfRule>
    <cfRule type="containsText" dxfId="355" priority="53" operator="containsText" text="전준영">
      <formula>NOT(ISERROR(SEARCH("전준영",H1041)))</formula>
    </cfRule>
    <cfRule type="containsText" dxfId="354" priority="54" operator="containsText" text="차재성">
      <formula>NOT(ISERROR(SEARCH("차재성",H1041)))</formula>
    </cfRule>
  </conditionalFormatting>
  <conditionalFormatting sqref="J9">
    <cfRule type="containsText" dxfId="353" priority="55" operator="containsText" text="허하나로">
      <formula>NOT(ISERROR(SEARCH("허하나로",H1029)))</formula>
    </cfRule>
    <cfRule type="containsText" dxfId="352" priority="56" operator="containsText" text="한별">
      <formula>NOT(ISERROR(SEARCH("한별",H1029)))</formula>
    </cfRule>
    <cfRule type="containsText" dxfId="351" priority="57" operator="containsText" text="정홍조">
      <formula>NOT(ISERROR(SEARCH("정홍조",H1029)))</formula>
    </cfRule>
    <cfRule type="containsText" dxfId="350" priority="58" operator="containsText" text="김지윤">
      <formula>NOT(ISERROR(SEARCH("김지윤",H1029)))</formula>
    </cfRule>
    <cfRule type="containsText" dxfId="349" priority="59" operator="containsText" text="전준영">
      <formula>NOT(ISERROR(SEARCH("전준영",H1029)))</formula>
    </cfRule>
    <cfRule type="containsText" dxfId="348" priority="60" operator="containsText" text="차재성">
      <formula>NOT(ISERROR(SEARCH("차재성",H1029)))</formula>
    </cfRule>
  </conditionalFormatting>
  <conditionalFormatting sqref="J10">
    <cfRule type="containsText" dxfId="347" priority="4795" operator="containsText" text="허하나로">
      <formula>NOT(ISERROR(SEARCH("허하나로",H1040)))</formula>
    </cfRule>
    <cfRule type="containsText" dxfId="346" priority="4796" operator="containsText" text="한별">
      <formula>NOT(ISERROR(SEARCH("한별",H1040)))</formula>
    </cfRule>
    <cfRule type="containsText" dxfId="345" priority="4797" operator="containsText" text="정홍조">
      <formula>NOT(ISERROR(SEARCH("정홍조",H1040)))</formula>
    </cfRule>
    <cfRule type="containsText" dxfId="344" priority="4798" operator="containsText" text="김지윤">
      <formula>NOT(ISERROR(SEARCH("김지윤",H1040)))</formula>
    </cfRule>
    <cfRule type="containsText" dxfId="343" priority="4799" operator="containsText" text="전준영">
      <formula>NOT(ISERROR(SEARCH("전준영",H1040)))</formula>
    </cfRule>
    <cfRule type="containsText" dxfId="342" priority="4800" operator="containsText" text="차재성">
      <formula>NOT(ISERROR(SEARCH("차재성",H1040)))</formula>
    </cfRule>
  </conditionalFormatting>
  <conditionalFormatting sqref="J26:J27">
    <cfRule type="containsText" dxfId="341" priority="6403" operator="containsText" text="허하나로">
      <formula>NOT(ISERROR(SEARCH("허하나로",H1030)))</formula>
    </cfRule>
    <cfRule type="containsText" dxfId="340" priority="6404" operator="containsText" text="한별">
      <formula>NOT(ISERROR(SEARCH("한별",H1030)))</formula>
    </cfRule>
    <cfRule type="containsText" dxfId="339" priority="6405" operator="containsText" text="정홍조">
      <formula>NOT(ISERROR(SEARCH("정홍조",H1030)))</formula>
    </cfRule>
    <cfRule type="containsText" dxfId="338" priority="6406" operator="containsText" text="김지윤">
      <formula>NOT(ISERROR(SEARCH("김지윤",H1030)))</formula>
    </cfRule>
    <cfRule type="containsText" dxfId="337" priority="6407" operator="containsText" text="전준영">
      <formula>NOT(ISERROR(SEARCH("전준영",H1030)))</formula>
    </cfRule>
    <cfRule type="containsText" dxfId="336" priority="6408" operator="containsText" text="차재성">
      <formula>NOT(ISERROR(SEARCH("차재성",H1030)))</formula>
    </cfRule>
  </conditionalFormatting>
  <conditionalFormatting sqref="J28">
    <cfRule type="containsText" dxfId="335" priority="6409" operator="containsText" text="허하나로">
      <formula>NOT(ISERROR(SEARCH("허하나로",H1031)))</formula>
    </cfRule>
    <cfRule type="containsText" dxfId="334" priority="6410" operator="containsText" text="한별">
      <formula>NOT(ISERROR(SEARCH("한별",H1031)))</formula>
    </cfRule>
    <cfRule type="containsText" dxfId="333" priority="6411" operator="containsText" text="정홍조">
      <formula>NOT(ISERROR(SEARCH("정홍조",H1031)))</formula>
    </cfRule>
    <cfRule type="containsText" dxfId="332" priority="6412" operator="containsText" text="김지윤">
      <formula>NOT(ISERROR(SEARCH("김지윤",H1031)))</formula>
    </cfRule>
    <cfRule type="containsText" dxfId="331" priority="6413" operator="containsText" text="전준영">
      <formula>NOT(ISERROR(SEARCH("전준영",H1031)))</formula>
    </cfRule>
    <cfRule type="containsText" dxfId="330" priority="6414" operator="containsText" text="차재성">
      <formula>NOT(ISERROR(SEARCH("차재성",H1031)))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46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3" operator="containsText" text="허하나로" id="{D4F1B340-9C03-4E6A-BE9E-DFA9AB5F94E6}">
            <xm:f>NOT(ISERROR(SEARCH("허하나로",행사부!H1029)))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94" operator="containsText" text="한별" id="{291BA884-72D9-4A87-A9F5-25F0134A8A67}">
            <xm:f>NOT(ISERROR(SEARCH("한별",행사부!H1029)))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95" operator="containsText" text="정홍조" id="{55D94AC0-892C-43D4-9640-18C22F0C2334}">
            <xm:f>NOT(ISERROR(SEARCH("정홍조",행사부!H1029)))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96" operator="containsText" text="김지윤" id="{7E5389D4-36EF-4A60-8902-BDA87421C2ED}">
            <xm:f>NOT(ISERROR(SEARCH("김지윤",행사부!H1029)))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7" operator="containsText" text="전준영" id="{8EDA7C65-C9BF-42D2-8A10-21524ACED8AD}">
            <xm:f>NOT(ISERROR(SEARCH("전준영",행사부!H1029)))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98" operator="containsText" text="차재성" id="{6DF20D16-BED0-4A88-A7F7-D70E33695715}">
            <xm:f>NOT(ISERROR(SEARCH("차재성",행사부!H1029)))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187" operator="containsText" text="허하나로" id="{44ABCAAE-FD13-4CD0-8745-3C553C1D49ED}">
            <xm:f>NOT(ISERROR(SEARCH("허하나로",행정관리부!H1085)))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88" operator="containsText" text="한별" id="{567FF576-02E6-41A6-8EFA-DB1A550BDFF9}">
            <xm:f>NOT(ISERROR(SEARCH("한별",행정관리부!H1085)))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89" operator="containsText" text="정홍조" id="{BC446C9A-2410-4254-AB0A-76B62E0F0646}">
            <xm:f>NOT(ISERROR(SEARCH("정홍조",행정관리부!H1085)))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90" operator="containsText" text="김지윤" id="{91B59D70-3F25-46A4-A7BE-108593C50DB0}">
            <xm:f>NOT(ISERROR(SEARCH("김지윤",행정관리부!H1085)))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1" operator="containsText" text="전준영" id="{6567DED1-0EBA-4B25-ABE3-78888AA0C63A}">
            <xm:f>NOT(ISERROR(SEARCH("전준영",행정관리부!H1085)))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92" operator="containsText" text="차재성" id="{E386A293-EC8F-45C3-9C71-09E8B8481C93}">
            <xm:f>NOT(ISERROR(SEARCH("차재성",행정관리부!H1085)))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181" operator="containsText" text="허하나로" id="{7F42C816-3B68-4AA1-98DD-E01F9BF01D92}">
            <xm:f>NOT(ISERROR(SEARCH("허하나로",행정관리부!H1141)))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82" operator="containsText" text="한별" id="{73F65376-9009-4C9C-B73B-674676DF81DF}">
            <xm:f>NOT(ISERROR(SEARCH("한별",행정관리부!H1141)))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83" operator="containsText" text="정홍조" id="{BE04AB81-523C-4785-ACC9-EEE56E83D6F1}">
            <xm:f>NOT(ISERROR(SEARCH("정홍조",행정관리부!H1141)))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84" operator="containsText" text="김지윤" id="{BDFA5262-5958-4B6B-BFA9-4D9B125D1851}">
            <xm:f>NOT(ISERROR(SEARCH("김지윤",행정관리부!H1141)))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85" operator="containsText" text="전준영" id="{A5209C69-0940-456C-9768-734EA83A0B18}">
            <xm:f>NOT(ISERROR(SEARCH("전준영",행정관리부!H1141)))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6" operator="containsText" text="차재성" id="{DB6E879D-7275-48FD-8FE2-5404B5774B5B}">
            <xm:f>NOT(ISERROR(SEARCH("차재성",행정관리부!H1141)))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J54:J55</xm:sqref>
        </x14:conditionalFormatting>
        <x14:conditionalFormatting xmlns:xm="http://schemas.microsoft.com/office/excel/2006/main">
          <x14:cfRule type="containsText" priority="145" operator="containsText" text="허하나로" id="{11582A01-9626-445B-A318-40668500A542}">
            <xm:f>NOT(ISERROR(SEARCH("허하나로",행사부!H1031)))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6" operator="containsText" text="한별" id="{24B885A3-60B6-4536-AE4B-F369A664F7F9}">
            <xm:f>NOT(ISERROR(SEARCH("한별",행사부!H1031)))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7" operator="containsText" text="정홍조" id="{CC64407C-5D98-435F-A187-EECF7830E463}">
            <xm:f>NOT(ISERROR(SEARCH("정홍조",행사부!H1031)))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8" operator="containsText" text="김지윤" id="{3BE3C782-E7A0-4173-99CE-E7FE06DE5445}">
            <xm:f>NOT(ISERROR(SEARCH("김지윤",행사부!H1031)))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9" operator="containsText" text="전준영" id="{DF5F4926-E1A0-4CB5-A4A9-D4A2131C4BB1}">
            <xm:f>NOT(ISERROR(SEARCH("전준영",행사부!H1031)))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0" operator="containsText" text="차재성" id="{583AA59E-B51A-4436-A394-C05D92E2B766}">
            <xm:f>NOT(ISERROR(SEARCH("차재성",행사부!H1031)))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J37:J38</xm:sqref>
        </x14:conditionalFormatting>
        <x14:conditionalFormatting xmlns:xm="http://schemas.microsoft.com/office/excel/2006/main">
          <x14:cfRule type="containsText" priority="4597" operator="containsText" text="허하나로" id="{11582A01-9626-445B-A318-40668500A542}">
            <xm:f>NOT(ISERROR(SEARCH("허하나로",행사부!H1021)))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98" operator="containsText" text="한별" id="{24B885A3-60B6-4536-AE4B-F369A664F7F9}">
            <xm:f>NOT(ISERROR(SEARCH("한별",행사부!H1021)))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99" operator="containsText" text="정홍조" id="{CC64407C-5D98-435F-A187-EECF7830E463}">
            <xm:f>NOT(ISERROR(SEARCH("정홍조",행사부!H1021)))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00" operator="containsText" text="김지윤" id="{3BE3C782-E7A0-4173-99CE-E7FE06DE5445}">
            <xm:f>NOT(ISERROR(SEARCH("김지윤",행사부!H1021)))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601" operator="containsText" text="전준영" id="{DF5F4926-E1A0-4CB5-A4A9-D4A2131C4BB1}">
            <xm:f>NOT(ISERROR(SEARCH("전준영",행사부!H1021)))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602" operator="containsText" text="차재성" id="{583AA59E-B51A-4436-A394-C05D92E2B766}">
            <xm:f>NOT(ISERROR(SEARCH("차재성",행사부!H1021)))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J32:J33</xm:sqref>
        </x14:conditionalFormatting>
        <x14:conditionalFormatting xmlns:xm="http://schemas.microsoft.com/office/excel/2006/main">
          <x14:cfRule type="containsText" priority="37" operator="containsText" text="허하나로" id="{3677A4B5-4B08-4455-8EB8-3061FDB77D97}">
            <xm:f>NOT(ISERROR(SEARCH("허하나로",행사부!H1012)))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BA17CB7F-6C23-4B16-AB7C-D9F18CC6235E}">
            <xm:f>NOT(ISERROR(SEARCH("한별",행사부!H1012)))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FF377EC0-02AF-4AC9-975F-D0994092A43A}">
            <xm:f>NOT(ISERROR(SEARCH("정홍조",행사부!H1012)))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A6BF84C2-9EE2-4B85-A66F-B33403455BA8}">
            <xm:f>NOT(ISERROR(SEARCH("김지윤",행사부!H1012)))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C1C4C4EA-187F-4F71-8ED3-66698F70B05D}">
            <xm:f>NOT(ISERROR(SEARCH("전준영",행사부!H1012)))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528459DA-8397-4F19-B590-F75A38A6D941}">
            <xm:f>NOT(ISERROR(SEARCH("차재성",행사부!H1012)))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J11:J13</xm:sqref>
        </x14:conditionalFormatting>
        <x14:conditionalFormatting xmlns:xm="http://schemas.microsoft.com/office/excel/2006/main">
          <x14:cfRule type="containsText" priority="4945" operator="containsText" text="허하나로" id="{3677A4B5-4B08-4455-8EB8-3061FDB77D97}">
            <xm:f>NOT(ISERROR(SEARCH("허하나로",행사부!H1013)))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946" operator="containsText" text="한별" id="{BA17CB7F-6C23-4B16-AB7C-D9F18CC6235E}">
            <xm:f>NOT(ISERROR(SEARCH("한별",행사부!H1013)))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947" operator="containsText" text="정홍조" id="{FF377EC0-02AF-4AC9-975F-D0994092A43A}">
            <xm:f>NOT(ISERROR(SEARCH("정홍조",행사부!H1013)))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948" operator="containsText" text="김지윤" id="{A6BF84C2-9EE2-4B85-A66F-B33403455BA8}">
            <xm:f>NOT(ISERROR(SEARCH("김지윤",행사부!H1013)))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949" operator="containsText" text="전준영" id="{C1C4C4EA-187F-4F71-8ED3-66698F70B05D}">
            <xm:f>NOT(ISERROR(SEARCH("전준영",행사부!H1013)))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950" operator="containsText" text="차재성" id="{528459DA-8397-4F19-B590-F75A38A6D941}">
            <xm:f>NOT(ISERROR(SEARCH("차재성",행사부!H1013)))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6013" operator="containsText" text="허하나로" id="{11582A01-9626-445B-A318-40668500A542}">
            <xm:f>NOT(ISERROR(SEARCH("허하나로",행사부!H1013)))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014" operator="containsText" text="한별" id="{24B885A3-60B6-4536-AE4B-F369A664F7F9}">
            <xm:f>NOT(ISERROR(SEARCH("한별",행사부!H1013)))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015" operator="containsText" text="정홍조" id="{CC64407C-5D98-435F-A187-EECF7830E463}">
            <xm:f>NOT(ISERROR(SEARCH("정홍조",행사부!H1013)))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016" operator="containsText" text="김지윤" id="{3BE3C782-E7A0-4173-99CE-E7FE06DE5445}">
            <xm:f>NOT(ISERROR(SEARCH("김지윤",행사부!H1013)))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017" operator="containsText" text="전준영" id="{DF5F4926-E1A0-4CB5-A4A9-D4A2131C4BB1}">
            <xm:f>NOT(ISERROR(SEARCH("전준영",행사부!H1013)))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18" operator="containsText" text="차재성" id="{583AA59E-B51A-4436-A394-C05D92E2B766}">
            <xm:f>NOT(ISERROR(SEARCH("차재성",행사부!H1013)))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25" operator="containsText" text="허하나로" id="{EDD7BEA1-4903-44EE-A752-95E449483600}">
            <xm:f>NOT(ISERROR(SEARCH("허하나로",시설조성부!H1064)))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B6B8D9CF-946C-44D8-A3EF-3631000B9778}">
            <xm:f>NOT(ISERROR(SEARCH("한별",시설조성부!H1064)))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BB19DEB5-2465-48FB-9070-D873388A8B48}">
            <xm:f>NOT(ISERROR(SEARCH("정홍조",시설조성부!H1064)))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4078D7DE-39CD-4E3B-B932-93E2FF4F74EC}">
            <xm:f>NOT(ISERROR(SEARCH("김지윤",시설조성부!H1064)))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399093E2-B883-4A8B-81A5-D8D301F0FD70}">
            <xm:f>NOT(ISERROR(SEARCH("전준영",시설조성부!H1064)))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9D34A65B-F730-445B-9F53-E6CC9CCD0363}">
            <xm:f>NOT(ISERROR(SEARCH("차재성",시설조성부!H1064)))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31" operator="containsText" text="허하나로" id="{A021909D-9D5F-4DF2-84C3-540D45F3F23B}">
            <xm:f>NOT(ISERROR(SEARCH("허하나로",시설조성부!H1049)))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C5987A59-F810-48E5-A7FB-D4FC36171D64}">
            <xm:f>NOT(ISERROR(SEARCH("한별",시설조성부!H1049)))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C6AF04B6-0D99-4260-BF68-B89AF872D38F}">
            <xm:f>NOT(ISERROR(SEARCH("정홍조",시설조성부!H1049)))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06A06188-B9E6-4D92-8687-7CFD8E60B599}">
            <xm:f>NOT(ISERROR(SEARCH("김지윤",시설조성부!H1049)))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7FB00050-DEEE-44E4-9442-D2BC2652FAE7}">
            <xm:f>NOT(ISERROR(SEARCH("전준영",시설조성부!H1049)))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CCD3A12E-E25F-4906-A744-7D4E0FD837B3}">
            <xm:f>NOT(ISERROR(SEARCH("차재성",시설조성부!H1049)))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3" operator="containsText" text="허하나로" id="{47B1506A-F8A4-4CD8-9F5B-B4293B210430}">
            <xm:f>NOT(ISERROR(SEARCH("허하나로",시설조성부!H1060)))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A109D3B5-3D24-40DB-8EEF-6EDF6CDE58C5}">
            <xm:f>NOT(ISERROR(SEARCH("한별",시설조성부!H1060)))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D3BB86F-5060-416B-9335-57BC8826A216}">
            <xm:f>NOT(ISERROR(SEARCH("정홍조",시설조성부!H1060)))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13BBD500-CF68-4687-ACCF-B83E7B6F9B97}">
            <xm:f>NOT(ISERROR(SEARCH("김지윤",시설조성부!H1060)))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780B0429-B268-4775-BB0F-AC005D5026E3}">
            <xm:f>NOT(ISERROR(SEARCH("전준영",시설조성부!H1060)))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4950E742-490D-4402-AD2D-09BBA258FD70}">
            <xm:f>NOT(ISERROR(SEARCH("차재성",시설조성부!H1060)))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J19:J20</xm:sqref>
        </x14:conditionalFormatting>
        <x14:conditionalFormatting xmlns:xm="http://schemas.microsoft.com/office/excel/2006/main">
          <x14:cfRule type="containsText" priority="6211" operator="containsText" text="허하나로" id="{3677A4B5-4B08-4455-8EB8-3061FDB77D97}">
            <xm:f>NOT(ISERROR(SEARCH("허하나로",행사부!H1014)))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12" operator="containsText" text="한별" id="{BA17CB7F-6C23-4B16-AB7C-D9F18CC6235E}">
            <xm:f>NOT(ISERROR(SEARCH("한별",행사부!H1014)))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213" operator="containsText" text="정홍조" id="{FF377EC0-02AF-4AC9-975F-D0994092A43A}">
            <xm:f>NOT(ISERROR(SEARCH("정홍조",행사부!H1014)))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214" operator="containsText" text="김지윤" id="{A6BF84C2-9EE2-4B85-A66F-B33403455BA8}">
            <xm:f>NOT(ISERROR(SEARCH("김지윤",행사부!H1014)))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215" operator="containsText" text="전준영" id="{C1C4C4EA-187F-4F71-8ED3-66698F70B05D}">
            <xm:f>NOT(ISERROR(SEARCH("전준영",행사부!H1014)))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216" operator="containsText" text="차재성" id="{528459DA-8397-4F19-B590-F75A38A6D941}">
            <xm:f>NOT(ISERROR(SEARCH("차재성",행사부!H1014)))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J14:J15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M46"/>
  <sheetViews>
    <sheetView zoomScale="85" zoomScaleNormal="85" workbookViewId="0">
      <selection activeCell="G7" sqref="G7"/>
    </sheetView>
  </sheetViews>
  <sheetFormatPr defaultRowHeight="16.5"/>
  <cols>
    <col min="1" max="6" width="3.875" customWidth="1"/>
    <col min="7" max="7" width="44.375" customWidth="1"/>
    <col min="8" max="8" width="12.25" customWidth="1"/>
    <col min="9" max="10" width="14.625" customWidth="1"/>
    <col min="11" max="11" width="64.375" customWidth="1"/>
    <col min="12" max="12" width="3.875" customWidth="1"/>
    <col min="13" max="13" width="12.625" style="276" customWidth="1"/>
    <col min="15" max="15" width="12.75" bestFit="1" customWidth="1"/>
  </cols>
  <sheetData>
    <row r="1" spans="1:13" ht="17.25" thickBot="1">
      <c r="A1" s="88" t="s">
        <v>173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263" t="s">
        <v>913</v>
      </c>
    </row>
    <row r="2" spans="1:13" ht="16.5" customHeight="1">
      <c r="A2" s="704" t="s">
        <v>174</v>
      </c>
      <c r="B2" s="706" t="s">
        <v>22</v>
      </c>
      <c r="C2" s="707"/>
      <c r="D2" s="708"/>
      <c r="E2" s="706" t="s">
        <v>175</v>
      </c>
      <c r="F2" s="707"/>
      <c r="G2" s="708"/>
      <c r="H2" s="682" t="s">
        <v>704</v>
      </c>
      <c r="I2" s="682" t="s">
        <v>894</v>
      </c>
      <c r="J2" s="709" t="s">
        <v>463</v>
      </c>
      <c r="K2" s="693" t="s">
        <v>1</v>
      </c>
      <c r="L2" s="694"/>
      <c r="M2" s="695"/>
    </row>
    <row r="3" spans="1:13" ht="17.25" thickBot="1">
      <c r="A3" s="705"/>
      <c r="B3" s="119" t="s">
        <v>176</v>
      </c>
      <c r="C3" s="119" t="s">
        <v>25</v>
      </c>
      <c r="D3" s="119" t="s">
        <v>177</v>
      </c>
      <c r="E3" s="119" t="s">
        <v>178</v>
      </c>
      <c r="F3" s="119" t="s">
        <v>28</v>
      </c>
      <c r="G3" s="119" t="s">
        <v>179</v>
      </c>
      <c r="H3" s="683"/>
      <c r="I3" s="683"/>
      <c r="J3" s="710"/>
      <c r="K3" s="696"/>
      <c r="L3" s="697"/>
      <c r="M3" s="698"/>
    </row>
    <row r="4" spans="1:13" ht="17.25" thickBot="1">
      <c r="A4" s="699" t="s">
        <v>180</v>
      </c>
      <c r="B4" s="700"/>
      <c r="C4" s="700"/>
      <c r="D4" s="700"/>
      <c r="E4" s="700"/>
      <c r="F4" s="700"/>
      <c r="G4" s="701"/>
      <c r="H4" s="184">
        <f>H5+H25</f>
        <v>754353</v>
      </c>
      <c r="I4" s="184">
        <v>589598</v>
      </c>
      <c r="J4" s="120">
        <f t="shared" ref="J4:J10" si="0">H4-I4</f>
        <v>164755</v>
      </c>
      <c r="K4" s="89"/>
      <c r="L4" s="90"/>
      <c r="M4" s="264"/>
    </row>
    <row r="5" spans="1:13">
      <c r="A5" s="204" t="s">
        <v>2</v>
      </c>
      <c r="B5" s="122"/>
      <c r="C5" s="123"/>
      <c r="D5" s="123"/>
      <c r="E5" s="123"/>
      <c r="F5" s="123"/>
      <c r="G5" s="124"/>
      <c r="H5" s="94">
        <f t="shared" ref="H5:H10" si="1">H6</f>
        <v>754353</v>
      </c>
      <c r="I5" s="94">
        <v>589598</v>
      </c>
      <c r="J5" s="95">
        <f t="shared" si="0"/>
        <v>164755</v>
      </c>
      <c r="K5" s="78"/>
      <c r="L5" s="79"/>
      <c r="M5" s="265"/>
    </row>
    <row r="6" spans="1:13">
      <c r="A6" s="10"/>
      <c r="B6" s="129" t="s">
        <v>181</v>
      </c>
      <c r="C6" s="349"/>
      <c r="D6" s="453"/>
      <c r="E6" s="453"/>
      <c r="F6" s="453"/>
      <c r="G6" s="454"/>
      <c r="H6" s="95">
        <f t="shared" si="1"/>
        <v>754353</v>
      </c>
      <c r="I6" s="95">
        <v>589598</v>
      </c>
      <c r="J6" s="95">
        <f t="shared" si="0"/>
        <v>164755</v>
      </c>
      <c r="K6" s="530"/>
      <c r="L6" s="390"/>
      <c r="M6" s="531"/>
    </row>
    <row r="7" spans="1:13">
      <c r="A7" s="10"/>
      <c r="B7" s="6"/>
      <c r="C7" s="178" t="s">
        <v>182</v>
      </c>
      <c r="D7" s="453"/>
      <c r="E7" s="453"/>
      <c r="F7" s="453"/>
      <c r="G7" s="454"/>
      <c r="H7" s="92">
        <f>SUM(H8,H19)</f>
        <v>754353</v>
      </c>
      <c r="I7" s="92">
        <v>589598</v>
      </c>
      <c r="J7" s="95">
        <f t="shared" si="0"/>
        <v>164755</v>
      </c>
      <c r="K7" s="396"/>
      <c r="L7" s="390"/>
      <c r="M7" s="531"/>
    </row>
    <row r="8" spans="1:13">
      <c r="A8" s="10"/>
      <c r="B8" s="6"/>
      <c r="C8" s="473"/>
      <c r="D8" s="349" t="s">
        <v>183</v>
      </c>
      <c r="E8" s="453"/>
      <c r="F8" s="453"/>
      <c r="G8" s="454"/>
      <c r="H8" s="456">
        <f t="shared" si="1"/>
        <v>684053</v>
      </c>
      <c r="I8" s="456">
        <v>519298</v>
      </c>
      <c r="J8" s="95">
        <f t="shared" si="0"/>
        <v>164755</v>
      </c>
      <c r="K8" s="389"/>
      <c r="L8" s="390"/>
      <c r="M8" s="531"/>
    </row>
    <row r="9" spans="1:13">
      <c r="A9" s="10"/>
      <c r="B9" s="6"/>
      <c r="C9" s="457"/>
      <c r="D9" s="458"/>
      <c r="E9" s="349" t="s">
        <v>184</v>
      </c>
      <c r="F9" s="453"/>
      <c r="G9" s="454"/>
      <c r="H9" s="92">
        <f t="shared" si="1"/>
        <v>684053</v>
      </c>
      <c r="I9" s="92">
        <v>519298</v>
      </c>
      <c r="J9" s="95">
        <f t="shared" si="0"/>
        <v>164755</v>
      </c>
      <c r="K9" s="351"/>
      <c r="L9" s="391"/>
      <c r="M9" s="532"/>
    </row>
    <row r="10" spans="1:13">
      <c r="A10" s="63"/>
      <c r="B10" s="65"/>
      <c r="C10" s="358"/>
      <c r="D10" s="358"/>
      <c r="E10" s="358"/>
      <c r="F10" s="463" t="s">
        <v>185</v>
      </c>
      <c r="G10" s="466"/>
      <c r="H10" s="98">
        <f t="shared" si="1"/>
        <v>684053</v>
      </c>
      <c r="I10" s="98">
        <v>519298</v>
      </c>
      <c r="J10" s="267">
        <f t="shared" si="0"/>
        <v>164755</v>
      </c>
      <c r="K10" s="383"/>
      <c r="L10" s="384"/>
      <c r="M10" s="533"/>
    </row>
    <row r="11" spans="1:13">
      <c r="A11" s="55"/>
      <c r="B11" s="57"/>
      <c r="C11" s="358"/>
      <c r="D11" s="358"/>
      <c r="E11" s="358"/>
      <c r="F11" s="476"/>
      <c r="G11" s="477" t="s">
        <v>186</v>
      </c>
      <c r="H11" s="468">
        <f>M11</f>
        <v>684053</v>
      </c>
      <c r="I11" s="468">
        <v>519298</v>
      </c>
      <c r="J11" s="268">
        <f>H11-I11</f>
        <v>164755</v>
      </c>
      <c r="K11" s="386" t="s">
        <v>187</v>
      </c>
      <c r="L11" s="412"/>
      <c r="M11" s="408">
        <f>M18</f>
        <v>684053</v>
      </c>
    </row>
    <row r="12" spans="1:13">
      <c r="A12" s="55"/>
      <c r="B12" s="57"/>
      <c r="C12" s="358"/>
      <c r="D12" s="358"/>
      <c r="E12" s="358"/>
      <c r="F12" s="479"/>
      <c r="G12" s="654"/>
      <c r="H12" s="481"/>
      <c r="I12" s="481"/>
      <c r="J12" s="50"/>
      <c r="K12" s="601" t="s">
        <v>817</v>
      </c>
      <c r="L12" s="378" t="s">
        <v>0</v>
      </c>
      <c r="M12" s="374">
        <v>596200</v>
      </c>
    </row>
    <row r="13" spans="1:13">
      <c r="A13" s="55"/>
      <c r="B13" s="57"/>
      <c r="C13" s="358"/>
      <c r="D13" s="358"/>
      <c r="E13" s="358"/>
      <c r="F13" s="479"/>
      <c r="G13" s="646"/>
      <c r="H13" s="481"/>
      <c r="I13" s="481"/>
      <c r="J13" s="50"/>
      <c r="K13" s="604" t="s">
        <v>703</v>
      </c>
      <c r="L13" s="375"/>
      <c r="M13" s="620"/>
    </row>
    <row r="14" spans="1:13">
      <c r="A14" s="55"/>
      <c r="B14" s="57"/>
      <c r="C14" s="358"/>
      <c r="D14" s="358"/>
      <c r="E14" s="358"/>
      <c r="F14" s="479"/>
      <c r="G14" s="627"/>
      <c r="H14" s="481"/>
      <c r="I14" s="481"/>
      <c r="J14" s="50"/>
      <c r="K14" s="601" t="s">
        <v>841</v>
      </c>
      <c r="L14" s="375" t="s">
        <v>0</v>
      </c>
      <c r="M14" s="619">
        <v>3119546</v>
      </c>
    </row>
    <row r="15" spans="1:13">
      <c r="A15" s="55"/>
      <c r="B15" s="57"/>
      <c r="C15" s="358"/>
      <c r="D15" s="358"/>
      <c r="E15" s="358"/>
      <c r="F15" s="479"/>
      <c r="G15" s="627"/>
      <c r="H15" s="481"/>
      <c r="I15" s="481"/>
      <c r="J15" s="50"/>
      <c r="K15" s="604" t="s">
        <v>847</v>
      </c>
      <c r="L15" s="375"/>
      <c r="M15" s="620"/>
    </row>
    <row r="16" spans="1:13">
      <c r="A16" s="55"/>
      <c r="B16" s="57"/>
      <c r="C16" s="358"/>
      <c r="D16" s="358"/>
      <c r="E16" s="358"/>
      <c r="F16" s="479"/>
      <c r="G16" s="627"/>
      <c r="H16" s="481"/>
      <c r="I16" s="481"/>
      <c r="J16" s="50"/>
      <c r="K16" s="601" t="s">
        <v>885</v>
      </c>
      <c r="L16" s="375" t="s">
        <v>0</v>
      </c>
      <c r="M16" s="619">
        <v>519298</v>
      </c>
    </row>
    <row r="17" spans="1:13">
      <c r="A17" s="55"/>
      <c r="B17" s="57"/>
      <c r="C17" s="358"/>
      <c r="D17" s="358"/>
      <c r="E17" s="358"/>
      <c r="F17" s="479"/>
      <c r="G17" s="627"/>
      <c r="H17" s="481"/>
      <c r="I17" s="481"/>
      <c r="J17" s="50"/>
      <c r="K17" s="604" t="s">
        <v>892</v>
      </c>
      <c r="L17" s="375"/>
      <c r="M17" s="620"/>
    </row>
    <row r="18" spans="1:13">
      <c r="A18" s="55"/>
      <c r="B18" s="57"/>
      <c r="C18" s="358"/>
      <c r="D18" s="469"/>
      <c r="E18" s="469"/>
      <c r="F18" s="628"/>
      <c r="G18" s="627"/>
      <c r="H18" s="481"/>
      <c r="I18" s="481"/>
      <c r="J18" s="50"/>
      <c r="K18" s="737" t="s">
        <v>934</v>
      </c>
      <c r="L18" s="730" t="s">
        <v>0</v>
      </c>
      <c r="M18" s="738">
        <v>684053</v>
      </c>
    </row>
    <row r="19" spans="1:13">
      <c r="A19" s="10"/>
      <c r="B19" s="6"/>
      <c r="C19" s="455"/>
      <c r="D19" s="349" t="s">
        <v>842</v>
      </c>
      <c r="E19" s="453"/>
      <c r="F19" s="453"/>
      <c r="G19" s="454"/>
      <c r="H19" s="456">
        <f t="shared" ref="H19:H21" si="2">H20</f>
        <v>70300</v>
      </c>
      <c r="I19" s="456">
        <v>70300</v>
      </c>
      <c r="J19" s="92">
        <f t="shared" ref="J19:J22" si="3">H19-I19</f>
        <v>0</v>
      </c>
      <c r="K19" s="389"/>
      <c r="L19" s="390"/>
      <c r="M19" s="531"/>
    </row>
    <row r="20" spans="1:13">
      <c r="A20" s="10"/>
      <c r="B20" s="6"/>
      <c r="C20" s="482"/>
      <c r="D20" s="458"/>
      <c r="E20" s="349" t="s">
        <v>184</v>
      </c>
      <c r="F20" s="453"/>
      <c r="G20" s="454"/>
      <c r="H20" s="92">
        <f t="shared" si="2"/>
        <v>70300</v>
      </c>
      <c r="I20" s="92">
        <v>70300</v>
      </c>
      <c r="J20" s="95">
        <f t="shared" si="3"/>
        <v>0</v>
      </c>
      <c r="K20" s="351"/>
      <c r="L20" s="391"/>
      <c r="M20" s="532"/>
    </row>
    <row r="21" spans="1:13">
      <c r="A21" s="63"/>
      <c r="B21" s="65"/>
      <c r="C21" s="358"/>
      <c r="D21" s="358"/>
      <c r="E21" s="358"/>
      <c r="F21" s="463" t="s">
        <v>185</v>
      </c>
      <c r="G21" s="466"/>
      <c r="H21" s="98">
        <f t="shared" si="2"/>
        <v>70300</v>
      </c>
      <c r="I21" s="98">
        <v>70300</v>
      </c>
      <c r="J21" s="267">
        <f t="shared" si="3"/>
        <v>0</v>
      </c>
      <c r="K21" s="383"/>
      <c r="L21" s="384"/>
      <c r="M21" s="533"/>
    </row>
    <row r="22" spans="1:13">
      <c r="A22" s="55"/>
      <c r="B22" s="57"/>
      <c r="C22" s="358"/>
      <c r="D22" s="358"/>
      <c r="E22" s="358"/>
      <c r="F22" s="476"/>
      <c r="G22" s="477" t="s">
        <v>818</v>
      </c>
      <c r="H22" s="468">
        <f>M22</f>
        <v>70300</v>
      </c>
      <c r="I22" s="468">
        <v>70300</v>
      </c>
      <c r="J22" s="268">
        <f t="shared" si="3"/>
        <v>0</v>
      </c>
      <c r="K22" s="386" t="s">
        <v>187</v>
      </c>
      <c r="L22" s="412"/>
      <c r="M22" s="408">
        <f>M24</f>
        <v>70300</v>
      </c>
    </row>
    <row r="23" spans="1:13">
      <c r="A23" s="55"/>
      <c r="B23" s="57"/>
      <c r="C23" s="358"/>
      <c r="D23" s="358"/>
      <c r="E23" s="358"/>
      <c r="F23" s="479"/>
      <c r="G23" s="633"/>
      <c r="H23" s="468"/>
      <c r="I23" s="468"/>
      <c r="J23" s="268"/>
      <c r="K23" s="604" t="s">
        <v>816</v>
      </c>
      <c r="L23" s="418"/>
      <c r="M23" s="618"/>
    </row>
    <row r="24" spans="1:13" ht="17.25" thickBot="1">
      <c r="A24" s="225"/>
      <c r="B24" s="226"/>
      <c r="C24" s="504"/>
      <c r="D24" s="504"/>
      <c r="E24" s="504"/>
      <c r="F24" s="505"/>
      <c r="G24" s="629"/>
      <c r="H24" s="507"/>
      <c r="I24" s="507"/>
      <c r="J24" s="229"/>
      <c r="K24" s="651" t="s">
        <v>843</v>
      </c>
      <c r="L24" s="509" t="s">
        <v>0</v>
      </c>
      <c r="M24" s="400">
        <v>70300</v>
      </c>
    </row>
    <row r="25" spans="1:13">
      <c r="A25" s="553" t="s">
        <v>189</v>
      </c>
      <c r="B25" s="260"/>
      <c r="C25" s="537"/>
      <c r="D25" s="537"/>
      <c r="E25" s="537"/>
      <c r="F25" s="537"/>
      <c r="G25" s="538"/>
      <c r="H25" s="95">
        <f>SUM(H26,H39)</f>
        <v>0</v>
      </c>
      <c r="I25" s="95">
        <v>0</v>
      </c>
      <c r="J25" s="95">
        <f>H25-I25</f>
        <v>0</v>
      </c>
      <c r="K25" s="402"/>
      <c r="L25" s="403"/>
      <c r="M25" s="404"/>
    </row>
    <row r="26" spans="1:13">
      <c r="A26" s="10"/>
      <c r="B26" s="178" t="s">
        <v>191</v>
      </c>
      <c r="C26" s="349"/>
      <c r="D26" s="453"/>
      <c r="E26" s="453"/>
      <c r="F26" s="453"/>
      <c r="G26" s="454"/>
      <c r="H26" s="95">
        <f>SUM(H27,H67)</f>
        <v>0</v>
      </c>
      <c r="I26" s="95">
        <v>0</v>
      </c>
      <c r="J26" s="95">
        <f t="shared" ref="J26:J31" si="4">H26-I26</f>
        <v>0</v>
      </c>
      <c r="K26" s="530"/>
      <c r="L26" s="390"/>
      <c r="M26" s="531"/>
    </row>
    <row r="27" spans="1:13">
      <c r="A27" s="10"/>
      <c r="B27" s="6"/>
      <c r="C27" s="178" t="s">
        <v>191</v>
      </c>
      <c r="D27" s="453"/>
      <c r="E27" s="453"/>
      <c r="F27" s="453"/>
      <c r="G27" s="454"/>
      <c r="H27" s="92">
        <f>H28</f>
        <v>0</v>
      </c>
      <c r="I27" s="92">
        <v>0</v>
      </c>
      <c r="J27" s="92">
        <f t="shared" si="4"/>
        <v>0</v>
      </c>
      <c r="K27" s="396"/>
      <c r="L27" s="390"/>
      <c r="M27" s="531"/>
    </row>
    <row r="28" spans="1:13">
      <c r="A28" s="10"/>
      <c r="B28" s="6"/>
      <c r="C28" s="473"/>
      <c r="D28" s="349" t="s">
        <v>192</v>
      </c>
      <c r="E28" s="453"/>
      <c r="F28" s="453"/>
      <c r="G28" s="454"/>
      <c r="H28" s="456">
        <f>H29</f>
        <v>0</v>
      </c>
      <c r="I28" s="456">
        <v>0</v>
      </c>
      <c r="J28" s="92">
        <f t="shared" si="4"/>
        <v>0</v>
      </c>
      <c r="K28" s="389"/>
      <c r="L28" s="390"/>
      <c r="M28" s="531"/>
    </row>
    <row r="29" spans="1:13">
      <c r="A29" s="10"/>
      <c r="B29" s="6"/>
      <c r="C29" s="457"/>
      <c r="D29" s="458"/>
      <c r="E29" s="349" t="s">
        <v>193</v>
      </c>
      <c r="F29" s="453"/>
      <c r="G29" s="454"/>
      <c r="H29" s="92">
        <f>H30</f>
        <v>0</v>
      </c>
      <c r="I29" s="92">
        <v>0</v>
      </c>
      <c r="J29" s="92">
        <f t="shared" si="4"/>
        <v>0</v>
      </c>
      <c r="K29" s="351"/>
      <c r="L29" s="391"/>
      <c r="M29" s="532"/>
    </row>
    <row r="30" spans="1:13">
      <c r="A30" s="63"/>
      <c r="B30" s="65"/>
      <c r="C30" s="65"/>
      <c r="D30" s="65"/>
      <c r="E30" s="65"/>
      <c r="F30" s="136" t="s">
        <v>185</v>
      </c>
      <c r="G30" s="70"/>
      <c r="H30" s="71">
        <f>H31</f>
        <v>0</v>
      </c>
      <c r="I30" s="71">
        <v>0</v>
      </c>
      <c r="J30" s="145">
        <f t="shared" si="4"/>
        <v>0</v>
      </c>
      <c r="K30" s="271"/>
      <c r="L30" s="272"/>
      <c r="M30" s="273"/>
    </row>
    <row r="31" spans="1:13">
      <c r="A31" s="55"/>
      <c r="B31" s="57"/>
      <c r="C31" s="65"/>
      <c r="D31" s="65"/>
      <c r="E31" s="65"/>
      <c r="F31" s="191"/>
      <c r="G31" s="205" t="s">
        <v>194</v>
      </c>
      <c r="H31" s="75">
        <f>M31</f>
        <v>0</v>
      </c>
      <c r="I31" s="75">
        <v>0</v>
      </c>
      <c r="J31" s="41">
        <f t="shared" si="4"/>
        <v>0</v>
      </c>
      <c r="K31" s="36" t="s">
        <v>195</v>
      </c>
      <c r="L31" s="208"/>
      <c r="M31" s="269">
        <f>M32</f>
        <v>0</v>
      </c>
    </row>
    <row r="32" spans="1:13" ht="17.25" thickBot="1">
      <c r="A32" s="225"/>
      <c r="B32" s="226"/>
      <c r="C32" s="69"/>
      <c r="D32" s="69"/>
      <c r="E32" s="69"/>
      <c r="F32" s="227"/>
      <c r="G32" s="228"/>
      <c r="H32" s="274"/>
      <c r="I32" s="212"/>
      <c r="J32" s="229"/>
      <c r="K32" s="230" t="s">
        <v>396</v>
      </c>
      <c r="L32" s="213" t="s">
        <v>196</v>
      </c>
      <c r="M32" s="270">
        <v>0</v>
      </c>
    </row>
    <row r="33" spans="12:13">
      <c r="L33" s="235"/>
      <c r="M33" s="275"/>
    </row>
    <row r="34" spans="12:13">
      <c r="L34" s="235"/>
      <c r="M34" s="275"/>
    </row>
    <row r="35" spans="12:13">
      <c r="L35" s="235"/>
      <c r="M35" s="275"/>
    </row>
    <row r="36" spans="12:13">
      <c r="L36" s="235"/>
      <c r="M36" s="275"/>
    </row>
    <row r="37" spans="12:13">
      <c r="L37" s="235"/>
      <c r="M37" s="275"/>
    </row>
    <row r="38" spans="12:13">
      <c r="L38" s="235"/>
      <c r="M38" s="275"/>
    </row>
    <row r="39" spans="12:13">
      <c r="L39" s="235"/>
      <c r="M39" s="275"/>
    </row>
    <row r="40" spans="12:13">
      <c r="L40" s="235"/>
      <c r="M40" s="275"/>
    </row>
    <row r="41" spans="12:13">
      <c r="L41" s="235"/>
      <c r="M41" s="275"/>
    </row>
    <row r="42" spans="12:13">
      <c r="L42" s="235"/>
      <c r="M42" s="275"/>
    </row>
    <row r="43" spans="12:13">
      <c r="L43" s="235"/>
      <c r="M43" s="275"/>
    </row>
    <row r="44" spans="12:13">
      <c r="L44" s="235"/>
      <c r="M44" s="275"/>
    </row>
    <row r="45" spans="12:13">
      <c r="L45" s="235"/>
      <c r="M45" s="275"/>
    </row>
    <row r="46" spans="12:13">
      <c r="L46" s="235"/>
      <c r="M46" s="275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5:J26">
    <cfRule type="containsText" dxfId="257" priority="73" operator="containsText" text="허하나로">
      <formula>NOT(ISERROR(SEARCH("허하나로",H844)))</formula>
    </cfRule>
    <cfRule type="containsText" dxfId="256" priority="74" operator="containsText" text="한별">
      <formula>NOT(ISERROR(SEARCH("한별",H844)))</formula>
    </cfRule>
    <cfRule type="containsText" dxfId="255" priority="75" operator="containsText" text="정홍조">
      <formula>NOT(ISERROR(SEARCH("정홍조",H844)))</formula>
    </cfRule>
    <cfRule type="containsText" dxfId="254" priority="76" operator="containsText" text="김지윤">
      <formula>NOT(ISERROR(SEARCH("김지윤",H844)))</formula>
    </cfRule>
    <cfRule type="containsText" dxfId="253" priority="77" operator="containsText" text="전준영">
      <formula>NOT(ISERROR(SEARCH("전준영",H844)))</formula>
    </cfRule>
    <cfRule type="containsText" dxfId="252" priority="78" operator="containsText" text="차재성">
      <formula>NOT(ISERROR(SEARCH("차재성",H844)))</formula>
    </cfRule>
  </conditionalFormatting>
  <conditionalFormatting sqref="J6:J11">
    <cfRule type="containsText" dxfId="251" priority="109" operator="containsText" text="허하나로">
      <formula>NOT(ISERROR(SEARCH("허하나로",H832)))</formula>
    </cfRule>
    <cfRule type="containsText" dxfId="250" priority="110" operator="containsText" text="한별">
      <formula>NOT(ISERROR(SEARCH("한별",H832)))</formula>
    </cfRule>
    <cfRule type="containsText" dxfId="249" priority="111" operator="containsText" text="정홍조">
      <formula>NOT(ISERROR(SEARCH("정홍조",H832)))</formula>
    </cfRule>
    <cfRule type="containsText" dxfId="248" priority="112" operator="containsText" text="김지윤">
      <formula>NOT(ISERROR(SEARCH("김지윤",H832)))</formula>
    </cfRule>
    <cfRule type="containsText" dxfId="247" priority="113" operator="containsText" text="전준영">
      <formula>NOT(ISERROR(SEARCH("전준영",H832)))</formula>
    </cfRule>
    <cfRule type="containsText" dxfId="246" priority="114" operator="containsText" text="차재성">
      <formula>NOT(ISERROR(SEARCH("차재성",H832)))</formula>
    </cfRule>
  </conditionalFormatting>
  <conditionalFormatting sqref="J30:J31">
    <cfRule type="containsText" dxfId="245" priority="91" operator="containsText" text="허하나로">
      <formula>NOT(ISERROR(SEARCH("허하나로",H1079)))</formula>
    </cfRule>
    <cfRule type="containsText" dxfId="244" priority="92" operator="containsText" text="한별">
      <formula>NOT(ISERROR(SEARCH("한별",H1079)))</formula>
    </cfRule>
    <cfRule type="containsText" dxfId="243" priority="93" operator="containsText" text="정홍조">
      <formula>NOT(ISERROR(SEARCH("정홍조",H1079)))</formula>
    </cfRule>
    <cfRule type="containsText" dxfId="242" priority="94" operator="containsText" text="김지윤">
      <formula>NOT(ISERROR(SEARCH("김지윤",H1079)))</formula>
    </cfRule>
    <cfRule type="containsText" dxfId="241" priority="95" operator="containsText" text="전준영">
      <formula>NOT(ISERROR(SEARCH("전준영",H1079)))</formula>
    </cfRule>
    <cfRule type="containsText" dxfId="240" priority="96" operator="containsText" text="차재성">
      <formula>NOT(ISERROR(SEARCH("차재성",H1079)))</formula>
    </cfRule>
  </conditionalFormatting>
  <conditionalFormatting sqref="J32">
    <cfRule type="containsText" dxfId="239" priority="97" operator="containsText" text="허하나로">
      <formula>NOT(ISERROR(SEARCH("허하나로",H1081)))</formula>
    </cfRule>
    <cfRule type="containsText" dxfId="238" priority="98" operator="containsText" text="한별">
      <formula>NOT(ISERROR(SEARCH("한별",H1081)))</formula>
    </cfRule>
    <cfRule type="containsText" dxfId="237" priority="99" operator="containsText" text="정홍조">
      <formula>NOT(ISERROR(SEARCH("정홍조",H1081)))</formula>
    </cfRule>
    <cfRule type="containsText" dxfId="236" priority="100" operator="containsText" text="김지윤">
      <formula>NOT(ISERROR(SEARCH("김지윤",H1081)))</formula>
    </cfRule>
    <cfRule type="containsText" dxfId="235" priority="101" operator="containsText" text="전준영">
      <formula>NOT(ISERROR(SEARCH("전준영",H1081)))</formula>
    </cfRule>
    <cfRule type="containsText" dxfId="234" priority="102" operator="containsText" text="차재성">
      <formula>NOT(ISERROR(SEARCH("차재성",H1081)))</formula>
    </cfRule>
  </conditionalFormatting>
  <conditionalFormatting sqref="J27">
    <cfRule type="containsText" dxfId="233" priority="79" operator="containsText" text="허하나로">
      <formula>NOT(ISERROR(SEARCH("허하나로",H874)))</formula>
    </cfRule>
    <cfRule type="containsText" dxfId="232" priority="80" operator="containsText" text="한별">
      <formula>NOT(ISERROR(SEARCH("한별",H874)))</formula>
    </cfRule>
    <cfRule type="containsText" dxfId="231" priority="81" operator="containsText" text="정홍조">
      <formula>NOT(ISERROR(SEARCH("정홍조",H874)))</formula>
    </cfRule>
    <cfRule type="containsText" dxfId="230" priority="82" operator="containsText" text="김지윤">
      <formula>NOT(ISERROR(SEARCH("김지윤",H874)))</formula>
    </cfRule>
    <cfRule type="containsText" dxfId="229" priority="83" operator="containsText" text="전준영">
      <formula>NOT(ISERROR(SEARCH("전준영",H874)))</formula>
    </cfRule>
    <cfRule type="containsText" dxfId="228" priority="84" operator="containsText" text="차재성">
      <formula>NOT(ISERROR(SEARCH("차재성",H874)))</formula>
    </cfRule>
  </conditionalFormatting>
  <conditionalFormatting sqref="J29">
    <cfRule type="containsText" dxfId="227" priority="85" operator="containsText" text="허하나로">
      <formula>NOT(ISERROR(SEARCH("허하나로",H1071)))</formula>
    </cfRule>
    <cfRule type="containsText" dxfId="226" priority="86" operator="containsText" text="한별">
      <formula>NOT(ISERROR(SEARCH("한별",H1071)))</formula>
    </cfRule>
    <cfRule type="containsText" dxfId="225" priority="87" operator="containsText" text="정홍조">
      <formula>NOT(ISERROR(SEARCH("정홍조",H1071)))</formula>
    </cfRule>
    <cfRule type="containsText" dxfId="224" priority="88" operator="containsText" text="김지윤">
      <formula>NOT(ISERROR(SEARCH("김지윤",H1071)))</formula>
    </cfRule>
    <cfRule type="containsText" dxfId="223" priority="89" operator="containsText" text="전준영">
      <formula>NOT(ISERROR(SEARCH("전준영",H1071)))</formula>
    </cfRule>
    <cfRule type="containsText" dxfId="222" priority="90" operator="containsText" text="차재성">
      <formula>NOT(ISERROR(SEARCH("차재성",H1071)))</formula>
    </cfRule>
  </conditionalFormatting>
  <conditionalFormatting sqref="J5">
    <cfRule type="containsText" dxfId="221" priority="145" operator="containsText" text="허하나로">
      <formula>NOT(ISERROR(SEARCH("허하나로",H662)))</formula>
    </cfRule>
    <cfRule type="containsText" dxfId="220" priority="146" operator="containsText" text="한별">
      <formula>NOT(ISERROR(SEARCH("한별",H662)))</formula>
    </cfRule>
    <cfRule type="containsText" dxfId="219" priority="147" operator="containsText" text="정홍조">
      <formula>NOT(ISERROR(SEARCH("정홍조",H662)))</formula>
    </cfRule>
    <cfRule type="containsText" dxfId="218" priority="148" operator="containsText" text="김지윤">
      <formula>NOT(ISERROR(SEARCH("김지윤",H662)))</formula>
    </cfRule>
    <cfRule type="containsText" dxfId="217" priority="149" operator="containsText" text="전준영">
      <formula>NOT(ISERROR(SEARCH("전준영",H662)))</formula>
    </cfRule>
    <cfRule type="containsText" dxfId="216" priority="150" operator="containsText" text="차재성">
      <formula>NOT(ISERROR(SEARCH("차재성",H662)))</formula>
    </cfRule>
  </conditionalFormatting>
  <conditionalFormatting sqref="J2:J3">
    <cfRule type="containsText" dxfId="215" priority="67" operator="containsText" text="허하나로">
      <formula>NOT(ISERROR(SEARCH("허하나로",H774)))</formula>
    </cfRule>
    <cfRule type="containsText" dxfId="214" priority="68" operator="containsText" text="한별">
      <formula>NOT(ISERROR(SEARCH("한별",H774)))</formula>
    </cfRule>
    <cfRule type="containsText" dxfId="213" priority="69" operator="containsText" text="정홍조">
      <formula>NOT(ISERROR(SEARCH("정홍조",H774)))</formula>
    </cfRule>
    <cfRule type="containsText" dxfId="212" priority="70" operator="containsText" text="김지윤">
      <formula>NOT(ISERROR(SEARCH("김지윤",H774)))</formula>
    </cfRule>
    <cfRule type="containsText" dxfId="211" priority="71" operator="containsText" text="전준영">
      <formula>NOT(ISERROR(SEARCH("전준영",H774)))</formula>
    </cfRule>
    <cfRule type="containsText" dxfId="210" priority="72" operator="containsText" text="차재성">
      <formula>NOT(ISERROR(SEARCH("차재성",H774)))</formula>
    </cfRule>
  </conditionalFormatting>
  <conditionalFormatting sqref="J14">
    <cfRule type="containsText" dxfId="209" priority="61" operator="containsText" text="허하나로">
      <formula>NOT(ISERROR(SEARCH("허하나로",H1074)))</formula>
    </cfRule>
    <cfRule type="containsText" dxfId="208" priority="62" operator="containsText" text="한별">
      <formula>NOT(ISERROR(SEARCH("한별",H1074)))</formula>
    </cfRule>
    <cfRule type="containsText" dxfId="207" priority="63" operator="containsText" text="정홍조">
      <formula>NOT(ISERROR(SEARCH("정홍조",H1074)))</formula>
    </cfRule>
    <cfRule type="containsText" dxfId="206" priority="64" operator="containsText" text="김지윤">
      <formula>NOT(ISERROR(SEARCH("김지윤",H1074)))</formula>
    </cfRule>
    <cfRule type="containsText" dxfId="205" priority="65" operator="containsText" text="전준영">
      <formula>NOT(ISERROR(SEARCH("전준영",H1074)))</formula>
    </cfRule>
    <cfRule type="containsText" dxfId="204" priority="66" operator="containsText" text="차재성">
      <formula>NOT(ISERROR(SEARCH("차재성",H1074)))</formula>
    </cfRule>
  </conditionalFormatting>
  <conditionalFormatting sqref="J19:J23">
    <cfRule type="containsText" dxfId="203" priority="31" operator="containsText" text="허하나로">
      <formula>NOT(ISERROR(SEARCH("허하나로",H839)))</formula>
    </cfRule>
    <cfRule type="containsText" dxfId="202" priority="32" operator="containsText" text="한별">
      <formula>NOT(ISERROR(SEARCH("한별",H839)))</formula>
    </cfRule>
    <cfRule type="containsText" dxfId="201" priority="33" operator="containsText" text="정홍조">
      <formula>NOT(ISERROR(SEARCH("정홍조",H839)))</formula>
    </cfRule>
    <cfRule type="containsText" dxfId="200" priority="34" operator="containsText" text="김지윤">
      <formula>NOT(ISERROR(SEARCH("김지윤",H839)))</formula>
    </cfRule>
    <cfRule type="containsText" dxfId="199" priority="35" operator="containsText" text="전준영">
      <formula>NOT(ISERROR(SEARCH("전준영",H839)))</formula>
    </cfRule>
    <cfRule type="containsText" dxfId="198" priority="36" operator="containsText" text="차재성">
      <formula>NOT(ISERROR(SEARCH("차재성",H839)))</formula>
    </cfRule>
  </conditionalFormatting>
  <conditionalFormatting sqref="J24">
    <cfRule type="containsText" dxfId="197" priority="25" operator="containsText" text="허하나로">
      <formula>NOT(ISERROR(SEARCH("허하나로",H1078)))</formula>
    </cfRule>
    <cfRule type="containsText" dxfId="196" priority="26" operator="containsText" text="한별">
      <formula>NOT(ISERROR(SEARCH("한별",H1078)))</formula>
    </cfRule>
    <cfRule type="containsText" dxfId="195" priority="27" operator="containsText" text="정홍조">
      <formula>NOT(ISERROR(SEARCH("정홍조",H1078)))</formula>
    </cfRule>
    <cfRule type="containsText" dxfId="194" priority="28" operator="containsText" text="김지윤">
      <formula>NOT(ISERROR(SEARCH("김지윤",H1078)))</formula>
    </cfRule>
    <cfRule type="containsText" dxfId="193" priority="29" operator="containsText" text="전준영">
      <formula>NOT(ISERROR(SEARCH("전준영",H1078)))</formula>
    </cfRule>
    <cfRule type="containsText" dxfId="192" priority="30" operator="containsText" text="차재성">
      <formula>NOT(ISERROR(SEARCH("차재성",H1078)))</formula>
    </cfRule>
  </conditionalFormatting>
  <conditionalFormatting sqref="J12:J13">
    <cfRule type="containsText" dxfId="191" priority="5509" operator="containsText" text="허하나로">
      <formula>NOT(ISERROR(SEARCH("허하나로",H1073)))</formula>
    </cfRule>
    <cfRule type="containsText" dxfId="190" priority="5510" operator="containsText" text="한별">
      <formula>NOT(ISERROR(SEARCH("한별",H1073)))</formula>
    </cfRule>
    <cfRule type="containsText" dxfId="189" priority="5511" operator="containsText" text="정홍조">
      <formula>NOT(ISERROR(SEARCH("정홍조",H1073)))</formula>
    </cfRule>
    <cfRule type="containsText" dxfId="188" priority="5512" operator="containsText" text="김지윤">
      <formula>NOT(ISERROR(SEARCH("김지윤",H1073)))</formula>
    </cfRule>
    <cfRule type="containsText" dxfId="187" priority="5513" operator="containsText" text="전준영">
      <formula>NOT(ISERROR(SEARCH("전준영",H1073)))</formula>
    </cfRule>
    <cfRule type="containsText" dxfId="186" priority="5514" operator="containsText" text="차재성">
      <formula>NOT(ISERROR(SEARCH("차재성",H1073)))</formula>
    </cfRule>
  </conditionalFormatting>
  <conditionalFormatting sqref="J16">
    <cfRule type="containsText" dxfId="185" priority="13" operator="containsText" text="허하나로">
      <formula>NOT(ISERROR(SEARCH("허하나로",H1076)))</formula>
    </cfRule>
    <cfRule type="containsText" dxfId="184" priority="14" operator="containsText" text="한별">
      <formula>NOT(ISERROR(SEARCH("한별",H1076)))</formula>
    </cfRule>
    <cfRule type="containsText" dxfId="183" priority="15" operator="containsText" text="정홍조">
      <formula>NOT(ISERROR(SEARCH("정홍조",H1076)))</formula>
    </cfRule>
    <cfRule type="containsText" dxfId="182" priority="16" operator="containsText" text="김지윤">
      <formula>NOT(ISERROR(SEARCH("김지윤",H1076)))</formula>
    </cfRule>
    <cfRule type="containsText" dxfId="181" priority="17" operator="containsText" text="전준영">
      <formula>NOT(ISERROR(SEARCH("전준영",H1076)))</formula>
    </cfRule>
    <cfRule type="containsText" dxfId="180" priority="18" operator="containsText" text="차재성">
      <formula>NOT(ISERROR(SEARCH("차재성",H1076)))</formula>
    </cfRule>
  </conditionalFormatting>
  <conditionalFormatting sqref="J15">
    <cfRule type="containsText" dxfId="179" priority="19" operator="containsText" text="허하나로">
      <formula>NOT(ISERROR(SEARCH("허하나로",H1076)))</formula>
    </cfRule>
    <cfRule type="containsText" dxfId="178" priority="20" operator="containsText" text="한별">
      <formula>NOT(ISERROR(SEARCH("한별",H1076)))</formula>
    </cfRule>
    <cfRule type="containsText" dxfId="177" priority="21" operator="containsText" text="정홍조">
      <formula>NOT(ISERROR(SEARCH("정홍조",H1076)))</formula>
    </cfRule>
    <cfRule type="containsText" dxfId="176" priority="22" operator="containsText" text="김지윤">
      <formula>NOT(ISERROR(SEARCH("김지윤",H1076)))</formula>
    </cfRule>
    <cfRule type="containsText" dxfId="175" priority="23" operator="containsText" text="전준영">
      <formula>NOT(ISERROR(SEARCH("전준영",H1076)))</formula>
    </cfRule>
    <cfRule type="containsText" dxfId="174" priority="24" operator="containsText" text="차재성">
      <formula>NOT(ISERROR(SEARCH("차재성",H1076)))</formula>
    </cfRule>
  </conditionalFormatting>
  <conditionalFormatting sqref="J18">
    <cfRule type="containsText" dxfId="173" priority="1" operator="containsText" text="허하나로">
      <formula>NOT(ISERROR(SEARCH("허하나로",H1078)))</formula>
    </cfRule>
    <cfRule type="containsText" dxfId="172" priority="2" operator="containsText" text="한별">
      <formula>NOT(ISERROR(SEARCH("한별",H1078)))</formula>
    </cfRule>
    <cfRule type="containsText" dxfId="171" priority="3" operator="containsText" text="정홍조">
      <formula>NOT(ISERROR(SEARCH("정홍조",H1078)))</formula>
    </cfRule>
    <cfRule type="containsText" dxfId="170" priority="4" operator="containsText" text="김지윤">
      <formula>NOT(ISERROR(SEARCH("김지윤",H1078)))</formula>
    </cfRule>
    <cfRule type="containsText" dxfId="169" priority="5" operator="containsText" text="전준영">
      <formula>NOT(ISERROR(SEARCH("전준영",H1078)))</formula>
    </cfRule>
    <cfRule type="containsText" dxfId="168" priority="6" operator="containsText" text="차재성">
      <formula>NOT(ISERROR(SEARCH("차재성",H1078)))</formula>
    </cfRule>
  </conditionalFormatting>
  <conditionalFormatting sqref="J17">
    <cfRule type="containsText" dxfId="167" priority="7" operator="containsText" text="허하나로">
      <formula>NOT(ISERROR(SEARCH("허하나로",H1078)))</formula>
    </cfRule>
    <cfRule type="containsText" dxfId="166" priority="8" operator="containsText" text="한별">
      <formula>NOT(ISERROR(SEARCH("한별",H1078)))</formula>
    </cfRule>
    <cfRule type="containsText" dxfId="165" priority="9" operator="containsText" text="정홍조">
      <formula>NOT(ISERROR(SEARCH("정홍조",H1078)))</formula>
    </cfRule>
    <cfRule type="containsText" dxfId="164" priority="10" operator="containsText" text="김지윤">
      <formula>NOT(ISERROR(SEARCH("김지윤",H1078)))</formula>
    </cfRule>
    <cfRule type="containsText" dxfId="163" priority="11" operator="containsText" text="전준영">
      <formula>NOT(ISERROR(SEARCH("전준영",H1078)))</formula>
    </cfRule>
    <cfRule type="containsText" dxfId="162" priority="12" operator="containsText" text="차재성">
      <formula>NOT(ISERROR(SEARCH("차재성",H1078)))</formula>
    </cfRule>
  </conditionalFormatting>
  <pageMargins left="0.25" right="0.25" top="0.75" bottom="0.75" header="0.3" footer="0.3"/>
  <pageSetup paperSize="9" scale="6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I80"/>
  <sheetViews>
    <sheetView topLeftCell="A4" zoomScale="85" zoomScaleNormal="85" workbookViewId="0">
      <selection activeCell="F28" sqref="F28"/>
    </sheetView>
  </sheetViews>
  <sheetFormatPr defaultRowHeight="16.5"/>
  <cols>
    <col min="1" max="1" width="3.875" customWidth="1"/>
    <col min="2" max="2" width="5" customWidth="1"/>
    <col min="3" max="5" width="3.875" customWidth="1"/>
    <col min="6" max="6" width="32.625" customWidth="1"/>
    <col min="7" max="7" width="14.375" customWidth="1"/>
    <col min="8" max="8" width="16.125" customWidth="1"/>
    <col min="9" max="9" width="12.125" customWidth="1"/>
  </cols>
  <sheetData>
    <row r="1" spans="1:9" ht="18" customHeight="1">
      <c r="A1" s="27" t="s">
        <v>242</v>
      </c>
      <c r="B1" s="28"/>
      <c r="C1" s="28"/>
      <c r="D1" s="28"/>
      <c r="E1" s="28"/>
      <c r="F1" s="28"/>
      <c r="G1" s="29"/>
      <c r="H1" s="29"/>
      <c r="I1" s="29"/>
    </row>
    <row r="2" spans="1:9" ht="17.25" thickBot="1">
      <c r="A2" s="30"/>
      <c r="B2" s="30"/>
      <c r="C2" s="30"/>
      <c r="D2" s="30"/>
      <c r="E2" s="30"/>
      <c r="F2" s="30"/>
      <c r="G2" s="30"/>
      <c r="H2" s="30"/>
      <c r="I2" s="31" t="s">
        <v>147</v>
      </c>
    </row>
    <row r="3" spans="1:9" ht="18" customHeight="1">
      <c r="A3" s="715" t="s">
        <v>5</v>
      </c>
      <c r="B3" s="716"/>
      <c r="C3" s="716"/>
      <c r="D3" s="716"/>
      <c r="E3" s="716"/>
      <c r="F3" s="717"/>
      <c r="G3" s="682" t="s">
        <v>704</v>
      </c>
      <c r="H3" s="682" t="s">
        <v>894</v>
      </c>
      <c r="I3" s="684" t="s">
        <v>463</v>
      </c>
    </row>
    <row r="4" spans="1:9" ht="17.25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83"/>
      <c r="H4" s="683"/>
      <c r="I4" s="685"/>
    </row>
    <row r="5" spans="1:9" ht="17.25" thickBot="1">
      <c r="A5" s="686" t="s">
        <v>152</v>
      </c>
      <c r="B5" s="687"/>
      <c r="C5" s="687"/>
      <c r="D5" s="687"/>
      <c r="E5" s="687"/>
      <c r="F5" s="689"/>
      <c r="G5" s="277">
        <f>G6+G57</f>
        <v>18130000</v>
      </c>
      <c r="H5" s="277">
        <v>17270000</v>
      </c>
      <c r="I5" s="161">
        <f>G5-H5</f>
        <v>860000</v>
      </c>
    </row>
    <row r="6" spans="1:9" ht="18" customHeight="1">
      <c r="A6" s="245" t="s">
        <v>2</v>
      </c>
      <c r="B6" s="176"/>
      <c r="C6" s="176"/>
      <c r="D6" s="176"/>
      <c r="E6" s="176"/>
      <c r="F6" s="177"/>
      <c r="G6" s="246">
        <f>SUM(G7,G17,G52)</f>
        <v>11860000</v>
      </c>
      <c r="H6" s="246">
        <v>11000000</v>
      </c>
      <c r="I6" s="115">
        <f t="shared" ref="I6:I9" si="0">G6-H6</f>
        <v>860000</v>
      </c>
    </row>
    <row r="7" spans="1:9" ht="18" customHeight="1">
      <c r="A7" s="238"/>
      <c r="B7" s="175" t="s">
        <v>274</v>
      </c>
      <c r="C7" s="176"/>
      <c r="D7" s="176"/>
      <c r="E7" s="176"/>
      <c r="F7" s="177"/>
      <c r="G7" s="113">
        <f>'기획본부(위탁)'!H6</f>
        <v>1000000</v>
      </c>
      <c r="H7" s="113">
        <v>1000000</v>
      </c>
      <c r="I7" s="115">
        <f t="shared" si="0"/>
        <v>0</v>
      </c>
    </row>
    <row r="8" spans="1:9" ht="18" customHeight="1">
      <c r="A8" s="163"/>
      <c r="B8" s="164"/>
      <c r="C8" s="178" t="s">
        <v>197</v>
      </c>
      <c r="D8" s="179"/>
      <c r="E8" s="179"/>
      <c r="F8" s="180"/>
      <c r="G8" s="111">
        <f>'기획본부(위탁)'!H7</f>
        <v>1000000</v>
      </c>
      <c r="H8" s="111">
        <v>1000000</v>
      </c>
      <c r="I8" s="114">
        <f t="shared" si="0"/>
        <v>0</v>
      </c>
    </row>
    <row r="9" spans="1:9" ht="18" customHeight="1">
      <c r="A9" s="163"/>
      <c r="B9" s="165"/>
      <c r="C9" s="166"/>
      <c r="D9" s="178" t="s">
        <v>198</v>
      </c>
      <c r="E9" s="179"/>
      <c r="F9" s="180"/>
      <c r="G9" s="111">
        <f>'기획본부(위탁)'!H8</f>
        <v>1000000</v>
      </c>
      <c r="H9" s="112">
        <v>1000000</v>
      </c>
      <c r="I9" s="114">
        <f t="shared" si="0"/>
        <v>0</v>
      </c>
    </row>
    <row r="10" spans="1:9" ht="18" customHeight="1">
      <c r="A10" s="163"/>
      <c r="B10" s="165"/>
      <c r="C10" s="164"/>
      <c r="D10" s="166"/>
      <c r="E10" s="178" t="s">
        <v>199</v>
      </c>
      <c r="F10" s="180"/>
      <c r="G10" s="111">
        <f>'기획본부(위탁)'!H10</f>
        <v>965000</v>
      </c>
      <c r="H10" s="112">
        <v>965000</v>
      </c>
      <c r="I10" s="114">
        <f t="shared" ref="I10:I14" si="1">G10-H10</f>
        <v>0</v>
      </c>
    </row>
    <row r="11" spans="1:9" ht="18" customHeight="1">
      <c r="A11" s="163"/>
      <c r="B11" s="165"/>
      <c r="C11" s="164"/>
      <c r="D11" s="165"/>
      <c r="E11" s="253"/>
      <c r="F11" s="278" t="s">
        <v>200</v>
      </c>
      <c r="G11" s="325">
        <f>'기획본부(위탁)'!H11</f>
        <v>345000</v>
      </c>
      <c r="H11" s="16">
        <v>345000</v>
      </c>
      <c r="I11" s="116">
        <f t="shared" si="1"/>
        <v>0</v>
      </c>
    </row>
    <row r="12" spans="1:9" ht="18" customHeight="1">
      <c r="A12" s="86"/>
      <c r="B12" s="167"/>
      <c r="C12" s="168"/>
      <c r="D12" s="167"/>
      <c r="E12" s="168"/>
      <c r="F12" s="170" t="s">
        <v>20</v>
      </c>
      <c r="G12" s="325">
        <f>'기획본부(위탁)'!H17</f>
        <v>120000</v>
      </c>
      <c r="H12" s="16">
        <v>120000</v>
      </c>
      <c r="I12" s="116">
        <f t="shared" si="1"/>
        <v>0</v>
      </c>
    </row>
    <row r="13" spans="1:9">
      <c r="A13" s="321"/>
      <c r="B13" s="167"/>
      <c r="C13" s="168"/>
      <c r="D13" s="167"/>
      <c r="E13" s="241"/>
      <c r="F13" s="169" t="s">
        <v>201</v>
      </c>
      <c r="G13" s="325">
        <f>'기획본부(위탁)'!H21</f>
        <v>500000</v>
      </c>
      <c r="H13" s="325">
        <v>500000</v>
      </c>
      <c r="I13" s="116">
        <f t="shared" si="1"/>
        <v>0</v>
      </c>
    </row>
    <row r="14" spans="1:9" ht="18" customHeight="1">
      <c r="A14" s="163"/>
      <c r="B14" s="165"/>
      <c r="C14" s="165"/>
      <c r="D14" s="165"/>
      <c r="E14" s="178" t="s">
        <v>128</v>
      </c>
      <c r="F14" s="180"/>
      <c r="G14" s="111">
        <f>'기획본부(위탁)'!H24</f>
        <v>35000</v>
      </c>
      <c r="H14" s="112">
        <v>35000</v>
      </c>
      <c r="I14" s="114">
        <f t="shared" si="1"/>
        <v>0</v>
      </c>
    </row>
    <row r="15" spans="1:9" ht="18" customHeight="1">
      <c r="A15" s="163"/>
      <c r="B15" s="165"/>
      <c r="C15" s="164"/>
      <c r="D15" s="165"/>
      <c r="E15" s="426"/>
      <c r="F15" s="425" t="s">
        <v>492</v>
      </c>
      <c r="G15" s="111">
        <f>'기획본부(위탁)'!H25</f>
        <v>10000</v>
      </c>
      <c r="H15" s="112">
        <v>10000</v>
      </c>
      <c r="I15" s="114">
        <f t="shared" ref="I15:I16" si="2">G15-H15</f>
        <v>0</v>
      </c>
    </row>
    <row r="16" spans="1:9" ht="18" customHeight="1">
      <c r="A16" s="163"/>
      <c r="B16" s="342"/>
      <c r="C16" s="343"/>
      <c r="D16" s="342"/>
      <c r="E16" s="344"/>
      <c r="F16" s="278" t="s">
        <v>416</v>
      </c>
      <c r="G16" s="325">
        <f>'기획본부(위탁)'!H27</f>
        <v>25000</v>
      </c>
      <c r="H16" s="325">
        <v>25000</v>
      </c>
      <c r="I16" s="116">
        <f t="shared" si="2"/>
        <v>0</v>
      </c>
    </row>
    <row r="17" spans="1:9" ht="18" customHeight="1">
      <c r="A17" s="248"/>
      <c r="B17" s="322" t="s">
        <v>263</v>
      </c>
      <c r="C17" s="256"/>
      <c r="D17" s="256"/>
      <c r="E17" s="256"/>
      <c r="F17" s="323"/>
      <c r="G17" s="246">
        <f>'기획본부(위탁)'!H30</f>
        <v>4600000</v>
      </c>
      <c r="H17" s="246">
        <v>4500000</v>
      </c>
      <c r="I17" s="324">
        <f t="shared" ref="I17:I19" si="3">G17-H17</f>
        <v>100000</v>
      </c>
    </row>
    <row r="18" spans="1:9" ht="18" customHeight="1">
      <c r="A18" s="163"/>
      <c r="B18" s="164"/>
      <c r="C18" s="178" t="s">
        <v>431</v>
      </c>
      <c r="D18" s="179"/>
      <c r="E18" s="179"/>
      <c r="F18" s="180"/>
      <c r="G18" s="111">
        <f>'기획본부(위탁)'!H31</f>
        <v>4250000</v>
      </c>
      <c r="H18" s="111">
        <v>4250000</v>
      </c>
      <c r="I18" s="114">
        <f t="shared" si="3"/>
        <v>0</v>
      </c>
    </row>
    <row r="19" spans="1:9" ht="18" customHeight="1">
      <c r="A19" s="163"/>
      <c r="B19" s="165"/>
      <c r="C19" s="166"/>
      <c r="D19" s="178" t="s">
        <v>462</v>
      </c>
      <c r="E19" s="179"/>
      <c r="F19" s="180"/>
      <c r="G19" s="111">
        <f>'기획본부(위탁)'!H32</f>
        <v>250000</v>
      </c>
      <c r="H19" s="112">
        <v>250000</v>
      </c>
      <c r="I19" s="114">
        <f t="shared" si="3"/>
        <v>0</v>
      </c>
    </row>
    <row r="20" spans="1:9" ht="18" customHeight="1">
      <c r="A20" s="163"/>
      <c r="B20" s="165"/>
      <c r="C20" s="164"/>
      <c r="D20" s="165"/>
      <c r="E20" s="178" t="s">
        <v>429</v>
      </c>
      <c r="F20" s="180"/>
      <c r="G20" s="111">
        <f>'기획본부(위탁)'!H34</f>
        <v>250000</v>
      </c>
      <c r="H20" s="112">
        <v>250000</v>
      </c>
      <c r="I20" s="114">
        <f t="shared" ref="I20:I23" si="4">G20-H20</f>
        <v>0</v>
      </c>
    </row>
    <row r="21" spans="1:9" ht="18" customHeight="1">
      <c r="A21" s="163"/>
      <c r="B21" s="165"/>
      <c r="C21" s="164"/>
      <c r="D21" s="165"/>
      <c r="E21" s="253"/>
      <c r="F21" s="278" t="s">
        <v>416</v>
      </c>
      <c r="G21" s="325">
        <f>'기획본부(위탁)'!H35</f>
        <v>250000</v>
      </c>
      <c r="H21" s="16">
        <v>250000</v>
      </c>
      <c r="I21" s="116">
        <f t="shared" si="4"/>
        <v>0</v>
      </c>
    </row>
    <row r="22" spans="1:9" ht="18" customHeight="1">
      <c r="A22" s="163"/>
      <c r="B22" s="165"/>
      <c r="C22" s="165"/>
      <c r="D22" s="178" t="s">
        <v>595</v>
      </c>
      <c r="E22" s="179"/>
      <c r="F22" s="180"/>
      <c r="G22" s="111">
        <f>'기획본부(위탁)'!H41</f>
        <v>60000</v>
      </c>
      <c r="H22" s="112">
        <v>60000</v>
      </c>
      <c r="I22" s="114">
        <f t="shared" si="4"/>
        <v>0</v>
      </c>
    </row>
    <row r="23" spans="1:9" ht="18" customHeight="1">
      <c r="A23" s="163"/>
      <c r="B23" s="165"/>
      <c r="C23" s="164"/>
      <c r="D23" s="166"/>
      <c r="E23" s="178" t="s">
        <v>199</v>
      </c>
      <c r="F23" s="180"/>
      <c r="G23" s="111">
        <f>'기획본부(위탁)'!H43</f>
        <v>60000</v>
      </c>
      <c r="H23" s="112">
        <v>60000</v>
      </c>
      <c r="I23" s="114">
        <f t="shared" si="4"/>
        <v>0</v>
      </c>
    </row>
    <row r="24" spans="1:9" ht="18" customHeight="1">
      <c r="A24" s="86"/>
      <c r="B24" s="167"/>
      <c r="C24" s="168"/>
      <c r="D24" s="167"/>
      <c r="E24" s="168"/>
      <c r="F24" s="170" t="s">
        <v>20</v>
      </c>
      <c r="G24" s="325">
        <f>'기획본부(위탁)'!H44</f>
        <v>60000</v>
      </c>
      <c r="H24" s="16">
        <v>60000</v>
      </c>
      <c r="I24" s="116">
        <f>G24-H24</f>
        <v>0</v>
      </c>
    </row>
    <row r="25" spans="1:9" ht="18" customHeight="1">
      <c r="A25" s="163"/>
      <c r="B25" s="165"/>
      <c r="C25" s="165"/>
      <c r="D25" s="178" t="s">
        <v>596</v>
      </c>
      <c r="E25" s="179"/>
      <c r="F25" s="180"/>
      <c r="G25" s="111">
        <f>'기획본부(위탁)'!H46</f>
        <v>3070000</v>
      </c>
      <c r="H25" s="112">
        <v>3070000</v>
      </c>
      <c r="I25" s="114">
        <f t="shared" ref="I25:I26" si="5">G25-H25</f>
        <v>0</v>
      </c>
    </row>
    <row r="26" spans="1:9" ht="18" customHeight="1">
      <c r="A26" s="163"/>
      <c r="B26" s="165"/>
      <c r="C26" s="164"/>
      <c r="D26" s="166"/>
      <c r="E26" s="178" t="s">
        <v>199</v>
      </c>
      <c r="F26" s="180"/>
      <c r="G26" s="111">
        <f>'기획본부(위탁)'!H48</f>
        <v>2340000</v>
      </c>
      <c r="H26" s="112">
        <v>2340000</v>
      </c>
      <c r="I26" s="114">
        <f t="shared" si="5"/>
        <v>0</v>
      </c>
    </row>
    <row r="27" spans="1:9" ht="18" customHeight="1">
      <c r="A27" s="86"/>
      <c r="B27" s="167"/>
      <c r="C27" s="168"/>
      <c r="D27" s="167"/>
      <c r="E27" s="168"/>
      <c r="F27" s="170" t="s">
        <v>20</v>
      </c>
      <c r="G27" s="325">
        <f>'기획본부(위탁)'!H49</f>
        <v>2340000</v>
      </c>
      <c r="H27" s="16">
        <v>2340000</v>
      </c>
      <c r="I27" s="116">
        <f>G27-H27</f>
        <v>0</v>
      </c>
    </row>
    <row r="28" spans="1:9" ht="18" customHeight="1">
      <c r="A28" s="163"/>
      <c r="B28" s="165"/>
      <c r="C28" s="164"/>
      <c r="D28" s="165"/>
      <c r="E28" s="178" t="s">
        <v>429</v>
      </c>
      <c r="F28" s="180"/>
      <c r="G28" s="111">
        <f>'기획본부(위탁)'!H52</f>
        <v>730000</v>
      </c>
      <c r="H28" s="112">
        <v>730000</v>
      </c>
      <c r="I28" s="114">
        <f t="shared" ref="I28:I29" si="6">G28-H28</f>
        <v>0</v>
      </c>
    </row>
    <row r="29" spans="1:9" ht="18" customHeight="1">
      <c r="A29" s="163"/>
      <c r="B29" s="165"/>
      <c r="C29" s="164"/>
      <c r="D29" s="165"/>
      <c r="E29" s="253"/>
      <c r="F29" s="346" t="s">
        <v>430</v>
      </c>
      <c r="G29" s="325">
        <f>'기획본부(위탁)'!H53</f>
        <v>730000</v>
      </c>
      <c r="H29" s="16">
        <v>730000</v>
      </c>
      <c r="I29" s="116">
        <f t="shared" si="6"/>
        <v>0</v>
      </c>
    </row>
    <row r="30" spans="1:9" ht="18" customHeight="1">
      <c r="A30" s="163"/>
      <c r="B30" s="165"/>
      <c r="C30" s="165"/>
      <c r="D30" s="178" t="s">
        <v>597</v>
      </c>
      <c r="E30" s="179"/>
      <c r="F30" s="180"/>
      <c r="G30" s="111">
        <f>'기획본부(위탁)'!H55</f>
        <v>270000</v>
      </c>
      <c r="H30" s="112">
        <v>270000</v>
      </c>
      <c r="I30" s="114">
        <f t="shared" ref="I30:I32" si="7">G30-H30</f>
        <v>0</v>
      </c>
    </row>
    <row r="31" spans="1:9" ht="18" customHeight="1">
      <c r="A31" s="163"/>
      <c r="B31" s="165"/>
      <c r="C31" s="164"/>
      <c r="D31" s="166"/>
      <c r="E31" s="178" t="s">
        <v>199</v>
      </c>
      <c r="F31" s="180"/>
      <c r="G31" s="111">
        <f>'기획본부(위탁)'!H57</f>
        <v>224000</v>
      </c>
      <c r="H31" s="112">
        <v>224000</v>
      </c>
      <c r="I31" s="114">
        <f t="shared" si="7"/>
        <v>0</v>
      </c>
    </row>
    <row r="32" spans="1:9" ht="18" customHeight="1">
      <c r="A32" s="163"/>
      <c r="B32" s="165"/>
      <c r="C32" s="164"/>
      <c r="D32" s="165"/>
      <c r="E32" s="253"/>
      <c r="F32" s="278" t="s">
        <v>598</v>
      </c>
      <c r="G32" s="325">
        <f>'기획본부(위탁)'!H58</f>
        <v>4000</v>
      </c>
      <c r="H32" s="16">
        <v>4000</v>
      </c>
      <c r="I32" s="116">
        <f t="shared" si="7"/>
        <v>0</v>
      </c>
    </row>
    <row r="33" spans="1:9" ht="18" customHeight="1">
      <c r="A33" s="86"/>
      <c r="B33" s="167"/>
      <c r="C33" s="168"/>
      <c r="D33" s="167"/>
      <c r="E33" s="168"/>
      <c r="F33" s="170" t="s">
        <v>20</v>
      </c>
      <c r="G33" s="325">
        <f>'기획본부(위탁)'!H61</f>
        <v>220000</v>
      </c>
      <c r="H33" s="16">
        <v>220000</v>
      </c>
      <c r="I33" s="116">
        <f>G33-H33</f>
        <v>0</v>
      </c>
    </row>
    <row r="34" spans="1:9" ht="18" customHeight="1">
      <c r="A34" s="163"/>
      <c r="B34" s="165"/>
      <c r="C34" s="164"/>
      <c r="D34" s="165"/>
      <c r="E34" s="178" t="s">
        <v>429</v>
      </c>
      <c r="F34" s="180"/>
      <c r="G34" s="111">
        <f>'기획본부(위탁)'!H64</f>
        <v>46000</v>
      </c>
      <c r="H34" s="112">
        <v>46000</v>
      </c>
      <c r="I34" s="114">
        <f t="shared" ref="I34:I38" si="8">G34-H34</f>
        <v>0</v>
      </c>
    </row>
    <row r="35" spans="1:9" ht="18" customHeight="1">
      <c r="A35" s="163"/>
      <c r="B35" s="165"/>
      <c r="C35" s="164"/>
      <c r="D35" s="165"/>
      <c r="E35" s="253"/>
      <c r="F35" s="346" t="s">
        <v>430</v>
      </c>
      <c r="G35" s="325">
        <f>'기획본부(위탁)'!H65</f>
        <v>46000</v>
      </c>
      <c r="H35" s="16">
        <v>46000</v>
      </c>
      <c r="I35" s="116">
        <f t="shared" si="8"/>
        <v>0</v>
      </c>
    </row>
    <row r="36" spans="1:9" ht="18" customHeight="1">
      <c r="A36" s="163"/>
      <c r="B36" s="165"/>
      <c r="C36" s="165"/>
      <c r="D36" s="178" t="s">
        <v>599</v>
      </c>
      <c r="E36" s="179"/>
      <c r="F36" s="180"/>
      <c r="G36" s="111">
        <f>'기획본부(위탁)'!H67</f>
        <v>600000</v>
      </c>
      <c r="H36" s="112">
        <v>600000</v>
      </c>
      <c r="I36" s="114">
        <f t="shared" si="8"/>
        <v>0</v>
      </c>
    </row>
    <row r="37" spans="1:9" ht="18" customHeight="1">
      <c r="A37" s="163"/>
      <c r="B37" s="165"/>
      <c r="C37" s="164"/>
      <c r="D37" s="166"/>
      <c r="E37" s="178" t="s">
        <v>199</v>
      </c>
      <c r="F37" s="180"/>
      <c r="G37" s="111">
        <f>'기획본부(위탁)'!H69</f>
        <v>358000</v>
      </c>
      <c r="H37" s="112">
        <v>358000</v>
      </c>
      <c r="I37" s="114">
        <f t="shared" si="8"/>
        <v>0</v>
      </c>
    </row>
    <row r="38" spans="1:9" ht="18" customHeight="1">
      <c r="A38" s="163"/>
      <c r="B38" s="165"/>
      <c r="C38" s="164"/>
      <c r="D38" s="165"/>
      <c r="E38" s="253"/>
      <c r="F38" s="278" t="s">
        <v>598</v>
      </c>
      <c r="G38" s="325">
        <f>'기획본부(위탁)'!H70</f>
        <v>4000</v>
      </c>
      <c r="H38" s="16">
        <v>4000</v>
      </c>
      <c r="I38" s="116">
        <f t="shared" si="8"/>
        <v>0</v>
      </c>
    </row>
    <row r="39" spans="1:9" ht="18" customHeight="1">
      <c r="A39" s="86"/>
      <c r="B39" s="167"/>
      <c r="C39" s="168"/>
      <c r="D39" s="167"/>
      <c r="E39" s="168"/>
      <c r="F39" s="170" t="s">
        <v>20</v>
      </c>
      <c r="G39" s="325">
        <f>'기획본부(위탁)'!H73</f>
        <v>354000</v>
      </c>
      <c r="H39" s="16">
        <v>354000</v>
      </c>
      <c r="I39" s="116">
        <f>G39-H39</f>
        <v>0</v>
      </c>
    </row>
    <row r="40" spans="1:9" ht="18" customHeight="1">
      <c r="A40" s="163"/>
      <c r="B40" s="165"/>
      <c r="C40" s="164"/>
      <c r="D40" s="165"/>
      <c r="E40" s="178" t="s">
        <v>429</v>
      </c>
      <c r="F40" s="180"/>
      <c r="G40" s="111">
        <f>'기획본부(위탁)'!H76</f>
        <v>242000</v>
      </c>
      <c r="H40" s="112">
        <v>242000</v>
      </c>
      <c r="I40" s="114">
        <f t="shared" ref="I40:I45" si="9">G40-H40</f>
        <v>0</v>
      </c>
    </row>
    <row r="41" spans="1:9" ht="18" customHeight="1">
      <c r="A41" s="163"/>
      <c r="B41" s="165"/>
      <c r="C41" s="164"/>
      <c r="D41" s="165"/>
      <c r="E41" s="253"/>
      <c r="F41" s="346" t="s">
        <v>430</v>
      </c>
      <c r="G41" s="325">
        <f>'기획본부(위탁)'!H77</f>
        <v>242000</v>
      </c>
      <c r="H41" s="16">
        <v>242000</v>
      </c>
      <c r="I41" s="116">
        <f t="shared" si="9"/>
        <v>0</v>
      </c>
    </row>
    <row r="42" spans="1:9" ht="18" customHeight="1">
      <c r="A42" s="163"/>
      <c r="B42" s="164"/>
      <c r="C42" s="349" t="s">
        <v>773</v>
      </c>
      <c r="D42" s="179"/>
      <c r="E42" s="179"/>
      <c r="F42" s="180"/>
      <c r="G42" s="111">
        <f>'기획본부(위탁)'!H79</f>
        <v>350000</v>
      </c>
      <c r="H42" s="111">
        <v>250000</v>
      </c>
      <c r="I42" s="114">
        <f t="shared" si="9"/>
        <v>100000</v>
      </c>
    </row>
    <row r="43" spans="1:9" ht="18" customHeight="1">
      <c r="A43" s="163"/>
      <c r="B43" s="165"/>
      <c r="C43" s="165"/>
      <c r="D43" s="178" t="s">
        <v>757</v>
      </c>
      <c r="E43" s="179"/>
      <c r="F43" s="180"/>
      <c r="G43" s="111">
        <f>'기획본부(위탁)'!H80</f>
        <v>250000</v>
      </c>
      <c r="H43" s="112">
        <v>250000</v>
      </c>
      <c r="I43" s="114">
        <f t="shared" si="9"/>
        <v>0</v>
      </c>
    </row>
    <row r="44" spans="1:9" ht="18" customHeight="1">
      <c r="A44" s="163"/>
      <c r="B44" s="165"/>
      <c r="C44" s="164"/>
      <c r="D44" s="166"/>
      <c r="E44" s="178" t="s">
        <v>199</v>
      </c>
      <c r="F44" s="180"/>
      <c r="G44" s="111">
        <f>'기획본부(위탁)'!H82</f>
        <v>50000</v>
      </c>
      <c r="H44" s="112">
        <v>50000</v>
      </c>
      <c r="I44" s="114">
        <f t="shared" si="9"/>
        <v>0</v>
      </c>
    </row>
    <row r="45" spans="1:9" ht="18" customHeight="1">
      <c r="A45" s="163"/>
      <c r="B45" s="165"/>
      <c r="C45" s="164"/>
      <c r="D45" s="165"/>
      <c r="E45" s="253"/>
      <c r="F45" s="278" t="s">
        <v>598</v>
      </c>
      <c r="G45" s="325">
        <f>'기획본부(위탁)'!H83</f>
        <v>40000</v>
      </c>
      <c r="H45" s="16">
        <v>40000</v>
      </c>
      <c r="I45" s="116">
        <f t="shared" si="9"/>
        <v>0</v>
      </c>
    </row>
    <row r="46" spans="1:9" ht="18" customHeight="1">
      <c r="A46" s="86"/>
      <c r="B46" s="167"/>
      <c r="C46" s="168"/>
      <c r="D46" s="167"/>
      <c r="E46" s="168"/>
      <c r="F46" s="170" t="s">
        <v>20</v>
      </c>
      <c r="G46" s="325">
        <f>'기획본부(위탁)'!H89</f>
        <v>10000</v>
      </c>
      <c r="H46" s="16">
        <v>10000</v>
      </c>
      <c r="I46" s="116">
        <f>G46-H46</f>
        <v>0</v>
      </c>
    </row>
    <row r="47" spans="1:9" ht="18" customHeight="1">
      <c r="A47" s="163"/>
      <c r="B47" s="165"/>
      <c r="C47" s="164"/>
      <c r="D47" s="165"/>
      <c r="E47" s="178" t="s">
        <v>429</v>
      </c>
      <c r="F47" s="180"/>
      <c r="G47" s="111">
        <f>'기획본부(위탁)'!H93</f>
        <v>200000</v>
      </c>
      <c r="H47" s="112">
        <v>200000</v>
      </c>
      <c r="I47" s="114">
        <f t="shared" ref="I47:I49" si="10">G47-H47</f>
        <v>0</v>
      </c>
    </row>
    <row r="48" spans="1:9" ht="18" customHeight="1">
      <c r="A48" s="163"/>
      <c r="B48" s="165"/>
      <c r="C48" s="164"/>
      <c r="D48" s="165"/>
      <c r="E48" s="253"/>
      <c r="F48" s="346" t="s">
        <v>758</v>
      </c>
      <c r="G48" s="325">
        <f>'기획본부(위탁)'!H94</f>
        <v>200000</v>
      </c>
      <c r="H48" s="16">
        <v>200000</v>
      </c>
      <c r="I48" s="116">
        <f t="shared" si="10"/>
        <v>0</v>
      </c>
    </row>
    <row r="49" spans="1:9" ht="18" customHeight="1">
      <c r="A49" s="163"/>
      <c r="B49" s="165"/>
      <c r="C49" s="165"/>
      <c r="D49" s="611" t="s">
        <v>911</v>
      </c>
      <c r="E49" s="179"/>
      <c r="F49" s="180"/>
      <c r="G49" s="111">
        <f>'기획본부(위탁)'!H96</f>
        <v>100000</v>
      </c>
      <c r="H49" s="112">
        <v>0</v>
      </c>
      <c r="I49" s="114">
        <f t="shared" si="10"/>
        <v>100000</v>
      </c>
    </row>
    <row r="50" spans="1:9" ht="18" customHeight="1">
      <c r="A50" s="163"/>
      <c r="B50" s="165"/>
      <c r="C50" s="164"/>
      <c r="D50" s="165"/>
      <c r="E50" s="178" t="s">
        <v>128</v>
      </c>
      <c r="F50" s="180"/>
      <c r="G50" s="111">
        <f>'기획본부(위탁)'!H98</f>
        <v>100000</v>
      </c>
      <c r="H50" s="112">
        <v>0</v>
      </c>
      <c r="I50" s="114">
        <f t="shared" ref="I50:I51" si="11">G50-H50</f>
        <v>100000</v>
      </c>
    </row>
    <row r="51" spans="1:9" ht="18" customHeight="1">
      <c r="A51" s="163"/>
      <c r="B51" s="165"/>
      <c r="C51" s="164"/>
      <c r="D51" s="165"/>
      <c r="E51" s="253"/>
      <c r="F51" s="346" t="s">
        <v>416</v>
      </c>
      <c r="G51" s="325">
        <f>'기획본부(위탁)'!H99</f>
        <v>100000</v>
      </c>
      <c r="H51" s="16">
        <v>0</v>
      </c>
      <c r="I51" s="116">
        <f t="shared" si="11"/>
        <v>100000</v>
      </c>
    </row>
    <row r="52" spans="1:9" ht="18" customHeight="1">
      <c r="A52" s="248"/>
      <c r="B52" s="175" t="s">
        <v>265</v>
      </c>
      <c r="C52" s="176"/>
      <c r="D52" s="176"/>
      <c r="E52" s="176"/>
      <c r="F52" s="177"/>
      <c r="G52" s="113">
        <f>G53</f>
        <v>6260000</v>
      </c>
      <c r="H52" s="113">
        <v>5500000</v>
      </c>
      <c r="I52" s="324">
        <f t="shared" ref="I52:I53" si="12">G52-H52</f>
        <v>760000</v>
      </c>
    </row>
    <row r="53" spans="1:9" ht="18" customHeight="1">
      <c r="A53" s="163"/>
      <c r="B53" s="164"/>
      <c r="C53" s="178" t="s">
        <v>256</v>
      </c>
      <c r="D53" s="179"/>
      <c r="E53" s="179"/>
      <c r="F53" s="180"/>
      <c r="G53" s="111">
        <f>'운영본부(위탁)'!H7</f>
        <v>6260000</v>
      </c>
      <c r="H53" s="111">
        <v>5500000</v>
      </c>
      <c r="I53" s="114">
        <f t="shared" si="12"/>
        <v>760000</v>
      </c>
    </row>
    <row r="54" spans="1:9" ht="18" customHeight="1">
      <c r="A54" s="163"/>
      <c r="B54" s="165"/>
      <c r="C54" s="165"/>
      <c r="D54" s="611" t="s">
        <v>417</v>
      </c>
      <c r="E54" s="179"/>
      <c r="F54" s="180"/>
      <c r="G54" s="111">
        <f>'운영본부(위탁)'!H8</f>
        <v>6260000</v>
      </c>
      <c r="H54" s="112">
        <v>5500000</v>
      </c>
      <c r="I54" s="114">
        <f t="shared" ref="I54:I56" si="13">G54-H54</f>
        <v>760000</v>
      </c>
    </row>
    <row r="55" spans="1:9" ht="18" customHeight="1">
      <c r="A55" s="163"/>
      <c r="B55" s="165"/>
      <c r="C55" s="164"/>
      <c r="D55" s="166"/>
      <c r="E55" s="178" t="s">
        <v>103</v>
      </c>
      <c r="F55" s="180"/>
      <c r="G55" s="111">
        <f>'운영본부(위탁)'!H10</f>
        <v>6260000</v>
      </c>
      <c r="H55" s="112">
        <v>5500000</v>
      </c>
      <c r="I55" s="114">
        <f t="shared" si="13"/>
        <v>760000</v>
      </c>
    </row>
    <row r="56" spans="1:9" ht="18" customHeight="1">
      <c r="A56" s="163"/>
      <c r="B56" s="342"/>
      <c r="C56" s="343"/>
      <c r="D56" s="342"/>
      <c r="E56" s="344"/>
      <c r="F56" s="278" t="s">
        <v>106</v>
      </c>
      <c r="G56" s="325">
        <f>'운영본부(위탁)'!H11</f>
        <v>6260000</v>
      </c>
      <c r="H56" s="325">
        <v>5500000</v>
      </c>
      <c r="I56" s="116">
        <f t="shared" si="13"/>
        <v>760000</v>
      </c>
    </row>
    <row r="57" spans="1:9" ht="18" customHeight="1">
      <c r="A57" s="245" t="s">
        <v>272</v>
      </c>
      <c r="B57" s="176"/>
      <c r="C57" s="176"/>
      <c r="D57" s="176"/>
      <c r="E57" s="176"/>
      <c r="F57" s="177"/>
      <c r="G57" s="246">
        <f>SUM(G58,G73)</f>
        <v>6270000</v>
      </c>
      <c r="H57" s="246">
        <v>6270000</v>
      </c>
      <c r="I57" s="115">
        <f t="shared" ref="I57:I62" si="14">G57-H57</f>
        <v>0</v>
      </c>
    </row>
    <row r="58" spans="1:9" ht="18" customHeight="1">
      <c r="A58" s="238"/>
      <c r="B58" s="175" t="s">
        <v>268</v>
      </c>
      <c r="C58" s="176"/>
      <c r="D58" s="176"/>
      <c r="E58" s="176"/>
      <c r="F58" s="177"/>
      <c r="G58" s="113">
        <f>G59</f>
        <v>4680000</v>
      </c>
      <c r="H58" s="113">
        <v>4680000</v>
      </c>
      <c r="I58" s="115">
        <f t="shared" si="14"/>
        <v>0</v>
      </c>
    </row>
    <row r="59" spans="1:9" ht="18" customHeight="1">
      <c r="A59" s="163"/>
      <c r="B59" s="164"/>
      <c r="C59" s="178" t="s">
        <v>421</v>
      </c>
      <c r="D59" s="179"/>
      <c r="E59" s="179"/>
      <c r="F59" s="180"/>
      <c r="G59" s="111">
        <f>'운영본부(위탁)'!H17</f>
        <v>4680000</v>
      </c>
      <c r="H59" s="111">
        <v>4680000</v>
      </c>
      <c r="I59" s="114">
        <f t="shared" si="14"/>
        <v>0</v>
      </c>
    </row>
    <row r="60" spans="1:9" ht="18" customHeight="1">
      <c r="A60" s="163"/>
      <c r="B60" s="165"/>
      <c r="C60" s="166"/>
      <c r="D60" s="178" t="s">
        <v>418</v>
      </c>
      <c r="E60" s="179"/>
      <c r="F60" s="180"/>
      <c r="G60" s="111">
        <f>'운영본부(위탁)'!H18</f>
        <v>2200000</v>
      </c>
      <c r="H60" s="112">
        <v>2200000</v>
      </c>
      <c r="I60" s="114">
        <f t="shared" si="14"/>
        <v>0</v>
      </c>
    </row>
    <row r="61" spans="1:9" ht="18" customHeight="1">
      <c r="A61" s="163"/>
      <c r="B61" s="165"/>
      <c r="C61" s="164"/>
      <c r="D61" s="166"/>
      <c r="E61" s="178" t="s">
        <v>419</v>
      </c>
      <c r="F61" s="180"/>
      <c r="G61" s="111">
        <f>'운영본부(위탁)'!H20</f>
        <v>2200000</v>
      </c>
      <c r="H61" s="112">
        <v>2200000</v>
      </c>
      <c r="I61" s="114">
        <f t="shared" si="14"/>
        <v>0</v>
      </c>
    </row>
    <row r="62" spans="1:9" ht="18" customHeight="1">
      <c r="A62" s="163"/>
      <c r="B62" s="165"/>
      <c r="C62" s="164"/>
      <c r="D62" s="165"/>
      <c r="E62" s="253"/>
      <c r="F62" s="278" t="s">
        <v>420</v>
      </c>
      <c r="G62" s="325">
        <f>'운영본부(위탁)'!H21</f>
        <v>2200000</v>
      </c>
      <c r="H62" s="16">
        <v>2200000</v>
      </c>
      <c r="I62" s="116">
        <f t="shared" si="14"/>
        <v>0</v>
      </c>
    </row>
    <row r="63" spans="1:9" ht="18" customHeight="1">
      <c r="A63" s="163"/>
      <c r="B63" s="165"/>
      <c r="C63" s="165"/>
      <c r="D63" s="349" t="s">
        <v>391</v>
      </c>
      <c r="E63" s="179"/>
      <c r="F63" s="180"/>
      <c r="G63" s="111">
        <f>'운영본부(위탁)'!H25</f>
        <v>2000000</v>
      </c>
      <c r="H63" s="112">
        <v>2000000</v>
      </c>
      <c r="I63" s="114">
        <f t="shared" ref="I63:I65" si="15">G63-H63</f>
        <v>0</v>
      </c>
    </row>
    <row r="64" spans="1:9" ht="18" customHeight="1">
      <c r="A64" s="163"/>
      <c r="B64" s="165"/>
      <c r="C64" s="164"/>
      <c r="D64" s="166"/>
      <c r="E64" s="178" t="s">
        <v>419</v>
      </c>
      <c r="F64" s="180"/>
      <c r="G64" s="111">
        <f>'운영본부(위탁)'!H27</f>
        <v>2000000</v>
      </c>
      <c r="H64" s="112">
        <v>2000000</v>
      </c>
      <c r="I64" s="114">
        <f t="shared" si="15"/>
        <v>0</v>
      </c>
    </row>
    <row r="65" spans="1:9" ht="18" customHeight="1">
      <c r="A65" s="163"/>
      <c r="B65" s="165"/>
      <c r="C65" s="164"/>
      <c r="D65" s="165"/>
      <c r="E65" s="253"/>
      <c r="F65" s="278" t="s">
        <v>420</v>
      </c>
      <c r="G65" s="325">
        <f>'운영본부(위탁)'!H28</f>
        <v>1990956</v>
      </c>
      <c r="H65" s="16">
        <v>1990956</v>
      </c>
      <c r="I65" s="116">
        <f t="shared" si="15"/>
        <v>0</v>
      </c>
    </row>
    <row r="66" spans="1:9" ht="18" customHeight="1">
      <c r="A66" s="163"/>
      <c r="B66" s="165"/>
      <c r="C66" s="164"/>
      <c r="D66" s="165"/>
      <c r="E66" s="253"/>
      <c r="F66" s="278" t="s">
        <v>801</v>
      </c>
      <c r="G66" s="325">
        <f>'운영본부(위탁)'!H32</f>
        <v>9044</v>
      </c>
      <c r="H66" s="16">
        <v>9044</v>
      </c>
      <c r="I66" s="116">
        <f t="shared" ref="I66" si="16">G66-H66</f>
        <v>0</v>
      </c>
    </row>
    <row r="67" spans="1:9" ht="18" customHeight="1">
      <c r="A67" s="163"/>
      <c r="B67" s="165"/>
      <c r="C67" s="165"/>
      <c r="D67" s="349" t="s">
        <v>393</v>
      </c>
      <c r="E67" s="179"/>
      <c r="F67" s="180"/>
      <c r="G67" s="111">
        <f>'운영본부(위탁)'!H35</f>
        <v>90000</v>
      </c>
      <c r="H67" s="112">
        <v>90000</v>
      </c>
      <c r="I67" s="114">
        <f t="shared" ref="I67:I69" si="17">G67-H67</f>
        <v>0</v>
      </c>
    </row>
    <row r="68" spans="1:9" ht="18" customHeight="1">
      <c r="A68" s="163"/>
      <c r="B68" s="165"/>
      <c r="C68" s="164"/>
      <c r="D68" s="166"/>
      <c r="E68" s="178" t="s">
        <v>419</v>
      </c>
      <c r="F68" s="180"/>
      <c r="G68" s="111">
        <f>'운영본부(위탁)'!H37</f>
        <v>90000</v>
      </c>
      <c r="H68" s="112">
        <v>90000</v>
      </c>
      <c r="I68" s="114">
        <f t="shared" si="17"/>
        <v>0</v>
      </c>
    </row>
    <row r="69" spans="1:9" ht="18" customHeight="1">
      <c r="A69" s="163"/>
      <c r="B69" s="165"/>
      <c r="C69" s="164"/>
      <c r="D69" s="165"/>
      <c r="E69" s="253"/>
      <c r="F69" s="278" t="s">
        <v>420</v>
      </c>
      <c r="G69" s="325">
        <f>'운영본부(위탁)'!H38</f>
        <v>90000</v>
      </c>
      <c r="H69" s="16">
        <v>90000</v>
      </c>
      <c r="I69" s="116">
        <f t="shared" si="17"/>
        <v>0</v>
      </c>
    </row>
    <row r="70" spans="1:9" ht="18" customHeight="1">
      <c r="A70" s="163"/>
      <c r="B70" s="165"/>
      <c r="C70" s="165"/>
      <c r="D70" s="534" t="s">
        <v>422</v>
      </c>
      <c r="E70" s="179"/>
      <c r="F70" s="180"/>
      <c r="G70" s="111">
        <f>'운영본부(위탁)'!H40</f>
        <v>390000</v>
      </c>
      <c r="H70" s="112">
        <v>390000</v>
      </c>
      <c r="I70" s="114">
        <f t="shared" ref="I70:I72" si="18">G70-H70</f>
        <v>0</v>
      </c>
    </row>
    <row r="71" spans="1:9" ht="18" customHeight="1">
      <c r="A71" s="163"/>
      <c r="B71" s="165"/>
      <c r="C71" s="164"/>
      <c r="D71" s="166"/>
      <c r="E71" s="178" t="s">
        <v>419</v>
      </c>
      <c r="F71" s="180"/>
      <c r="G71" s="111">
        <f>'운영본부(위탁)'!H42</f>
        <v>390000</v>
      </c>
      <c r="H71" s="112">
        <v>390000</v>
      </c>
      <c r="I71" s="114">
        <f t="shared" si="18"/>
        <v>0</v>
      </c>
    </row>
    <row r="72" spans="1:9" ht="18" customHeight="1">
      <c r="A72" s="163"/>
      <c r="B72" s="165"/>
      <c r="C72" s="164"/>
      <c r="D72" s="165"/>
      <c r="E72" s="253"/>
      <c r="F72" s="278" t="s">
        <v>420</v>
      </c>
      <c r="G72" s="325">
        <f>'운영본부(위탁)'!H43</f>
        <v>390000</v>
      </c>
      <c r="H72" s="325">
        <v>390000</v>
      </c>
      <c r="I72" s="116">
        <f t="shared" si="18"/>
        <v>0</v>
      </c>
    </row>
    <row r="73" spans="1:9" ht="18" customHeight="1">
      <c r="A73" s="248"/>
      <c r="B73" s="322" t="s">
        <v>275</v>
      </c>
      <c r="C73" s="256"/>
      <c r="D73" s="256"/>
      <c r="E73" s="256"/>
      <c r="F73" s="323"/>
      <c r="G73" s="246">
        <f>G74</f>
        <v>1590000</v>
      </c>
      <c r="H73" s="246">
        <v>1590000</v>
      </c>
      <c r="I73" s="324">
        <f t="shared" ref="I73:I77" si="19">G73-H73</f>
        <v>0</v>
      </c>
    </row>
    <row r="74" spans="1:9" ht="18" customHeight="1">
      <c r="A74" s="163"/>
      <c r="B74" s="164"/>
      <c r="C74" s="178" t="s">
        <v>276</v>
      </c>
      <c r="D74" s="179"/>
      <c r="E74" s="179"/>
      <c r="F74" s="180"/>
      <c r="G74" s="111">
        <f>'운영본부(위탁)'!H46</f>
        <v>1590000</v>
      </c>
      <c r="H74" s="111">
        <v>1590000</v>
      </c>
      <c r="I74" s="114">
        <f t="shared" si="19"/>
        <v>0</v>
      </c>
    </row>
    <row r="75" spans="1:9" ht="18" customHeight="1">
      <c r="A75" s="163"/>
      <c r="B75" s="165"/>
      <c r="C75" s="166"/>
      <c r="D75" s="349" t="s">
        <v>495</v>
      </c>
      <c r="E75" s="179"/>
      <c r="F75" s="180"/>
      <c r="G75" s="111">
        <f>'운영본부(위탁)'!H47</f>
        <v>1200000</v>
      </c>
      <c r="H75" s="112">
        <v>1200000</v>
      </c>
      <c r="I75" s="114">
        <f t="shared" si="19"/>
        <v>0</v>
      </c>
    </row>
    <row r="76" spans="1:9" ht="18" customHeight="1">
      <c r="A76" s="163"/>
      <c r="B76" s="165"/>
      <c r="C76" s="164"/>
      <c r="D76" s="166"/>
      <c r="E76" s="178" t="s">
        <v>419</v>
      </c>
      <c r="F76" s="180"/>
      <c r="G76" s="111">
        <f>'운영본부(위탁)'!H49</f>
        <v>1200000</v>
      </c>
      <c r="H76" s="112">
        <v>1200000</v>
      </c>
      <c r="I76" s="114">
        <f t="shared" si="19"/>
        <v>0</v>
      </c>
    </row>
    <row r="77" spans="1:9" ht="18" customHeight="1">
      <c r="A77" s="163"/>
      <c r="B77" s="165"/>
      <c r="C77" s="164"/>
      <c r="D77" s="165"/>
      <c r="E77" s="253"/>
      <c r="F77" s="278" t="s">
        <v>420</v>
      </c>
      <c r="G77" s="325">
        <f>'운영본부(위탁)'!H50</f>
        <v>1178000</v>
      </c>
      <c r="H77" s="16">
        <v>1178000</v>
      </c>
      <c r="I77" s="116">
        <f t="shared" si="19"/>
        <v>0</v>
      </c>
    </row>
    <row r="78" spans="1:9" ht="18" customHeight="1">
      <c r="A78" s="163"/>
      <c r="B78" s="165"/>
      <c r="C78" s="165"/>
      <c r="D78" s="534" t="s">
        <v>423</v>
      </c>
      <c r="E78" s="179"/>
      <c r="F78" s="180"/>
      <c r="G78" s="111">
        <f>'운영본부(위탁)'!H57</f>
        <v>390000</v>
      </c>
      <c r="H78" s="112">
        <v>390000</v>
      </c>
      <c r="I78" s="114">
        <f t="shared" ref="I78:I80" si="20">G78-H78</f>
        <v>0</v>
      </c>
    </row>
    <row r="79" spans="1:9" ht="18" customHeight="1">
      <c r="A79" s="163"/>
      <c r="B79" s="165"/>
      <c r="C79" s="164"/>
      <c r="D79" s="166"/>
      <c r="E79" s="178" t="s">
        <v>419</v>
      </c>
      <c r="F79" s="180"/>
      <c r="G79" s="111">
        <f>'운영본부(위탁)'!H59</f>
        <v>390000</v>
      </c>
      <c r="H79" s="112">
        <v>390000</v>
      </c>
      <c r="I79" s="114">
        <f t="shared" si="20"/>
        <v>0</v>
      </c>
    </row>
    <row r="80" spans="1:9" ht="18" customHeight="1" thickBot="1">
      <c r="A80" s="257"/>
      <c r="B80" s="258"/>
      <c r="C80" s="259"/>
      <c r="D80" s="258"/>
      <c r="E80" s="580"/>
      <c r="F80" s="581" t="s">
        <v>420</v>
      </c>
      <c r="G80" s="87">
        <f>'운영본부(위탁)'!H60</f>
        <v>390000</v>
      </c>
      <c r="H80" s="87">
        <v>390000</v>
      </c>
      <c r="I80" s="118">
        <f t="shared" si="20"/>
        <v>0</v>
      </c>
    </row>
  </sheetData>
  <mergeCells count="5">
    <mergeCell ref="A3:F3"/>
    <mergeCell ref="G3:G4"/>
    <mergeCell ref="H3:H4"/>
    <mergeCell ref="I3:I4"/>
    <mergeCell ref="A5:F5"/>
  </mergeCells>
  <phoneticPr fontId="12" type="noConversion"/>
  <pageMargins left="0.25" right="0.25" top="0.75" bottom="0.75" header="0.3" footer="0.3"/>
  <pageSetup paperSize="9" scale="95" fitToHeight="0" orientation="portrait" r:id="rId1"/>
  <rowBreaks count="1" manualBreakCount="1">
    <brk id="4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M103"/>
  <sheetViews>
    <sheetView zoomScale="85" zoomScaleNormal="85" workbookViewId="0">
      <selection activeCell="G12" sqref="G1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8" t="s">
        <v>243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279" t="s">
        <v>202</v>
      </c>
    </row>
    <row r="2" spans="1:13" ht="16.5" customHeight="1">
      <c r="A2" s="704" t="s">
        <v>203</v>
      </c>
      <c r="B2" s="706" t="s">
        <v>204</v>
      </c>
      <c r="C2" s="707"/>
      <c r="D2" s="708"/>
      <c r="E2" s="706" t="s">
        <v>205</v>
      </c>
      <c r="F2" s="707"/>
      <c r="G2" s="708"/>
      <c r="H2" s="682" t="s">
        <v>704</v>
      </c>
      <c r="I2" s="682" t="s">
        <v>897</v>
      </c>
      <c r="J2" s="709" t="s">
        <v>463</v>
      </c>
      <c r="K2" s="694" t="s">
        <v>1</v>
      </c>
      <c r="L2" s="694"/>
      <c r="M2" s="695"/>
    </row>
    <row r="3" spans="1:13" ht="17.25" thickBot="1">
      <c r="A3" s="705"/>
      <c r="B3" s="119" t="s">
        <v>206</v>
      </c>
      <c r="C3" s="119" t="s">
        <v>207</v>
      </c>
      <c r="D3" s="119" t="s">
        <v>208</v>
      </c>
      <c r="E3" s="119" t="s">
        <v>209</v>
      </c>
      <c r="F3" s="119" t="s">
        <v>210</v>
      </c>
      <c r="G3" s="119" t="s">
        <v>211</v>
      </c>
      <c r="H3" s="683"/>
      <c r="I3" s="683"/>
      <c r="J3" s="710"/>
      <c r="K3" s="718"/>
      <c r="L3" s="718"/>
      <c r="M3" s="719"/>
    </row>
    <row r="4" spans="1:13" ht="17.25" thickBot="1">
      <c r="A4" s="699" t="s">
        <v>212</v>
      </c>
      <c r="B4" s="700"/>
      <c r="C4" s="700"/>
      <c r="D4" s="700"/>
      <c r="E4" s="700"/>
      <c r="F4" s="700"/>
      <c r="G4" s="701"/>
      <c r="H4" s="320">
        <f>H5</f>
        <v>5600000</v>
      </c>
      <c r="I4" s="280">
        <v>5500000</v>
      </c>
      <c r="J4" s="120">
        <f t="shared" ref="J4:J11" si="0">H4-I4</f>
        <v>100000</v>
      </c>
      <c r="K4" s="89"/>
      <c r="L4" s="90"/>
      <c r="M4" s="121"/>
    </row>
    <row r="5" spans="1:13">
      <c r="A5" s="282" t="s">
        <v>213</v>
      </c>
      <c r="B5" s="283"/>
      <c r="C5" s="261"/>
      <c r="D5" s="261"/>
      <c r="E5" s="261"/>
      <c r="F5" s="261"/>
      <c r="G5" s="262"/>
      <c r="H5" s="316">
        <f>H6+H30</f>
        <v>5600000</v>
      </c>
      <c r="I5" s="281">
        <v>5500000</v>
      </c>
      <c r="J5" s="284">
        <f t="shared" si="0"/>
        <v>100000</v>
      </c>
      <c r="K5" s="78"/>
      <c r="L5" s="79"/>
      <c r="M5" s="80"/>
    </row>
    <row r="6" spans="1:13">
      <c r="A6" s="285"/>
      <c r="B6" s="286" t="s">
        <v>262</v>
      </c>
      <c r="C6" s="129"/>
      <c r="D6" s="130"/>
      <c r="E6" s="130"/>
      <c r="F6" s="130"/>
      <c r="G6" s="131"/>
      <c r="H6" s="91">
        <f>H7</f>
        <v>1000000</v>
      </c>
      <c r="I6" s="91">
        <v>1000000</v>
      </c>
      <c r="J6" s="95">
        <f t="shared" si="0"/>
        <v>0</v>
      </c>
      <c r="K6" s="78"/>
      <c r="L6" s="79"/>
      <c r="M6" s="80"/>
    </row>
    <row r="7" spans="1:13">
      <c r="A7" s="452"/>
      <c r="B7" s="455"/>
      <c r="C7" s="349" t="s">
        <v>214</v>
      </c>
      <c r="D7" s="453"/>
      <c r="E7" s="453"/>
      <c r="F7" s="453"/>
      <c r="G7" s="454"/>
      <c r="H7" s="95">
        <f>H8</f>
        <v>1000000</v>
      </c>
      <c r="I7" s="95">
        <v>1000000</v>
      </c>
      <c r="J7" s="95">
        <f t="shared" si="0"/>
        <v>0</v>
      </c>
      <c r="K7" s="402"/>
      <c r="L7" s="403"/>
      <c r="M7" s="419"/>
    </row>
    <row r="8" spans="1:13">
      <c r="A8" s="452"/>
      <c r="B8" s="455"/>
      <c r="C8" s="535"/>
      <c r="D8" s="349" t="s">
        <v>215</v>
      </c>
      <c r="E8" s="453"/>
      <c r="F8" s="453"/>
      <c r="G8" s="454"/>
      <c r="H8" s="456">
        <f>H9+H23</f>
        <v>1000000</v>
      </c>
      <c r="I8" s="456">
        <v>1000000</v>
      </c>
      <c r="J8" s="95">
        <f t="shared" si="0"/>
        <v>0</v>
      </c>
      <c r="K8" s="350"/>
      <c r="L8" s="405"/>
      <c r="M8" s="419"/>
    </row>
    <row r="9" spans="1:13">
      <c r="A9" s="452"/>
      <c r="B9" s="455"/>
      <c r="C9" s="457"/>
      <c r="D9" s="458"/>
      <c r="E9" s="349" t="s">
        <v>216</v>
      </c>
      <c r="F9" s="453"/>
      <c r="G9" s="454"/>
      <c r="H9" s="92">
        <f>H10</f>
        <v>965000</v>
      </c>
      <c r="I9" s="92">
        <v>965000</v>
      </c>
      <c r="J9" s="95">
        <f t="shared" si="0"/>
        <v>0</v>
      </c>
      <c r="K9" s="351"/>
      <c r="L9" s="391"/>
      <c r="M9" s="392"/>
    </row>
    <row r="10" spans="1:13">
      <c r="A10" s="357"/>
      <c r="B10" s="358"/>
      <c r="C10" s="460"/>
      <c r="D10" s="461"/>
      <c r="E10" s="462"/>
      <c r="F10" s="463" t="s">
        <v>217</v>
      </c>
      <c r="G10" s="464"/>
      <c r="H10" s="98">
        <f>SUM(H11,H17,H21)</f>
        <v>965000</v>
      </c>
      <c r="I10" s="98">
        <v>965000</v>
      </c>
      <c r="J10" s="98">
        <f t="shared" si="0"/>
        <v>0</v>
      </c>
      <c r="K10" s="420"/>
      <c r="L10" s="352"/>
      <c r="M10" s="394"/>
    </row>
    <row r="11" spans="1:13">
      <c r="A11" s="357"/>
      <c r="B11" s="358"/>
      <c r="C11" s="358"/>
      <c r="D11" s="359"/>
      <c r="E11" s="360"/>
      <c r="F11" s="360"/>
      <c r="G11" s="540" t="s">
        <v>218</v>
      </c>
      <c r="H11" s="41">
        <f>M11</f>
        <v>345000</v>
      </c>
      <c r="I11" s="41">
        <v>345000</v>
      </c>
      <c r="J11" s="41">
        <f t="shared" si="0"/>
        <v>0</v>
      </c>
      <c r="K11" s="541" t="s">
        <v>219</v>
      </c>
      <c r="L11" s="387"/>
      <c r="M11" s="388">
        <f>SUM(M12:M16)</f>
        <v>345000</v>
      </c>
    </row>
    <row r="12" spans="1:13">
      <c r="A12" s="357"/>
      <c r="B12" s="358"/>
      <c r="C12" s="358"/>
      <c r="D12" s="359"/>
      <c r="E12" s="360"/>
      <c r="F12" s="360"/>
      <c r="G12" s="358"/>
      <c r="H12" s="50"/>
      <c r="I12" s="50"/>
      <c r="J12" s="50"/>
      <c r="K12" s="574" t="s">
        <v>544</v>
      </c>
      <c r="L12" s="375" t="s">
        <v>220</v>
      </c>
      <c r="M12" s="374">
        <v>200000</v>
      </c>
    </row>
    <row r="13" spans="1:13">
      <c r="A13" s="357"/>
      <c r="B13" s="358"/>
      <c r="C13" s="358"/>
      <c r="D13" s="359"/>
      <c r="E13" s="360"/>
      <c r="F13" s="360"/>
      <c r="G13" s="358"/>
      <c r="H13" s="50"/>
      <c r="I13" s="50"/>
      <c r="J13" s="50"/>
      <c r="K13" s="422" t="s">
        <v>766</v>
      </c>
      <c r="L13" s="375" t="s">
        <v>37</v>
      </c>
      <c r="M13" s="374">
        <v>100000</v>
      </c>
    </row>
    <row r="14" spans="1:13">
      <c r="A14" s="357"/>
      <c r="B14" s="358"/>
      <c r="C14" s="358"/>
      <c r="D14" s="359"/>
      <c r="E14" s="360"/>
      <c r="F14" s="360"/>
      <c r="G14" s="358"/>
      <c r="H14" s="50"/>
      <c r="I14" s="50"/>
      <c r="J14" s="50"/>
      <c r="K14" s="574" t="s">
        <v>671</v>
      </c>
      <c r="L14" s="375" t="s">
        <v>398</v>
      </c>
      <c r="M14" s="374">
        <v>40000</v>
      </c>
    </row>
    <row r="15" spans="1:13">
      <c r="A15" s="357"/>
      <c r="B15" s="358"/>
      <c r="C15" s="358"/>
      <c r="D15" s="359"/>
      <c r="E15" s="360"/>
      <c r="F15" s="360"/>
      <c r="G15" s="358"/>
      <c r="H15" s="50"/>
      <c r="I15" s="50"/>
      <c r="J15" s="50"/>
      <c r="K15" s="423" t="s">
        <v>767</v>
      </c>
      <c r="L15" s="375" t="s">
        <v>398</v>
      </c>
      <c r="M15" s="374">
        <v>4000</v>
      </c>
    </row>
    <row r="16" spans="1:13">
      <c r="A16" s="357"/>
      <c r="B16" s="358"/>
      <c r="C16" s="358"/>
      <c r="D16" s="359"/>
      <c r="E16" s="360"/>
      <c r="F16" s="360"/>
      <c r="G16" s="358"/>
      <c r="H16" s="50"/>
      <c r="I16" s="50"/>
      <c r="J16" s="50"/>
      <c r="K16" s="423" t="s">
        <v>768</v>
      </c>
      <c r="L16" s="375" t="s">
        <v>398</v>
      </c>
      <c r="M16" s="374">
        <v>1000</v>
      </c>
    </row>
    <row r="17" spans="1:13">
      <c r="A17" s="357"/>
      <c r="B17" s="358"/>
      <c r="C17" s="358"/>
      <c r="D17" s="359"/>
      <c r="E17" s="360"/>
      <c r="F17" s="360"/>
      <c r="G17" s="540" t="s">
        <v>221</v>
      </c>
      <c r="H17" s="41">
        <f>M17</f>
        <v>120000</v>
      </c>
      <c r="I17" s="41">
        <v>120000</v>
      </c>
      <c r="J17" s="41">
        <f>H17-I17</f>
        <v>0</v>
      </c>
      <c r="K17" s="541" t="s">
        <v>222</v>
      </c>
      <c r="L17" s="387"/>
      <c r="M17" s="388">
        <f>SUM(M18:M20)</f>
        <v>120000</v>
      </c>
    </row>
    <row r="18" spans="1:13">
      <c r="A18" s="357"/>
      <c r="B18" s="358"/>
      <c r="C18" s="358"/>
      <c r="D18" s="359"/>
      <c r="E18" s="360"/>
      <c r="F18" s="360"/>
      <c r="G18" s="358"/>
      <c r="H18" s="50"/>
      <c r="I18" s="50"/>
      <c r="J18" s="50"/>
      <c r="K18" s="422" t="s">
        <v>547</v>
      </c>
      <c r="L18" s="375" t="s">
        <v>399</v>
      </c>
      <c r="M18" s="374">
        <v>50000</v>
      </c>
    </row>
    <row r="19" spans="1:13">
      <c r="A19" s="357"/>
      <c r="B19" s="358"/>
      <c r="C19" s="358"/>
      <c r="D19" s="359"/>
      <c r="E19" s="360"/>
      <c r="F19" s="360"/>
      <c r="G19" s="358"/>
      <c r="H19" s="50"/>
      <c r="I19" s="50"/>
      <c r="J19" s="50"/>
      <c r="K19" s="422" t="s">
        <v>769</v>
      </c>
      <c r="L19" s="375" t="s">
        <v>398</v>
      </c>
      <c r="M19" s="374">
        <v>50000</v>
      </c>
    </row>
    <row r="20" spans="1:13">
      <c r="A20" s="357"/>
      <c r="B20" s="358"/>
      <c r="C20" s="358"/>
      <c r="D20" s="359"/>
      <c r="E20" s="360"/>
      <c r="F20" s="360"/>
      <c r="G20" s="469"/>
      <c r="H20" s="145"/>
      <c r="I20" s="145"/>
      <c r="J20" s="145"/>
      <c r="K20" s="376" t="s">
        <v>400</v>
      </c>
      <c r="L20" s="377" t="s">
        <v>0</v>
      </c>
      <c r="M20" s="381">
        <v>20000</v>
      </c>
    </row>
    <row r="21" spans="1:13">
      <c r="A21" s="357"/>
      <c r="B21" s="358"/>
      <c r="C21" s="358"/>
      <c r="D21" s="359"/>
      <c r="E21" s="359"/>
      <c r="F21" s="360"/>
      <c r="G21" s="361" t="s">
        <v>457</v>
      </c>
      <c r="H21" s="50">
        <f>M21</f>
        <v>500000</v>
      </c>
      <c r="I21" s="50">
        <v>500000</v>
      </c>
      <c r="J21" s="50">
        <f>H21-I21</f>
        <v>0</v>
      </c>
      <c r="K21" s="421" t="s">
        <v>223</v>
      </c>
      <c r="L21" s="375"/>
      <c r="M21" s="379">
        <f>SUM(M22)</f>
        <v>500000</v>
      </c>
    </row>
    <row r="22" spans="1:13">
      <c r="A22" s="357"/>
      <c r="B22" s="358"/>
      <c r="C22" s="358"/>
      <c r="D22" s="359"/>
      <c r="E22" s="498"/>
      <c r="F22" s="536"/>
      <c r="G22" s="469"/>
      <c r="H22" s="145"/>
      <c r="I22" s="145"/>
      <c r="J22" s="145"/>
      <c r="K22" s="376" t="s">
        <v>489</v>
      </c>
      <c r="L22" s="373" t="s">
        <v>0</v>
      </c>
      <c r="M22" s="381">
        <v>500000</v>
      </c>
    </row>
    <row r="23" spans="1:13">
      <c r="A23" s="452"/>
      <c r="B23" s="455"/>
      <c r="C23" s="482"/>
      <c r="D23" s="482"/>
      <c r="E23" s="534" t="s">
        <v>401</v>
      </c>
      <c r="F23" s="537"/>
      <c r="G23" s="538"/>
      <c r="H23" s="95">
        <f>H24</f>
        <v>35000</v>
      </c>
      <c r="I23" s="95">
        <v>35000</v>
      </c>
      <c r="J23" s="95">
        <f>H23-I23</f>
        <v>0</v>
      </c>
      <c r="K23" s="545"/>
      <c r="L23" s="547"/>
      <c r="M23" s="548"/>
    </row>
    <row r="24" spans="1:13">
      <c r="A24" s="357"/>
      <c r="B24" s="358"/>
      <c r="C24" s="460"/>
      <c r="D24" s="461"/>
      <c r="E24" s="462"/>
      <c r="F24" s="463" t="s">
        <v>59</v>
      </c>
      <c r="G24" s="464"/>
      <c r="H24" s="98">
        <f>SUM(H25,H27)</f>
        <v>35000</v>
      </c>
      <c r="I24" s="98">
        <v>35000</v>
      </c>
      <c r="J24" s="98">
        <f>H24-I24</f>
        <v>0</v>
      </c>
      <c r="K24" s="420"/>
      <c r="L24" s="352"/>
      <c r="M24" s="394"/>
    </row>
    <row r="25" spans="1:13">
      <c r="A25" s="357"/>
      <c r="B25" s="358"/>
      <c r="C25" s="358"/>
      <c r="D25" s="359"/>
      <c r="E25" s="360"/>
      <c r="F25" s="360"/>
      <c r="G25" s="361" t="s">
        <v>490</v>
      </c>
      <c r="H25" s="41">
        <f>M25</f>
        <v>10000</v>
      </c>
      <c r="I25" s="41">
        <v>10000</v>
      </c>
      <c r="J25" s="41">
        <f>H25-I25</f>
        <v>0</v>
      </c>
      <c r="K25" s="421" t="s">
        <v>491</v>
      </c>
      <c r="L25" s="387"/>
      <c r="M25" s="388">
        <f>SUM(M26:M26)</f>
        <v>10000</v>
      </c>
    </row>
    <row r="26" spans="1:13">
      <c r="A26" s="357"/>
      <c r="B26" s="358"/>
      <c r="C26" s="358"/>
      <c r="D26" s="359"/>
      <c r="E26" s="360"/>
      <c r="F26" s="360"/>
      <c r="G26" s="524"/>
      <c r="H26" s="145"/>
      <c r="I26" s="145"/>
      <c r="J26" s="145"/>
      <c r="K26" s="376" t="s">
        <v>770</v>
      </c>
      <c r="L26" s="377" t="s">
        <v>398</v>
      </c>
      <c r="M26" s="381">
        <v>10000</v>
      </c>
    </row>
    <row r="27" spans="1:13">
      <c r="A27" s="357"/>
      <c r="B27" s="358"/>
      <c r="C27" s="358"/>
      <c r="D27" s="359"/>
      <c r="E27" s="360"/>
      <c r="F27" s="360"/>
      <c r="G27" s="361" t="s">
        <v>428</v>
      </c>
      <c r="H27" s="41">
        <f>M27</f>
        <v>25000</v>
      </c>
      <c r="I27" s="41">
        <v>25000</v>
      </c>
      <c r="J27" s="41">
        <f>H27-I27</f>
        <v>0</v>
      </c>
      <c r="K27" s="421" t="s">
        <v>402</v>
      </c>
      <c r="L27" s="387"/>
      <c r="M27" s="388">
        <f>SUM(M28:M29)</f>
        <v>25000</v>
      </c>
    </row>
    <row r="28" spans="1:13">
      <c r="A28" s="357"/>
      <c r="B28" s="358"/>
      <c r="C28" s="358"/>
      <c r="D28" s="359"/>
      <c r="E28" s="360"/>
      <c r="F28" s="360"/>
      <c r="G28" s="361"/>
      <c r="H28" s="50"/>
      <c r="I28" s="50"/>
      <c r="J28" s="50"/>
      <c r="K28" s="422" t="s">
        <v>771</v>
      </c>
      <c r="L28" s="375" t="s">
        <v>220</v>
      </c>
      <c r="M28" s="374">
        <v>15000</v>
      </c>
    </row>
    <row r="29" spans="1:13">
      <c r="A29" s="357"/>
      <c r="B29" s="469"/>
      <c r="C29" s="469"/>
      <c r="D29" s="498"/>
      <c r="E29" s="536"/>
      <c r="F29" s="536"/>
      <c r="G29" s="524"/>
      <c r="H29" s="145"/>
      <c r="I29" s="145"/>
      <c r="J29" s="145"/>
      <c r="K29" s="376" t="s">
        <v>551</v>
      </c>
      <c r="L29" s="377" t="s">
        <v>398</v>
      </c>
      <c r="M29" s="381">
        <v>10000</v>
      </c>
    </row>
    <row r="30" spans="1:13">
      <c r="A30" s="452"/>
      <c r="B30" s="534" t="s">
        <v>263</v>
      </c>
      <c r="C30" s="534"/>
      <c r="D30" s="537"/>
      <c r="E30" s="537"/>
      <c r="F30" s="537"/>
      <c r="G30" s="538"/>
      <c r="H30" s="95">
        <f>SUM(H31,H79)</f>
        <v>4600000</v>
      </c>
      <c r="I30" s="95">
        <v>4500000</v>
      </c>
      <c r="J30" s="95">
        <f>H30-I30</f>
        <v>100000</v>
      </c>
      <c r="K30" s="402"/>
      <c r="L30" s="403"/>
      <c r="M30" s="419"/>
    </row>
    <row r="31" spans="1:13">
      <c r="A31" s="452"/>
      <c r="B31" s="455"/>
      <c r="C31" s="349" t="s">
        <v>264</v>
      </c>
      <c r="D31" s="453"/>
      <c r="E31" s="453"/>
      <c r="F31" s="453"/>
      <c r="G31" s="454"/>
      <c r="H31" s="95">
        <f>SUM(H32,H41,H46,H55,H67)</f>
        <v>4250000</v>
      </c>
      <c r="I31" s="95">
        <v>4250000</v>
      </c>
      <c r="J31" s="95">
        <f>H31-I31</f>
        <v>0</v>
      </c>
      <c r="K31" s="402"/>
      <c r="L31" s="403"/>
      <c r="M31" s="419"/>
    </row>
    <row r="32" spans="1:13">
      <c r="A32" s="452"/>
      <c r="B32" s="455"/>
      <c r="C32" s="535"/>
      <c r="D32" s="349" t="s">
        <v>456</v>
      </c>
      <c r="E32" s="453"/>
      <c r="F32" s="453"/>
      <c r="G32" s="454"/>
      <c r="H32" s="456">
        <f>H33</f>
        <v>250000</v>
      </c>
      <c r="I32" s="456">
        <v>250000</v>
      </c>
      <c r="J32" s="95">
        <f t="shared" ref="J32:J35" si="1">H32-I32</f>
        <v>0</v>
      </c>
      <c r="K32" s="350"/>
      <c r="L32" s="405"/>
      <c r="M32" s="419"/>
    </row>
    <row r="33" spans="1:13">
      <c r="A33" s="452"/>
      <c r="B33" s="455"/>
      <c r="C33" s="457"/>
      <c r="D33" s="458"/>
      <c r="E33" s="349" t="s">
        <v>546</v>
      </c>
      <c r="F33" s="453"/>
      <c r="G33" s="454"/>
      <c r="H33" s="92">
        <f>H34</f>
        <v>250000</v>
      </c>
      <c r="I33" s="92">
        <v>250000</v>
      </c>
      <c r="J33" s="95">
        <f t="shared" si="1"/>
        <v>0</v>
      </c>
      <c r="K33" s="351"/>
      <c r="L33" s="391"/>
      <c r="M33" s="392"/>
    </row>
    <row r="34" spans="1:13">
      <c r="A34" s="357"/>
      <c r="B34" s="358"/>
      <c r="C34" s="460"/>
      <c r="D34" s="461"/>
      <c r="E34" s="462"/>
      <c r="F34" s="463" t="s">
        <v>545</v>
      </c>
      <c r="G34" s="464"/>
      <c r="H34" s="98">
        <f>SUM(H35)</f>
        <v>250000</v>
      </c>
      <c r="I34" s="98">
        <v>250000</v>
      </c>
      <c r="J34" s="98">
        <f t="shared" si="1"/>
        <v>0</v>
      </c>
      <c r="K34" s="420"/>
      <c r="L34" s="352"/>
      <c r="M34" s="394"/>
    </row>
    <row r="35" spans="1:13">
      <c r="A35" s="357"/>
      <c r="B35" s="358"/>
      <c r="C35" s="358"/>
      <c r="D35" s="359"/>
      <c r="E35" s="360"/>
      <c r="F35" s="360"/>
      <c r="G35" s="361" t="s">
        <v>549</v>
      </c>
      <c r="H35" s="41">
        <f>SUM(M35)</f>
        <v>250000</v>
      </c>
      <c r="I35" s="41">
        <v>250000</v>
      </c>
      <c r="J35" s="41">
        <f t="shared" si="1"/>
        <v>0</v>
      </c>
      <c r="K35" s="421" t="s">
        <v>550</v>
      </c>
      <c r="L35" s="387"/>
      <c r="M35" s="388">
        <f>SUM(M36:M36)</f>
        <v>250000</v>
      </c>
    </row>
    <row r="36" spans="1:13">
      <c r="A36" s="63"/>
      <c r="B36" s="65"/>
      <c r="C36" s="358"/>
      <c r="D36" s="498"/>
      <c r="E36" s="536"/>
      <c r="F36" s="536"/>
      <c r="G36" s="524"/>
      <c r="H36" s="71"/>
      <c r="I36" s="71"/>
      <c r="J36" s="145"/>
      <c r="K36" s="376" t="s">
        <v>582</v>
      </c>
      <c r="L36" s="377" t="s">
        <v>220</v>
      </c>
      <c r="M36" s="381">
        <v>250000</v>
      </c>
    </row>
    <row r="37" spans="1:13">
      <c r="A37" s="452"/>
      <c r="B37" s="455"/>
      <c r="C37" s="457"/>
      <c r="D37" s="482"/>
      <c r="E37" s="349" t="s">
        <v>546</v>
      </c>
      <c r="F37" s="453"/>
      <c r="G37" s="454"/>
      <c r="H37" s="92">
        <f t="shared" ref="H37" si="2">H38</f>
        <v>730000</v>
      </c>
      <c r="I37" s="92">
        <v>730000</v>
      </c>
      <c r="J37" s="95">
        <f t="shared" ref="J37:J39" si="3">H37-I37</f>
        <v>0</v>
      </c>
      <c r="K37" s="351"/>
      <c r="L37" s="391"/>
      <c r="M37" s="392"/>
    </row>
    <row r="38" spans="1:13">
      <c r="A38" s="357"/>
      <c r="B38" s="358"/>
      <c r="C38" s="460"/>
      <c r="D38" s="461"/>
      <c r="E38" s="462"/>
      <c r="F38" s="463" t="s">
        <v>545</v>
      </c>
      <c r="G38" s="464"/>
      <c r="H38" s="98">
        <f>SUM(H39)</f>
        <v>730000</v>
      </c>
      <c r="I38" s="98">
        <v>730000</v>
      </c>
      <c r="J38" s="98">
        <f t="shared" si="3"/>
        <v>0</v>
      </c>
      <c r="K38" s="420"/>
      <c r="L38" s="352"/>
      <c r="M38" s="394"/>
    </row>
    <row r="39" spans="1:13">
      <c r="A39" s="357"/>
      <c r="B39" s="358"/>
      <c r="C39" s="358"/>
      <c r="D39" s="359"/>
      <c r="E39" s="360"/>
      <c r="F39" s="360"/>
      <c r="G39" s="361" t="s">
        <v>584</v>
      </c>
      <c r="H39" s="41">
        <f>SUM(M39)</f>
        <v>730000</v>
      </c>
      <c r="I39" s="41">
        <v>730000</v>
      </c>
      <c r="J39" s="41">
        <f t="shared" si="3"/>
        <v>0</v>
      </c>
      <c r="K39" s="421" t="s">
        <v>585</v>
      </c>
      <c r="L39" s="387"/>
      <c r="M39" s="388">
        <f>SUM(M40:M40)</f>
        <v>730000</v>
      </c>
    </row>
    <row r="40" spans="1:13">
      <c r="A40" s="63"/>
      <c r="B40" s="65"/>
      <c r="C40" s="358"/>
      <c r="D40" s="498"/>
      <c r="E40" s="536"/>
      <c r="F40" s="536"/>
      <c r="G40" s="524"/>
      <c r="H40" s="71"/>
      <c r="I40" s="71"/>
      <c r="J40" s="145"/>
      <c r="K40" s="376" t="s">
        <v>586</v>
      </c>
      <c r="L40" s="377" t="s">
        <v>220</v>
      </c>
      <c r="M40" s="381">
        <v>730000</v>
      </c>
    </row>
    <row r="41" spans="1:13">
      <c r="A41" s="452"/>
      <c r="B41" s="455"/>
      <c r="C41" s="455"/>
      <c r="D41" s="349" t="s">
        <v>809</v>
      </c>
      <c r="E41" s="453"/>
      <c r="F41" s="453"/>
      <c r="G41" s="454"/>
      <c r="H41" s="456">
        <f>H42</f>
        <v>60000</v>
      </c>
      <c r="I41" s="456">
        <v>60000</v>
      </c>
      <c r="J41" s="95">
        <f t="shared" ref="J41:J44" si="4">H41-I41</f>
        <v>0</v>
      </c>
      <c r="K41" s="350"/>
      <c r="L41" s="405"/>
      <c r="M41" s="419"/>
    </row>
    <row r="42" spans="1:13">
      <c r="A42" s="452"/>
      <c r="B42" s="455"/>
      <c r="C42" s="482"/>
      <c r="D42" s="458"/>
      <c r="E42" s="349" t="s">
        <v>810</v>
      </c>
      <c r="F42" s="453"/>
      <c r="G42" s="454"/>
      <c r="H42" s="92">
        <f t="shared" ref="H42" si="5">H43</f>
        <v>60000</v>
      </c>
      <c r="I42" s="92">
        <v>60000</v>
      </c>
      <c r="J42" s="95">
        <f t="shared" si="4"/>
        <v>0</v>
      </c>
      <c r="K42" s="351"/>
      <c r="L42" s="391"/>
      <c r="M42" s="392"/>
    </row>
    <row r="43" spans="1:13">
      <c r="A43" s="357"/>
      <c r="B43" s="358"/>
      <c r="C43" s="460"/>
      <c r="D43" s="461"/>
      <c r="E43" s="462"/>
      <c r="F43" s="463" t="s">
        <v>35</v>
      </c>
      <c r="G43" s="464"/>
      <c r="H43" s="98">
        <f>SUM(H44)</f>
        <v>60000</v>
      </c>
      <c r="I43" s="98">
        <v>60000</v>
      </c>
      <c r="J43" s="98">
        <f t="shared" si="4"/>
        <v>0</v>
      </c>
      <c r="K43" s="420"/>
      <c r="L43" s="352"/>
      <c r="M43" s="394"/>
    </row>
    <row r="44" spans="1:13">
      <c r="A44" s="357"/>
      <c r="B44" s="358"/>
      <c r="C44" s="358"/>
      <c r="D44" s="359"/>
      <c r="E44" s="360"/>
      <c r="F44" s="360"/>
      <c r="G44" s="361" t="s">
        <v>63</v>
      </c>
      <c r="H44" s="41">
        <f>SUM(M44)</f>
        <v>60000</v>
      </c>
      <c r="I44" s="41">
        <v>60000</v>
      </c>
      <c r="J44" s="41">
        <f t="shared" si="4"/>
        <v>0</v>
      </c>
      <c r="K44" s="421" t="s">
        <v>811</v>
      </c>
      <c r="L44" s="387"/>
      <c r="M44" s="388">
        <f>SUM(M45:M45)</f>
        <v>60000</v>
      </c>
    </row>
    <row r="45" spans="1:13">
      <c r="A45" s="63"/>
      <c r="B45" s="65"/>
      <c r="C45" s="358"/>
      <c r="D45" s="498"/>
      <c r="E45" s="536"/>
      <c r="F45" s="536"/>
      <c r="G45" s="524"/>
      <c r="H45" s="71"/>
      <c r="I45" s="71"/>
      <c r="J45" s="145"/>
      <c r="K45" s="376" t="s">
        <v>812</v>
      </c>
      <c r="L45" s="377" t="s">
        <v>37</v>
      </c>
      <c r="M45" s="381">
        <v>60000</v>
      </c>
    </row>
    <row r="46" spans="1:13">
      <c r="A46" s="452"/>
      <c r="B46" s="455"/>
      <c r="C46" s="455"/>
      <c r="D46" s="349" t="s">
        <v>813</v>
      </c>
      <c r="E46" s="453"/>
      <c r="F46" s="453"/>
      <c r="G46" s="454"/>
      <c r="H46" s="456">
        <f>SUM(H47,H51)</f>
        <v>3070000</v>
      </c>
      <c r="I46" s="456">
        <v>3070000</v>
      </c>
      <c r="J46" s="95">
        <f t="shared" ref="J46:J49" si="6">H46-I46</f>
        <v>0</v>
      </c>
      <c r="K46" s="350"/>
      <c r="L46" s="405"/>
      <c r="M46" s="419"/>
    </row>
    <row r="47" spans="1:13">
      <c r="A47" s="452"/>
      <c r="B47" s="455"/>
      <c r="C47" s="482"/>
      <c r="D47" s="458"/>
      <c r="E47" s="349" t="s">
        <v>31</v>
      </c>
      <c r="F47" s="453"/>
      <c r="G47" s="454"/>
      <c r="H47" s="92">
        <f t="shared" ref="H47" si="7">H48</f>
        <v>2340000</v>
      </c>
      <c r="I47" s="92">
        <v>2340000</v>
      </c>
      <c r="J47" s="95">
        <f t="shared" si="6"/>
        <v>0</v>
      </c>
      <c r="K47" s="351"/>
      <c r="L47" s="391"/>
      <c r="M47" s="392"/>
    </row>
    <row r="48" spans="1:13">
      <c r="A48" s="357"/>
      <c r="B48" s="358"/>
      <c r="C48" s="460"/>
      <c r="D48" s="461"/>
      <c r="E48" s="462"/>
      <c r="F48" s="463" t="s">
        <v>35</v>
      </c>
      <c r="G48" s="464"/>
      <c r="H48" s="98">
        <f>SUM(H49)</f>
        <v>2340000</v>
      </c>
      <c r="I48" s="98">
        <v>2340000</v>
      </c>
      <c r="J48" s="98">
        <f t="shared" si="6"/>
        <v>0</v>
      </c>
      <c r="K48" s="420"/>
      <c r="L48" s="352"/>
      <c r="M48" s="394"/>
    </row>
    <row r="49" spans="1:13">
      <c r="A49" s="357"/>
      <c r="B49" s="358"/>
      <c r="C49" s="358"/>
      <c r="D49" s="359"/>
      <c r="E49" s="360"/>
      <c r="F49" s="360"/>
      <c r="G49" s="361" t="s">
        <v>63</v>
      </c>
      <c r="H49" s="41">
        <f>SUM(M49)</f>
        <v>2340000</v>
      </c>
      <c r="I49" s="41">
        <v>2340000</v>
      </c>
      <c r="J49" s="41">
        <f t="shared" si="6"/>
        <v>0</v>
      </c>
      <c r="K49" s="421" t="s">
        <v>222</v>
      </c>
      <c r="L49" s="387"/>
      <c r="M49" s="388">
        <f>SUM(M50:M50)</f>
        <v>2340000</v>
      </c>
    </row>
    <row r="50" spans="1:13">
      <c r="A50" s="63"/>
      <c r="B50" s="65"/>
      <c r="C50" s="358"/>
      <c r="D50" s="359"/>
      <c r="E50" s="536"/>
      <c r="F50" s="536"/>
      <c r="G50" s="524"/>
      <c r="H50" s="71"/>
      <c r="I50" s="71"/>
      <c r="J50" s="145"/>
      <c r="K50" s="376" t="s">
        <v>837</v>
      </c>
      <c r="L50" s="377" t="s">
        <v>37</v>
      </c>
      <c r="M50" s="381">
        <v>2340000</v>
      </c>
    </row>
    <row r="51" spans="1:13">
      <c r="A51" s="452"/>
      <c r="B51" s="455"/>
      <c r="C51" s="457"/>
      <c r="D51" s="482"/>
      <c r="E51" s="349" t="s">
        <v>58</v>
      </c>
      <c r="F51" s="453"/>
      <c r="G51" s="454"/>
      <c r="H51" s="92">
        <f t="shared" ref="H51" si="8">H52</f>
        <v>730000</v>
      </c>
      <c r="I51" s="92">
        <v>730000</v>
      </c>
      <c r="J51" s="95">
        <f t="shared" ref="J51:J53" si="9">H51-I51</f>
        <v>0</v>
      </c>
      <c r="K51" s="351"/>
      <c r="L51" s="391"/>
      <c r="M51" s="392"/>
    </row>
    <row r="52" spans="1:13">
      <c r="A52" s="357"/>
      <c r="B52" s="358"/>
      <c r="C52" s="460"/>
      <c r="D52" s="461"/>
      <c r="E52" s="462"/>
      <c r="F52" s="463" t="s">
        <v>814</v>
      </c>
      <c r="G52" s="464"/>
      <c r="H52" s="98">
        <f>SUM(H53)</f>
        <v>730000</v>
      </c>
      <c r="I52" s="98">
        <v>730000</v>
      </c>
      <c r="J52" s="98">
        <f t="shared" si="9"/>
        <v>0</v>
      </c>
      <c r="K52" s="420"/>
      <c r="L52" s="352"/>
      <c r="M52" s="394"/>
    </row>
    <row r="53" spans="1:13">
      <c r="A53" s="357"/>
      <c r="B53" s="358"/>
      <c r="C53" s="358"/>
      <c r="D53" s="359"/>
      <c r="E53" s="360"/>
      <c r="F53" s="360"/>
      <c r="G53" s="361" t="s">
        <v>426</v>
      </c>
      <c r="H53" s="41">
        <f>SUM(M53)</f>
        <v>730000</v>
      </c>
      <c r="I53" s="41">
        <v>730000</v>
      </c>
      <c r="J53" s="41">
        <f t="shared" si="9"/>
        <v>0</v>
      </c>
      <c r="K53" s="421" t="s">
        <v>815</v>
      </c>
      <c r="L53" s="387"/>
      <c r="M53" s="388">
        <f>SUM(M54:M54)</f>
        <v>730000</v>
      </c>
    </row>
    <row r="54" spans="1:13">
      <c r="A54" s="63"/>
      <c r="B54" s="65"/>
      <c r="C54" s="358"/>
      <c r="D54" s="498"/>
      <c r="E54" s="536"/>
      <c r="F54" s="536"/>
      <c r="G54" s="524"/>
      <c r="H54" s="71"/>
      <c r="I54" s="71"/>
      <c r="J54" s="145"/>
      <c r="K54" s="376" t="s">
        <v>586</v>
      </c>
      <c r="L54" s="377" t="s">
        <v>37</v>
      </c>
      <c r="M54" s="381">
        <v>730000</v>
      </c>
    </row>
    <row r="55" spans="1:13">
      <c r="A55" s="10"/>
      <c r="B55" s="6"/>
      <c r="C55" s="455"/>
      <c r="D55" s="534" t="s">
        <v>587</v>
      </c>
      <c r="E55" s="537"/>
      <c r="F55" s="537"/>
      <c r="G55" s="538"/>
      <c r="H55" s="317">
        <f>H56+H63</f>
        <v>270000</v>
      </c>
      <c r="I55" s="317">
        <v>270000</v>
      </c>
      <c r="J55" s="95">
        <f t="shared" ref="J55:J56" si="10">H55-I55</f>
        <v>0</v>
      </c>
      <c r="K55" s="350"/>
      <c r="L55" s="405"/>
      <c r="M55" s="419"/>
    </row>
    <row r="56" spans="1:13">
      <c r="A56" s="10"/>
      <c r="B56" s="6"/>
      <c r="C56" s="457"/>
      <c r="D56" s="458"/>
      <c r="E56" s="349" t="s">
        <v>216</v>
      </c>
      <c r="F56" s="453"/>
      <c r="G56" s="454"/>
      <c r="H56" s="91">
        <f>H57</f>
        <v>224000</v>
      </c>
      <c r="I56" s="91">
        <v>224000</v>
      </c>
      <c r="J56" s="95">
        <f t="shared" si="10"/>
        <v>0</v>
      </c>
      <c r="K56" s="351"/>
      <c r="L56" s="391"/>
      <c r="M56" s="392"/>
    </row>
    <row r="57" spans="1:13">
      <c r="A57" s="63"/>
      <c r="B57" s="65"/>
      <c r="C57" s="460"/>
      <c r="D57" s="461"/>
      <c r="E57" s="462"/>
      <c r="F57" s="463" t="s">
        <v>217</v>
      </c>
      <c r="G57" s="464"/>
      <c r="H57" s="72">
        <f>SUM(H58,H61)</f>
        <v>224000</v>
      </c>
      <c r="I57" s="72">
        <v>224000</v>
      </c>
      <c r="J57" s="98">
        <f>H57-I57</f>
        <v>0</v>
      </c>
      <c r="K57" s="420"/>
      <c r="L57" s="352"/>
      <c r="M57" s="394"/>
    </row>
    <row r="58" spans="1:13">
      <c r="A58" s="63"/>
      <c r="B58" s="65"/>
      <c r="C58" s="358"/>
      <c r="D58" s="359"/>
      <c r="E58" s="360"/>
      <c r="F58" s="360"/>
      <c r="G58" s="361" t="s">
        <v>36</v>
      </c>
      <c r="H58" s="73">
        <f>M58</f>
        <v>4000</v>
      </c>
      <c r="I58" s="73">
        <v>4000</v>
      </c>
      <c r="J58" s="41">
        <f>H58-I58</f>
        <v>0</v>
      </c>
      <c r="K58" s="421" t="s">
        <v>62</v>
      </c>
      <c r="L58" s="387"/>
      <c r="M58" s="388">
        <f>SUM(M59:M60)</f>
        <v>4000</v>
      </c>
    </row>
    <row r="59" spans="1:13">
      <c r="A59" s="63"/>
      <c r="B59" s="65"/>
      <c r="C59" s="358"/>
      <c r="D59" s="359"/>
      <c r="E59" s="360"/>
      <c r="F59" s="360"/>
      <c r="G59" s="358"/>
      <c r="H59" s="74"/>
      <c r="I59" s="74"/>
      <c r="J59" s="50"/>
      <c r="K59" s="422" t="s">
        <v>588</v>
      </c>
      <c r="L59" s="375" t="s">
        <v>37</v>
      </c>
      <c r="M59" s="374">
        <v>3000</v>
      </c>
    </row>
    <row r="60" spans="1:13">
      <c r="A60" s="63"/>
      <c r="B60" s="65"/>
      <c r="C60" s="358"/>
      <c r="D60" s="359"/>
      <c r="E60" s="360"/>
      <c r="F60" s="360"/>
      <c r="G60" s="469"/>
      <c r="H60" s="71"/>
      <c r="I60" s="71"/>
      <c r="J60" s="145"/>
      <c r="K60" s="376" t="s">
        <v>589</v>
      </c>
      <c r="L60" s="377" t="s">
        <v>37</v>
      </c>
      <c r="M60" s="381">
        <v>1000</v>
      </c>
    </row>
    <row r="61" spans="1:13">
      <c r="A61" s="63"/>
      <c r="B61" s="65"/>
      <c r="C61" s="358"/>
      <c r="D61" s="359"/>
      <c r="E61" s="360"/>
      <c r="F61" s="360"/>
      <c r="G61" s="361" t="s">
        <v>221</v>
      </c>
      <c r="H61" s="74">
        <f>M61</f>
        <v>220000</v>
      </c>
      <c r="I61" s="74">
        <v>220000</v>
      </c>
      <c r="J61" s="50">
        <f>H61-I61</f>
        <v>0</v>
      </c>
      <c r="K61" s="421" t="s">
        <v>222</v>
      </c>
      <c r="L61" s="375"/>
      <c r="M61" s="379">
        <f>SUM(M62)</f>
        <v>220000</v>
      </c>
    </row>
    <row r="62" spans="1:13">
      <c r="A62" s="63"/>
      <c r="B62" s="65"/>
      <c r="C62" s="358"/>
      <c r="D62" s="359"/>
      <c r="E62" s="360"/>
      <c r="F62" s="360"/>
      <c r="G62" s="361"/>
      <c r="H62" s="74"/>
      <c r="I62" s="74"/>
      <c r="J62" s="50"/>
      <c r="K62" s="422" t="s">
        <v>590</v>
      </c>
      <c r="L62" s="375" t="s">
        <v>0</v>
      </c>
      <c r="M62" s="374">
        <v>220000</v>
      </c>
    </row>
    <row r="63" spans="1:13">
      <c r="A63" s="10"/>
      <c r="B63" s="6"/>
      <c r="C63" s="457"/>
      <c r="D63" s="482"/>
      <c r="E63" s="349" t="s">
        <v>58</v>
      </c>
      <c r="F63" s="453"/>
      <c r="G63" s="454"/>
      <c r="H63" s="91">
        <f>SUM(H64)</f>
        <v>46000</v>
      </c>
      <c r="I63" s="91">
        <v>46000</v>
      </c>
      <c r="J63" s="92">
        <f>H63-I63</f>
        <v>0</v>
      </c>
      <c r="K63" s="351"/>
      <c r="L63" s="391"/>
      <c r="M63" s="392"/>
    </row>
    <row r="64" spans="1:13">
      <c r="A64" s="63"/>
      <c r="B64" s="65"/>
      <c r="C64" s="460"/>
      <c r="D64" s="461"/>
      <c r="E64" s="595"/>
      <c r="F64" s="463" t="s">
        <v>425</v>
      </c>
      <c r="G64" s="464"/>
      <c r="H64" s="72">
        <f>SUM(H65)</f>
        <v>46000</v>
      </c>
      <c r="I64" s="72">
        <v>46000</v>
      </c>
      <c r="J64" s="98">
        <f t="shared" ref="J64:J65" si="11">H64-I64</f>
        <v>0</v>
      </c>
      <c r="K64" s="420"/>
      <c r="L64" s="352"/>
      <c r="M64" s="394"/>
    </row>
    <row r="65" spans="1:13">
      <c r="A65" s="63"/>
      <c r="B65" s="65"/>
      <c r="C65" s="358"/>
      <c r="D65" s="359"/>
      <c r="E65" s="359"/>
      <c r="F65" s="360"/>
      <c r="G65" s="361" t="s">
        <v>426</v>
      </c>
      <c r="H65" s="73">
        <f>M65</f>
        <v>46000</v>
      </c>
      <c r="I65" s="73">
        <v>46000</v>
      </c>
      <c r="J65" s="41">
        <f t="shared" si="11"/>
        <v>0</v>
      </c>
      <c r="K65" s="421" t="s">
        <v>427</v>
      </c>
      <c r="L65" s="387"/>
      <c r="M65" s="388">
        <f>SUM(M66)</f>
        <v>46000</v>
      </c>
    </row>
    <row r="66" spans="1:13">
      <c r="A66" s="63"/>
      <c r="B66" s="65"/>
      <c r="C66" s="358"/>
      <c r="D66" s="359"/>
      <c r="E66" s="360"/>
      <c r="F66" s="360"/>
      <c r="G66" s="361"/>
      <c r="H66" s="74"/>
      <c r="I66" s="74"/>
      <c r="J66" s="50"/>
      <c r="K66" s="424" t="s">
        <v>591</v>
      </c>
      <c r="L66" s="375" t="s">
        <v>0</v>
      </c>
      <c r="M66" s="374">
        <v>46000</v>
      </c>
    </row>
    <row r="67" spans="1:13">
      <c r="A67" s="10"/>
      <c r="B67" s="6"/>
      <c r="C67" s="455"/>
      <c r="D67" s="349" t="s">
        <v>592</v>
      </c>
      <c r="E67" s="453"/>
      <c r="F67" s="453"/>
      <c r="G67" s="454"/>
      <c r="H67" s="132">
        <f>H68+H75</f>
        <v>600000</v>
      </c>
      <c r="I67" s="132">
        <v>600000</v>
      </c>
      <c r="J67" s="92">
        <f t="shared" ref="J67:J68" si="12">H67-I67</f>
        <v>0</v>
      </c>
      <c r="K67" s="389"/>
      <c r="L67" s="390"/>
      <c r="M67" s="397"/>
    </row>
    <row r="68" spans="1:13">
      <c r="A68" s="10"/>
      <c r="B68" s="6"/>
      <c r="C68" s="457"/>
      <c r="D68" s="458"/>
      <c r="E68" s="349" t="s">
        <v>216</v>
      </c>
      <c r="F68" s="453"/>
      <c r="G68" s="454"/>
      <c r="H68" s="91">
        <f>H69</f>
        <v>358000</v>
      </c>
      <c r="I68" s="91">
        <v>358000</v>
      </c>
      <c r="J68" s="95">
        <f t="shared" si="12"/>
        <v>0</v>
      </c>
      <c r="K68" s="351"/>
      <c r="L68" s="391"/>
      <c r="M68" s="392"/>
    </row>
    <row r="69" spans="1:13">
      <c r="A69" s="63"/>
      <c r="B69" s="65"/>
      <c r="C69" s="460"/>
      <c r="D69" s="461"/>
      <c r="E69" s="462"/>
      <c r="F69" s="463" t="s">
        <v>217</v>
      </c>
      <c r="G69" s="464"/>
      <c r="H69" s="72">
        <f>SUM(H70,H73)</f>
        <v>358000</v>
      </c>
      <c r="I69" s="72">
        <v>358000</v>
      </c>
      <c r="J69" s="98">
        <f>H69-I69</f>
        <v>0</v>
      </c>
      <c r="K69" s="420"/>
      <c r="L69" s="352"/>
      <c r="M69" s="394"/>
    </row>
    <row r="70" spans="1:13">
      <c r="A70" s="63"/>
      <c r="B70" s="65"/>
      <c r="C70" s="358"/>
      <c r="D70" s="359"/>
      <c r="E70" s="360"/>
      <c r="F70" s="360"/>
      <c r="G70" s="361" t="s">
        <v>36</v>
      </c>
      <c r="H70" s="73">
        <f>M70</f>
        <v>4000</v>
      </c>
      <c r="I70" s="73">
        <v>4000</v>
      </c>
      <c r="J70" s="41">
        <f>H70-I70</f>
        <v>0</v>
      </c>
      <c r="K70" s="421" t="s">
        <v>62</v>
      </c>
      <c r="L70" s="387"/>
      <c r="M70" s="388">
        <f>SUM(M71:M72)</f>
        <v>4000</v>
      </c>
    </row>
    <row r="71" spans="1:13">
      <c r="A71" s="63"/>
      <c r="B71" s="65"/>
      <c r="C71" s="358"/>
      <c r="D71" s="359"/>
      <c r="E71" s="360"/>
      <c r="F71" s="360"/>
      <c r="G71" s="358"/>
      <c r="H71" s="74"/>
      <c r="I71" s="74"/>
      <c r="J71" s="50"/>
      <c r="K71" s="422" t="s">
        <v>588</v>
      </c>
      <c r="L71" s="375" t="s">
        <v>37</v>
      </c>
      <c r="M71" s="374">
        <v>3000</v>
      </c>
    </row>
    <row r="72" spans="1:13">
      <c r="A72" s="63"/>
      <c r="B72" s="65"/>
      <c r="C72" s="358"/>
      <c r="D72" s="359"/>
      <c r="E72" s="360"/>
      <c r="F72" s="360"/>
      <c r="G72" s="469"/>
      <c r="H72" s="71"/>
      <c r="I72" s="71"/>
      <c r="J72" s="145"/>
      <c r="K72" s="376" t="s">
        <v>589</v>
      </c>
      <c r="L72" s="377" t="s">
        <v>37</v>
      </c>
      <c r="M72" s="381">
        <v>1000</v>
      </c>
    </row>
    <row r="73" spans="1:13">
      <c r="A73" s="63"/>
      <c r="B73" s="65"/>
      <c r="C73" s="358"/>
      <c r="D73" s="359"/>
      <c r="E73" s="360"/>
      <c r="F73" s="360"/>
      <c r="G73" s="361" t="s">
        <v>221</v>
      </c>
      <c r="H73" s="74">
        <f>M73</f>
        <v>354000</v>
      </c>
      <c r="I73" s="74">
        <v>354000</v>
      </c>
      <c r="J73" s="50">
        <f>H73-I73</f>
        <v>0</v>
      </c>
      <c r="K73" s="421" t="s">
        <v>222</v>
      </c>
      <c r="L73" s="375"/>
      <c r="M73" s="379">
        <f>SUM(M74)</f>
        <v>354000</v>
      </c>
    </row>
    <row r="74" spans="1:13">
      <c r="A74" s="63"/>
      <c r="B74" s="65"/>
      <c r="C74" s="358"/>
      <c r="D74" s="359"/>
      <c r="E74" s="498"/>
      <c r="F74" s="536"/>
      <c r="G74" s="524"/>
      <c r="H74" s="71"/>
      <c r="I74" s="71"/>
      <c r="J74" s="145"/>
      <c r="K74" s="376" t="s">
        <v>593</v>
      </c>
      <c r="L74" s="377" t="s">
        <v>0</v>
      </c>
      <c r="M74" s="381">
        <v>354000</v>
      </c>
    </row>
    <row r="75" spans="1:13">
      <c r="A75" s="10"/>
      <c r="B75" s="6"/>
      <c r="C75" s="457"/>
      <c r="D75" s="482"/>
      <c r="E75" s="534" t="s">
        <v>58</v>
      </c>
      <c r="F75" s="537"/>
      <c r="G75" s="538"/>
      <c r="H75" s="94">
        <f>SUM(H76)</f>
        <v>242000</v>
      </c>
      <c r="I75" s="94">
        <v>242000</v>
      </c>
      <c r="J75" s="95">
        <f>H75-I75</f>
        <v>0</v>
      </c>
      <c r="K75" s="545"/>
      <c r="L75" s="547"/>
      <c r="M75" s="548"/>
    </row>
    <row r="76" spans="1:13">
      <c r="A76" s="63"/>
      <c r="B76" s="65"/>
      <c r="C76" s="460"/>
      <c r="D76" s="461"/>
      <c r="E76" s="462"/>
      <c r="F76" s="463" t="s">
        <v>425</v>
      </c>
      <c r="G76" s="464"/>
      <c r="H76" s="72">
        <f>SUM(H77)</f>
        <v>242000</v>
      </c>
      <c r="I76" s="72">
        <v>242000</v>
      </c>
      <c r="J76" s="98">
        <f t="shared" ref="J76:J77" si="13">H76-I76</f>
        <v>0</v>
      </c>
      <c r="K76" s="420"/>
      <c r="L76" s="352"/>
      <c r="M76" s="394"/>
    </row>
    <row r="77" spans="1:13">
      <c r="A77" s="63"/>
      <c r="B77" s="65"/>
      <c r="C77" s="358"/>
      <c r="D77" s="359"/>
      <c r="E77" s="360"/>
      <c r="F77" s="360"/>
      <c r="G77" s="361" t="s">
        <v>426</v>
      </c>
      <c r="H77" s="73">
        <f>M77</f>
        <v>242000</v>
      </c>
      <c r="I77" s="73">
        <v>242000</v>
      </c>
      <c r="J77" s="41">
        <f t="shared" si="13"/>
        <v>0</v>
      </c>
      <c r="K77" s="421" t="s">
        <v>427</v>
      </c>
      <c r="L77" s="387"/>
      <c r="M77" s="388">
        <f>SUM(M78)</f>
        <v>242000</v>
      </c>
    </row>
    <row r="78" spans="1:13">
      <c r="A78" s="63"/>
      <c r="B78" s="65"/>
      <c r="C78" s="358"/>
      <c r="D78" s="498"/>
      <c r="E78" s="536"/>
      <c r="F78" s="536"/>
      <c r="G78" s="524"/>
      <c r="H78" s="71"/>
      <c r="I78" s="71"/>
      <c r="J78" s="145"/>
      <c r="K78" s="609" t="s">
        <v>594</v>
      </c>
      <c r="L78" s="377" t="s">
        <v>0</v>
      </c>
      <c r="M78" s="381">
        <v>242000</v>
      </c>
    </row>
    <row r="79" spans="1:13">
      <c r="A79" s="452"/>
      <c r="B79" s="455"/>
      <c r="C79" s="349" t="s">
        <v>773</v>
      </c>
      <c r="D79" s="453"/>
      <c r="E79" s="453"/>
      <c r="F79" s="453"/>
      <c r="G79" s="454"/>
      <c r="H79" s="95">
        <f>SUM(H80,H96)</f>
        <v>350000</v>
      </c>
      <c r="I79" s="95">
        <v>250000</v>
      </c>
      <c r="J79" s="95">
        <f t="shared" ref="J79" si="14">H79-I79</f>
        <v>100000</v>
      </c>
      <c r="K79" s="402"/>
      <c r="L79" s="403"/>
      <c r="M79" s="419"/>
    </row>
    <row r="80" spans="1:13">
      <c r="A80" s="10"/>
      <c r="B80" s="6"/>
      <c r="C80" s="455"/>
      <c r="D80" s="534" t="s">
        <v>759</v>
      </c>
      <c r="E80" s="537"/>
      <c r="F80" s="537"/>
      <c r="G80" s="538"/>
      <c r="H80" s="317">
        <f>H81+H92</f>
        <v>250000</v>
      </c>
      <c r="I80" s="317">
        <v>250000</v>
      </c>
      <c r="J80" s="95">
        <f t="shared" ref="J80:J81" si="15">H80-I80</f>
        <v>0</v>
      </c>
      <c r="K80" s="608"/>
      <c r="L80" s="403"/>
      <c r="M80" s="419"/>
    </row>
    <row r="81" spans="1:13">
      <c r="A81" s="10"/>
      <c r="B81" s="6"/>
      <c r="C81" s="457"/>
      <c r="D81" s="458"/>
      <c r="E81" s="349" t="s">
        <v>33</v>
      </c>
      <c r="F81" s="453"/>
      <c r="G81" s="454"/>
      <c r="H81" s="91">
        <f>H82</f>
        <v>50000</v>
      </c>
      <c r="I81" s="91">
        <v>50000</v>
      </c>
      <c r="J81" s="95">
        <f t="shared" si="15"/>
        <v>0</v>
      </c>
      <c r="K81" s="351"/>
      <c r="L81" s="391"/>
      <c r="M81" s="392"/>
    </row>
    <row r="82" spans="1:13">
      <c r="A82" s="63"/>
      <c r="B82" s="65"/>
      <c r="C82" s="460"/>
      <c r="D82" s="461"/>
      <c r="E82" s="462"/>
      <c r="F82" s="463" t="s">
        <v>60</v>
      </c>
      <c r="G82" s="464"/>
      <c r="H82" s="72">
        <f>SUM(H83,H89)</f>
        <v>50000</v>
      </c>
      <c r="I82" s="72">
        <v>50000</v>
      </c>
      <c r="J82" s="98">
        <f>H82-I82</f>
        <v>0</v>
      </c>
      <c r="K82" s="420"/>
      <c r="L82" s="352"/>
      <c r="M82" s="394"/>
    </row>
    <row r="83" spans="1:13">
      <c r="A83" s="63"/>
      <c r="B83" s="65"/>
      <c r="C83" s="358"/>
      <c r="D83" s="359"/>
      <c r="E83" s="360"/>
      <c r="F83" s="360"/>
      <c r="G83" s="361" t="s">
        <v>36</v>
      </c>
      <c r="H83" s="73">
        <v>40000</v>
      </c>
      <c r="I83" s="73">
        <v>40000</v>
      </c>
      <c r="J83" s="41">
        <f>H83-I83</f>
        <v>0</v>
      </c>
      <c r="K83" s="591" t="s">
        <v>47</v>
      </c>
      <c r="L83" s="387"/>
      <c r="M83" s="388">
        <f>SUM(M85,M88)</f>
        <v>40000</v>
      </c>
    </row>
    <row r="84" spans="1:13">
      <c r="A84" s="63"/>
      <c r="B84" s="65"/>
      <c r="C84" s="358"/>
      <c r="D84" s="359"/>
      <c r="E84" s="360"/>
      <c r="F84" s="360"/>
      <c r="G84" s="361"/>
      <c r="H84" s="74"/>
      <c r="I84" s="74"/>
      <c r="J84" s="50"/>
      <c r="K84" s="622" t="s">
        <v>762</v>
      </c>
      <c r="L84" s="375"/>
      <c r="M84" s="379"/>
    </row>
    <row r="85" spans="1:13">
      <c r="A85" s="63"/>
      <c r="B85" s="65"/>
      <c r="C85" s="358"/>
      <c r="D85" s="359"/>
      <c r="E85" s="360"/>
      <c r="F85" s="360"/>
      <c r="G85" s="358"/>
      <c r="H85" s="74"/>
      <c r="I85" s="74"/>
      <c r="J85" s="50"/>
      <c r="K85" s="423" t="s">
        <v>821</v>
      </c>
      <c r="L85" s="375" t="s">
        <v>37</v>
      </c>
      <c r="M85" s="374">
        <v>20000</v>
      </c>
    </row>
    <row r="86" spans="1:13">
      <c r="A86" s="63"/>
      <c r="B86" s="65"/>
      <c r="C86" s="358"/>
      <c r="D86" s="359"/>
      <c r="E86" s="360"/>
      <c r="F86" s="360"/>
      <c r="G86" s="361"/>
      <c r="H86" s="74"/>
      <c r="I86" s="74"/>
      <c r="J86" s="50"/>
      <c r="K86" s="591" t="s">
        <v>763</v>
      </c>
      <c r="L86" s="375"/>
      <c r="M86" s="374"/>
    </row>
    <row r="87" spans="1:13">
      <c r="A87" s="63"/>
      <c r="B87" s="65"/>
      <c r="C87" s="358"/>
      <c r="D87" s="359"/>
      <c r="E87" s="360"/>
      <c r="F87" s="360"/>
      <c r="G87" s="361"/>
      <c r="H87" s="74"/>
      <c r="I87" s="74"/>
      <c r="J87" s="50"/>
      <c r="K87" s="622" t="s">
        <v>762</v>
      </c>
      <c r="L87" s="375"/>
      <c r="M87" s="374"/>
    </row>
    <row r="88" spans="1:13">
      <c r="A88" s="63"/>
      <c r="B88" s="65"/>
      <c r="C88" s="358"/>
      <c r="D88" s="359"/>
      <c r="E88" s="360"/>
      <c r="F88" s="360"/>
      <c r="G88" s="361"/>
      <c r="H88" s="74"/>
      <c r="I88" s="74"/>
      <c r="J88" s="50"/>
      <c r="K88" s="621" t="s">
        <v>822</v>
      </c>
      <c r="L88" s="375" t="s">
        <v>37</v>
      </c>
      <c r="M88" s="374">
        <v>20000</v>
      </c>
    </row>
    <row r="89" spans="1:13">
      <c r="A89" s="63"/>
      <c r="B89" s="65"/>
      <c r="C89" s="358"/>
      <c r="D89" s="359"/>
      <c r="E89" s="360"/>
      <c r="F89" s="360"/>
      <c r="G89" s="361" t="s">
        <v>221</v>
      </c>
      <c r="H89" s="74">
        <v>10000</v>
      </c>
      <c r="I89" s="74">
        <v>10000</v>
      </c>
      <c r="J89" s="50">
        <f>H89-I89</f>
        <v>0</v>
      </c>
      <c r="K89" s="591" t="s">
        <v>222</v>
      </c>
      <c r="L89" s="375"/>
      <c r="M89" s="379">
        <f>SUM(M91)</f>
        <v>10000</v>
      </c>
    </row>
    <row r="90" spans="1:13">
      <c r="A90" s="63"/>
      <c r="B90" s="65"/>
      <c r="C90" s="358"/>
      <c r="D90" s="359"/>
      <c r="E90" s="360"/>
      <c r="F90" s="360"/>
      <c r="G90" s="361"/>
      <c r="H90" s="74"/>
      <c r="I90" s="74"/>
      <c r="J90" s="50"/>
      <c r="K90" s="622" t="s">
        <v>762</v>
      </c>
      <c r="L90" s="375"/>
      <c r="M90" s="374"/>
    </row>
    <row r="91" spans="1:13">
      <c r="A91" s="63"/>
      <c r="B91" s="65"/>
      <c r="C91" s="358"/>
      <c r="D91" s="359"/>
      <c r="E91" s="498"/>
      <c r="F91" s="536"/>
      <c r="G91" s="524"/>
      <c r="H91" s="71"/>
      <c r="I91" s="71"/>
      <c r="J91" s="145"/>
      <c r="K91" s="643" t="s">
        <v>764</v>
      </c>
      <c r="L91" s="377" t="s">
        <v>0</v>
      </c>
      <c r="M91" s="381">
        <v>10000</v>
      </c>
    </row>
    <row r="92" spans="1:13">
      <c r="A92" s="10"/>
      <c r="B92" s="6"/>
      <c r="C92" s="457"/>
      <c r="D92" s="482"/>
      <c r="E92" s="534" t="s">
        <v>58</v>
      </c>
      <c r="F92" s="537"/>
      <c r="G92" s="538"/>
      <c r="H92" s="94">
        <f>SUM(H93)</f>
        <v>200000</v>
      </c>
      <c r="I92" s="94">
        <v>200000</v>
      </c>
      <c r="J92" s="95">
        <f>H92-I92</f>
        <v>0</v>
      </c>
      <c r="K92" s="545"/>
      <c r="L92" s="547"/>
      <c r="M92" s="548"/>
    </row>
    <row r="93" spans="1:13">
      <c r="A93" s="63"/>
      <c r="B93" s="65"/>
      <c r="C93" s="460"/>
      <c r="D93" s="461"/>
      <c r="E93" s="462"/>
      <c r="F93" s="463" t="s">
        <v>760</v>
      </c>
      <c r="G93" s="464"/>
      <c r="H93" s="72">
        <f>SUM(H94)</f>
        <v>200000</v>
      </c>
      <c r="I93" s="72">
        <v>200000</v>
      </c>
      <c r="J93" s="98">
        <f t="shared" ref="J93:J94" si="16">H93-I93</f>
        <v>0</v>
      </c>
      <c r="K93" s="420"/>
      <c r="L93" s="352"/>
      <c r="M93" s="394"/>
    </row>
    <row r="94" spans="1:13">
      <c r="A94" s="63"/>
      <c r="B94" s="65"/>
      <c r="C94" s="358"/>
      <c r="D94" s="359"/>
      <c r="E94" s="360"/>
      <c r="F94" s="360"/>
      <c r="G94" s="361" t="s">
        <v>761</v>
      </c>
      <c r="H94" s="73">
        <v>200000</v>
      </c>
      <c r="I94" s="73">
        <v>200000</v>
      </c>
      <c r="J94" s="41">
        <f t="shared" si="16"/>
        <v>0</v>
      </c>
      <c r="K94" s="622" t="s">
        <v>762</v>
      </c>
      <c r="L94" s="387"/>
      <c r="M94" s="388">
        <f>SUM(M95)</f>
        <v>200000</v>
      </c>
    </row>
    <row r="95" spans="1:13">
      <c r="A95" s="63"/>
      <c r="B95" s="65"/>
      <c r="C95" s="358"/>
      <c r="D95" s="359"/>
      <c r="E95" s="360"/>
      <c r="F95" s="360"/>
      <c r="G95" s="361"/>
      <c r="H95" s="71"/>
      <c r="I95" s="71"/>
      <c r="J95" s="145"/>
      <c r="K95" s="667" t="s">
        <v>765</v>
      </c>
      <c r="L95" s="377" t="s">
        <v>0</v>
      </c>
      <c r="M95" s="381">
        <v>200000</v>
      </c>
    </row>
    <row r="96" spans="1:13">
      <c r="A96" s="10"/>
      <c r="B96" s="6"/>
      <c r="C96" s="455"/>
      <c r="D96" s="610" t="s">
        <v>910</v>
      </c>
      <c r="E96" s="453"/>
      <c r="F96" s="453"/>
      <c r="G96" s="454"/>
      <c r="H96" s="317">
        <f>H97</f>
        <v>100000</v>
      </c>
      <c r="I96" s="317">
        <v>0</v>
      </c>
      <c r="J96" s="95">
        <f t="shared" ref="J96" si="17">H96-I96</f>
        <v>100000</v>
      </c>
      <c r="K96" s="608"/>
      <c r="L96" s="403"/>
      <c r="M96" s="419"/>
    </row>
    <row r="97" spans="1:13">
      <c r="A97" s="10"/>
      <c r="B97" s="6"/>
      <c r="C97" s="482"/>
      <c r="D97" s="482"/>
      <c r="E97" s="534" t="s">
        <v>58</v>
      </c>
      <c r="F97" s="537"/>
      <c r="G97" s="538"/>
      <c r="H97" s="94">
        <f>H98</f>
        <v>100000</v>
      </c>
      <c r="I97" s="94">
        <v>0</v>
      </c>
      <c r="J97" s="95">
        <f>H97-I97</f>
        <v>100000</v>
      </c>
      <c r="K97" s="545"/>
      <c r="L97" s="547"/>
      <c r="M97" s="548"/>
    </row>
    <row r="98" spans="1:13">
      <c r="A98" s="63"/>
      <c r="B98" s="65"/>
      <c r="C98" s="460"/>
      <c r="D98" s="461"/>
      <c r="E98" s="462"/>
      <c r="F98" s="463" t="s">
        <v>59</v>
      </c>
      <c r="G98" s="464"/>
      <c r="H98" s="72">
        <f>H99</f>
        <v>100000</v>
      </c>
      <c r="I98" s="72">
        <v>0</v>
      </c>
      <c r="J98" s="98">
        <f t="shared" ref="J98:J99" si="18">H98-I98</f>
        <v>100000</v>
      </c>
      <c r="K98" s="420"/>
      <c r="L98" s="352"/>
      <c r="M98" s="394"/>
    </row>
    <row r="99" spans="1:13">
      <c r="A99" s="63"/>
      <c r="B99" s="65"/>
      <c r="C99" s="358"/>
      <c r="D99" s="359"/>
      <c r="E99" s="360"/>
      <c r="F99" s="360"/>
      <c r="G99" s="361" t="s">
        <v>428</v>
      </c>
      <c r="H99" s="73">
        <f>M100</f>
        <v>100000</v>
      </c>
      <c r="I99" s="73">
        <v>0</v>
      </c>
      <c r="J99" s="41">
        <f t="shared" si="18"/>
        <v>100000</v>
      </c>
      <c r="K99" s="622" t="s">
        <v>908</v>
      </c>
      <c r="L99" s="387"/>
      <c r="M99" s="388">
        <f>SUM(M100)</f>
        <v>100000</v>
      </c>
    </row>
    <row r="100" spans="1:13" ht="17.25" thickBot="1">
      <c r="A100" s="287"/>
      <c r="B100" s="69"/>
      <c r="C100" s="504"/>
      <c r="D100" s="528"/>
      <c r="E100" s="529"/>
      <c r="F100" s="529"/>
      <c r="G100" s="739"/>
      <c r="H100" s="229"/>
      <c r="I100" s="229"/>
      <c r="J100" s="229"/>
      <c r="K100" s="740" t="s">
        <v>909</v>
      </c>
      <c r="L100" s="735" t="s">
        <v>0</v>
      </c>
      <c r="M100" s="741">
        <v>100000</v>
      </c>
    </row>
    <row r="101" spans="1:13">
      <c r="K101" s="299"/>
      <c r="L101" s="299"/>
      <c r="M101" s="299"/>
    </row>
    <row r="103" spans="1:13">
      <c r="G103" s="345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61" priority="25" operator="containsText" text="허하나로">
      <formula>NOT(ISERROR(SEARCH("허하나로",H802)))</formula>
    </cfRule>
    <cfRule type="containsText" dxfId="160" priority="26" operator="containsText" text="한별">
      <formula>NOT(ISERROR(SEARCH("한별",H802)))</formula>
    </cfRule>
    <cfRule type="containsText" dxfId="159" priority="27" operator="containsText" text="정홍조">
      <formula>NOT(ISERROR(SEARCH("정홍조",H802)))</formula>
    </cfRule>
    <cfRule type="containsText" dxfId="158" priority="28" operator="containsText" text="김지윤">
      <formula>NOT(ISERROR(SEARCH("김지윤",H802)))</formula>
    </cfRule>
    <cfRule type="containsText" dxfId="157" priority="29" operator="containsText" text="전준영">
      <formula>NOT(ISERROR(SEARCH("전준영",H802)))</formula>
    </cfRule>
    <cfRule type="containsText" dxfId="156" priority="30" operator="containsText" text="차재성">
      <formula>NOT(ISERROR(SEARCH("차재성",H802)))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29" max="16383" man="1"/>
    <brk id="6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7" operator="containsText" text="허하나로" id="{EAD63AA0-C563-4A68-A405-41D8F11AC68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523F99FD-E80E-4C3B-B41E-773E0BE2125B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6CFB9313-19D9-4A1B-9D52-28B4C4E1438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C772CDEF-4B49-4CFA-A8A8-3F9A22C4AEA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6FA28620-93BF-403A-89AA-DEF7EFD51B1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5D29B390-D6CD-4A08-9641-C0A4AF232EB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03" operator="containsText" text="허하나로" id="{DCB723A8-B16B-4F55-A142-7E36B3833F0A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307D23A8-BCD0-41A0-879D-52FBDD86F4B2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59DCB63D-60AD-4B3A-AE21-A95812E94686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8BFEAD57-7A92-4AF8-98CD-5FFD139324A5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34BFC8A7-C9CB-4655-A80B-2A6DFFF6B99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B24BF2D4-DB5D-4EB4-8F4B-6D009B95AE1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91" operator="containsText" text="허하나로" id="{274D4AB6-36A7-4A65-877F-2AE74A079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BE363504-F5A4-4759-87D3-62329E58084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29A2C3FC-77F7-457E-93B6-F6C4C819A20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6578C41D-08D7-43C2-9741-262778BDEBD9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CEE9D741-C4E3-4621-ACCC-0A0490076D3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FB47FD5F-3927-4CA0-84D4-306DD6EF16C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85" operator="containsText" text="허하나로" id="{8A68CF4B-600A-4514-B1C6-BC99A6F110B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C9BBE1EB-34E5-4D2B-8BEB-595A8929555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FA0A74EB-4106-4917-BA28-B4DCE1C7584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7735151E-B75C-4FE1-97B1-DA0A5FF54F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2F308FA7-B9C5-41AA-865B-E466B659C76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34A3E008-6C05-4B27-A478-07F75389ED9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67" operator="containsText" text="허하나로" id="{AF748F91-B999-4B97-A16A-710CAE99A7BF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56B3B6B6-3BE3-4430-9C7D-8585CE22A4B6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E15898C1-AC4B-4521-A18B-7ADD0D0CD7C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73F0802D-7E5E-416D-8B9B-EDD7817575D7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8D0B8406-462F-421E-B786-8B23B0098B8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C3CB3B8F-FBC0-45CE-AA61-C66D78F29CBF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61" operator="containsText" text="허하나로" id="{4757BA95-B130-4817-952E-527895860DD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FC6CF46E-9E86-4364-9CA5-0EE27FF7F17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BE1E2E1A-8E13-49B3-BA1A-9CB4AA6CBF56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DE6C79B6-C280-491E-AABC-F2E6C6F6DD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28057FDF-D15E-4939-BCDB-5CEED1C16B08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2C6F487A-D78C-4C11-987B-07DA04B0CA3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55" operator="containsText" text="허하나로" id="{39A7311B-562A-49B1-9FC2-5CD0E73E7EA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A90E9DA-87CC-40CA-BCF3-78DAA3FC4EE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6B816CE-B40F-4B67-80C5-2D55B957AD20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FE6B0A88-E49F-4FF6-90E1-C368D755ECF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FD5ACCF8-B9E0-4A64-8BFF-083D822140E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445A882D-0E1E-4F43-86F0-9F35BB9AB9BB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ontainsText" priority="43" operator="containsText" text="허하나로" id="{7783D2DD-F3E7-4BFD-922D-E976F7EBF1A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4421D622-DBD2-4D0F-A119-CA7508CE514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01AE0E8B-AA57-4427-AD1C-F7053F68CB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2E51FD6-FF3C-4225-A5DE-1F6FA3791E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EEA3BD86-3E58-4F35-A765-BEA8C917002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646BBEFE-000A-40F8-A39B-CA1357EC622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1" operator="containsText" text="허하나로" id="{FE4C0CD3-EE1F-4A6F-821F-F646FB540B6B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39DB81EC-C4DD-43FE-AEF6-D300D0989D5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C13F8EFD-6553-4100-83F9-A7E5286B026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34D10E52-00F8-4AE2-B387-9648745DDEA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EEFB477E-9369-417E-B421-7065A2CDDB59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979A528F-F2F8-46E4-8117-CBDA7442474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M62"/>
  <sheetViews>
    <sheetView zoomScale="85" zoomScaleNormal="85" workbookViewId="0">
      <selection activeCell="G12" sqref="G1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bestFit="1" customWidth="1"/>
    <col min="10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>
      <c r="A1" s="88" t="s">
        <v>244</v>
      </c>
      <c r="B1" s="43"/>
      <c r="C1" s="88"/>
      <c r="D1" s="88"/>
      <c r="E1" s="88"/>
      <c r="F1" s="88"/>
      <c r="G1" s="182"/>
      <c r="H1" s="183"/>
      <c r="I1" s="183"/>
      <c r="J1" s="182"/>
      <c r="K1" s="182"/>
      <c r="L1" s="182"/>
      <c r="M1" s="279" t="s">
        <v>224</v>
      </c>
    </row>
    <row r="2" spans="1:13" ht="16.5" customHeight="1">
      <c r="A2" s="704" t="s">
        <v>225</v>
      </c>
      <c r="B2" s="706" t="s">
        <v>226</v>
      </c>
      <c r="C2" s="707"/>
      <c r="D2" s="708"/>
      <c r="E2" s="706" t="s">
        <v>227</v>
      </c>
      <c r="F2" s="707"/>
      <c r="G2" s="708"/>
      <c r="H2" s="682" t="s">
        <v>704</v>
      </c>
      <c r="I2" s="682" t="s">
        <v>705</v>
      </c>
      <c r="J2" s="709" t="s">
        <v>463</v>
      </c>
      <c r="K2" s="694" t="s">
        <v>1</v>
      </c>
      <c r="L2" s="694"/>
      <c r="M2" s="695"/>
    </row>
    <row r="3" spans="1:13" ht="17.25" thickBot="1">
      <c r="A3" s="705"/>
      <c r="B3" s="119" t="s">
        <v>228</v>
      </c>
      <c r="C3" s="119" t="s">
        <v>229</v>
      </c>
      <c r="D3" s="119" t="s">
        <v>230</v>
      </c>
      <c r="E3" s="119" t="s">
        <v>231</v>
      </c>
      <c r="F3" s="119" t="s">
        <v>232</v>
      </c>
      <c r="G3" s="119" t="s">
        <v>233</v>
      </c>
      <c r="H3" s="683"/>
      <c r="I3" s="683"/>
      <c r="J3" s="710"/>
      <c r="K3" s="718"/>
      <c r="L3" s="718"/>
      <c r="M3" s="719"/>
    </row>
    <row r="4" spans="1:13" ht="17.25" thickBot="1">
      <c r="A4" s="699" t="s">
        <v>234</v>
      </c>
      <c r="B4" s="700"/>
      <c r="C4" s="700"/>
      <c r="D4" s="700"/>
      <c r="E4" s="700"/>
      <c r="F4" s="700"/>
      <c r="G4" s="701"/>
      <c r="H4" s="280">
        <f>H5+H15</f>
        <v>12530000</v>
      </c>
      <c r="I4" s="320">
        <v>9070000</v>
      </c>
      <c r="J4" s="120">
        <f>H4-I4</f>
        <v>3460000</v>
      </c>
      <c r="K4" s="89"/>
      <c r="L4" s="90"/>
      <c r="M4" s="121"/>
    </row>
    <row r="5" spans="1:13">
      <c r="A5" s="559" t="s">
        <v>235</v>
      </c>
      <c r="B5" s="560"/>
      <c r="C5" s="123"/>
      <c r="D5" s="123"/>
      <c r="E5" s="123"/>
      <c r="F5" s="123"/>
      <c r="G5" s="124"/>
      <c r="H5" s="281">
        <f>H6</f>
        <v>6260000</v>
      </c>
      <c r="I5" s="561">
        <v>5500000</v>
      </c>
      <c r="J5" s="562">
        <f t="shared" ref="J5:J7" si="0">H5-I5</f>
        <v>760000</v>
      </c>
      <c r="K5" s="563"/>
      <c r="L5" s="564"/>
      <c r="M5" s="565"/>
    </row>
    <row r="6" spans="1:13">
      <c r="A6" s="285"/>
      <c r="B6" s="286" t="s">
        <v>265</v>
      </c>
      <c r="C6" s="129"/>
      <c r="D6" s="130"/>
      <c r="E6" s="130"/>
      <c r="F6" s="130"/>
      <c r="G6" s="131"/>
      <c r="H6" s="91">
        <f t="shared" ref="H6" si="1">H7</f>
        <v>6260000</v>
      </c>
      <c r="I6" s="91">
        <v>5500000</v>
      </c>
      <c r="J6" s="95">
        <f>H6-I6</f>
        <v>760000</v>
      </c>
      <c r="K6" s="78"/>
      <c r="L6" s="79"/>
      <c r="M6" s="80"/>
    </row>
    <row r="7" spans="1:13">
      <c r="A7" s="10"/>
      <c r="B7" s="6"/>
      <c r="C7" s="129" t="s">
        <v>266</v>
      </c>
      <c r="D7" s="130"/>
      <c r="E7" s="130"/>
      <c r="F7" s="130"/>
      <c r="G7" s="131"/>
      <c r="H7" s="94">
        <f>H8</f>
        <v>6260000</v>
      </c>
      <c r="I7" s="94">
        <v>5500000</v>
      </c>
      <c r="J7" s="95">
        <f t="shared" si="0"/>
        <v>760000</v>
      </c>
      <c r="K7" s="78"/>
      <c r="L7" s="79"/>
      <c r="M7" s="80"/>
    </row>
    <row r="8" spans="1:13">
      <c r="A8" s="10"/>
      <c r="B8" s="6"/>
      <c r="C8" s="6"/>
      <c r="D8" s="129" t="s">
        <v>379</v>
      </c>
      <c r="E8" s="130"/>
      <c r="F8" s="130"/>
      <c r="G8" s="131"/>
      <c r="H8" s="132">
        <f t="shared" ref="H8:H9" si="2">H9</f>
        <v>6260000</v>
      </c>
      <c r="I8" s="132">
        <v>5500000</v>
      </c>
      <c r="J8" s="92">
        <f t="shared" ref="J8:J11" si="3">H8-I8</f>
        <v>760000</v>
      </c>
      <c r="K8" s="159"/>
      <c r="L8" s="148"/>
      <c r="M8" s="149"/>
    </row>
    <row r="9" spans="1:13">
      <c r="A9" s="10"/>
      <c r="B9" s="6"/>
      <c r="C9" s="134"/>
      <c r="D9" s="135"/>
      <c r="E9" s="129" t="s">
        <v>236</v>
      </c>
      <c r="F9" s="130"/>
      <c r="G9" s="131"/>
      <c r="H9" s="91">
        <f t="shared" si="2"/>
        <v>6260000</v>
      </c>
      <c r="I9" s="91">
        <v>5500000</v>
      </c>
      <c r="J9" s="95">
        <f t="shared" si="3"/>
        <v>760000</v>
      </c>
      <c r="K9" s="84"/>
      <c r="L9" s="93"/>
      <c r="M9" s="82"/>
    </row>
    <row r="10" spans="1:13">
      <c r="A10" s="63"/>
      <c r="B10" s="65"/>
      <c r="C10" s="185"/>
      <c r="D10" s="186"/>
      <c r="E10" s="187"/>
      <c r="F10" s="136" t="s">
        <v>237</v>
      </c>
      <c r="G10" s="188"/>
      <c r="H10" s="72">
        <f>H11</f>
        <v>6260000</v>
      </c>
      <c r="I10" s="72">
        <v>5500000</v>
      </c>
      <c r="J10" s="72">
        <f t="shared" si="3"/>
        <v>760000</v>
      </c>
      <c r="K10" s="219"/>
      <c r="L10" s="53"/>
      <c r="M10" s="40"/>
    </row>
    <row r="11" spans="1:13">
      <c r="A11" s="63"/>
      <c r="B11" s="65"/>
      <c r="C11" s="65"/>
      <c r="D11" s="144"/>
      <c r="E11" s="189"/>
      <c r="F11" s="189"/>
      <c r="G11" s="68" t="s">
        <v>358</v>
      </c>
      <c r="H11" s="73">
        <f>M11</f>
        <v>6260000</v>
      </c>
      <c r="I11" s="73">
        <v>5500000</v>
      </c>
      <c r="J11" s="73">
        <f t="shared" si="3"/>
        <v>760000</v>
      </c>
      <c r="K11" s="83" t="s">
        <v>380</v>
      </c>
      <c r="L11" s="44"/>
      <c r="M11" s="217">
        <f>M14</f>
        <v>6260000</v>
      </c>
    </row>
    <row r="12" spans="1:13">
      <c r="A12" s="63"/>
      <c r="B12" s="65"/>
      <c r="C12" s="65"/>
      <c r="D12" s="144"/>
      <c r="E12" s="189"/>
      <c r="F12" s="189"/>
      <c r="G12" s="360"/>
      <c r="H12" s="74"/>
      <c r="I12" s="74"/>
      <c r="J12" s="74"/>
      <c r="K12" s="668" t="s">
        <v>790</v>
      </c>
      <c r="L12" s="45" t="s">
        <v>238</v>
      </c>
      <c r="M12" s="190">
        <v>5500000</v>
      </c>
    </row>
    <row r="13" spans="1:13">
      <c r="A13" s="63"/>
      <c r="B13" s="358"/>
      <c r="C13" s="358"/>
      <c r="D13" s="359"/>
      <c r="E13" s="360"/>
      <c r="F13" s="360"/>
      <c r="G13" s="358"/>
      <c r="H13" s="50"/>
      <c r="I13" s="50"/>
      <c r="J13" s="50"/>
      <c r="K13" s="622" t="s">
        <v>892</v>
      </c>
      <c r="L13" s="375"/>
      <c r="M13" s="379"/>
    </row>
    <row r="14" spans="1:13">
      <c r="A14" s="566"/>
      <c r="B14" s="469"/>
      <c r="C14" s="469"/>
      <c r="D14" s="498"/>
      <c r="E14" s="536"/>
      <c r="F14" s="536"/>
      <c r="G14" s="498"/>
      <c r="H14" s="145"/>
      <c r="I14" s="145"/>
      <c r="J14" s="145"/>
      <c r="K14" s="737" t="s">
        <v>912</v>
      </c>
      <c r="L14" s="730" t="s">
        <v>0</v>
      </c>
      <c r="M14" s="728">
        <v>6260000</v>
      </c>
    </row>
    <row r="15" spans="1:13">
      <c r="A15" s="282" t="s">
        <v>188</v>
      </c>
      <c r="B15" s="534"/>
      <c r="C15" s="537"/>
      <c r="D15" s="537"/>
      <c r="E15" s="537"/>
      <c r="F15" s="537"/>
      <c r="G15" s="538"/>
      <c r="H15" s="316">
        <f>H16+H45</f>
        <v>6270000</v>
      </c>
      <c r="I15" s="316">
        <v>3570000</v>
      </c>
      <c r="J15" s="539">
        <f t="shared" ref="J15" si="4">H15-I15</f>
        <v>2700000</v>
      </c>
      <c r="K15" s="402"/>
      <c r="L15" s="403"/>
      <c r="M15" s="419"/>
    </row>
    <row r="16" spans="1:13">
      <c r="A16" s="285"/>
      <c r="B16" s="349" t="s">
        <v>267</v>
      </c>
      <c r="C16" s="349"/>
      <c r="D16" s="453"/>
      <c r="E16" s="453"/>
      <c r="F16" s="453"/>
      <c r="G16" s="454"/>
      <c r="H16" s="92">
        <f t="shared" ref="H16:H18" si="5">H17</f>
        <v>4680000</v>
      </c>
      <c r="I16" s="92">
        <v>1980000</v>
      </c>
      <c r="J16" s="95">
        <f>H16-I16</f>
        <v>2700000</v>
      </c>
      <c r="K16" s="402"/>
      <c r="L16" s="403"/>
      <c r="M16" s="419"/>
    </row>
    <row r="17" spans="1:13">
      <c r="A17" s="10"/>
      <c r="B17" s="455"/>
      <c r="C17" s="349" t="s">
        <v>269</v>
      </c>
      <c r="D17" s="453"/>
      <c r="E17" s="453"/>
      <c r="F17" s="453"/>
      <c r="G17" s="454"/>
      <c r="H17" s="95">
        <f>SUM(H18,H25,H35,H40)</f>
        <v>4680000</v>
      </c>
      <c r="I17" s="95">
        <v>1980000</v>
      </c>
      <c r="J17" s="95">
        <f t="shared" ref="J17:J21" si="6">H17-I17</f>
        <v>2700000</v>
      </c>
      <c r="K17" s="402"/>
      <c r="L17" s="403"/>
      <c r="M17" s="419"/>
    </row>
    <row r="18" spans="1:13">
      <c r="A18" s="10"/>
      <c r="B18" s="455"/>
      <c r="C18" s="535"/>
      <c r="D18" s="349" t="s">
        <v>392</v>
      </c>
      <c r="E18" s="453"/>
      <c r="F18" s="453"/>
      <c r="G18" s="454"/>
      <c r="H18" s="456">
        <f t="shared" si="5"/>
        <v>2200000</v>
      </c>
      <c r="I18" s="456">
        <v>1200000</v>
      </c>
      <c r="J18" s="95">
        <f t="shared" si="6"/>
        <v>1000000</v>
      </c>
      <c r="K18" s="350"/>
      <c r="L18" s="405"/>
      <c r="M18" s="419"/>
    </row>
    <row r="19" spans="1:13">
      <c r="A19" s="10"/>
      <c r="B19" s="455"/>
      <c r="C19" s="457"/>
      <c r="D19" s="458"/>
      <c r="E19" s="349" t="s">
        <v>409</v>
      </c>
      <c r="F19" s="453"/>
      <c r="G19" s="454"/>
      <c r="H19" s="92">
        <f>H20</f>
        <v>2200000</v>
      </c>
      <c r="I19" s="92">
        <v>1200000</v>
      </c>
      <c r="J19" s="95">
        <f t="shared" si="6"/>
        <v>1000000</v>
      </c>
      <c r="K19" s="351"/>
      <c r="L19" s="391"/>
      <c r="M19" s="392"/>
    </row>
    <row r="20" spans="1:13">
      <c r="A20" s="63"/>
      <c r="B20" s="358"/>
      <c r="C20" s="460"/>
      <c r="D20" s="461"/>
      <c r="E20" s="462"/>
      <c r="F20" s="463" t="s">
        <v>410</v>
      </c>
      <c r="G20" s="464"/>
      <c r="H20" s="98">
        <f>SUM(H21)</f>
        <v>2200000</v>
      </c>
      <c r="I20" s="98">
        <v>1200000</v>
      </c>
      <c r="J20" s="98">
        <f t="shared" si="6"/>
        <v>1000000</v>
      </c>
      <c r="K20" s="420"/>
      <c r="L20" s="352"/>
      <c r="M20" s="394"/>
    </row>
    <row r="21" spans="1:13">
      <c r="A21" s="63"/>
      <c r="B21" s="358"/>
      <c r="C21" s="358"/>
      <c r="D21" s="359"/>
      <c r="E21" s="360"/>
      <c r="F21" s="360"/>
      <c r="G21" s="540" t="s">
        <v>408</v>
      </c>
      <c r="H21" s="41">
        <f>M21</f>
        <v>2200000</v>
      </c>
      <c r="I21" s="41">
        <v>1200000</v>
      </c>
      <c r="J21" s="41">
        <f t="shared" si="6"/>
        <v>1000000</v>
      </c>
      <c r="K21" s="590" t="s">
        <v>411</v>
      </c>
      <c r="L21" s="387"/>
      <c r="M21" s="388">
        <f>SUM(M24)</f>
        <v>2200000</v>
      </c>
    </row>
    <row r="22" spans="1:13">
      <c r="A22" s="63"/>
      <c r="B22" s="358"/>
      <c r="C22" s="358"/>
      <c r="D22" s="359"/>
      <c r="E22" s="360"/>
      <c r="F22" s="360"/>
      <c r="G22" s="358"/>
      <c r="H22" s="50"/>
      <c r="I22" s="50"/>
      <c r="J22" s="50"/>
      <c r="K22" s="621" t="s">
        <v>798</v>
      </c>
      <c r="L22" s="375" t="s">
        <v>0</v>
      </c>
      <c r="M22" s="374">
        <v>1200000</v>
      </c>
    </row>
    <row r="23" spans="1:13">
      <c r="A23" s="63"/>
      <c r="B23" s="358"/>
      <c r="C23" s="358"/>
      <c r="D23" s="359"/>
      <c r="E23" s="360"/>
      <c r="F23" s="360"/>
      <c r="G23" s="358"/>
      <c r="H23" s="50"/>
      <c r="I23" s="50"/>
      <c r="J23" s="50"/>
      <c r="K23" s="622" t="s">
        <v>772</v>
      </c>
      <c r="L23" s="375"/>
      <c r="M23" s="379"/>
    </row>
    <row r="24" spans="1:13" ht="24">
      <c r="A24" s="63"/>
      <c r="B24" s="358"/>
      <c r="C24" s="358"/>
      <c r="D24" s="498"/>
      <c r="E24" s="536"/>
      <c r="F24" s="536"/>
      <c r="G24" s="498"/>
      <c r="H24" s="145"/>
      <c r="I24" s="145"/>
      <c r="J24" s="145"/>
      <c r="K24" s="558" t="s">
        <v>796</v>
      </c>
      <c r="L24" s="377" t="s">
        <v>238</v>
      </c>
      <c r="M24" s="381">
        <v>2200000</v>
      </c>
    </row>
    <row r="25" spans="1:13">
      <c r="A25" s="10"/>
      <c r="B25" s="455"/>
      <c r="C25" s="473"/>
      <c r="D25" s="534" t="s">
        <v>391</v>
      </c>
      <c r="E25" s="537"/>
      <c r="F25" s="537"/>
      <c r="G25" s="538"/>
      <c r="H25" s="542">
        <f t="shared" ref="H25:H26" si="7">H26</f>
        <v>2000000</v>
      </c>
      <c r="I25" s="542">
        <v>300000</v>
      </c>
      <c r="J25" s="95">
        <f t="shared" ref="J25:J28" si="8">H25-I25</f>
        <v>1700000</v>
      </c>
      <c r="K25" s="567"/>
      <c r="L25" s="405"/>
      <c r="M25" s="419"/>
    </row>
    <row r="26" spans="1:13">
      <c r="A26" s="10"/>
      <c r="B26" s="455"/>
      <c r="C26" s="457"/>
      <c r="D26" s="458"/>
      <c r="E26" s="349" t="s">
        <v>409</v>
      </c>
      <c r="F26" s="453"/>
      <c r="G26" s="454"/>
      <c r="H26" s="92">
        <f t="shared" si="7"/>
        <v>2000000</v>
      </c>
      <c r="I26" s="92">
        <v>300000</v>
      </c>
      <c r="J26" s="95">
        <f t="shared" si="8"/>
        <v>1700000</v>
      </c>
      <c r="K26" s="351"/>
      <c r="L26" s="391"/>
      <c r="M26" s="392"/>
    </row>
    <row r="27" spans="1:13">
      <c r="A27" s="63"/>
      <c r="B27" s="358"/>
      <c r="C27" s="460"/>
      <c r="D27" s="461"/>
      <c r="E27" s="462"/>
      <c r="F27" s="463" t="s">
        <v>410</v>
      </c>
      <c r="G27" s="464"/>
      <c r="H27" s="98">
        <f>SUM(H28,H32)</f>
        <v>2000000</v>
      </c>
      <c r="I27" s="98">
        <v>300000</v>
      </c>
      <c r="J27" s="98">
        <f t="shared" si="8"/>
        <v>1700000</v>
      </c>
      <c r="K27" s="420"/>
      <c r="L27" s="352"/>
      <c r="M27" s="394"/>
    </row>
    <row r="28" spans="1:13">
      <c r="A28" s="63"/>
      <c r="B28" s="358"/>
      <c r="C28" s="358"/>
      <c r="D28" s="359"/>
      <c r="E28" s="360"/>
      <c r="F28" s="360"/>
      <c r="G28" s="540" t="s">
        <v>408</v>
      </c>
      <c r="H28" s="41">
        <f>M28</f>
        <v>1990956</v>
      </c>
      <c r="I28" s="41">
        <v>300000</v>
      </c>
      <c r="J28" s="41">
        <f t="shared" si="8"/>
        <v>1690956</v>
      </c>
      <c r="K28" s="590" t="s">
        <v>411</v>
      </c>
      <c r="L28" s="387"/>
      <c r="M28" s="388">
        <f>SUM(M31)</f>
        <v>1990956</v>
      </c>
    </row>
    <row r="29" spans="1:13">
      <c r="A29" s="63"/>
      <c r="B29" s="358"/>
      <c r="C29" s="358"/>
      <c r="D29" s="359"/>
      <c r="E29" s="360"/>
      <c r="F29" s="360"/>
      <c r="G29" s="358"/>
      <c r="H29" s="50"/>
      <c r="I29" s="50"/>
      <c r="J29" s="50"/>
      <c r="K29" s="621" t="s">
        <v>936</v>
      </c>
      <c r="L29" s="375" t="s">
        <v>0</v>
      </c>
      <c r="M29" s="374">
        <v>300000</v>
      </c>
    </row>
    <row r="30" spans="1:13">
      <c r="A30" s="63"/>
      <c r="B30" s="358"/>
      <c r="C30" s="358"/>
      <c r="D30" s="359"/>
      <c r="E30" s="360"/>
      <c r="F30" s="360"/>
      <c r="G30" s="358"/>
      <c r="H30" s="50"/>
      <c r="I30" s="50"/>
      <c r="J30" s="50"/>
      <c r="K30" s="622" t="s">
        <v>772</v>
      </c>
      <c r="L30" s="375"/>
      <c r="M30" s="379"/>
    </row>
    <row r="31" spans="1:13">
      <c r="A31" s="63"/>
      <c r="B31" s="358"/>
      <c r="C31" s="358"/>
      <c r="D31" s="359"/>
      <c r="E31" s="360"/>
      <c r="F31" s="359"/>
      <c r="G31" s="498"/>
      <c r="H31" s="145"/>
      <c r="I31" s="145"/>
      <c r="J31" s="145"/>
      <c r="K31" s="558" t="s">
        <v>937</v>
      </c>
      <c r="L31" s="377" t="s">
        <v>238</v>
      </c>
      <c r="M31" s="381">
        <v>1990956</v>
      </c>
    </row>
    <row r="32" spans="1:13">
      <c r="A32" s="63"/>
      <c r="B32" s="358"/>
      <c r="C32" s="358"/>
      <c r="D32" s="359"/>
      <c r="E32" s="360"/>
      <c r="F32" s="360"/>
      <c r="G32" s="540" t="s">
        <v>797</v>
      </c>
      <c r="H32" s="41">
        <f>M32</f>
        <v>9044</v>
      </c>
      <c r="I32" s="41">
        <v>0</v>
      </c>
      <c r="J32" s="41">
        <f t="shared" ref="J32" si="9">H32-I32</f>
        <v>9044</v>
      </c>
      <c r="K32" s="590" t="s">
        <v>799</v>
      </c>
      <c r="L32" s="387"/>
      <c r="M32" s="388">
        <f>SUM(M34)</f>
        <v>9044</v>
      </c>
    </row>
    <row r="33" spans="1:13">
      <c r="A33" s="63"/>
      <c r="B33" s="358"/>
      <c r="C33" s="358"/>
      <c r="D33" s="359"/>
      <c r="E33" s="360"/>
      <c r="F33" s="360"/>
      <c r="G33" s="358"/>
      <c r="H33" s="50"/>
      <c r="I33" s="50"/>
      <c r="J33" s="50"/>
      <c r="K33" s="622" t="s">
        <v>772</v>
      </c>
      <c r="L33" s="375"/>
      <c r="M33" s="379"/>
    </row>
    <row r="34" spans="1:13">
      <c r="A34" s="63"/>
      <c r="B34" s="358"/>
      <c r="C34" s="358"/>
      <c r="D34" s="498"/>
      <c r="E34" s="536"/>
      <c r="F34" s="498"/>
      <c r="G34" s="498"/>
      <c r="H34" s="145"/>
      <c r="I34" s="145"/>
      <c r="J34" s="145"/>
      <c r="K34" s="558" t="s">
        <v>800</v>
      </c>
      <c r="L34" s="377" t="s">
        <v>37</v>
      </c>
      <c r="M34" s="381">
        <v>9044</v>
      </c>
    </row>
    <row r="35" spans="1:13">
      <c r="A35" s="10"/>
      <c r="B35" s="455"/>
      <c r="C35" s="473"/>
      <c r="D35" s="534" t="s">
        <v>393</v>
      </c>
      <c r="E35" s="537"/>
      <c r="F35" s="537"/>
      <c r="G35" s="538"/>
      <c r="H35" s="542">
        <f t="shared" ref="H35:H36" si="10">H36</f>
        <v>90000</v>
      </c>
      <c r="I35" s="542">
        <v>90000</v>
      </c>
      <c r="J35" s="95">
        <f t="shared" ref="J35:J38" si="11">H35-I35</f>
        <v>0</v>
      </c>
      <c r="K35" s="350"/>
      <c r="L35" s="405"/>
      <c r="M35" s="419"/>
    </row>
    <row r="36" spans="1:13">
      <c r="A36" s="10"/>
      <c r="B36" s="455"/>
      <c r="C36" s="457"/>
      <c r="D36" s="458"/>
      <c r="E36" s="349" t="s">
        <v>409</v>
      </c>
      <c r="F36" s="453"/>
      <c r="G36" s="454"/>
      <c r="H36" s="92">
        <f t="shared" si="10"/>
        <v>90000</v>
      </c>
      <c r="I36" s="92">
        <v>90000</v>
      </c>
      <c r="J36" s="95">
        <f t="shared" si="11"/>
        <v>0</v>
      </c>
      <c r="K36" s="351"/>
      <c r="L36" s="391"/>
      <c r="M36" s="392"/>
    </row>
    <row r="37" spans="1:13">
      <c r="A37" s="63"/>
      <c r="B37" s="358"/>
      <c r="C37" s="460"/>
      <c r="D37" s="461"/>
      <c r="E37" s="462"/>
      <c r="F37" s="463" t="s">
        <v>410</v>
      </c>
      <c r="G37" s="464"/>
      <c r="H37" s="98">
        <f>SUM(H38)</f>
        <v>90000</v>
      </c>
      <c r="I37" s="98">
        <v>90000</v>
      </c>
      <c r="J37" s="98">
        <f t="shared" si="11"/>
        <v>0</v>
      </c>
      <c r="K37" s="420"/>
      <c r="L37" s="352"/>
      <c r="M37" s="394"/>
    </row>
    <row r="38" spans="1:13">
      <c r="A38" s="63"/>
      <c r="B38" s="358"/>
      <c r="C38" s="358"/>
      <c r="D38" s="359"/>
      <c r="E38" s="360"/>
      <c r="F38" s="360"/>
      <c r="G38" s="361" t="s">
        <v>408</v>
      </c>
      <c r="H38" s="41">
        <f>M38</f>
        <v>90000</v>
      </c>
      <c r="I38" s="41">
        <v>90000</v>
      </c>
      <c r="J38" s="41">
        <f t="shared" si="11"/>
        <v>0</v>
      </c>
      <c r="K38" s="591" t="s">
        <v>411</v>
      </c>
      <c r="L38" s="387"/>
      <c r="M38" s="388">
        <f>M39</f>
        <v>90000</v>
      </c>
    </row>
    <row r="39" spans="1:13">
      <c r="A39" s="63"/>
      <c r="B39" s="358"/>
      <c r="C39" s="358"/>
      <c r="D39" s="498"/>
      <c r="E39" s="536"/>
      <c r="F39" s="536"/>
      <c r="G39" s="498"/>
      <c r="H39" s="145"/>
      <c r="I39" s="145"/>
      <c r="J39" s="145"/>
      <c r="K39" s="558" t="s">
        <v>791</v>
      </c>
      <c r="L39" s="377" t="s">
        <v>238</v>
      </c>
      <c r="M39" s="381">
        <v>90000</v>
      </c>
    </row>
    <row r="40" spans="1:13">
      <c r="A40" s="10"/>
      <c r="B40" s="455"/>
      <c r="C40" s="473"/>
      <c r="D40" s="534" t="s">
        <v>394</v>
      </c>
      <c r="E40" s="537"/>
      <c r="F40" s="537"/>
      <c r="G40" s="538"/>
      <c r="H40" s="542">
        <f t="shared" ref="H40:H41" si="12">H41</f>
        <v>390000</v>
      </c>
      <c r="I40" s="542">
        <v>390000</v>
      </c>
      <c r="J40" s="95">
        <f t="shared" ref="J40:J43" si="13">H40-I40</f>
        <v>0</v>
      </c>
      <c r="K40" s="543"/>
      <c r="L40" s="405"/>
      <c r="M40" s="419"/>
    </row>
    <row r="41" spans="1:13">
      <c r="A41" s="10"/>
      <c r="B41" s="455"/>
      <c r="C41" s="457"/>
      <c r="D41" s="458"/>
      <c r="E41" s="349" t="s">
        <v>409</v>
      </c>
      <c r="F41" s="453"/>
      <c r="G41" s="454"/>
      <c r="H41" s="92">
        <f t="shared" si="12"/>
        <v>390000</v>
      </c>
      <c r="I41" s="92">
        <v>390000</v>
      </c>
      <c r="J41" s="95">
        <f t="shared" si="13"/>
        <v>0</v>
      </c>
      <c r="K41" s="351"/>
      <c r="L41" s="391"/>
      <c r="M41" s="392"/>
    </row>
    <row r="42" spans="1:13">
      <c r="A42" s="63"/>
      <c r="B42" s="358"/>
      <c r="C42" s="460"/>
      <c r="D42" s="461"/>
      <c r="E42" s="462"/>
      <c r="F42" s="463" t="s">
        <v>410</v>
      </c>
      <c r="G42" s="464"/>
      <c r="H42" s="98">
        <f>SUM(H43)</f>
        <v>390000</v>
      </c>
      <c r="I42" s="98">
        <v>390000</v>
      </c>
      <c r="J42" s="98">
        <f t="shared" si="13"/>
        <v>0</v>
      </c>
      <c r="K42" s="420"/>
      <c r="L42" s="352"/>
      <c r="M42" s="394"/>
    </row>
    <row r="43" spans="1:13">
      <c r="A43" s="63"/>
      <c r="B43" s="358"/>
      <c r="C43" s="358"/>
      <c r="D43" s="359"/>
      <c r="E43" s="360"/>
      <c r="F43" s="360"/>
      <c r="G43" s="361" t="s">
        <v>408</v>
      </c>
      <c r="H43" s="41">
        <f>M43</f>
        <v>390000</v>
      </c>
      <c r="I43" s="41">
        <v>390000</v>
      </c>
      <c r="J43" s="41">
        <f t="shared" si="13"/>
        <v>0</v>
      </c>
      <c r="K43" s="591" t="s">
        <v>412</v>
      </c>
      <c r="L43" s="387"/>
      <c r="M43" s="388">
        <f>M44</f>
        <v>390000</v>
      </c>
    </row>
    <row r="44" spans="1:13">
      <c r="A44" s="63"/>
      <c r="B44" s="469"/>
      <c r="C44" s="469"/>
      <c r="D44" s="498"/>
      <c r="E44" s="536"/>
      <c r="F44" s="536"/>
      <c r="G44" s="536"/>
      <c r="H44" s="145"/>
      <c r="I44" s="145"/>
      <c r="J44" s="145"/>
      <c r="K44" s="558" t="s">
        <v>792</v>
      </c>
      <c r="L44" s="377" t="s">
        <v>238</v>
      </c>
      <c r="M44" s="381">
        <v>390000</v>
      </c>
    </row>
    <row r="45" spans="1:13">
      <c r="A45" s="285"/>
      <c r="B45" s="283" t="s">
        <v>270</v>
      </c>
      <c r="C45" s="260"/>
      <c r="D45" s="261"/>
      <c r="E45" s="261"/>
      <c r="F45" s="261"/>
      <c r="G45" s="538"/>
      <c r="H45" s="94">
        <f t="shared" ref="H45:H58" si="14">H46</f>
        <v>1590000</v>
      </c>
      <c r="I45" s="94">
        <v>1590000</v>
      </c>
      <c r="J45" s="95">
        <f>H45-I45</f>
        <v>0</v>
      </c>
      <c r="K45" s="530"/>
      <c r="L45" s="403"/>
      <c r="M45" s="419"/>
    </row>
    <row r="46" spans="1:13">
      <c r="A46" s="10"/>
      <c r="B46" s="6"/>
      <c r="C46" s="129" t="s">
        <v>271</v>
      </c>
      <c r="D46" s="130"/>
      <c r="E46" s="130"/>
      <c r="F46" s="130"/>
      <c r="G46" s="454"/>
      <c r="H46" s="94">
        <f>SUM(H47,H57)</f>
        <v>1590000</v>
      </c>
      <c r="I46" s="94">
        <v>1590000</v>
      </c>
      <c r="J46" s="95">
        <f t="shared" ref="J46:J60" si="15">H46-I46</f>
        <v>0</v>
      </c>
      <c r="K46" s="402"/>
      <c r="L46" s="403"/>
      <c r="M46" s="419"/>
    </row>
    <row r="47" spans="1:13">
      <c r="A47" s="10"/>
      <c r="B47" s="6"/>
      <c r="C47" s="7"/>
      <c r="D47" s="283" t="s">
        <v>458</v>
      </c>
      <c r="E47" s="130"/>
      <c r="F47" s="130"/>
      <c r="G47" s="454"/>
      <c r="H47" s="132">
        <f t="shared" si="14"/>
        <v>1200000</v>
      </c>
      <c r="I47" s="132">
        <v>1200000</v>
      </c>
      <c r="J47" s="95">
        <f t="shared" ref="J47:J50" si="16">H47-I47</f>
        <v>0</v>
      </c>
      <c r="K47" s="350"/>
      <c r="L47" s="405"/>
      <c r="M47" s="419"/>
    </row>
    <row r="48" spans="1:13">
      <c r="A48" s="10"/>
      <c r="B48" s="6"/>
      <c r="C48" s="134"/>
      <c r="D48" s="135"/>
      <c r="E48" s="130" t="s">
        <v>409</v>
      </c>
      <c r="F48" s="130"/>
      <c r="G48" s="454"/>
      <c r="H48" s="91">
        <f t="shared" si="14"/>
        <v>1200000</v>
      </c>
      <c r="I48" s="91">
        <v>1200000</v>
      </c>
      <c r="J48" s="95">
        <f t="shared" si="16"/>
        <v>0</v>
      </c>
      <c r="K48" s="351"/>
      <c r="L48" s="391"/>
      <c r="M48" s="392"/>
    </row>
    <row r="49" spans="1:13">
      <c r="A49" s="63"/>
      <c r="B49" s="65"/>
      <c r="C49" s="185"/>
      <c r="D49" s="186"/>
      <c r="E49" s="599"/>
      <c r="F49" s="598" t="s">
        <v>410</v>
      </c>
      <c r="G49" s="464"/>
      <c r="H49" s="72">
        <f>SUM(H50,H54)</f>
        <v>1200000</v>
      </c>
      <c r="I49" s="72">
        <v>1200000</v>
      </c>
      <c r="J49" s="72">
        <f t="shared" si="16"/>
        <v>0</v>
      </c>
      <c r="K49" s="420"/>
      <c r="L49" s="352"/>
      <c r="M49" s="394"/>
    </row>
    <row r="50" spans="1:13">
      <c r="A50" s="63"/>
      <c r="B50" s="65"/>
      <c r="C50" s="65"/>
      <c r="D50" s="144"/>
      <c r="E50" s="144"/>
      <c r="F50" s="600"/>
      <c r="G50" s="540" t="s">
        <v>408</v>
      </c>
      <c r="H50" s="73">
        <f>M50</f>
        <v>1178000</v>
      </c>
      <c r="I50" s="73">
        <v>1178000</v>
      </c>
      <c r="J50" s="73">
        <f t="shared" si="16"/>
        <v>0</v>
      </c>
      <c r="K50" s="590" t="s">
        <v>412</v>
      </c>
      <c r="L50" s="387"/>
      <c r="M50" s="388">
        <f>M53</f>
        <v>1178000</v>
      </c>
    </row>
    <row r="51" spans="1:13" ht="33" customHeight="1">
      <c r="A51" s="63"/>
      <c r="B51" s="65"/>
      <c r="C51" s="65"/>
      <c r="D51" s="144"/>
      <c r="E51" s="144"/>
      <c r="F51" s="144"/>
      <c r="G51" s="359"/>
      <c r="H51" s="74"/>
      <c r="I51" s="74"/>
      <c r="J51" s="74"/>
      <c r="K51" s="601" t="s">
        <v>693</v>
      </c>
      <c r="L51" s="375" t="s">
        <v>238</v>
      </c>
      <c r="M51" s="374">
        <v>1200000</v>
      </c>
    </row>
    <row r="52" spans="1:13">
      <c r="A52" s="63"/>
      <c r="B52" s="65"/>
      <c r="C52" s="65"/>
      <c r="D52" s="144"/>
      <c r="E52" s="144"/>
      <c r="F52" s="144"/>
      <c r="G52" s="359"/>
      <c r="H52" s="74"/>
      <c r="I52" s="74"/>
      <c r="J52" s="74"/>
      <c r="K52" s="623" t="s">
        <v>701</v>
      </c>
      <c r="L52" s="624"/>
      <c r="M52" s="625"/>
    </row>
    <row r="53" spans="1:13">
      <c r="A53" s="63"/>
      <c r="B53" s="65"/>
      <c r="C53" s="65"/>
      <c r="D53" s="144"/>
      <c r="E53" s="144"/>
      <c r="F53" s="144"/>
      <c r="G53" s="498"/>
      <c r="H53" s="71"/>
      <c r="I53" s="71"/>
      <c r="J53" s="71"/>
      <c r="K53" s="558" t="s">
        <v>794</v>
      </c>
      <c r="L53" s="377" t="s">
        <v>37</v>
      </c>
      <c r="M53" s="381">
        <v>1178000</v>
      </c>
    </row>
    <row r="54" spans="1:13">
      <c r="A54" s="63"/>
      <c r="B54" s="65"/>
      <c r="C54" s="65"/>
      <c r="D54" s="144"/>
      <c r="E54" s="144"/>
      <c r="F54" s="144"/>
      <c r="G54" s="361" t="s">
        <v>700</v>
      </c>
      <c r="H54" s="74">
        <f>M54</f>
        <v>22000</v>
      </c>
      <c r="I54" s="74">
        <v>22000</v>
      </c>
      <c r="J54" s="74">
        <f t="shared" ref="J54" si="17">H54-I54</f>
        <v>0</v>
      </c>
      <c r="K54" s="591" t="s">
        <v>702</v>
      </c>
      <c r="L54" s="375"/>
      <c r="M54" s="379">
        <f>M56</f>
        <v>22000</v>
      </c>
    </row>
    <row r="55" spans="1:13">
      <c r="A55" s="63"/>
      <c r="B55" s="65"/>
      <c r="C55" s="65"/>
      <c r="D55" s="144"/>
      <c r="E55" s="144"/>
      <c r="F55" s="144"/>
      <c r="G55" s="359"/>
      <c r="H55" s="74"/>
      <c r="I55" s="74"/>
      <c r="J55" s="74"/>
      <c r="K55" s="623" t="s">
        <v>701</v>
      </c>
      <c r="L55" s="624"/>
      <c r="M55" s="625"/>
    </row>
    <row r="56" spans="1:13">
      <c r="A56" s="63"/>
      <c r="B56" s="65"/>
      <c r="C56" s="65"/>
      <c r="D56" s="242"/>
      <c r="E56" s="242"/>
      <c r="F56" s="242"/>
      <c r="G56" s="498"/>
      <c r="H56" s="71"/>
      <c r="I56" s="71"/>
      <c r="J56" s="71"/>
      <c r="K56" s="558" t="s">
        <v>793</v>
      </c>
      <c r="L56" s="377" t="s">
        <v>37</v>
      </c>
      <c r="M56" s="381">
        <v>22000</v>
      </c>
    </row>
    <row r="57" spans="1:13">
      <c r="A57" s="10"/>
      <c r="B57" s="6"/>
      <c r="C57" s="146"/>
      <c r="D57" s="283" t="s">
        <v>455</v>
      </c>
      <c r="E57" s="261"/>
      <c r="F57" s="261"/>
      <c r="G57" s="538"/>
      <c r="H57" s="317">
        <f t="shared" si="14"/>
        <v>390000</v>
      </c>
      <c r="I57" s="317">
        <v>390000</v>
      </c>
      <c r="J57" s="95">
        <f t="shared" si="15"/>
        <v>0</v>
      </c>
      <c r="K57" s="350"/>
      <c r="L57" s="403"/>
      <c r="M57" s="419"/>
    </row>
    <row r="58" spans="1:13">
      <c r="A58" s="10"/>
      <c r="B58" s="6"/>
      <c r="C58" s="134"/>
      <c r="D58" s="135"/>
      <c r="E58" s="129" t="s">
        <v>409</v>
      </c>
      <c r="F58" s="130"/>
      <c r="G58" s="454"/>
      <c r="H58" s="91">
        <f t="shared" si="14"/>
        <v>390000</v>
      </c>
      <c r="I58" s="91">
        <v>390000</v>
      </c>
      <c r="J58" s="95">
        <f t="shared" si="15"/>
        <v>0</v>
      </c>
      <c r="K58" s="351"/>
      <c r="L58" s="391"/>
      <c r="M58" s="392"/>
    </row>
    <row r="59" spans="1:13">
      <c r="A59" s="63"/>
      <c r="B59" s="65"/>
      <c r="C59" s="185"/>
      <c r="D59" s="186"/>
      <c r="E59" s="187"/>
      <c r="F59" s="136" t="s">
        <v>410</v>
      </c>
      <c r="G59" s="464"/>
      <c r="H59" s="72">
        <f>H60</f>
        <v>390000</v>
      </c>
      <c r="I59" s="72">
        <v>390000</v>
      </c>
      <c r="J59" s="72">
        <f t="shared" si="15"/>
        <v>0</v>
      </c>
      <c r="K59" s="420"/>
      <c r="L59" s="352"/>
      <c r="M59" s="394"/>
    </row>
    <row r="60" spans="1:13">
      <c r="A60" s="63"/>
      <c r="B60" s="65"/>
      <c r="C60" s="65"/>
      <c r="D60" s="144"/>
      <c r="E60" s="189"/>
      <c r="F60" s="189"/>
      <c r="G60" s="361" t="s">
        <v>408</v>
      </c>
      <c r="H60" s="73">
        <f>M60</f>
        <v>390000</v>
      </c>
      <c r="I60" s="73">
        <v>390000</v>
      </c>
      <c r="J60" s="73">
        <f t="shared" si="15"/>
        <v>0</v>
      </c>
      <c r="K60" s="591" t="s">
        <v>411</v>
      </c>
      <c r="L60" s="387"/>
      <c r="M60" s="388">
        <f>M61</f>
        <v>390000</v>
      </c>
    </row>
    <row r="61" spans="1:13" ht="17.25" thickBot="1">
      <c r="A61" s="287"/>
      <c r="B61" s="69"/>
      <c r="C61" s="69"/>
      <c r="D61" s="288"/>
      <c r="E61" s="289"/>
      <c r="F61" s="289"/>
      <c r="G61" s="669"/>
      <c r="H61" s="579"/>
      <c r="I61" s="579"/>
      <c r="J61" s="579"/>
      <c r="K61" s="592" t="s">
        <v>795</v>
      </c>
      <c r="L61" s="593" t="s">
        <v>238</v>
      </c>
      <c r="M61" s="594">
        <v>390000</v>
      </c>
    </row>
    <row r="62" spans="1:13">
      <c r="M62" s="345"/>
    </row>
  </sheetData>
  <protectedRanges>
    <protectedRange password="ECE8" sqref="K24 K12 K39 K31 K44 K61 K51:K53 K55:K56 K34 K14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01" priority="1" operator="containsText" text="허하나로">
      <formula>NOT(ISERROR(SEARCH("허하나로",H751)))</formula>
    </cfRule>
    <cfRule type="containsText" dxfId="100" priority="2" operator="containsText" text="한별">
      <formula>NOT(ISERROR(SEARCH("한별",H751)))</formula>
    </cfRule>
    <cfRule type="containsText" dxfId="99" priority="3" operator="containsText" text="정홍조">
      <formula>NOT(ISERROR(SEARCH("정홍조",H751)))</formula>
    </cfRule>
    <cfRule type="containsText" dxfId="98" priority="4" operator="containsText" text="김지윤">
      <formula>NOT(ISERROR(SEARCH("김지윤",H751)))</formula>
    </cfRule>
    <cfRule type="containsText" dxfId="97" priority="5" operator="containsText" text="전준영">
      <formula>NOT(ISERROR(SEARCH("전준영",H751)))</formula>
    </cfRule>
    <cfRule type="containsText" dxfId="96" priority="6" operator="containsText" text="차재성">
      <formula>NOT(ISERROR(SEARCH("차재성",H751)))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9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28638BD0-53C8-416D-AEA7-086F4C3B2612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31B8AA79-2D9D-439B-8B41-94BDADC4EAE7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2CAA77AC-0EAE-4146-BD2E-0A25B355284F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EABD15A-02A5-4CD7-B34C-C4D219CEF5D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DE2AD7CF-855A-46FB-A16E-241701A3E40C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AEE920D6-A787-4F27-92F5-0E99ED63827B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21" operator="containsText" text="허하나로" id="{84ABEAFC-27D9-480D-B84A-5AB2AE61292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18453F90-08FF-4B67-9587-44306ED7AB84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B7F98469-D02B-42F6-9A10-23A76F6FE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B26ACED7-A018-4823-9868-13E68E500B40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B57C2009-3BAB-4FAC-BFF0-8C6F65377C6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051401DA-5E9B-4873-9A18-26068B845AA7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9" operator="containsText" text="허하나로" id="{89235DDE-1071-4605-B173-BD45F7FF09F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0BEF1513-C5C7-4A14-8A85-ABF4AF30D9E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0D7B9E5E-199A-48F4-A930-C4CF5DA1081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8B077B6-7E42-469C-8002-C0418CDDEE04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A9FB81D0-A109-4483-A39B-076950B959C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BECC4EFC-1168-4B65-841B-CA7EF201B0D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containsText" priority="103" operator="containsText" text="허하나로" id="{B3A30445-95BB-48BC-BEFA-67DBDC362914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01D86B-AF1F-4FE3-907A-5879EA65757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62054932-FFCF-451C-BEA2-7F4CE12449C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947ADF9A-3CB4-4157-A489-E266B4F1B3D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CBF69331-510E-4635-B572-6AC9FD061D1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E2062335-7998-4748-9E5D-147E0AC7855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85" operator="containsText" text="허하나로" id="{F0776EFC-8E3A-4D8B-AE9E-2E1EDBA61334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8F512229-F18A-4A20-B5F5-69BC952AB635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4B76C7E6-2EB9-420C-A8BC-11B4894BB93A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EAD65EB-88DD-4F85-BA94-125BAC5C1B1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A1E05917-A8AE-40A9-8B52-5ED43B4F493F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626D1A1-5D3A-425D-983F-614D41A59424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9" operator="containsText" text="허하나로" id="{DC5B024D-1B4E-421A-BB83-FCF6D1E4F405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E5CA7D-1D6C-4D7C-8468-27FCC56E497D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C33207A9-6255-4D92-9095-0A4847D4A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99EDDE61-2A77-4B38-88C3-FE33BCE7638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75CE6EAE-2881-4A24-85B3-0B07D36DB77A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2D1FF06-A19E-4B2F-8DF6-B9B2FF25737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73" operator="containsText" text="허하나로" id="{CC550875-2786-4525-A770-AB222A6D8FD8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BC767287-1A59-4639-A998-3BDEC90FE36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D166153D-029D-4502-BD50-534D2EAA8F5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DA3F8C2B-D0E6-43FA-8BC2-E707C9F5AE97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8568F444-DC9F-4978-AD82-DE423B556D25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7F4669B-1FEA-4595-B546-C2D769C41A9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J17:J19</xm:sqref>
        </x14:conditionalFormatting>
        <x14:conditionalFormatting xmlns:xm="http://schemas.microsoft.com/office/excel/2006/main">
          <x14:cfRule type="containsText" priority="67" operator="containsText" text="허하나로" id="{1A05E6F2-373C-4407-8985-E09379A0138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1DEBA8E4-D9E9-4D49-89B6-58EF0847F443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810E50D-9479-40DC-BC93-241AC65C99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2C5E59D9-E025-43FB-95E5-EC56F21BBEC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386481DC-7D83-4D78-9C0E-C737E1E4444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BA7F21-8EE3-4152-BA7D-C381E2FFBE71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ontainsText" priority="61" operator="containsText" text="허하나로" id="{BCDB1C43-8BD3-4A5F-A099-08D2EEB153A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ECCED475-948E-4E57-89C6-2900681D7E3C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38EE1CC-59A0-404E-9498-F640120BA44E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100237B7-CFCF-4A44-AB61-E7366F2D0994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1096114-70E2-4A1F-9B35-5B876634827D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B126A396-1B9B-4D8C-9D41-C2AEAC8F63C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55" operator="containsText" text="허하나로" id="{32FF62E2-9292-49F9-AF0A-F1A668DE0E1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5774498-CA8A-441F-BFFB-CD699EE3769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10E7E17-4E65-4D55-81B5-AA1282B8807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9046ACE1-3A73-4B29-8C66-7C9BC09EDBB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46DD9E08-73B5-4E8F-879C-A46E5C82CE3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AC71C39B-A6C0-4743-889B-A234260443BE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J40:J41</xm:sqref>
        </x14:conditionalFormatting>
        <x14:conditionalFormatting xmlns:xm="http://schemas.microsoft.com/office/excel/2006/main">
          <x14:cfRule type="containsText" priority="49" operator="containsText" text="허하나로" id="{FFFFD91E-9C96-4995-B143-48196195E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D63161A-A5DA-43C2-9C08-510A59DA8CD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337E64F5-C270-479D-B462-8C5967F0E03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424FB007-E177-473C-81A9-C8223BA73BE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6FA2DEEB-CDB0-4E13-823C-02D5882331D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587DA76C-E3EE-48D0-9348-80754C739E7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J46 J57:J58</xm:sqref>
        </x14:conditionalFormatting>
        <x14:conditionalFormatting xmlns:xm="http://schemas.microsoft.com/office/excel/2006/main">
          <x14:cfRule type="containsText" priority="43" operator="containsText" text="허하나로" id="{AF6B8880-4BE9-4BDA-AFAC-94CBC841699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CD10CBB-A400-4DA9-8A5F-9A605C881D25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FAEB4972-F482-4388-A2F8-EF39772D612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1D70695-6BCA-42EC-B94C-101A166A346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AB384378-222B-445C-B668-D5899361E56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BFC6D678-E726-4A71-A69B-AB24F687517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</xm:sqref>
        </x14:conditionalFormatting>
        <x14:conditionalFormatting xmlns:xm="http://schemas.microsoft.com/office/excel/2006/main">
          <x14:cfRule type="containsText" priority="31" operator="containsText" text="허하나로" id="{0E3BA01D-ECC7-494A-AEAC-5010F879D10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9CBBFD54-BE4F-4AA7-81D8-91EC2A835A0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7D3FE18A-933F-471C-94A4-538EA9D4F92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CA49F57-4BFA-4AFE-BB7F-653DD5BF07C5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A193A813-F817-4818-A6B7-4110E1F0136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FDAC11BA-64FE-4B0D-BB18-D1B7BBAECCD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J8:J9</xm:sqref>
        </x14:conditionalFormatting>
        <x14:conditionalFormatting xmlns:xm="http://schemas.microsoft.com/office/excel/2006/main">
          <x14:cfRule type="containsText" priority="19" operator="containsText" text="허하나로" id="{84129093-70EE-4B89-A62C-1FDEA92236D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5AF2A4C-A0F1-4A7F-A199-2D524EFFC8B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AB912F3-AC72-4CDE-AF9E-65095E13309C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0E705F02-76DA-4FC1-9570-9E9B2E7593BE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4B03BD70-492D-485D-A365-43CC5F74F44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A9A5827-A8DE-4868-A5C4-3F2E9033547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J35:J36</xm:sqref>
        </x14:conditionalFormatting>
        <x14:conditionalFormatting xmlns:xm="http://schemas.microsoft.com/office/excel/2006/main">
          <x14:cfRule type="containsText" priority="13" operator="containsText" text="허하나로" id="{447A8153-9EF2-4E19-945C-13F8C65C27C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69510E86-740F-4A01-A95D-65DF61C29D16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2AF5224-0E0E-46B4-BD06-74D789287F63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7E21E89-2F90-49DE-8FE8-39695615B9A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A2D81CA1-14EB-4E4B-B28B-E38733788792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2199287F-3060-45E4-B349-41F2FC40B64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J25:J26</xm:sqref>
        </x14:conditionalFormatting>
        <x14:conditionalFormatting xmlns:xm="http://schemas.microsoft.com/office/excel/2006/main">
          <x14:cfRule type="containsText" priority="7" operator="containsText" text="허하나로" id="{05A1BF34-F91C-4634-98A7-1D91EAE7F59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8FDD87EE-C560-454B-A8F0-7ACB03E05F3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F8B45D0-924A-4B86-A5F4-D058FF63E08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FE05FF8-CF4E-453B-B2A6-820F4F1D3F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4208599C-0041-488F-B5E3-8A9B19D1583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FB68A28-345C-4CD8-8A77-C58451FBBF4D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J47:J48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20</vt:i4>
      </vt:variant>
    </vt:vector>
  </HeadingPairs>
  <TitlesOfParts>
    <vt:vector size="37" baseType="lpstr">
      <vt:lpstr>표지</vt:lpstr>
      <vt:lpstr>수입예산 총괄표</vt:lpstr>
      <vt:lpstr>지출예산 총괄표</vt:lpstr>
      <vt:lpstr>지출예산(직접)</vt:lpstr>
      <vt:lpstr>종합상황실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예비비</vt:lpstr>
      <vt:lpstr>지출예산(위탁)</vt:lpstr>
      <vt:lpstr>기획본부(위탁)</vt:lpstr>
      <vt:lpstr>운영본부(위탁)</vt:lpstr>
      <vt:lpstr>수익사업부!Print_Area</vt:lpstr>
      <vt:lpstr>'수입예산 총괄표'!Print_Area</vt:lpstr>
      <vt:lpstr>시설조성부!Print_Area</vt:lpstr>
      <vt:lpstr>'운영본부(위탁)'!Print_Area</vt:lpstr>
      <vt:lpstr>유치협력부!Print_Area</vt:lpstr>
      <vt:lpstr>'지출예산(직접)'!Print_Area</vt:lpstr>
      <vt:lpstr>'기획본부(위탁)'!Print_Titles</vt:lpstr>
      <vt:lpstr>기획홍보부!Print_Titles</vt:lpstr>
      <vt:lpstr>수익사업부!Print_Titles</vt:lpstr>
      <vt:lpstr>시설조성부!Print_Titles</vt:lpstr>
      <vt:lpstr>예비비!Print_Titles</vt:lpstr>
      <vt:lpstr>'운영본부(위탁)'!Print_Titles</vt:lpstr>
      <vt:lpstr>운영부!Print_Titles</vt:lpstr>
      <vt:lpstr>유치협력부!Print_Titles</vt:lpstr>
      <vt:lpstr>전시연출부!Print_Titles</vt:lpstr>
      <vt:lpstr>종합상황실!Print_Titles</vt:lpstr>
      <vt:lpstr>'지출예산(위탁)'!Print_Titles</vt:lpstr>
      <vt:lpstr>'지출예산(직접)'!Print_Titles</vt:lpstr>
      <vt:lpstr>행사부!Print_Titles</vt:lpstr>
      <vt:lpstr>행정관리부!Print_Titles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2026-05-15T01:33:19Z</cp:lastPrinted>
  <dcterms:created xsi:type="dcterms:W3CDTF">2022-08-16T06:55:23Z</dcterms:created>
  <dcterms:modified xsi:type="dcterms:W3CDTF">2026-09-13T23:36:19Z</dcterms:modified>
  <cp:version>0906.0100.01</cp:version>
</cp:coreProperties>
</file>