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섬 박람회 조직위원회\Desktop\예산서\"/>
    </mc:Choice>
  </mc:AlternateContent>
  <bookViews>
    <workbookView xWindow="0" yWindow="0" windowWidth="28800" windowHeight="10740" tabRatio="813"/>
  </bookViews>
  <sheets>
    <sheet name="표지" sheetId="47" r:id="rId1"/>
    <sheet name="수입예산 총괄표" sheetId="41" r:id="rId2"/>
    <sheet name="지출예산 총괄표" sheetId="46" r:id="rId3"/>
    <sheet name="지출예산" sheetId="29" r:id="rId4"/>
    <sheet name="행정관리부" sheetId="36" r:id="rId5"/>
    <sheet name="기획홍보부" sheetId="34" r:id="rId6"/>
    <sheet name="수익사업부" sheetId="30" r:id="rId7"/>
    <sheet name="유치협력부" sheetId="35" r:id="rId8"/>
    <sheet name="운영부" sheetId="37" r:id="rId9"/>
    <sheet name="행사부" sheetId="38" r:id="rId10"/>
    <sheet name="시설조성부" sheetId="39" r:id="rId11"/>
    <sheet name="전시연출부" sheetId="40" r:id="rId12"/>
    <sheet name="예비비" sheetId="42" r:id="rId13"/>
    <sheet name="지출예산(위탁)" sheetId="43" r:id="rId14"/>
    <sheet name="기획본부(위탁)" sheetId="44" r:id="rId15"/>
    <sheet name="운영본부(위탁)" sheetId="45" r:id="rId16"/>
  </sheets>
  <externalReferences>
    <externalReference r:id="rId17"/>
    <externalReference r:id="rId18"/>
  </externalReferences>
  <definedNames>
    <definedName name="_xlnm._FilterDatabase" localSheetId="5" hidden="1">기획홍보부!$A$3:$M$75</definedName>
    <definedName name="_xlnm._FilterDatabase" localSheetId="6" hidden="1">수익사업부!$A$3:$AY$71</definedName>
    <definedName name="_xlnm._FilterDatabase" localSheetId="10" hidden="1">시설조성부!$A$3:$M$24</definedName>
    <definedName name="_xlnm._FilterDatabase" localSheetId="8" hidden="1">운영부!$A$3:$M$45</definedName>
    <definedName name="_xlnm._FilterDatabase" localSheetId="7" hidden="1">유치협력부!$A$3:$BP$31</definedName>
    <definedName name="_xlnm._FilterDatabase" localSheetId="11" hidden="1">전시연출부!$A$3:$M$45</definedName>
    <definedName name="_xlnm._FilterDatabase" localSheetId="3" hidden="1">지출예산!$A$4:$I$209</definedName>
    <definedName name="_xlnm._FilterDatabase" localSheetId="9" hidden="1">행사부!$A$3:$M$24</definedName>
    <definedName name="_xlnm._FilterDatabase" localSheetId="4" hidden="1">행정관리부!$A$3:$M$136</definedName>
    <definedName name="_xlnm.Database" localSheetId="5">#REF!</definedName>
    <definedName name="_xlnm.Database" localSheetId="3">#REF!</definedName>
    <definedName name="_xlnm.Database" localSheetId="0">#REF!</definedName>
    <definedName name="_xlnm.Database">#REF!</definedName>
    <definedName name="_xlnm.Print_Area" localSheetId="6">수익사업부!$A$1:$M$71</definedName>
    <definedName name="_xlnm.Print_Area" localSheetId="10">시설조성부!$A$1:$M$36</definedName>
    <definedName name="_xlnm.Print_Area" localSheetId="15">'운영본부(위탁)'!$A$1:$M$86</definedName>
    <definedName name="_xlnm.Print_Area" localSheetId="7">유치협력부!$A$1:$M$31</definedName>
    <definedName name="_xlnm.Print_Area" localSheetId="3">지출예산!$A$1:$I$209</definedName>
    <definedName name="_xlnm.Print_Titles" localSheetId="14">'기획본부(위탁)'!$1:$4</definedName>
    <definedName name="_xlnm.Print_Titles" localSheetId="5">기획홍보부!$1:$4</definedName>
    <definedName name="_xlnm.Print_Titles" localSheetId="6">수익사업부!$1:$4</definedName>
    <definedName name="_xlnm.Print_Titles" localSheetId="10">시설조성부!$1:$4</definedName>
    <definedName name="_xlnm.Print_Titles" localSheetId="12">예비비!$1:$4</definedName>
    <definedName name="_xlnm.Print_Titles" localSheetId="15">'운영본부(위탁)'!$1:$4</definedName>
    <definedName name="_xlnm.Print_Titles" localSheetId="8">운영부!$1:$4</definedName>
    <definedName name="_xlnm.Print_Titles" localSheetId="7">유치협력부!$1:$4</definedName>
    <definedName name="_xlnm.Print_Titles" localSheetId="11">전시연출부!$1:$4</definedName>
    <definedName name="_xlnm.Print_Titles" localSheetId="3">지출예산!$1:$5</definedName>
    <definedName name="_xlnm.Print_Titles" localSheetId="13">'지출예산(위탁)'!$1:$5</definedName>
    <definedName name="_xlnm.Print_Titles" localSheetId="9">행사부!$1:$4</definedName>
    <definedName name="_xlnm.Print_Titles" localSheetId="4">행정관리부!$1:$4</definedName>
    <definedName name="ㄹㄹㄹ" localSheetId="5">#REF!</definedName>
    <definedName name="ㄹㄹㄹ" localSheetId="3">#REF!</definedName>
    <definedName name="ㄹㄹㄹ" localSheetId="0">#REF!</definedName>
    <definedName name="ㄹㄹㄹ">#REF!</definedName>
    <definedName name="ㅁ1" localSheetId="5">#REF!</definedName>
    <definedName name="ㅁ1" localSheetId="6">#REF!</definedName>
    <definedName name="ㅁ1" localSheetId="3">#REF!</definedName>
    <definedName name="ㅁ1" localSheetId="0">#REF!</definedName>
    <definedName name="ㅁ1">#REF!</definedName>
    <definedName name="ㅇㅇ" localSheetId="0">#REF!</definedName>
    <definedName name="ㅇㅇ">#REF!</definedName>
    <definedName name="ㅇㅇㅇ" localSheetId="0">#REF!</definedName>
    <definedName name="ㅇㅇㅇ">#REF!</definedName>
  </definedNames>
  <calcPr calcId="162913"/>
</workbook>
</file>

<file path=xl/calcChain.xml><?xml version="1.0" encoding="utf-8"?>
<calcChain xmlns="http://schemas.openxmlformats.org/spreadsheetml/2006/main">
  <c r="H76" i="36" l="1"/>
  <c r="G17" i="46" l="1"/>
  <c r="I18" i="46"/>
  <c r="G18" i="46"/>
  <c r="G5" i="41" l="1"/>
  <c r="G48" i="43" l="1"/>
  <c r="G47" i="43"/>
  <c r="I56" i="43"/>
  <c r="G56" i="43"/>
  <c r="I51" i="43"/>
  <c r="G51" i="43"/>
  <c r="H45" i="45"/>
  <c r="M53" i="45"/>
  <c r="M46" i="45"/>
  <c r="M50" i="45"/>
  <c r="H50" i="45"/>
  <c r="J50" i="45" s="1"/>
  <c r="H31" i="45"/>
  <c r="M36" i="45"/>
  <c r="H36" i="45"/>
  <c r="J36" i="45" s="1"/>
  <c r="M39" i="45"/>
  <c r="M32" i="45"/>
  <c r="G12" i="43"/>
  <c r="I12" i="43" s="1"/>
  <c r="G15" i="43"/>
  <c r="I15" i="43" s="1"/>
  <c r="G16" i="43"/>
  <c r="I16" i="43" s="1"/>
  <c r="M38" i="44"/>
  <c r="M35" i="44"/>
  <c r="H35" i="44" s="1"/>
  <c r="J35" i="44" s="1"/>
  <c r="M25" i="44"/>
  <c r="M22" i="44"/>
  <c r="H22" i="44"/>
  <c r="M11" i="44"/>
  <c r="H5" i="29"/>
  <c r="H6" i="29"/>
  <c r="J22" i="44" l="1"/>
  <c r="G199" i="29" l="1"/>
  <c r="G200" i="29"/>
  <c r="G201" i="29"/>
  <c r="G202" i="29"/>
  <c r="G204" i="29"/>
  <c r="I204" i="29"/>
  <c r="G203" i="29"/>
  <c r="H4" i="39"/>
  <c r="M34" i="39"/>
  <c r="H34" i="39"/>
  <c r="J34" i="39" s="1"/>
  <c r="M31" i="39"/>
  <c r="H31" i="39" s="1"/>
  <c r="J31" i="39" l="1"/>
  <c r="H30" i="39"/>
  <c r="J30" i="39" l="1"/>
  <c r="H29" i="39"/>
  <c r="H28" i="39" l="1"/>
  <c r="J29" i="39"/>
  <c r="H27" i="39" l="1"/>
  <c r="J28" i="39"/>
  <c r="J27" i="39" l="1"/>
  <c r="H26" i="39"/>
  <c r="J26" i="39" l="1"/>
  <c r="H25" i="39"/>
  <c r="J25" i="39" s="1"/>
  <c r="M11" i="42" l="1"/>
  <c r="H7" i="30"/>
  <c r="H8" i="30"/>
  <c r="G101" i="29"/>
  <c r="G104" i="29"/>
  <c r="G105" i="29"/>
  <c r="G102" i="29"/>
  <c r="G103" i="29"/>
  <c r="H43" i="30"/>
  <c r="M49" i="30"/>
  <c r="H49" i="30"/>
  <c r="J49" i="30" s="1"/>
  <c r="H48" i="30"/>
  <c r="J48" i="30" s="1"/>
  <c r="M45" i="30"/>
  <c r="H45" i="30" s="1"/>
  <c r="M37" i="30"/>
  <c r="M34" i="34"/>
  <c r="J45" i="30" l="1"/>
  <c r="H44" i="30"/>
  <c r="J44" i="30" s="1"/>
  <c r="H42" i="30"/>
  <c r="H34" i="34"/>
  <c r="J34" i="34" s="1"/>
  <c r="J43" i="30" l="1"/>
  <c r="J42" i="30"/>
  <c r="G61" i="29"/>
  <c r="H33" i="34"/>
  <c r="G60" i="29" s="1"/>
  <c r="J33" i="34" l="1"/>
  <c r="H32" i="34"/>
  <c r="H31" i="34" s="1"/>
  <c r="G59" i="29" l="1"/>
  <c r="H6" i="34"/>
  <c r="J32" i="34"/>
  <c r="J31" i="34"/>
  <c r="G27" i="29" l="1"/>
  <c r="H107" i="36"/>
  <c r="M107" i="36"/>
  <c r="M76" i="36"/>
  <c r="M38" i="36"/>
  <c r="G29" i="29"/>
  <c r="I29" i="29" s="1"/>
  <c r="G16" i="29"/>
  <c r="G17" i="29"/>
  <c r="H85" i="36"/>
  <c r="J85" i="36"/>
  <c r="M85" i="36"/>
  <c r="M31" i="36" l="1"/>
  <c r="H31" i="36" s="1"/>
  <c r="J31" i="36" l="1"/>
  <c r="H30" i="36"/>
  <c r="J30" i="36" s="1"/>
  <c r="I203" i="29"/>
  <c r="I202" i="29"/>
  <c r="I201" i="29"/>
  <c r="I200" i="29"/>
  <c r="I199" i="29"/>
  <c r="I105" i="29"/>
  <c r="I104" i="29"/>
  <c r="I103" i="29"/>
  <c r="I102" i="29"/>
  <c r="I101" i="29"/>
  <c r="I60" i="29"/>
  <c r="I61" i="29"/>
  <c r="I59" i="29"/>
  <c r="I17" i="29"/>
  <c r="I16" i="29"/>
  <c r="H15" i="41"/>
  <c r="H14" i="41"/>
  <c r="H27" i="41"/>
  <c r="H26" i="41"/>
  <c r="G24" i="41"/>
  <c r="G25" i="41"/>
  <c r="F25" i="41"/>
  <c r="F24" i="41" s="1"/>
  <c r="G20" i="41"/>
  <c r="H23" i="41"/>
  <c r="F22" i="41"/>
  <c r="H22" i="41" s="1"/>
  <c r="F21" i="41"/>
  <c r="H21" i="41" s="1"/>
  <c r="G174" i="29" l="1"/>
  <c r="G175" i="29"/>
  <c r="I175" i="29" s="1"/>
  <c r="G176" i="29"/>
  <c r="I176" i="29" s="1"/>
  <c r="G177" i="29"/>
  <c r="I177" i="29" s="1"/>
  <c r="G178" i="29"/>
  <c r="G179" i="29"/>
  <c r="G181" i="29"/>
  <c r="I181" i="29" s="1"/>
  <c r="G180" i="29"/>
  <c r="I180" i="29" s="1"/>
  <c r="H28" i="40"/>
  <c r="H4" i="40"/>
  <c r="I179" i="29" l="1"/>
  <c r="I178" i="29"/>
  <c r="M76" i="44"/>
  <c r="M74" i="44"/>
  <c r="M72" i="44" s="1"/>
  <c r="M58" i="44"/>
  <c r="M48" i="44"/>
  <c r="H9" i="40" l="1"/>
  <c r="H19" i="40"/>
  <c r="M25" i="40"/>
  <c r="H25" i="40"/>
  <c r="J25" i="40" s="1"/>
  <c r="M21" i="40"/>
  <c r="J21" i="40"/>
  <c r="H21" i="40"/>
  <c r="H20" i="40"/>
  <c r="J20" i="40" s="1"/>
  <c r="M11" i="40"/>
  <c r="M15" i="40"/>
  <c r="H15" i="40"/>
  <c r="J15" i="40" s="1"/>
  <c r="H11" i="40"/>
  <c r="J11" i="40" l="1"/>
  <c r="H10" i="40"/>
  <c r="M11" i="37"/>
  <c r="M14" i="37"/>
  <c r="H10" i="37"/>
  <c r="H11" i="37"/>
  <c r="H37" i="30"/>
  <c r="G100" i="29" s="1"/>
  <c r="I100" i="29" s="1"/>
  <c r="H36" i="30" l="1"/>
  <c r="J36" i="30" s="1"/>
  <c r="J19" i="40"/>
  <c r="H18" i="40"/>
  <c r="J10" i="40"/>
  <c r="J37" i="30"/>
  <c r="G99" i="29" l="1"/>
  <c r="I99" i="29" s="1"/>
  <c r="H35" i="30"/>
  <c r="J18" i="40"/>
  <c r="J9" i="40"/>
  <c r="H8" i="40"/>
  <c r="J35" i="30"/>
  <c r="H34" i="30"/>
  <c r="J34" i="30" l="1"/>
  <c r="G98" i="29"/>
  <c r="I98" i="29" s="1"/>
  <c r="H7" i="40"/>
  <c r="J8" i="40"/>
  <c r="M11" i="34"/>
  <c r="H11" i="34" s="1"/>
  <c r="G49" i="29" s="1"/>
  <c r="I49" i="29" s="1"/>
  <c r="J7" i="40" l="1"/>
  <c r="H6" i="40"/>
  <c r="J11" i="34"/>
  <c r="H10" i="34"/>
  <c r="G48" i="29" s="1"/>
  <c r="I48" i="29" s="1"/>
  <c r="M72" i="36"/>
  <c r="J10" i="34" l="1"/>
  <c r="H9" i="34"/>
  <c r="H8" i="34" s="1"/>
  <c r="G47" i="29" l="1"/>
  <c r="I47" i="29" s="1"/>
  <c r="J9" i="34"/>
  <c r="J8" i="34"/>
  <c r="M11" i="35" l="1"/>
  <c r="M64" i="44" l="1"/>
  <c r="M88" i="36" l="1"/>
  <c r="H88" i="36" s="1"/>
  <c r="M124" i="36"/>
  <c r="M130" i="36"/>
  <c r="M59" i="36"/>
  <c r="M45" i="36"/>
  <c r="M20" i="36"/>
  <c r="M118" i="36"/>
  <c r="H118" i="36" s="1"/>
  <c r="J118" i="36" l="1"/>
  <c r="M32" i="30" l="1"/>
  <c r="H32" i="30" s="1"/>
  <c r="G97" i="29" s="1"/>
  <c r="I97" i="29" s="1"/>
  <c r="M27" i="30"/>
  <c r="H27" i="30" s="1"/>
  <c r="G95" i="29" s="1"/>
  <c r="I95" i="29" s="1"/>
  <c r="M21" i="30"/>
  <c r="H21" i="30" s="1"/>
  <c r="M11" i="30"/>
  <c r="H11" i="30" s="1"/>
  <c r="H16" i="41"/>
  <c r="F15" i="41"/>
  <c r="M13" i="39"/>
  <c r="H20" i="30" l="1"/>
  <c r="G91" i="29" s="1"/>
  <c r="I91" i="29" s="1"/>
  <c r="G92" i="29"/>
  <c r="I92" i="29" s="1"/>
  <c r="J11" i="30"/>
  <c r="G88" i="29"/>
  <c r="J32" i="30"/>
  <c r="H31" i="30"/>
  <c r="G96" i="29" s="1"/>
  <c r="I96" i="29" s="1"/>
  <c r="J27" i="30"/>
  <c r="H26" i="30"/>
  <c r="G94" i="29" s="1"/>
  <c r="I94" i="29" s="1"/>
  <c r="J21" i="30"/>
  <c r="M26" i="36"/>
  <c r="J31" i="30" l="1"/>
  <c r="H30" i="30"/>
  <c r="J30" i="30" s="1"/>
  <c r="H25" i="30"/>
  <c r="H24" i="30" s="1"/>
  <c r="G93" i="29" s="1"/>
  <c r="I93" i="29" s="1"/>
  <c r="J26" i="30"/>
  <c r="J20" i="30"/>
  <c r="H19" i="30"/>
  <c r="J25" i="30" l="1"/>
  <c r="J24" i="30"/>
  <c r="J19" i="30"/>
  <c r="H18" i="30"/>
  <c r="M26" i="35"/>
  <c r="M67" i="44"/>
  <c r="M82" i="44"/>
  <c r="H82" i="44" s="1"/>
  <c r="G31" i="43" s="1"/>
  <c r="I31" i="43" s="1"/>
  <c r="M23" i="35"/>
  <c r="H23" i="35" s="1"/>
  <c r="J23" i="35" s="1"/>
  <c r="G73" i="43"/>
  <c r="I73" i="43" s="1"/>
  <c r="G72" i="43"/>
  <c r="I72" i="43" s="1"/>
  <c r="G69" i="43"/>
  <c r="I69" i="43" s="1"/>
  <c r="G75" i="43"/>
  <c r="I75" i="43" s="1"/>
  <c r="G74" i="43"/>
  <c r="G71" i="43"/>
  <c r="I71" i="43" s="1"/>
  <c r="G70" i="43"/>
  <c r="I70" i="43" s="1"/>
  <c r="G68" i="43"/>
  <c r="I68" i="43" s="1"/>
  <c r="G67" i="43"/>
  <c r="G63" i="43"/>
  <c r="I63" i="43" s="1"/>
  <c r="G62" i="43"/>
  <c r="I62" i="43" s="1"/>
  <c r="G59" i="43"/>
  <c r="I59" i="43" s="1"/>
  <c r="G58" i="43"/>
  <c r="I58" i="43" s="1"/>
  <c r="G65" i="43"/>
  <c r="I65" i="43" s="1"/>
  <c r="G64" i="43"/>
  <c r="I64" i="43" s="1"/>
  <c r="G61" i="43"/>
  <c r="I61" i="43" s="1"/>
  <c r="G60" i="43"/>
  <c r="I60" i="43" s="1"/>
  <c r="I74" i="43"/>
  <c r="G44" i="43"/>
  <c r="G43" i="43"/>
  <c r="G36" i="43"/>
  <c r="G35" i="43"/>
  <c r="G39" i="43"/>
  <c r="I39" i="43" s="1"/>
  <c r="G38" i="43"/>
  <c r="I38" i="43" s="1"/>
  <c r="J18" i="30" l="1"/>
  <c r="G90" i="29"/>
  <c r="I90" i="29" s="1"/>
  <c r="J82" i="44"/>
  <c r="H81" i="44"/>
  <c r="G30" i="43" s="1"/>
  <c r="I30" i="43" s="1"/>
  <c r="M17" i="34"/>
  <c r="M102" i="36"/>
  <c r="H23" i="45"/>
  <c r="M62" i="45"/>
  <c r="M60" i="45"/>
  <c r="M85" i="45"/>
  <c r="M83" i="45"/>
  <c r="M69" i="45"/>
  <c r="M67" i="45"/>
  <c r="M78" i="45"/>
  <c r="M76" i="45"/>
  <c r="M38" i="37"/>
  <c r="H80" i="44" l="1"/>
  <c r="J80" i="44" s="1"/>
  <c r="J81" i="44"/>
  <c r="H38" i="44"/>
  <c r="H34" i="44" s="1"/>
  <c r="M31" i="44"/>
  <c r="G17" i="43" l="1"/>
  <c r="I17" i="43" s="1"/>
  <c r="J38" i="44"/>
  <c r="M20" i="35"/>
  <c r="H78" i="45"/>
  <c r="J78" i="45" s="1"/>
  <c r="H76" i="45"/>
  <c r="J76" i="45" s="1"/>
  <c r="H53" i="45"/>
  <c r="H46" i="45"/>
  <c r="G55" i="43" s="1"/>
  <c r="I55" i="43" s="1"/>
  <c r="H62" i="45"/>
  <c r="J62" i="45" s="1"/>
  <c r="H60" i="45"/>
  <c r="M17" i="45"/>
  <c r="M11" i="45"/>
  <c r="M44" i="40"/>
  <c r="H44" i="40" s="1"/>
  <c r="G192" i="29" s="1"/>
  <c r="I192" i="29" s="1"/>
  <c r="M23" i="39"/>
  <c r="H23" i="39" s="1"/>
  <c r="M23" i="38"/>
  <c r="H23" i="38" s="1"/>
  <c r="M30" i="35"/>
  <c r="H30" i="35" s="1"/>
  <c r="G130" i="29" s="1"/>
  <c r="I130" i="29" s="1"/>
  <c r="M70" i="30"/>
  <c r="H70" i="30" s="1"/>
  <c r="G117" i="29" s="1"/>
  <c r="I117" i="29" s="1"/>
  <c r="M54" i="34"/>
  <c r="H54" i="34" s="1"/>
  <c r="G72" i="29" s="1"/>
  <c r="I72" i="29" s="1"/>
  <c r="J53" i="45" l="1"/>
  <c r="G57" i="43"/>
  <c r="I57" i="43" s="1"/>
  <c r="J23" i="38"/>
  <c r="G161" i="29"/>
  <c r="I161" i="29" s="1"/>
  <c r="H22" i="38"/>
  <c r="H22" i="39"/>
  <c r="G173" i="29"/>
  <c r="I173" i="29" s="1"/>
  <c r="J44" i="40"/>
  <c r="H43" i="40"/>
  <c r="H59" i="45"/>
  <c r="J54" i="34"/>
  <c r="H53" i="34"/>
  <c r="J46" i="45"/>
  <c r="H75" i="45"/>
  <c r="J60" i="45"/>
  <c r="J23" i="39"/>
  <c r="J30" i="35"/>
  <c r="H29" i="35"/>
  <c r="J70" i="30"/>
  <c r="H69" i="30"/>
  <c r="M32" i="37"/>
  <c r="H32" i="37" s="1"/>
  <c r="M47" i="34"/>
  <c r="H17" i="45"/>
  <c r="H16" i="45" s="1"/>
  <c r="M44" i="37"/>
  <c r="H44" i="37" s="1"/>
  <c r="M42" i="37"/>
  <c r="M36" i="37"/>
  <c r="H36" i="37" s="1"/>
  <c r="G146" i="29" s="1"/>
  <c r="M29" i="37"/>
  <c r="H29" i="37"/>
  <c r="J29" i="37" s="1"/>
  <c r="M25" i="37"/>
  <c r="H25" i="37" s="1"/>
  <c r="J25" i="37" s="1"/>
  <c r="M19" i="37"/>
  <c r="H19" i="37"/>
  <c r="J19" i="37" s="1"/>
  <c r="H17" i="37"/>
  <c r="J17" i="37" s="1"/>
  <c r="H44" i="45" l="1"/>
  <c r="H43" i="45" s="1"/>
  <c r="G54" i="43"/>
  <c r="I54" i="43" s="1"/>
  <c r="J43" i="45"/>
  <c r="G53" i="43"/>
  <c r="I53" i="43" s="1"/>
  <c r="J22" i="38"/>
  <c r="G160" i="29"/>
  <c r="I160" i="29" s="1"/>
  <c r="H9" i="37"/>
  <c r="J9" i="37" s="1"/>
  <c r="J29" i="35"/>
  <c r="G129" i="29"/>
  <c r="I129" i="29" s="1"/>
  <c r="J53" i="34"/>
  <c r="G71" i="29"/>
  <c r="I71" i="29" s="1"/>
  <c r="J69" i="30"/>
  <c r="G116" i="29"/>
  <c r="I116" i="29" s="1"/>
  <c r="J43" i="40"/>
  <c r="G191" i="29"/>
  <c r="I191" i="29" s="1"/>
  <c r="J22" i="39"/>
  <c r="G172" i="29"/>
  <c r="I172" i="29" s="1"/>
  <c r="I146" i="29"/>
  <c r="J45" i="45"/>
  <c r="H35" i="37"/>
  <c r="J35" i="37" s="1"/>
  <c r="G136" i="29"/>
  <c r="I136" i="29" s="1"/>
  <c r="G137" i="29"/>
  <c r="G141" i="29"/>
  <c r="H42" i="37"/>
  <c r="J42" i="37" s="1"/>
  <c r="H41" i="37"/>
  <c r="J44" i="45"/>
  <c r="H74" i="45"/>
  <c r="J75" i="45"/>
  <c r="H58" i="45"/>
  <c r="J59" i="45"/>
  <c r="J11" i="37"/>
  <c r="G135" i="29"/>
  <c r="I135" i="29" s="1"/>
  <c r="G142" i="29"/>
  <c r="J44" i="37"/>
  <c r="G149" i="29"/>
  <c r="J32" i="37"/>
  <c r="H31" i="37"/>
  <c r="G144" i="29"/>
  <c r="J17" i="45"/>
  <c r="J36" i="37"/>
  <c r="H24" i="37"/>
  <c r="G140" i="29" s="1"/>
  <c r="M17" i="36"/>
  <c r="M135" i="36"/>
  <c r="M95" i="36"/>
  <c r="M99" i="36"/>
  <c r="M55" i="36"/>
  <c r="H55" i="36" s="1"/>
  <c r="H8" i="37" l="1"/>
  <c r="G133" i="29" s="1"/>
  <c r="J10" i="37"/>
  <c r="G134" i="29"/>
  <c r="H17" i="36"/>
  <c r="G145" i="29"/>
  <c r="I145" i="29" s="1"/>
  <c r="H124" i="36"/>
  <c r="J124" i="36" s="1"/>
  <c r="G148" i="29"/>
  <c r="I148" i="29" s="1"/>
  <c r="J55" i="36"/>
  <c r="G25" i="29"/>
  <c r="I25" i="29" s="1"/>
  <c r="H73" i="45"/>
  <c r="J74" i="45"/>
  <c r="H57" i="45"/>
  <c r="J57" i="45" s="1"/>
  <c r="J58" i="45"/>
  <c r="J41" i="37"/>
  <c r="G147" i="29"/>
  <c r="J31" i="37"/>
  <c r="G143" i="29"/>
  <c r="J24" i="37"/>
  <c r="H23" i="37"/>
  <c r="J8" i="37"/>
  <c r="H7" i="37"/>
  <c r="H54" i="36"/>
  <c r="G44" i="29" l="1"/>
  <c r="I44" i="29" s="1"/>
  <c r="H123" i="36"/>
  <c r="H122" i="36" s="1"/>
  <c r="J54" i="36"/>
  <c r="G24" i="29"/>
  <c r="I24" i="29" s="1"/>
  <c r="J73" i="45"/>
  <c r="H22" i="37"/>
  <c r="G139" i="29" s="1"/>
  <c r="J23" i="37"/>
  <c r="J7" i="37"/>
  <c r="M50" i="36"/>
  <c r="H50" i="36" s="1"/>
  <c r="M48" i="36"/>
  <c r="J50" i="36" l="1"/>
  <c r="G23" i="29"/>
  <c r="H21" i="37"/>
  <c r="G138" i="29" s="1"/>
  <c r="J22" i="37"/>
  <c r="H45" i="36"/>
  <c r="J45" i="36" l="1"/>
  <c r="G22" i="29"/>
  <c r="I22" i="29" s="1"/>
  <c r="J21" i="37"/>
  <c r="H6" i="37"/>
  <c r="M34" i="40"/>
  <c r="H34" i="40" s="1"/>
  <c r="H13" i="39"/>
  <c r="M13" i="38"/>
  <c r="H13" i="38" s="1"/>
  <c r="G155" i="29" s="1"/>
  <c r="I155" i="29" s="1"/>
  <c r="M17" i="35"/>
  <c r="H17" i="35" s="1"/>
  <c r="M60" i="30"/>
  <c r="H60" i="30" s="1"/>
  <c r="J60" i="30" s="1"/>
  <c r="M44" i="34"/>
  <c r="H44" i="34" s="1"/>
  <c r="J17" i="35" l="1"/>
  <c r="G124" i="29"/>
  <c r="I124" i="29" s="1"/>
  <c r="J34" i="40"/>
  <c r="G186" i="29"/>
  <c r="I186" i="29" s="1"/>
  <c r="J13" i="39"/>
  <c r="G167" i="29"/>
  <c r="I167" i="29" s="1"/>
  <c r="G111" i="29"/>
  <c r="I111" i="29" s="1"/>
  <c r="J13" i="38"/>
  <c r="H5" i="37"/>
  <c r="G12" i="46" s="1"/>
  <c r="J6" i="37"/>
  <c r="J44" i="34"/>
  <c r="G66" i="29"/>
  <c r="I66" i="29" s="1"/>
  <c r="I141" i="29"/>
  <c r="I142" i="29"/>
  <c r="I134" i="29"/>
  <c r="I44" i="43"/>
  <c r="I43" i="43"/>
  <c r="M24" i="45"/>
  <c r="H24" i="45" s="1"/>
  <c r="I147" i="29"/>
  <c r="I143" i="29"/>
  <c r="G66" i="43"/>
  <c r="I66" i="43" s="1"/>
  <c r="I67" i="43"/>
  <c r="I36" i="43"/>
  <c r="I35" i="43"/>
  <c r="H85" i="45"/>
  <c r="J85" i="45" s="1"/>
  <c r="H83" i="45"/>
  <c r="H69" i="45"/>
  <c r="J69" i="45" s="1"/>
  <c r="H67" i="45"/>
  <c r="H58" i="44"/>
  <c r="H48" i="44"/>
  <c r="H39" i="45"/>
  <c r="H32" i="45"/>
  <c r="G50" i="43" s="1"/>
  <c r="I50" i="43" s="1"/>
  <c r="J39" i="45" l="1"/>
  <c r="G52" i="43"/>
  <c r="I52" i="43" s="1"/>
  <c r="H67" i="44"/>
  <c r="H72" i="44"/>
  <c r="G22" i="43"/>
  <c r="I22" i="43" s="1"/>
  <c r="H47" i="44"/>
  <c r="G21" i="43" s="1"/>
  <c r="I21" i="43" s="1"/>
  <c r="J58" i="44"/>
  <c r="G23" i="43"/>
  <c r="I23" i="43" s="1"/>
  <c r="J67" i="44"/>
  <c r="G26" i="43"/>
  <c r="I26" i="43" s="1"/>
  <c r="H76" i="44"/>
  <c r="H64" i="44"/>
  <c r="J67" i="45"/>
  <c r="H66" i="45"/>
  <c r="J83" i="45"/>
  <c r="H82" i="45"/>
  <c r="H81" i="45" s="1"/>
  <c r="J81" i="45" s="1"/>
  <c r="J5" i="37"/>
  <c r="H4" i="37"/>
  <c r="J4" i="37" s="1"/>
  <c r="J24" i="45"/>
  <c r="J48" i="44"/>
  <c r="J32" i="45"/>
  <c r="H65" i="45"/>
  <c r="H64" i="45" s="1"/>
  <c r="H30" i="45" l="1"/>
  <c r="H29" i="45" s="1"/>
  <c r="G49" i="43"/>
  <c r="I49" i="43" s="1"/>
  <c r="G29" i="43"/>
  <c r="I29" i="43" s="1"/>
  <c r="J76" i="44"/>
  <c r="J72" i="44"/>
  <c r="H71" i="44"/>
  <c r="H46" i="44"/>
  <c r="J46" i="44" s="1"/>
  <c r="G25" i="43"/>
  <c r="I25" i="43" s="1"/>
  <c r="H63" i="44"/>
  <c r="G24" i="43" s="1"/>
  <c r="I24" i="43" s="1"/>
  <c r="J64" i="44"/>
  <c r="I139" i="29"/>
  <c r="I138" i="29"/>
  <c r="J31" i="45"/>
  <c r="J82" i="45"/>
  <c r="H80" i="45"/>
  <c r="J47" i="44"/>
  <c r="J30" i="45"/>
  <c r="J66" i="45"/>
  <c r="J64" i="45"/>
  <c r="J65" i="45"/>
  <c r="J29" i="45"/>
  <c r="I48" i="43" l="1"/>
  <c r="H28" i="45"/>
  <c r="I47" i="43" s="1"/>
  <c r="J71" i="44"/>
  <c r="H70" i="44"/>
  <c r="G28" i="43"/>
  <c r="I28" i="43" s="1"/>
  <c r="H62" i="44"/>
  <c r="J63" i="44"/>
  <c r="H33" i="44"/>
  <c r="J33" i="44" s="1"/>
  <c r="J34" i="44"/>
  <c r="J80" i="45"/>
  <c r="H72" i="45"/>
  <c r="J72" i="45" s="1"/>
  <c r="G46" i="43" l="1"/>
  <c r="I46" i="43" s="1"/>
  <c r="H27" i="45"/>
  <c r="G27" i="46" s="1"/>
  <c r="I27" i="46" s="1"/>
  <c r="J28" i="45"/>
  <c r="H69" i="44"/>
  <c r="J70" i="44"/>
  <c r="J62" i="44"/>
  <c r="H45" i="44"/>
  <c r="H71" i="45"/>
  <c r="J71" i="45"/>
  <c r="J27" i="45"/>
  <c r="G45" i="43" l="1"/>
  <c r="I45" i="43" s="1"/>
  <c r="J69" i="44"/>
  <c r="G27" i="43"/>
  <c r="I27" i="43" s="1"/>
  <c r="G20" i="43"/>
  <c r="I20" i="43" s="1"/>
  <c r="H44" i="44"/>
  <c r="J45" i="44"/>
  <c r="H26" i="45"/>
  <c r="G28" i="46"/>
  <c r="J26" i="45"/>
  <c r="G19" i="43" l="1"/>
  <c r="H43" i="44"/>
  <c r="J44" i="44"/>
  <c r="I28" i="46"/>
  <c r="G26" i="46"/>
  <c r="I26" i="46" s="1"/>
  <c r="J23" i="45"/>
  <c r="H22" i="45"/>
  <c r="G43" i="29"/>
  <c r="I43" i="29" s="1"/>
  <c r="M51" i="34"/>
  <c r="M60" i="34"/>
  <c r="H60" i="34" s="1"/>
  <c r="J60" i="34" s="1"/>
  <c r="M64" i="34"/>
  <c r="H64" i="34" s="1"/>
  <c r="J64" i="34" s="1"/>
  <c r="M74" i="34"/>
  <c r="H74" i="34" s="1"/>
  <c r="J74" i="34" s="1"/>
  <c r="M69" i="34"/>
  <c r="H69" i="34" s="1"/>
  <c r="J69" i="34" s="1"/>
  <c r="M67" i="34"/>
  <c r="H67" i="34" s="1"/>
  <c r="M62" i="34"/>
  <c r="M11" i="36"/>
  <c r="H11" i="36" s="1"/>
  <c r="G11" i="29" s="1"/>
  <c r="G23" i="46" l="1"/>
  <c r="I23" i="46" s="1"/>
  <c r="J43" i="44"/>
  <c r="G18" i="43"/>
  <c r="I18" i="43" s="1"/>
  <c r="I19" i="43"/>
  <c r="H21" i="45"/>
  <c r="G42" i="43" s="1"/>
  <c r="I42" i="43" s="1"/>
  <c r="J22" i="45"/>
  <c r="H62" i="34"/>
  <c r="J62" i="34" s="1"/>
  <c r="J122" i="36"/>
  <c r="J123" i="36"/>
  <c r="H66" i="34"/>
  <c r="J66" i="34" s="1"/>
  <c r="H73" i="34"/>
  <c r="J73" i="34" s="1"/>
  <c r="H59" i="34"/>
  <c r="J59" i="34" s="1"/>
  <c r="J11" i="36"/>
  <c r="H10" i="36"/>
  <c r="G10" i="29" s="1"/>
  <c r="J67" i="34"/>
  <c r="H20" i="45" l="1"/>
  <c r="G41" i="43" s="1"/>
  <c r="J21" i="45"/>
  <c r="H58" i="34"/>
  <c r="H57" i="34" s="1"/>
  <c r="G74" i="29" s="1"/>
  <c r="J10" i="36"/>
  <c r="H9" i="36"/>
  <c r="I41" i="43" l="1"/>
  <c r="G40" i="43"/>
  <c r="I40" i="43" s="1"/>
  <c r="J20" i="45"/>
  <c r="H19" i="45"/>
  <c r="H15" i="45"/>
  <c r="J16" i="45"/>
  <c r="J58" i="34"/>
  <c r="H8" i="36"/>
  <c r="J9" i="36"/>
  <c r="J57" i="34"/>
  <c r="H56" i="34"/>
  <c r="G73" i="29" s="1"/>
  <c r="J19" i="45" l="1"/>
  <c r="G25" i="46"/>
  <c r="I25" i="46" s="1"/>
  <c r="J15" i="45"/>
  <c r="H14" i="45"/>
  <c r="J8" i="36"/>
  <c r="J56" i="34"/>
  <c r="J14" i="45" l="1"/>
  <c r="G37" i="43"/>
  <c r="I37" i="43" s="1"/>
  <c r="H25" i="41"/>
  <c r="H11" i="45"/>
  <c r="H31" i="44"/>
  <c r="G14" i="43" s="1"/>
  <c r="I14" i="43" s="1"/>
  <c r="H25" i="44"/>
  <c r="H11" i="44"/>
  <c r="H10" i="44" s="1"/>
  <c r="M23" i="42"/>
  <c r="H23" i="42" s="1"/>
  <c r="H11" i="42"/>
  <c r="G197" i="29" s="1"/>
  <c r="I197" i="29" s="1"/>
  <c r="M41" i="40"/>
  <c r="H41" i="40" s="1"/>
  <c r="G190" i="29" s="1"/>
  <c r="I190" i="29" s="1"/>
  <c r="M37" i="40"/>
  <c r="H37" i="40" s="1"/>
  <c r="G188" i="29" s="1"/>
  <c r="I188" i="29" s="1"/>
  <c r="M32" i="40"/>
  <c r="H32" i="40" s="1"/>
  <c r="M20" i="39"/>
  <c r="H20" i="39" s="1"/>
  <c r="M16" i="39"/>
  <c r="H16" i="39" s="1"/>
  <c r="M11" i="39"/>
  <c r="M20" i="38"/>
  <c r="H20" i="38" s="1"/>
  <c r="G159" i="29" s="1"/>
  <c r="I159" i="29" s="1"/>
  <c r="M16" i="38"/>
  <c r="H16" i="38" s="1"/>
  <c r="G157" i="29" s="1"/>
  <c r="I157" i="29" s="1"/>
  <c r="M11" i="38"/>
  <c r="H11" i="38" s="1"/>
  <c r="I137" i="29"/>
  <c r="M23" i="34"/>
  <c r="H23" i="34" s="1"/>
  <c r="M21" i="34"/>
  <c r="H21" i="34" s="1"/>
  <c r="G53" i="29" s="1"/>
  <c r="H17" i="34"/>
  <c r="G52" i="29" s="1"/>
  <c r="H19" i="41"/>
  <c r="F18" i="41"/>
  <c r="F17" i="41" s="1"/>
  <c r="F13" i="41"/>
  <c r="H12" i="41"/>
  <c r="F11" i="41"/>
  <c r="H10" i="41"/>
  <c r="F9" i="41"/>
  <c r="J23" i="42" l="1"/>
  <c r="G209" i="29"/>
  <c r="I209" i="29" s="1"/>
  <c r="H22" i="42"/>
  <c r="J22" i="42" s="1"/>
  <c r="H10" i="38"/>
  <c r="G153" i="29" s="1"/>
  <c r="I153" i="29" s="1"/>
  <c r="G154" i="29"/>
  <c r="I154" i="29" s="1"/>
  <c r="F8" i="41"/>
  <c r="F7" i="41" s="1"/>
  <c r="H11" i="39"/>
  <c r="J25" i="44"/>
  <c r="G13" i="43"/>
  <c r="I13" i="43" s="1"/>
  <c r="J11" i="44"/>
  <c r="G11" i="43"/>
  <c r="I11" i="43" s="1"/>
  <c r="J11" i="45"/>
  <c r="H10" i="45"/>
  <c r="G185" i="29"/>
  <c r="I185" i="29" s="1"/>
  <c r="H31" i="40"/>
  <c r="G184" i="29" s="1"/>
  <c r="I184" i="29" s="1"/>
  <c r="J16" i="39"/>
  <c r="G169" i="29"/>
  <c r="I169" i="29" s="1"/>
  <c r="J20" i="39"/>
  <c r="G171" i="29"/>
  <c r="I171" i="29" s="1"/>
  <c r="H17" i="41"/>
  <c r="J23" i="34"/>
  <c r="G54" i="29"/>
  <c r="J32" i="40"/>
  <c r="I144" i="29"/>
  <c r="I149" i="29"/>
  <c r="J41" i="40"/>
  <c r="H40" i="40"/>
  <c r="J37" i="40"/>
  <c r="H36" i="40"/>
  <c r="H15" i="39"/>
  <c r="J16" i="38"/>
  <c r="H15" i="38"/>
  <c r="F20" i="41"/>
  <c r="H13" i="41"/>
  <c r="J31" i="44"/>
  <c r="H9" i="45"/>
  <c r="J9" i="45" s="1"/>
  <c r="J11" i="42"/>
  <c r="H10" i="42"/>
  <c r="H21" i="42"/>
  <c r="G208" i="29" s="1"/>
  <c r="I208" i="29" s="1"/>
  <c r="H19" i="39"/>
  <c r="J11" i="38"/>
  <c r="J20" i="38"/>
  <c r="H19" i="38"/>
  <c r="J17" i="34"/>
  <c r="H16" i="34"/>
  <c r="G51" i="29" s="1"/>
  <c r="J21" i="34"/>
  <c r="H18" i="41"/>
  <c r="H9" i="41"/>
  <c r="H11" i="41"/>
  <c r="J15" i="38" l="1"/>
  <c r="G156" i="29"/>
  <c r="I156" i="29" s="1"/>
  <c r="G166" i="29"/>
  <c r="I166" i="29" s="1"/>
  <c r="H10" i="39"/>
  <c r="G165" i="29" s="1"/>
  <c r="I165" i="29" s="1"/>
  <c r="J11" i="39"/>
  <c r="H9" i="44"/>
  <c r="H8" i="44" s="1"/>
  <c r="G9" i="43" s="1"/>
  <c r="I9" i="43" s="1"/>
  <c r="G10" i="43"/>
  <c r="I10" i="43" s="1"/>
  <c r="J19" i="38"/>
  <c r="G158" i="29"/>
  <c r="I158" i="29" s="1"/>
  <c r="H9" i="39"/>
  <c r="J10" i="44"/>
  <c r="H9" i="38"/>
  <c r="H30" i="40"/>
  <c r="J36" i="40"/>
  <c r="G187" i="29"/>
  <c r="I187" i="29" s="1"/>
  <c r="J40" i="40"/>
  <c r="G189" i="29"/>
  <c r="I189" i="29" s="1"/>
  <c r="J15" i="39"/>
  <c r="G168" i="29"/>
  <c r="I168" i="29" s="1"/>
  <c r="J19" i="39"/>
  <c r="G170" i="29"/>
  <c r="I170" i="29" s="1"/>
  <c r="I140" i="29"/>
  <c r="H8" i="41"/>
  <c r="J10" i="45"/>
  <c r="H8" i="45"/>
  <c r="G34" i="43" s="1"/>
  <c r="I34" i="43" s="1"/>
  <c r="H24" i="41"/>
  <c r="H20" i="41"/>
  <c r="H7" i="41"/>
  <c r="F6" i="41"/>
  <c r="H6" i="41" s="1"/>
  <c r="J10" i="42"/>
  <c r="H9" i="42"/>
  <c r="G196" i="29" s="1"/>
  <c r="I196" i="29" s="1"/>
  <c r="J21" i="42"/>
  <c r="H20" i="42"/>
  <c r="G207" i="29" s="1"/>
  <c r="I207" i="29" s="1"/>
  <c r="J31" i="40"/>
  <c r="J10" i="38"/>
  <c r="H15" i="34"/>
  <c r="H14" i="34" s="1"/>
  <c r="J16" i="34"/>
  <c r="H7" i="34" l="1"/>
  <c r="G46" i="29" s="1"/>
  <c r="J9" i="44"/>
  <c r="J10" i="39"/>
  <c r="H7" i="44"/>
  <c r="G8" i="43" s="1"/>
  <c r="I8" i="43" s="1"/>
  <c r="J8" i="44"/>
  <c r="J8" i="45"/>
  <c r="H7" i="45"/>
  <c r="F5" i="41"/>
  <c r="H5" i="41" s="1"/>
  <c r="J9" i="42"/>
  <c r="H8" i="42"/>
  <c r="G195" i="29" s="1"/>
  <c r="I195" i="29" s="1"/>
  <c r="J20" i="42"/>
  <c r="H19" i="42"/>
  <c r="G206" i="29" s="1"/>
  <c r="J30" i="40"/>
  <c r="H29" i="40"/>
  <c r="G183" i="29" s="1"/>
  <c r="I183" i="29" s="1"/>
  <c r="H8" i="39"/>
  <c r="G164" i="29" s="1"/>
  <c r="I164" i="29" s="1"/>
  <c r="J9" i="39"/>
  <c r="J9" i="38"/>
  <c r="H8" i="38"/>
  <c r="G152" i="29" s="1"/>
  <c r="I152" i="29" s="1"/>
  <c r="J15" i="34"/>
  <c r="J7" i="45" l="1"/>
  <c r="G33" i="43"/>
  <c r="G205" i="29"/>
  <c r="I206" i="29"/>
  <c r="H6" i="44"/>
  <c r="G7" i="43" s="1"/>
  <c r="J7" i="44"/>
  <c r="H6" i="45"/>
  <c r="I133" i="29"/>
  <c r="G132" i="29"/>
  <c r="J14" i="34"/>
  <c r="G50" i="29"/>
  <c r="H7" i="42"/>
  <c r="G194" i="29" s="1"/>
  <c r="J8" i="42"/>
  <c r="H18" i="42"/>
  <c r="J19" i="42"/>
  <c r="J29" i="40"/>
  <c r="J8" i="39"/>
  <c r="H7" i="39"/>
  <c r="H7" i="38"/>
  <c r="G151" i="29" s="1"/>
  <c r="J8" i="38"/>
  <c r="I33" i="43" l="1"/>
  <c r="G32" i="43"/>
  <c r="I32" i="43" s="1"/>
  <c r="G198" i="29"/>
  <c r="I198" i="29" s="1"/>
  <c r="I205" i="29"/>
  <c r="G22" i="46"/>
  <c r="I22" i="46" s="1"/>
  <c r="H5" i="44"/>
  <c r="H4" i="44" s="1"/>
  <c r="J6" i="44"/>
  <c r="I7" i="43"/>
  <c r="G163" i="29"/>
  <c r="H6" i="39"/>
  <c r="G150" i="29"/>
  <c r="I150" i="29" s="1"/>
  <c r="I151" i="29"/>
  <c r="H5" i="45"/>
  <c r="H4" i="45" s="1"/>
  <c r="G24" i="46"/>
  <c r="I24" i="46" s="1"/>
  <c r="J6" i="45"/>
  <c r="G193" i="29"/>
  <c r="I193" i="29" s="1"/>
  <c r="I194" i="29"/>
  <c r="J7" i="38"/>
  <c r="H6" i="38"/>
  <c r="J28" i="40"/>
  <c r="G182" i="29"/>
  <c r="I132" i="29"/>
  <c r="G131" i="29"/>
  <c r="I131" i="29" s="1"/>
  <c r="H6" i="42"/>
  <c r="G16" i="46" s="1"/>
  <c r="I16" i="46" s="1"/>
  <c r="J7" i="42"/>
  <c r="J5" i="45"/>
  <c r="H17" i="42"/>
  <c r="G19" i="46" s="1"/>
  <c r="J18" i="42"/>
  <c r="J7" i="39"/>
  <c r="G6" i="43" l="1"/>
  <c r="I17" i="46"/>
  <c r="I19" i="46"/>
  <c r="J5" i="44"/>
  <c r="I163" i="29"/>
  <c r="G162" i="29"/>
  <c r="I162" i="29" s="1"/>
  <c r="G21" i="46"/>
  <c r="G20" i="46" s="1"/>
  <c r="I182" i="29"/>
  <c r="I174" i="29"/>
  <c r="H5" i="42"/>
  <c r="J5" i="42" s="1"/>
  <c r="J6" i="42"/>
  <c r="J4" i="45"/>
  <c r="J4" i="44"/>
  <c r="J17" i="42"/>
  <c r="J6" i="40"/>
  <c r="H5" i="40"/>
  <c r="H5" i="39"/>
  <c r="J6" i="39"/>
  <c r="J6" i="38"/>
  <c r="H5" i="38"/>
  <c r="I6" i="43" l="1"/>
  <c r="G5" i="43"/>
  <c r="I5" i="43" s="1"/>
  <c r="H4" i="42"/>
  <c r="J4" i="42" s="1"/>
  <c r="I20" i="46"/>
  <c r="I21" i="46"/>
  <c r="J5" i="40"/>
  <c r="J4" i="40"/>
  <c r="G15" i="46"/>
  <c r="I15" i="46" s="1"/>
  <c r="G14" i="46"/>
  <c r="I14" i="46" s="1"/>
  <c r="J5" i="39"/>
  <c r="J4" i="39"/>
  <c r="G13" i="46"/>
  <c r="I13" i="46" s="1"/>
  <c r="H4" i="38"/>
  <c r="J4" i="38" s="1"/>
  <c r="J5" i="38"/>
  <c r="I12" i="46" l="1"/>
  <c r="G30" i="29" l="1"/>
  <c r="I30" i="29" s="1"/>
  <c r="J88" i="36"/>
  <c r="G77" i="29"/>
  <c r="G78" i="29"/>
  <c r="I11" i="29" l="1"/>
  <c r="M43" i="36"/>
  <c r="M115" i="36"/>
  <c r="H115" i="36" s="1"/>
  <c r="M120" i="36"/>
  <c r="H120" i="36" s="1"/>
  <c r="H117" i="36" s="1"/>
  <c r="J117" i="36" s="1"/>
  <c r="G36" i="29"/>
  <c r="I36" i="29" s="1"/>
  <c r="M112" i="36"/>
  <c r="H112" i="36" s="1"/>
  <c r="H95" i="36"/>
  <c r="H94" i="36" s="1"/>
  <c r="M82" i="36"/>
  <c r="H59" i="36"/>
  <c r="M28" i="36"/>
  <c r="H28" i="36" s="1"/>
  <c r="H16" i="36" s="1"/>
  <c r="G14" i="29"/>
  <c r="I14" i="29" s="1"/>
  <c r="I54" i="29"/>
  <c r="I53" i="29"/>
  <c r="H51" i="34"/>
  <c r="G70" i="29" s="1"/>
  <c r="I70" i="29" s="1"/>
  <c r="H47" i="34"/>
  <c r="G68" i="29" s="1"/>
  <c r="I68" i="29" s="1"/>
  <c r="M42" i="34"/>
  <c r="H42" i="34" s="1"/>
  <c r="H41" i="34" s="1"/>
  <c r="M29" i="34"/>
  <c r="H29" i="34" s="1"/>
  <c r="G58" i="29" s="1"/>
  <c r="I58" i="29" s="1"/>
  <c r="M15" i="35"/>
  <c r="H15" i="35" s="1"/>
  <c r="G123" i="29" s="1"/>
  <c r="H26" i="35"/>
  <c r="G128" i="29" s="1"/>
  <c r="I128" i="29" s="1"/>
  <c r="H20" i="35"/>
  <c r="H11" i="35"/>
  <c r="H10" i="35" s="1"/>
  <c r="M67" i="30"/>
  <c r="M58" i="30"/>
  <c r="H58" i="30" s="1"/>
  <c r="M56" i="30"/>
  <c r="H56" i="30" s="1"/>
  <c r="H15" i="36" l="1"/>
  <c r="J15" i="36" s="1"/>
  <c r="G13" i="29"/>
  <c r="G12" i="29" s="1"/>
  <c r="I88" i="29"/>
  <c r="M16" i="30"/>
  <c r="H16" i="30" s="1"/>
  <c r="G89" i="29" s="1"/>
  <c r="I89" i="29" s="1"/>
  <c r="H55" i="30"/>
  <c r="G108" i="29" s="1"/>
  <c r="G126" i="29"/>
  <c r="I126" i="29" s="1"/>
  <c r="H19" i="35"/>
  <c r="G15" i="29"/>
  <c r="I15" i="29" s="1"/>
  <c r="H99" i="36"/>
  <c r="G34" i="29" s="1"/>
  <c r="I34" i="29" s="1"/>
  <c r="G110" i="29"/>
  <c r="I110" i="29" s="1"/>
  <c r="J15" i="35"/>
  <c r="I123" i="29" s="1"/>
  <c r="G37" i="29"/>
  <c r="I37" i="29" s="1"/>
  <c r="J112" i="36"/>
  <c r="G64" i="29"/>
  <c r="G65" i="29"/>
  <c r="I65" i="29" s="1"/>
  <c r="G76" i="29"/>
  <c r="I76" i="29" s="1"/>
  <c r="G81" i="29"/>
  <c r="I81" i="29" s="1"/>
  <c r="G83" i="29"/>
  <c r="I83" i="29" s="1"/>
  <c r="J56" i="30"/>
  <c r="G109" i="29"/>
  <c r="I109" i="29" s="1"/>
  <c r="G121" i="29"/>
  <c r="G122" i="29"/>
  <c r="I122" i="29" s="1"/>
  <c r="H38" i="36"/>
  <c r="I27" i="29"/>
  <c r="I78" i="29"/>
  <c r="I77" i="29"/>
  <c r="G32" i="29"/>
  <c r="I32" i="29" s="1"/>
  <c r="G31" i="29"/>
  <c r="I31" i="29" s="1"/>
  <c r="G39" i="29"/>
  <c r="I39" i="29" s="1"/>
  <c r="H114" i="36"/>
  <c r="G38" i="29" s="1"/>
  <c r="I38" i="29" s="1"/>
  <c r="H106" i="36"/>
  <c r="G35" i="29" s="1"/>
  <c r="G42" i="29"/>
  <c r="I42" i="29" s="1"/>
  <c r="J120" i="36"/>
  <c r="I52" i="29"/>
  <c r="J28" i="36"/>
  <c r="J58" i="30"/>
  <c r="J59" i="36"/>
  <c r="J17" i="36"/>
  <c r="J29" i="34"/>
  <c r="H28" i="34"/>
  <c r="J47" i="34"/>
  <c r="H46" i="34"/>
  <c r="G67" i="29" s="1"/>
  <c r="I67" i="29" s="1"/>
  <c r="J51" i="34"/>
  <c r="H50" i="34"/>
  <c r="J42" i="34"/>
  <c r="J20" i="35"/>
  <c r="J11" i="35"/>
  <c r="H25" i="35"/>
  <c r="H9" i="35" s="1"/>
  <c r="J26" i="35"/>
  <c r="G28" i="29" l="1"/>
  <c r="I28" i="29" s="1"/>
  <c r="H58" i="36"/>
  <c r="G26" i="29" s="1"/>
  <c r="I26" i="29" s="1"/>
  <c r="J16" i="30"/>
  <c r="H10" i="30"/>
  <c r="G87" i="29" s="1"/>
  <c r="H98" i="36"/>
  <c r="G33" i="29" s="1"/>
  <c r="I33" i="29" s="1"/>
  <c r="H40" i="34"/>
  <c r="H37" i="36"/>
  <c r="G21" i="29"/>
  <c r="I21" i="29" s="1"/>
  <c r="I23" i="29"/>
  <c r="J41" i="34"/>
  <c r="J76" i="36"/>
  <c r="J50" i="34"/>
  <c r="G69" i="29"/>
  <c r="I69" i="29" s="1"/>
  <c r="J28" i="34"/>
  <c r="G57" i="29"/>
  <c r="I64" i="29"/>
  <c r="G80" i="29"/>
  <c r="I80" i="29" s="1"/>
  <c r="G79" i="29"/>
  <c r="I79" i="29" s="1"/>
  <c r="I108" i="29"/>
  <c r="J25" i="35"/>
  <c r="G127" i="29"/>
  <c r="I127" i="29" s="1"/>
  <c r="J19" i="35"/>
  <c r="G125" i="29"/>
  <c r="I125" i="29" s="1"/>
  <c r="I121" i="29"/>
  <c r="J38" i="36"/>
  <c r="J114" i="36"/>
  <c r="I35" i="29"/>
  <c r="G82" i="29"/>
  <c r="I82" i="29" s="1"/>
  <c r="G75" i="29"/>
  <c r="G9" i="29"/>
  <c r="G8" i="29" s="1"/>
  <c r="I10" i="29"/>
  <c r="I51" i="29"/>
  <c r="G41" i="29"/>
  <c r="I41" i="29" s="1"/>
  <c r="J46" i="34"/>
  <c r="J55" i="30"/>
  <c r="J115" i="36"/>
  <c r="J16" i="36"/>
  <c r="H27" i="34"/>
  <c r="H26" i="34" s="1"/>
  <c r="J10" i="35"/>
  <c r="I13" i="29" l="1"/>
  <c r="J26" i="34"/>
  <c r="H25" i="34"/>
  <c r="G55" i="29" s="1"/>
  <c r="G56" i="29"/>
  <c r="I56" i="29" s="1"/>
  <c r="J10" i="30"/>
  <c r="H9" i="30"/>
  <c r="H36" i="36"/>
  <c r="J36" i="36" s="1"/>
  <c r="G20" i="29"/>
  <c r="J37" i="36"/>
  <c r="H57" i="36"/>
  <c r="J58" i="36"/>
  <c r="I87" i="29"/>
  <c r="I57" i="29"/>
  <c r="J27" i="34"/>
  <c r="I75" i="29"/>
  <c r="G40" i="29"/>
  <c r="I40" i="29" s="1"/>
  <c r="J95" i="36"/>
  <c r="H14" i="36"/>
  <c r="J14" i="36" s="1"/>
  <c r="J40" i="34"/>
  <c r="H39" i="34"/>
  <c r="G63" i="29" s="1"/>
  <c r="I63" i="29" s="1"/>
  <c r="J9" i="35"/>
  <c r="H8" i="35"/>
  <c r="G120" i="29" s="1"/>
  <c r="I20" i="29" l="1"/>
  <c r="G19" i="29"/>
  <c r="G18" i="29" s="1"/>
  <c r="G7" i="29" s="1"/>
  <c r="G85" i="29"/>
  <c r="I85" i="29" s="1"/>
  <c r="G86" i="29"/>
  <c r="I86" i="29" s="1"/>
  <c r="J9" i="30"/>
  <c r="J8" i="30"/>
  <c r="H35" i="36"/>
  <c r="H7" i="36"/>
  <c r="J7" i="36" s="1"/>
  <c r="I120" i="29"/>
  <c r="J98" i="36"/>
  <c r="J99" i="36"/>
  <c r="J106" i="36"/>
  <c r="J107" i="36"/>
  <c r="J94" i="36"/>
  <c r="H38" i="34"/>
  <c r="J39" i="34"/>
  <c r="J8" i="35"/>
  <c r="H7" i="35"/>
  <c r="G119" i="29" s="1"/>
  <c r="I119" i="29" s="1"/>
  <c r="G118" i="29" l="1"/>
  <c r="G62" i="29"/>
  <c r="J7" i="35"/>
  <c r="H6" i="35"/>
  <c r="J38" i="34"/>
  <c r="J57" i="36"/>
  <c r="I62" i="29" l="1"/>
  <c r="G45" i="29"/>
  <c r="I118" i="29"/>
  <c r="J35" i="36"/>
  <c r="H34" i="36"/>
  <c r="H6" i="36" s="1"/>
  <c r="J6" i="35"/>
  <c r="H5" i="35"/>
  <c r="H4" i="35" s="1"/>
  <c r="J4" i="35" s="1"/>
  <c r="J5" i="35" l="1"/>
  <c r="G11" i="46"/>
  <c r="J34" i="36"/>
  <c r="H5" i="36"/>
  <c r="H4" i="36" s="1"/>
  <c r="J4" i="36" s="1"/>
  <c r="J7" i="30"/>
  <c r="M63" i="30"/>
  <c r="H63" i="30" s="1"/>
  <c r="G113" i="29" s="1"/>
  <c r="I113" i="29" s="1"/>
  <c r="H67" i="30"/>
  <c r="J5" i="36" l="1"/>
  <c r="G8" i="46"/>
  <c r="I8" i="46" s="1"/>
  <c r="I11" i="46"/>
  <c r="H66" i="30"/>
  <c r="G114" i="29" s="1"/>
  <c r="I114" i="29" s="1"/>
  <c r="G115" i="29"/>
  <c r="I115" i="29" s="1"/>
  <c r="J63" i="30"/>
  <c r="H62" i="30"/>
  <c r="H54" i="30" s="1"/>
  <c r="J67" i="30"/>
  <c r="J66" i="30"/>
  <c r="H53" i="30" l="1"/>
  <c r="G112" i="29"/>
  <c r="G107" i="29" s="1"/>
  <c r="J6" i="36"/>
  <c r="J62" i="30"/>
  <c r="H52" i="30" l="1"/>
  <c r="J52" i="30" s="1"/>
  <c r="J54" i="30"/>
  <c r="I112" i="29"/>
  <c r="J53" i="30"/>
  <c r="H6" i="30" l="1"/>
  <c r="I107" i="29"/>
  <c r="G106" i="29"/>
  <c r="G84" i="29" l="1"/>
  <c r="G6" i="29" s="1"/>
  <c r="I6" i="29" s="1"/>
  <c r="J6" i="30"/>
  <c r="H5" i="30"/>
  <c r="I106" i="29"/>
  <c r="I74" i="29"/>
  <c r="I73" i="29"/>
  <c r="I84" i="29" l="1"/>
  <c r="H4" i="30"/>
  <c r="J4" i="30" s="1"/>
  <c r="J5" i="30"/>
  <c r="G10" i="46"/>
  <c r="I10" i="46" s="1"/>
  <c r="I19" i="29"/>
  <c r="I18" i="29" l="1"/>
  <c r="I9" i="29" l="1"/>
  <c r="I12" i="29"/>
  <c r="I50" i="29"/>
  <c r="I8" i="29" l="1"/>
  <c r="I7" i="29" l="1"/>
  <c r="I46" i="29" l="1"/>
  <c r="G5" i="29" l="1"/>
  <c r="I55" i="29"/>
  <c r="H5" i="34"/>
  <c r="H4" i="34" s="1"/>
  <c r="J4" i="34" s="1"/>
  <c r="J5" i="34" l="1"/>
  <c r="G9" i="46"/>
  <c r="I45" i="29"/>
  <c r="J25" i="34"/>
  <c r="I9" i="46" l="1"/>
  <c r="G7" i="46"/>
  <c r="J7" i="34"/>
  <c r="J6" i="34"/>
  <c r="I5" i="29"/>
  <c r="I7" i="46" l="1"/>
  <c r="G6" i="46"/>
  <c r="G5" i="46" s="1"/>
  <c r="I6" i="46" l="1"/>
  <c r="I5" i="46"/>
</calcChain>
</file>

<file path=xl/comments1.xml><?xml version="1.0" encoding="utf-8"?>
<comments xmlns="http://schemas.openxmlformats.org/spreadsheetml/2006/main">
  <authors>
    <author>섬 박람회 조직위원회</author>
  </authors>
  <commentList>
    <comment ref="H14" authorId="0" shapeId="0">
      <text>
        <r>
          <rPr>
            <b/>
            <sz val="9"/>
            <color indexed="81"/>
            <rFont val="돋움"/>
            <family val="3"/>
            <charset val="129"/>
          </rPr>
          <t>도비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출연금</t>
        </r>
      </text>
    </comment>
    <comment ref="H23" authorId="0" shapeId="0">
      <text>
        <r>
          <rPr>
            <b/>
            <sz val="9"/>
            <color indexed="81"/>
            <rFont val="돋움"/>
            <family val="3"/>
            <charset val="129"/>
          </rPr>
          <t>국비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출연금</t>
        </r>
      </text>
    </comment>
    <comment ref="H27" authorId="0" shapeId="0">
      <text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위탁사업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홍보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잔액</t>
        </r>
      </text>
    </comment>
  </commentList>
</comments>
</file>

<file path=xl/sharedStrings.xml><?xml version="1.0" encoding="utf-8"?>
<sst xmlns="http://schemas.openxmlformats.org/spreadsheetml/2006/main" count="1517" uniqueCount="792">
  <si>
    <t>=</t>
  </si>
  <si>
    <t>산     출     기     초</t>
  </si>
  <si>
    <t>사업예산</t>
    <phoneticPr fontId="12" type="noConversion"/>
  </si>
  <si>
    <t>예비비</t>
    <phoneticPr fontId="12" type="noConversion"/>
  </si>
  <si>
    <t xml:space="preserve"> </t>
    <phoneticPr fontId="12" type="noConversion"/>
  </si>
  <si>
    <t>과                                    목</t>
    <phoneticPr fontId="12" type="noConversion"/>
  </si>
  <si>
    <t>목</t>
    <phoneticPr fontId="12" type="noConversion"/>
  </si>
  <si>
    <t>02 공공운영비</t>
    <phoneticPr fontId="12" type="noConversion"/>
  </si>
  <si>
    <t>15 복리후생비</t>
    <phoneticPr fontId="12" type="noConversion"/>
  </si>
  <si>
    <t xml:space="preserve"> ○ 수영강사 공무직 전환으로 본부 일괄 편성</t>
  </si>
  <si>
    <t>'- 새벽출근(05:30)에 따른 야간근무</t>
  </si>
  <si>
    <t>○ 연 1회 법정점검 실시 / 1대</t>
  </si>
  <si>
    <t>구분</t>
    <phoneticPr fontId="12" type="noConversion"/>
  </si>
  <si>
    <t>정책사업</t>
    <phoneticPr fontId="12" type="noConversion"/>
  </si>
  <si>
    <t>단위사업</t>
    <phoneticPr fontId="12" type="noConversion"/>
  </si>
  <si>
    <t>세부사업</t>
    <phoneticPr fontId="12" type="noConversion"/>
  </si>
  <si>
    <t xml:space="preserve"> ○ 직원 병가 및 휴직 등 공백발생 시 채용(인건비 23년 기준)</t>
    <phoneticPr fontId="12" type="noConversion"/>
  </si>
  <si>
    <t>○ 한글 250천원, ms오피스 420천원</t>
    <phoneticPr fontId="12" type="noConversion"/>
  </si>
  <si>
    <t>○ 알약 임대비용</t>
    <phoneticPr fontId="12" type="noConversion"/>
  </si>
  <si>
    <t>세목</t>
    <phoneticPr fontId="12" type="noConversion"/>
  </si>
  <si>
    <t>행사운영비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</si>
  <si>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</si>
  <si>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</si>
  <si>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</si>
  <si>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</si>
  <si>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</si>
  <si>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</si>
  <si>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</si>
  <si>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</si>
  <si>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</si>
  <si>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</si>
  <si>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200 물건비</t>
    <phoneticPr fontId="12" type="noConversion"/>
  </si>
  <si>
    <t>단위 : 천원</t>
    <phoneticPr fontId="12" type="noConversion"/>
  </si>
  <si>
    <t>200 물건비</t>
    <phoneticPr fontId="12" type="noConversion"/>
  </si>
  <si>
    <t>기본경비</t>
    <phoneticPr fontId="48" type="noConversion"/>
  </si>
  <si>
    <t>201 일반운영비</t>
    <phoneticPr fontId="12" type="noConversion"/>
  </si>
  <si>
    <t>01 사무관리비</t>
    <phoneticPr fontId="12" type="noConversion"/>
  </si>
  <si>
    <t>=</t>
    <phoneticPr fontId="12" type="noConversion"/>
  </si>
  <si>
    <t>02 공공운영비</t>
    <phoneticPr fontId="12" type="noConversion"/>
  </si>
  <si>
    <t>=</t>
    <phoneticPr fontId="12" type="noConversion"/>
  </si>
  <si>
    <t>202 여비</t>
    <phoneticPr fontId="12" type="noConversion"/>
  </si>
  <si>
    <t>01 국내여비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</si>
  <si>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</si>
  <si>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</si>
  <si>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[우편료]</t>
    <phoneticPr fontId="12" type="noConversion"/>
  </si>
  <si>
    <t>[차량선박비]</t>
    <phoneticPr fontId="12" type="noConversion"/>
  </si>
  <si>
    <t>03 행사운영비</t>
    <phoneticPr fontId="12" type="noConversion"/>
  </si>
  <si>
    <t>202 여비</t>
    <phoneticPr fontId="12" type="noConversion"/>
  </si>
  <si>
    <t>[일반수용비]</t>
    <phoneticPr fontId="12" type="noConversion"/>
  </si>
  <si>
    <t>[우편료]</t>
    <phoneticPr fontId="12" type="noConversion"/>
  </si>
  <si>
    <t>[국내여비]</t>
    <phoneticPr fontId="12" type="noConversion"/>
  </si>
  <si>
    <t>[사업업무추진비]</t>
    <phoneticPr fontId="12" type="noConversion"/>
  </si>
  <si>
    <t>[국내여비]</t>
    <phoneticPr fontId="12" type="noConversion"/>
  </si>
  <si>
    <t>[국외업무여비]</t>
    <phoneticPr fontId="12" type="noConversion"/>
  </si>
  <si>
    <t>[일반수용비]</t>
    <phoneticPr fontId="12" type="noConversion"/>
  </si>
  <si>
    <t>202 여비</t>
    <phoneticPr fontId="12" type="noConversion"/>
  </si>
  <si>
    <t>홈페이지 유지관리</t>
    <phoneticPr fontId="48" type="noConversion"/>
  </si>
  <si>
    <t>214 수선유지교체비</t>
    <phoneticPr fontId="12" type="noConversion"/>
  </si>
  <si>
    <t>05 수선유지비</t>
    <phoneticPr fontId="12" type="noConversion"/>
  </si>
  <si>
    <t>[수선유지비]</t>
    <phoneticPr fontId="12" type="noConversion"/>
  </si>
  <si>
    <t>300 경상이전</t>
    <phoneticPr fontId="12" type="noConversion"/>
  </si>
  <si>
    <t>301 일반보상금</t>
    <phoneticPr fontId="12" type="noConversion"/>
  </si>
  <si>
    <t>201 일반운영비</t>
    <phoneticPr fontId="12" type="noConversion"/>
  </si>
  <si>
    <t>201 일반운영비</t>
    <phoneticPr fontId="12" type="noConversion"/>
  </si>
  <si>
    <t>[운영수당]</t>
    <phoneticPr fontId="12" type="noConversion"/>
  </si>
  <si>
    <t>03 행사운영비</t>
    <phoneticPr fontId="12" type="noConversion"/>
  </si>
  <si>
    <t>[행사운영비]</t>
    <phoneticPr fontId="12" type="noConversion"/>
  </si>
  <si>
    <t>[회의비]</t>
    <phoneticPr fontId="12" type="noConversion"/>
  </si>
  <si>
    <t>14 회의비</t>
    <phoneticPr fontId="12" type="noConversion"/>
  </si>
  <si>
    <t>사무국운영</t>
    <phoneticPr fontId="12" type="noConversion"/>
  </si>
  <si>
    <t>100 인건비</t>
    <phoneticPr fontId="12" type="noConversion"/>
  </si>
  <si>
    <t>101 인건비</t>
    <phoneticPr fontId="12" type="noConversion"/>
  </si>
  <si>
    <t>01 보수</t>
    <phoneticPr fontId="12" type="noConversion"/>
  </si>
  <si>
    <t>[직원파견수당]</t>
    <phoneticPr fontId="12" type="noConversion"/>
  </si>
  <si>
    <t>[주거지원비]</t>
    <phoneticPr fontId="12" type="noConversion"/>
  </si>
  <si>
    <t>200 물건비</t>
    <phoneticPr fontId="12" type="noConversion"/>
  </si>
  <si>
    <t>[일반수용비]</t>
    <phoneticPr fontId="12" type="noConversion"/>
  </si>
  <si>
    <t>[임차료]</t>
    <phoneticPr fontId="12" type="noConversion"/>
  </si>
  <si>
    <t>02 공공운영비</t>
    <phoneticPr fontId="12" type="noConversion"/>
  </si>
  <si>
    <t>[공공요금 및 제세]</t>
    <phoneticPr fontId="12" type="noConversion"/>
  </si>
  <si>
    <t xml:space="preserve"> ○ 차량 주유비 : 300,000원*1대*12월</t>
    <phoneticPr fontId="12" type="noConversion"/>
  </si>
  <si>
    <t>[국내여비]</t>
    <phoneticPr fontId="12" type="noConversion"/>
  </si>
  <si>
    <t>[국외업무여비]</t>
    <phoneticPr fontId="12" type="noConversion"/>
  </si>
  <si>
    <t>03 국외업무여비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</si>
  <si>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</si>
  <si>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</si>
  <si>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</si>
  <si>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>[시책추진업무추진비]</t>
    <phoneticPr fontId="12" type="noConversion"/>
  </si>
  <si>
    <t>204 직무수행경비</t>
    <phoneticPr fontId="12" type="noConversion"/>
  </si>
  <si>
    <t>01 직급보조비</t>
    <phoneticPr fontId="12" type="noConversion"/>
  </si>
  <si>
    <t>[직책급업무수행경비]</t>
    <phoneticPr fontId="12" type="noConversion"/>
  </si>
  <si>
    <t>[특정업무경비]</t>
    <phoneticPr fontId="12" type="noConversion"/>
  </si>
  <si>
    <t>214 수선유지교체비</t>
    <phoneticPr fontId="12" type="noConversion"/>
  </si>
  <si>
    <t>217 관서업무비</t>
    <phoneticPr fontId="12" type="noConversion"/>
  </si>
  <si>
    <t>01 정원가산업무비</t>
    <phoneticPr fontId="12" type="noConversion"/>
  </si>
  <si>
    <t>[수선유지비]</t>
    <phoneticPr fontId="12" type="noConversion"/>
  </si>
  <si>
    <t>[정원가산업무비]</t>
    <phoneticPr fontId="12" type="noConversion"/>
  </si>
  <si>
    <t>02 부서업무비</t>
    <phoneticPr fontId="12" type="noConversion"/>
  </si>
  <si>
    <t>[부서업무비]</t>
    <phoneticPr fontId="12" type="noConversion"/>
  </si>
  <si>
    <t>예산공통 행정운영</t>
    <phoneticPr fontId="12" type="noConversion"/>
  </si>
  <si>
    <t>기관공통 운영경비</t>
    <phoneticPr fontId="48" type="noConversion"/>
  </si>
  <si>
    <t>예비비</t>
    <phoneticPr fontId="12" type="noConversion"/>
  </si>
  <si>
    <t>[공공운영비]</t>
    <phoneticPr fontId="12" type="noConversion"/>
  </si>
  <si>
    <t xml:space="preserve"> ○ 기관공통운영 공공운영비 : 5,000,000원*1식</t>
    <phoneticPr fontId="12" type="noConversion"/>
  </si>
  <si>
    <t xml:space="preserve"> ○ 기관공통운영 사무관리비 : 5,000,000원*1식</t>
    <phoneticPr fontId="12" type="noConversion"/>
  </si>
  <si>
    <t xml:space="preserve"> ○ 기관공통운영 국외업무여비 : 20,000,000원*1식</t>
    <phoneticPr fontId="12" type="noConversion"/>
  </si>
  <si>
    <t>[사무관리비]</t>
    <phoneticPr fontId="12" type="noConversion"/>
  </si>
  <si>
    <t xml:space="preserve"> ○ 기관공통운영 시책추진업무추진비 : 5,000,000원*1식</t>
    <phoneticPr fontId="12" type="noConversion"/>
  </si>
  <si>
    <t>[사업업무추진비]</t>
    <phoneticPr fontId="12" type="noConversion"/>
  </si>
  <si>
    <t xml:space="preserve"> ○ 기관공통운영 급식비 : 5,000,000원*1식</t>
    <phoneticPr fontId="12" type="noConversion"/>
  </si>
  <si>
    <t>2026여수세계섬박람회 기획</t>
    <phoneticPr fontId="12" type="noConversion"/>
  </si>
  <si>
    <t>교육훈련비</t>
    <phoneticPr fontId="12" type="noConversion"/>
  </si>
  <si>
    <t>교육훈련경비</t>
    <phoneticPr fontId="12" type="noConversion"/>
  </si>
  <si>
    <t>일반운영비</t>
    <phoneticPr fontId="12" type="noConversion"/>
  </si>
  <si>
    <t>사무관리비</t>
    <phoneticPr fontId="12" type="noConversion"/>
  </si>
  <si>
    <t>국내여비</t>
    <phoneticPr fontId="12" type="noConversion"/>
  </si>
  <si>
    <t>행사운영비</t>
    <phoneticPr fontId="12" type="noConversion"/>
  </si>
  <si>
    <t>회의비</t>
    <phoneticPr fontId="12" type="noConversion"/>
  </si>
  <si>
    <t>기본경비</t>
    <phoneticPr fontId="12" type="noConversion"/>
  </si>
  <si>
    <t>인건비</t>
    <phoneticPr fontId="12" type="noConversion"/>
  </si>
  <si>
    <t>보수</t>
    <phoneticPr fontId="12" type="noConversion"/>
  </si>
  <si>
    <t>일반운영비</t>
    <phoneticPr fontId="12" type="noConversion"/>
  </si>
  <si>
    <t>사무관리비</t>
    <phoneticPr fontId="12" type="noConversion"/>
  </si>
  <si>
    <t>공공운영비</t>
    <phoneticPr fontId="12" type="noConversion"/>
  </si>
  <si>
    <t>여비</t>
    <phoneticPr fontId="12" type="noConversion"/>
  </si>
  <si>
    <t>국외업무여비</t>
    <phoneticPr fontId="12" type="noConversion"/>
  </si>
  <si>
    <t>업무추진비</t>
    <phoneticPr fontId="12" type="noConversion"/>
  </si>
  <si>
    <t>사업업무추진비</t>
    <phoneticPr fontId="12" type="noConversion"/>
  </si>
  <si>
    <t>직무수행경비</t>
    <phoneticPr fontId="12" type="noConversion"/>
  </si>
  <si>
    <t>직급보조비</t>
    <phoneticPr fontId="12" type="noConversion"/>
  </si>
  <si>
    <t>수선유지교체비</t>
    <phoneticPr fontId="12" type="noConversion"/>
  </si>
  <si>
    <t>수선유지비</t>
    <phoneticPr fontId="12" type="noConversion"/>
  </si>
  <si>
    <t>관서업무비</t>
    <phoneticPr fontId="12" type="noConversion"/>
  </si>
  <si>
    <t>정원가산업무비</t>
    <phoneticPr fontId="12" type="noConversion"/>
  </si>
  <si>
    <t>부서업무비</t>
    <phoneticPr fontId="12" type="noConversion"/>
  </si>
  <si>
    <t>예비비</t>
    <phoneticPr fontId="12" type="noConversion"/>
  </si>
  <si>
    <t>일반예비비</t>
    <phoneticPr fontId="12" type="noConversion"/>
  </si>
  <si>
    <t>2026여수세계섬박람회 홍보</t>
    <phoneticPr fontId="12" type="noConversion"/>
  </si>
  <si>
    <t>일반보상금</t>
    <phoneticPr fontId="12" type="noConversion"/>
  </si>
  <si>
    <t>수선유지교체비</t>
    <phoneticPr fontId="12" type="noConversion"/>
  </si>
  <si>
    <t>기본경비</t>
    <phoneticPr fontId="12" type="noConversion"/>
  </si>
  <si>
    <t>일반운영비</t>
    <phoneticPr fontId="12" type="noConversion"/>
  </si>
  <si>
    <t>공공운영비</t>
    <phoneticPr fontId="12" type="noConversion"/>
  </si>
  <si>
    <t>사업예산</t>
    <phoneticPr fontId="12" type="noConversion"/>
  </si>
  <si>
    <t>02 특정업무경비</t>
    <phoneticPr fontId="12" type="noConversion"/>
  </si>
  <si>
    <t>[급량비]</t>
    <phoneticPr fontId="12" type="noConversion"/>
  </si>
  <si>
    <t>복리후생비</t>
    <phoneticPr fontId="12" type="noConversion"/>
  </si>
  <si>
    <t>총계</t>
    <phoneticPr fontId="12" type="noConversion"/>
  </si>
  <si>
    <t>특정업무경비</t>
    <phoneticPr fontId="12" type="noConversion"/>
  </si>
  <si>
    <t>복리후생비</t>
    <phoneticPr fontId="12" type="noConversion"/>
  </si>
  <si>
    <t>15 복리후생비</t>
    <phoneticPr fontId="12" type="noConversion"/>
  </si>
  <si>
    <t xml:space="preserve"> ○ 기관공통운영 국내여비 : 5,000,000원*1식</t>
    <phoneticPr fontId="12" type="noConversion"/>
  </si>
  <si>
    <t>총계(사업예산 + 자본예산)</t>
    <phoneticPr fontId="12" type="noConversion"/>
  </si>
  <si>
    <t>지출예산 총괄표</t>
    <phoneticPr fontId="12" type="noConversion"/>
  </si>
  <si>
    <t>지출예산(세부사업) - 유치협력부</t>
    <phoneticPr fontId="12" type="noConversion"/>
  </si>
  <si>
    <t>(단위 : 천 원)</t>
    <phoneticPr fontId="12" type="noConversion"/>
  </si>
  <si>
    <t>[사업업무추진비]</t>
    <phoneticPr fontId="12" type="noConversion"/>
  </si>
  <si>
    <t>수입예산 총괄표(출연금+위탁사업비)</t>
    <phoneticPr fontId="12" type="noConversion"/>
  </si>
  <si>
    <t>(단위 : 천 원)</t>
    <phoneticPr fontId="12" type="noConversion"/>
  </si>
  <si>
    <t>비교증감</t>
    <phoneticPr fontId="12" type="noConversion"/>
  </si>
  <si>
    <t>관</t>
    <phoneticPr fontId="12" type="noConversion"/>
  </si>
  <si>
    <t>항</t>
    <phoneticPr fontId="12" type="noConversion"/>
  </si>
  <si>
    <t>세항</t>
    <phoneticPr fontId="12" type="noConversion"/>
  </si>
  <si>
    <t>총계(사업예산+자본예산)</t>
    <phoneticPr fontId="12" type="noConversion"/>
  </si>
  <si>
    <t>자체수입금</t>
    <phoneticPr fontId="12" type="noConversion"/>
  </si>
  <si>
    <t>600 사업수익</t>
    <phoneticPr fontId="12" type="noConversion"/>
  </si>
  <si>
    <t>610 영업수익</t>
    <phoneticPr fontId="12" type="noConversion"/>
  </si>
  <si>
    <t>623 대행사업수익</t>
    <phoneticPr fontId="12" type="noConversion"/>
  </si>
  <si>
    <t>01 직접관리비수익</t>
    <phoneticPr fontId="12" type="noConversion"/>
  </si>
  <si>
    <t>01 기부금수익</t>
    <phoneticPr fontId="12" type="noConversion"/>
  </si>
  <si>
    <t>648 출연금 수익</t>
    <phoneticPr fontId="12" type="noConversion"/>
  </si>
  <si>
    <t>02 자치단체출연금수익</t>
    <phoneticPr fontId="12" type="noConversion"/>
  </si>
  <si>
    <t>670 영업외수익</t>
    <phoneticPr fontId="12" type="noConversion"/>
  </si>
  <si>
    <t>671 이자수익</t>
    <phoneticPr fontId="12" type="noConversion"/>
  </si>
  <si>
    <t>01 예금이자수익</t>
    <phoneticPr fontId="12" type="noConversion"/>
  </si>
  <si>
    <t>100 자본적수입</t>
    <phoneticPr fontId="12" type="noConversion"/>
  </si>
  <si>
    <t>170 자본잉여금수입</t>
    <phoneticPr fontId="12" type="noConversion"/>
  </si>
  <si>
    <t>177 출연금 수입</t>
    <phoneticPr fontId="12" type="noConversion"/>
  </si>
  <si>
    <t>01 정부출연금</t>
    <phoneticPr fontId="12" type="noConversion"/>
  </si>
  <si>
    <t>지출예산(세부사업) - 수익사업부</t>
    <phoneticPr fontId="12" type="noConversion"/>
  </si>
  <si>
    <t>지출예산(세부사업) - 기획홍보부</t>
    <phoneticPr fontId="12" type="noConversion"/>
  </si>
  <si>
    <t>지출예산(세부사업) - 행정관리부</t>
    <phoneticPr fontId="12" type="noConversion"/>
  </si>
  <si>
    <t>지출예산(세부사업) - 행사부</t>
    <phoneticPr fontId="12" type="noConversion"/>
  </si>
  <si>
    <t>지출예산(세부사업) - 시설조성부</t>
    <phoneticPr fontId="12" type="noConversion"/>
  </si>
  <si>
    <t>지출예산(세부사업) - 예비비</t>
    <phoneticPr fontId="12" type="noConversion"/>
  </si>
  <si>
    <t>단위 : 천원</t>
    <phoneticPr fontId="12" type="noConversion"/>
  </si>
  <si>
    <t>구
분</t>
    <phoneticPr fontId="48" type="noConversion"/>
  </si>
  <si>
    <t>편성목</t>
    <phoneticPr fontId="48" type="noConversion"/>
  </si>
  <si>
    <t>정책</t>
    <phoneticPr fontId="48" type="noConversion"/>
  </si>
  <si>
    <t>세부</t>
    <phoneticPr fontId="48" type="noConversion"/>
  </si>
  <si>
    <t>그룹</t>
    <phoneticPr fontId="48" type="noConversion"/>
  </si>
  <si>
    <t>세목</t>
    <phoneticPr fontId="48" type="noConversion"/>
  </si>
  <si>
    <t>총계(사업예산 + 자본예산)</t>
    <phoneticPr fontId="12" type="noConversion"/>
  </si>
  <si>
    <t>예비비</t>
    <phoneticPr fontId="12" type="noConversion"/>
  </si>
  <si>
    <t>예비비</t>
    <phoneticPr fontId="12" type="noConversion"/>
  </si>
  <si>
    <t>예비비</t>
    <phoneticPr fontId="48" type="noConversion"/>
  </si>
  <si>
    <t>800 예비비</t>
    <phoneticPr fontId="12" type="noConversion"/>
  </si>
  <si>
    <t>801 예비비</t>
    <phoneticPr fontId="12" type="noConversion"/>
  </si>
  <si>
    <t>01 일반예비비</t>
    <phoneticPr fontId="12" type="noConversion"/>
  </si>
  <si>
    <t>[일반예비비]</t>
    <phoneticPr fontId="12" type="noConversion"/>
  </si>
  <si>
    <t>자본예산</t>
    <phoneticPr fontId="12" type="noConversion"/>
  </si>
  <si>
    <t>자본예산</t>
    <phoneticPr fontId="12" type="noConversion"/>
  </si>
  <si>
    <t>예비비(자본)</t>
    <phoneticPr fontId="12" type="noConversion"/>
  </si>
  <si>
    <t>예비비(자본)</t>
    <phoneticPr fontId="12" type="noConversion"/>
  </si>
  <si>
    <t>예비비(자본)</t>
    <phoneticPr fontId="48" type="noConversion"/>
  </si>
  <si>
    <t>800 예비비</t>
    <phoneticPr fontId="12" type="noConversion"/>
  </si>
  <si>
    <t>01 일반예비비</t>
    <phoneticPr fontId="12" type="noConversion"/>
  </si>
  <si>
    <t>[일반예비비]</t>
    <phoneticPr fontId="12" type="noConversion"/>
  </si>
  <si>
    <t>=</t>
    <phoneticPr fontId="12" type="noConversion"/>
  </si>
  <si>
    <t>2026여수세계섬박람회 홍보</t>
    <phoneticPr fontId="12" type="noConversion"/>
  </si>
  <si>
    <t>박람회 홍보</t>
    <phoneticPr fontId="12" type="noConversion"/>
  </si>
  <si>
    <t>일반운영비</t>
    <phoneticPr fontId="12" type="noConversion"/>
  </si>
  <si>
    <t>사무관리비</t>
    <phoneticPr fontId="12" type="noConversion"/>
  </si>
  <si>
    <t>광고선전비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</si>
  <si>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</si>
  <si>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</si>
  <si>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</si>
  <si>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</si>
  <si>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</si>
  <si>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</si>
  <si>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</si>
  <si>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</si>
  <si>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</si>
  <si>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</si>
  <si>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</si>
  <si>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</si>
  <si>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2026여수세계섬박람회 홍보</t>
    <phoneticPr fontId="12" type="noConversion"/>
  </si>
  <si>
    <t>박람회 홍보</t>
    <phoneticPr fontId="48" type="noConversion"/>
  </si>
  <si>
    <t>200 물건비</t>
    <phoneticPr fontId="12" type="noConversion"/>
  </si>
  <si>
    <t>201 일반운영비</t>
    <phoneticPr fontId="12" type="noConversion"/>
  </si>
  <si>
    <t>01 사무관리비</t>
    <phoneticPr fontId="12" type="noConversion"/>
  </si>
  <si>
    <t>[사무관리비]</t>
    <phoneticPr fontId="12" type="noConversion"/>
  </si>
  <si>
    <t>=</t>
    <phoneticPr fontId="12" type="noConversion"/>
  </si>
  <si>
    <t>03 행사운영비</t>
    <phoneticPr fontId="12" type="noConversion"/>
  </si>
  <si>
    <t>[행사운영비]</t>
    <phoneticPr fontId="12" type="noConversion"/>
  </si>
  <si>
    <t>[광고료]</t>
    <phoneticPr fontId="12" type="noConversion"/>
  </si>
  <si>
    <t>단위 : 천 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</si>
  <si>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</si>
  <si>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</si>
  <si>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</si>
  <si>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정책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</si>
  <si>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</si>
  <si>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</si>
  <si>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</si>
  <si>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</si>
  <si>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</si>
  <si>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</si>
  <si>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</si>
  <si>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200 물건비</t>
    <phoneticPr fontId="12" type="noConversion"/>
  </si>
  <si>
    <t>201 일반운영비</t>
    <phoneticPr fontId="12" type="noConversion"/>
  </si>
  <si>
    <t>=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</si>
  <si>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</si>
  <si>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</si>
  <si>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전시연출부 부서운영</t>
    <phoneticPr fontId="12" type="noConversion"/>
  </si>
  <si>
    <t>지출예산(위탁) - 본예산</t>
    <phoneticPr fontId="12" type="noConversion"/>
  </si>
  <si>
    <t>지출예산 - 기획본부(위탁)</t>
    <phoneticPr fontId="12" type="noConversion"/>
  </si>
  <si>
    <t>지출예산 - 운영본부(위탁)</t>
    <phoneticPr fontId="12" type="noConversion"/>
  </si>
  <si>
    <t>지출예산 총괄표(출연금+위탁사업비)</t>
    <phoneticPr fontId="12" type="noConversion"/>
  </si>
  <si>
    <t>비교증감</t>
    <phoneticPr fontId="12" type="noConversion"/>
  </si>
  <si>
    <t>구분</t>
    <phoneticPr fontId="12" type="noConversion"/>
  </si>
  <si>
    <t>총계(출연금+위탁사업비)</t>
    <phoneticPr fontId="12" type="noConversion"/>
  </si>
  <si>
    <t>2026여수세계섬박람회 유치협력</t>
    <phoneticPr fontId="12" type="noConversion"/>
  </si>
  <si>
    <t>2026여수세계섬박람회 수익사업</t>
    <phoneticPr fontId="12" type="noConversion"/>
  </si>
  <si>
    <t>수익사업부 부서운영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</si>
  <si>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</si>
  <si>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</si>
  <si>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2026여수세계섬박람회 수익사업</t>
    <phoneticPr fontId="12" type="noConversion"/>
  </si>
  <si>
    <t>2026여수세계섬박람회 유치협력</t>
    <phoneticPr fontId="12" type="noConversion"/>
  </si>
  <si>
    <t>2026여수세계섬박람회 운영</t>
    <phoneticPr fontId="12" type="noConversion"/>
  </si>
  <si>
    <t>2026여수세계섬박람회 행사</t>
    <phoneticPr fontId="12" type="noConversion"/>
  </si>
  <si>
    <t>2026여수세계섬박람회 시설조성</t>
    <phoneticPr fontId="12" type="noConversion"/>
  </si>
  <si>
    <t>2026여수세계섬박람회 전시연출</t>
    <phoneticPr fontId="12" type="noConversion"/>
  </si>
  <si>
    <t>직원역랑강화 워크숍</t>
    <phoneticPr fontId="48" type="noConversion"/>
  </si>
  <si>
    <t>213 교육훈련비</t>
    <phoneticPr fontId="12" type="noConversion"/>
  </si>
  <si>
    <t>[교육훈련경비]</t>
    <phoneticPr fontId="12" type="noConversion"/>
  </si>
  <si>
    <t>2026여수세계섬박람회 행정관리</t>
    <phoneticPr fontId="12" type="noConversion"/>
  </si>
  <si>
    <t>2026여수세계섬박람회 기획홍보</t>
    <phoneticPr fontId="12" type="noConversion"/>
  </si>
  <si>
    <t>자본예산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</si>
  <si>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</si>
  <si>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</si>
  <si>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유치</t>
    <phoneticPr fontId="12" type="noConversion"/>
  </si>
  <si>
    <t>2026여수세계섬박람회 행사(위탁)</t>
    <phoneticPr fontId="12" type="noConversion"/>
  </si>
  <si>
    <t>2026여수세계섬박람회 행사</t>
    <phoneticPr fontId="12" type="noConversion"/>
  </si>
  <si>
    <t>2026여수세계섬박람회 시설조성(위탁)</t>
    <phoneticPr fontId="12" type="noConversion"/>
  </si>
  <si>
    <t>2026여수세계섬박람회 시설조성(위탁)</t>
    <phoneticPr fontId="12" type="noConversion"/>
  </si>
  <si>
    <t>2026여수세계섬박람회 시설조성</t>
    <phoneticPr fontId="12" type="noConversion"/>
  </si>
  <si>
    <t>2026여수세계섬박람회 전시연출(위탁)</t>
    <phoneticPr fontId="12" type="noConversion"/>
  </si>
  <si>
    <t>2026여수세계섬박람회 전시연출</t>
    <phoneticPr fontId="12" type="noConversion"/>
  </si>
  <si>
    <t>자본예산</t>
    <phoneticPr fontId="12" type="noConversion"/>
  </si>
  <si>
    <t>자본예산</t>
    <phoneticPr fontId="12" type="noConversion"/>
  </si>
  <si>
    <t>2026여수세계섬박람회 기획홍보(위탁)</t>
    <phoneticPr fontId="12" type="noConversion"/>
  </si>
  <si>
    <t>2026여수세계섬박람회 전시연출(위탁)</t>
    <phoneticPr fontId="12" type="noConversion"/>
  </si>
  <si>
    <t>2026여수세계섬박람회 연출</t>
    <phoneticPr fontId="12" type="noConversion"/>
  </si>
  <si>
    <t>2026여수세계섬박람회 기획</t>
    <phoneticPr fontId="12" type="noConversion"/>
  </si>
  <si>
    <t>직원역량강화 워크숍</t>
    <phoneticPr fontId="12" type="noConversion"/>
  </si>
  <si>
    <t>사무국운영</t>
    <phoneticPr fontId="12" type="noConversion"/>
  </si>
  <si>
    <t>기본경비</t>
    <phoneticPr fontId="12" type="noConversion"/>
  </si>
  <si>
    <t>예산공통 행정운영</t>
    <phoneticPr fontId="12" type="noConversion"/>
  </si>
  <si>
    <t>기관공통 운영경비</t>
    <phoneticPr fontId="12" type="noConversion"/>
  </si>
  <si>
    <t>2026여수세계섬박람회 홍보</t>
    <phoneticPr fontId="12" type="noConversion"/>
  </si>
  <si>
    <t>홈페이지 유지관리</t>
    <phoneticPr fontId="12" type="noConversion"/>
  </si>
  <si>
    <t>2026여수세계섬박람회 전시연출</t>
    <phoneticPr fontId="12" type="noConversion"/>
  </si>
  <si>
    <t>2026여수세계섬박람회 시설조성</t>
    <phoneticPr fontId="12" type="noConversion"/>
  </si>
  <si>
    <t>2026여수세계섬박람회 행사</t>
    <phoneticPr fontId="12" type="noConversion"/>
  </si>
  <si>
    <t>2026여수세계섬박람회 행정관리</t>
    <phoneticPr fontId="12" type="noConversion"/>
  </si>
  <si>
    <t>2026여수세계섬박람회 수익사업</t>
    <phoneticPr fontId="12" type="noConversion"/>
  </si>
  <si>
    <t>2026여수세계섬박람회 박람회장 수익사업</t>
    <phoneticPr fontId="12" type="noConversion"/>
  </si>
  <si>
    <t>2026여수세계섬박람회 운영</t>
    <phoneticPr fontId="12" type="noConversion"/>
  </si>
  <si>
    <t>유치협력부 부서운영</t>
    <phoneticPr fontId="12" type="noConversion"/>
  </si>
  <si>
    <t>기획홍보부 부서운영</t>
    <phoneticPr fontId="12" type="noConversion"/>
  </si>
  <si>
    <t>기획홍보부 부서운영</t>
    <phoneticPr fontId="12" type="noConversion"/>
  </si>
  <si>
    <t>수익사업부 부서운영</t>
    <phoneticPr fontId="12" type="noConversion"/>
  </si>
  <si>
    <t>유치협력부 부서운영</t>
    <phoneticPr fontId="12" type="noConversion"/>
  </si>
  <si>
    <t>2026여수세계섬박람회 행사</t>
    <phoneticPr fontId="12" type="noConversion"/>
  </si>
  <si>
    <t>행사부 부서운영</t>
    <phoneticPr fontId="12" type="noConversion"/>
  </si>
  <si>
    <t>시설조성부 부서운영</t>
    <phoneticPr fontId="12" type="noConversion"/>
  </si>
  <si>
    <t>2026여수세계섬박람회 전시연출</t>
    <phoneticPr fontId="12" type="noConversion"/>
  </si>
  <si>
    <t>예비비(자본)</t>
    <phoneticPr fontId="12" type="noConversion"/>
  </si>
  <si>
    <t>일반예비비(자본)</t>
    <phoneticPr fontId="12" type="noConversion"/>
  </si>
  <si>
    <t>2026여수세계섬박람회 전시연출</t>
    <phoneticPr fontId="12" type="noConversion"/>
  </si>
  <si>
    <t>박람회 연출</t>
    <phoneticPr fontId="48" type="noConversion"/>
  </si>
  <si>
    <t>박람회 연출</t>
    <phoneticPr fontId="12" type="noConversion"/>
  </si>
  <si>
    <t>출연금(사업예산+자본예산)</t>
    <phoneticPr fontId="12" type="noConversion"/>
  </si>
  <si>
    <t>위탁사업비(사업예산+자본예산)</t>
    <phoneticPr fontId="12" type="noConversion"/>
  </si>
  <si>
    <t>15 복리후생비</t>
    <phoneticPr fontId="12" type="noConversion"/>
  </si>
  <si>
    <t>[급량비]</t>
    <phoneticPr fontId="12" type="noConversion"/>
  </si>
  <si>
    <t>복리후생비</t>
    <phoneticPr fontId="12" type="noConversion"/>
  </si>
  <si>
    <t>15 복리후생비</t>
    <phoneticPr fontId="12" type="noConversion"/>
  </si>
  <si>
    <t>[급량비]</t>
    <phoneticPr fontId="12" type="noConversion"/>
  </si>
  <si>
    <t>복리후생비</t>
    <phoneticPr fontId="12" type="noConversion"/>
  </si>
  <si>
    <t xml:space="preserve"> ○ 직원역량강화 교육 강사수당 : 370,000원*2명*4회</t>
    <phoneticPr fontId="12" type="noConversion"/>
  </si>
  <si>
    <t>자문위원회 운영</t>
    <phoneticPr fontId="48" type="noConversion"/>
  </si>
  <si>
    <t xml:space="preserve"> ○ 이사회 책자 제작 및 소모품 구입 : 20,000원*13명*6회</t>
    <phoneticPr fontId="12" type="noConversion"/>
  </si>
  <si>
    <t xml:space="preserve"> ○ 이사회 참석수당 : 150,000원*13명*6회</t>
    <phoneticPr fontId="12" type="noConversion"/>
  </si>
  <si>
    <t xml:space="preserve"> ○ 이사회 참석자 실비보상 : 110,000원*13명*6회</t>
    <phoneticPr fontId="12" type="noConversion"/>
  </si>
  <si>
    <t xml:space="preserve"> ○ 이사회 등 회의 운영비 : 400,000원*6회</t>
    <phoneticPr fontId="12" type="noConversion"/>
  </si>
  <si>
    <t xml:space="preserve"> ○ 4급이상 : 600,000원*2명*12월</t>
    <phoneticPr fontId="12" type="noConversion"/>
  </si>
  <si>
    <t>02 기타직 보수</t>
    <phoneticPr fontId="12" type="noConversion"/>
  </si>
  <si>
    <t>[총감독 급여]</t>
    <phoneticPr fontId="12" type="noConversion"/>
  </si>
  <si>
    <t xml:space="preserve"> ○ 월급여 : 7,000,000원*12월</t>
    <phoneticPr fontId="12" type="noConversion"/>
  </si>
  <si>
    <t>04 기간제근로자등보수</t>
    <phoneticPr fontId="12" type="noConversion"/>
  </si>
  <si>
    <t>[본부장실 관리요원]</t>
    <phoneticPr fontId="12" type="noConversion"/>
  </si>
  <si>
    <t>=</t>
    <phoneticPr fontId="12" type="noConversion"/>
  </si>
  <si>
    <t>107 퇴직급여</t>
    <phoneticPr fontId="12" type="noConversion"/>
  </si>
  <si>
    <t>퇴직급여충당금</t>
    <phoneticPr fontId="12" type="noConversion"/>
  </si>
  <si>
    <t>[퇴직급여충당금]</t>
    <phoneticPr fontId="12" type="noConversion"/>
  </si>
  <si>
    <t xml:space="preserve"> ○ 총감독 : 10,500,000원*1회</t>
    <phoneticPr fontId="12" type="noConversion"/>
  </si>
  <si>
    <t xml:space="preserve"> ○ 인부임 : 95,440원*1명*22일*12월</t>
    <phoneticPr fontId="12" type="noConversion"/>
  </si>
  <si>
    <t xml:space="preserve"> ○ 주휴수당 : 95,440원*1명*4일*12월</t>
    <phoneticPr fontId="12" type="noConversion"/>
  </si>
  <si>
    <t xml:space="preserve"> ○ 연차수당 : 95,440원*1명*11월</t>
    <phoneticPr fontId="12" type="noConversion"/>
  </si>
  <si>
    <t xml:space="preserve"> ○ 각종 보고서, 규정집 등 인쇄 : 3,000,000원*1식 </t>
    <phoneticPr fontId="12" type="noConversion"/>
  </si>
  <si>
    <t xml:space="preserve"> ○ 복사용지 등 사무용품 구입 : 5,000,000원*1식 </t>
    <phoneticPr fontId="12" type="noConversion"/>
  </si>
  <si>
    <t xml:space="preserve"> ○ 복사기 및 프린터토너 구입 : 3,000,000원*1식</t>
    <phoneticPr fontId="12" type="noConversion"/>
  </si>
  <si>
    <t xml:space="preserve"> ○ 사무실 환경정비용품 구입 : 5,000,000원*1식</t>
    <phoneticPr fontId="12" type="noConversion"/>
  </si>
  <si>
    <t xml:space="preserve"> ○ 방문차량 주차요금 : 3,000,000원*1식 </t>
    <phoneticPr fontId="12" type="noConversion"/>
  </si>
  <si>
    <t xml:space="preserve"> ○ 정수기 렌탈 요금 : 40,000원*5대*12월 </t>
    <phoneticPr fontId="12" type="noConversion"/>
  </si>
  <si>
    <t xml:space="preserve"> ○ 공기청정기 렌탈요금 : 350,000원*12월</t>
    <phoneticPr fontId="12" type="noConversion"/>
  </si>
  <si>
    <t xml:space="preserve"> ○ 무인경비시스템 이용료 : 330,000원*12월</t>
    <phoneticPr fontId="12" type="noConversion"/>
  </si>
  <si>
    <t xml:space="preserve"> ○ 웹하드사용료(사진 영상보관) : 100,000원*12월</t>
    <phoneticPr fontId="12" type="noConversion"/>
  </si>
  <si>
    <t xml:space="preserve"> ○ 업무용 차량 임차비 : 1,000,000원*1대*12월</t>
    <phoneticPr fontId="12" type="noConversion"/>
  </si>
  <si>
    <t xml:space="preserve"> ○ 전기요금 등 공공요금 납부 : 1,000,000원*12월</t>
    <phoneticPr fontId="12" type="noConversion"/>
  </si>
  <si>
    <t xml:space="preserve"> ○ 차량 유지관리비 : 100,000원*1대*12월 </t>
    <phoneticPr fontId="12" type="noConversion"/>
  </si>
  <si>
    <t xml:space="preserve"> ○ 기본업무수행 급량비 : 9,000원*10명*8일*12월</t>
    <phoneticPr fontId="12" type="noConversion"/>
  </si>
  <si>
    <t xml:space="preserve"> ○ 4급보조기관장(기획본부장) : 6,600,000원*1식 </t>
    <phoneticPr fontId="12" type="noConversion"/>
  </si>
  <si>
    <t>=</t>
    <phoneticPr fontId="12" type="noConversion"/>
  </si>
  <si>
    <t>=</t>
    <phoneticPr fontId="12" type="noConversion"/>
  </si>
  <si>
    <t xml:space="preserve"> ○ 본부장(4급) : 350,000원*2명*12월</t>
    <phoneticPr fontId="12" type="noConversion"/>
  </si>
  <si>
    <t xml:space="preserve"> ○ 예산결산계약 실무담당직원 : 80,000원*7명*12월</t>
    <phoneticPr fontId="12" type="noConversion"/>
  </si>
  <si>
    <t>300 경상이전</t>
    <phoneticPr fontId="12" type="noConversion"/>
  </si>
  <si>
    <t>304 연금부담금 등</t>
    <phoneticPr fontId="12" type="noConversion"/>
  </si>
  <si>
    <t>01 연금부담금</t>
    <phoneticPr fontId="12" type="noConversion"/>
  </si>
  <si>
    <t>[사무총장 사회보험 사용자 부담금]</t>
    <phoneticPr fontId="12" type="noConversion"/>
  </si>
  <si>
    <t>[총감독 사회보험 사용자 부담금]</t>
    <phoneticPr fontId="12" type="noConversion"/>
  </si>
  <si>
    <t>[본부장실 관리요원 사회보험 사용자 부담금]</t>
    <phoneticPr fontId="12" type="noConversion"/>
  </si>
  <si>
    <t xml:space="preserve"> ○ 건강보험 : 7,000,000원*3.6%*12월 </t>
    <phoneticPr fontId="12" type="noConversion"/>
  </si>
  <si>
    <t xml:space="preserve"> ○ 고용연금 : 7,000,000원*1.2%*12월 </t>
    <phoneticPr fontId="12" type="noConversion"/>
  </si>
  <si>
    <t xml:space="preserve"> ○ 산재보험 : 7,000,000원*1.0%*12월 </t>
    <phoneticPr fontId="12" type="noConversion"/>
  </si>
  <si>
    <t xml:space="preserve"> ○ 장기요양보험 : 3,024,000원*12.9% </t>
    <phoneticPr fontId="12" type="noConversion"/>
  </si>
  <si>
    <t xml:space="preserve"> ○ 인사위원회 참석수당 : 100,000원*3명*5회</t>
    <phoneticPr fontId="12" type="noConversion"/>
  </si>
  <si>
    <t>2026여수세계섬박람회 행정 업무추진</t>
    <phoneticPr fontId="12" type="noConversion"/>
  </si>
  <si>
    <t>이사회 및 각종 위원회 운영</t>
    <phoneticPr fontId="48" type="noConversion"/>
  </si>
  <si>
    <t>○ 사용자부담금 : 30,829,000원*11%</t>
    <phoneticPr fontId="12" type="noConversion"/>
  </si>
  <si>
    <t>2026여수세계섬박람회 행정 업무추진</t>
    <phoneticPr fontId="12" type="noConversion"/>
  </si>
  <si>
    <t>이사회 및 각종 위원회 운영</t>
    <phoneticPr fontId="12" type="noConversion"/>
  </si>
  <si>
    <t>기타직보수</t>
    <phoneticPr fontId="12" type="noConversion"/>
  </si>
  <si>
    <t>기간제근로자등보수</t>
    <phoneticPr fontId="12" type="noConversion"/>
  </si>
  <si>
    <t>퇴직급여</t>
    <phoneticPr fontId="12" type="noConversion"/>
  </si>
  <si>
    <t>퇴직급여충당금</t>
    <phoneticPr fontId="12" type="noConversion"/>
  </si>
  <si>
    <t>연금부담금 등</t>
    <phoneticPr fontId="12" type="noConversion"/>
  </si>
  <si>
    <t>연금부담금</t>
    <phoneticPr fontId="12" type="noConversion"/>
  </si>
  <si>
    <t>박람회장 운영</t>
    <phoneticPr fontId="12" type="noConversion"/>
  </si>
  <si>
    <t>대행사 선정</t>
    <phoneticPr fontId="12" type="noConversion"/>
  </si>
  <si>
    <t>일반운영비</t>
    <phoneticPr fontId="12" type="noConversion"/>
  </si>
  <si>
    <t>행사운영비</t>
    <phoneticPr fontId="12" type="noConversion"/>
  </si>
  <si>
    <t>지출예산(세부사업) - 운영부</t>
    <phoneticPr fontId="12" type="noConversion"/>
  </si>
  <si>
    <t>단위 : 천원</t>
    <phoneticPr fontId="12" type="noConversion"/>
  </si>
  <si>
    <t>구
분</t>
    <phoneticPr fontId="48" type="noConversion"/>
  </si>
  <si>
    <t>사업</t>
    <phoneticPr fontId="48" type="noConversion"/>
  </si>
  <si>
    <t>편성목</t>
    <phoneticPr fontId="48" type="noConversion"/>
  </si>
  <si>
    <t>단위</t>
    <phoneticPr fontId="48" type="noConversion"/>
  </si>
  <si>
    <t>세부</t>
    <phoneticPr fontId="48" type="noConversion"/>
  </si>
  <si>
    <t>그룹</t>
    <phoneticPr fontId="48" type="noConversion"/>
  </si>
  <si>
    <t>목</t>
    <phoneticPr fontId="48" type="noConversion"/>
  </si>
  <si>
    <t>세목</t>
    <phoneticPr fontId="48" type="noConversion"/>
  </si>
  <si>
    <t>총계(사업예산 + 자본예산)</t>
    <phoneticPr fontId="12" type="noConversion"/>
  </si>
  <si>
    <t>사업예산</t>
    <phoneticPr fontId="12" type="noConversion"/>
  </si>
  <si>
    <t>박람회장 운영</t>
    <phoneticPr fontId="12" type="noConversion"/>
  </si>
  <si>
    <t>대행사 선정</t>
    <phoneticPr fontId="48" type="noConversion"/>
  </si>
  <si>
    <t>200 물건비</t>
    <phoneticPr fontId="12" type="noConversion"/>
  </si>
  <si>
    <t>01 사무관리비</t>
    <phoneticPr fontId="12" type="noConversion"/>
  </si>
  <si>
    <t xml:space="preserve"> ○ 대행사 선정 제안서 평가위원 수당 : 250,000원*10명*2회</t>
    <phoneticPr fontId="12" type="noConversion"/>
  </si>
  <si>
    <t xml:space="preserve"> ○ 대행사 선정 평가위원 실비 : 500,000원*2회</t>
    <phoneticPr fontId="12" type="noConversion"/>
  </si>
  <si>
    <t>03 행사운영비</t>
    <phoneticPr fontId="12" type="noConversion"/>
  </si>
  <si>
    <t xml:space="preserve"> ○ 종합실행계획 수립 및 운영대행 용역비(1차분) : 300,000,000원*1식</t>
    <phoneticPr fontId="12" type="noConversion"/>
  </si>
  <si>
    <t>14 회의비</t>
    <phoneticPr fontId="12" type="noConversion"/>
  </si>
  <si>
    <t>[회의비]</t>
    <phoneticPr fontId="12" type="noConversion"/>
  </si>
  <si>
    <t xml:space="preserve"> ○ 대행사 선정 평가위원회 운영비 : 250,000원*2회</t>
    <phoneticPr fontId="12" type="noConversion"/>
  </si>
  <si>
    <t>운영부 사무국운영</t>
    <phoneticPr fontId="12" type="noConversion"/>
  </si>
  <si>
    <t>기본경비</t>
    <phoneticPr fontId="48" type="noConversion"/>
  </si>
  <si>
    <t>201 일반운영비</t>
    <phoneticPr fontId="12" type="noConversion"/>
  </si>
  <si>
    <t xml:space="preserve"> ○ 복사기 및 프린터토너 구입 : 3,000,000원*1식</t>
    <phoneticPr fontId="12" type="noConversion"/>
  </si>
  <si>
    <t xml:space="preserve"> ○ 사무실 환경정비용품 구입 : 5,000,000원*1식</t>
    <phoneticPr fontId="12" type="noConversion"/>
  </si>
  <si>
    <t>15 복리후생비</t>
    <phoneticPr fontId="12" type="noConversion"/>
  </si>
  <si>
    <t>[급량비]</t>
    <phoneticPr fontId="12" type="noConversion"/>
  </si>
  <si>
    <t>01 국내여비</t>
    <phoneticPr fontId="12" type="noConversion"/>
  </si>
  <si>
    <t>[국내여비]</t>
    <phoneticPr fontId="12" type="noConversion"/>
  </si>
  <si>
    <t>203 업무추진비</t>
    <phoneticPr fontId="12" type="noConversion"/>
  </si>
  <si>
    <t>07 사업업무추진비</t>
    <phoneticPr fontId="12" type="noConversion"/>
  </si>
  <si>
    <t>[기관운영업무추진비]</t>
    <phoneticPr fontId="12" type="noConversion"/>
  </si>
  <si>
    <t xml:space="preserve"> ○ 4급보조기관장(운영본부장) : 6,600,000원*1식 </t>
    <phoneticPr fontId="12" type="noConversion"/>
  </si>
  <si>
    <t>217 관서업무비</t>
    <phoneticPr fontId="12" type="noConversion"/>
  </si>
  <si>
    <t>[정원가산업무비]</t>
    <phoneticPr fontId="12" type="noConversion"/>
  </si>
  <si>
    <t>02 부서업무비</t>
    <phoneticPr fontId="12" type="noConversion"/>
  </si>
  <si>
    <t>운영부 사무국운영</t>
    <phoneticPr fontId="12" type="noConversion"/>
  </si>
  <si>
    <t>정원가산업무비</t>
    <phoneticPr fontId="12" type="noConversion"/>
  </si>
  <si>
    <t>부서업무비</t>
    <phoneticPr fontId="12" type="noConversion"/>
  </si>
  <si>
    <t>사전행사 개최</t>
    <phoneticPr fontId="48" type="noConversion"/>
  </si>
  <si>
    <t>2026여수세계섬박람회 전시연출(위탁)</t>
    <phoneticPr fontId="12" type="noConversion"/>
  </si>
  <si>
    <t>문화행사 추진</t>
    <phoneticPr fontId="48" type="noConversion"/>
  </si>
  <si>
    <t>[행사운영비]</t>
    <phoneticPr fontId="12" type="noConversion"/>
  </si>
  <si>
    <t xml:space="preserve"> ○ 섬박람회 문화행사 기획 및 프로그램 개발 : 600,000,000원*1식</t>
    <phoneticPr fontId="12" type="noConversion"/>
  </si>
  <si>
    <t>[행사운영비]</t>
    <phoneticPr fontId="12" type="noConversion"/>
  </si>
  <si>
    <t xml:space="preserve"> ○ 전시연출 콘텐츠 개발 : 1,500,000,000원*1식</t>
    <phoneticPr fontId="12" type="noConversion"/>
  </si>
  <si>
    <t xml:space="preserve"> ○ 누리집 유지관리 용역 : 50,000,000원*1식</t>
    <phoneticPr fontId="12" type="noConversion"/>
  </si>
  <si>
    <t xml:space="preserve"> ○ 기본업무수행 급량비 : 9,000원*7명*8일*12월</t>
    <phoneticPr fontId="12" type="noConversion"/>
  </si>
  <si>
    <t xml:space="preserve"> ○ 기본업무수행 급량비 : 9,000원*8명*8일*12월</t>
    <phoneticPr fontId="12" type="noConversion"/>
  </si>
  <si>
    <t xml:space="preserve"> ○ 부서운영을 위한 소모품 구입 : 210,000원*12월</t>
    <phoneticPr fontId="12" type="noConversion"/>
  </si>
  <si>
    <t xml:space="preserve"> ○ 5급이하 : 400,000원*60명*12월</t>
    <phoneticPr fontId="12" type="noConversion"/>
  </si>
  <si>
    <t xml:space="preserve"> ○ 타시군(도) 주거지원비 : 500,000원*15명*12월</t>
    <phoneticPr fontId="12" type="noConversion"/>
  </si>
  <si>
    <t xml:space="preserve"> ○ 현장체험 등 워크숍 운영 경비 : 15,000,000원*2회</t>
    <phoneticPr fontId="12" type="noConversion"/>
  </si>
  <si>
    <t xml:space="preserve"> ○ 명예위원장, 부위원장, 특별위원회 위원 등 행사 참석 실비 : 110,000원*13명*4회</t>
    <phoneticPr fontId="12" type="noConversion"/>
  </si>
  <si>
    <t xml:space="preserve"> ○ 행정관리부 부서운영 총액계상 : 175,000원*12월</t>
    <phoneticPr fontId="12" type="noConversion"/>
  </si>
  <si>
    <t xml:space="preserve"> ○ 사무실 통신선 등 수선유지비 : 5,000,000원*1식</t>
    <phoneticPr fontId="12" type="noConversion"/>
  </si>
  <si>
    <t xml:space="preserve"> ○ 기획본부 정원가산총액계상 : 80,000원*33명</t>
    <phoneticPr fontId="12" type="noConversion"/>
  </si>
  <si>
    <t>[부서업무비]</t>
    <phoneticPr fontId="12" type="noConversion"/>
  </si>
  <si>
    <t xml:space="preserve"> ○ 부장, 협력관(5급) : 100,000원*9명*12월</t>
    <phoneticPr fontId="12" type="noConversion"/>
  </si>
  <si>
    <t xml:space="preserve"> ○ 박람회 홍보 및 유치 업무추진(4급) : 4,800,000원*1식</t>
    <phoneticPr fontId="12" type="noConversion"/>
  </si>
  <si>
    <t xml:space="preserve"> ○ 기획홍보부 부서운영 총액계상 : 175,000원*12월</t>
    <phoneticPr fontId="12" type="noConversion"/>
  </si>
  <si>
    <t xml:space="preserve"> ○ 유치협력부 부서운영 총액계상 : 175,000원*12월</t>
    <phoneticPr fontId="12" type="noConversion"/>
  </si>
  <si>
    <t xml:space="preserve"> ○ 부서 운영을 위한 소모품 구입 : 210,000원*12월</t>
    <phoneticPr fontId="12" type="noConversion"/>
  </si>
  <si>
    <t xml:space="preserve"> ○ 부서 운영을 위한 소모품 구입 : 240,000원*12월</t>
    <phoneticPr fontId="12" type="noConversion"/>
  </si>
  <si>
    <t xml:space="preserve"> ○ 부서 운영을 위한 소모품 구입 : 270,000원*12월</t>
    <phoneticPr fontId="12" type="noConversion"/>
  </si>
  <si>
    <t xml:space="preserve"> ○ 행사부 부서운영 총액계상 : 175,000원*12월</t>
    <phoneticPr fontId="12" type="noConversion"/>
  </si>
  <si>
    <t xml:space="preserve"> ○ 시설조성부 부서운영 총액계상 : 175,000원*12월</t>
    <phoneticPr fontId="12" type="noConversion"/>
  </si>
  <si>
    <t xml:space="preserve"> ○ 전시연출부 부서운영 총액계상 : 175,000원*12월</t>
    <phoneticPr fontId="12" type="noConversion"/>
  </si>
  <si>
    <t xml:space="preserve"> ○ 기본업무수행 급량비 : 9,000원*8명*8일*12월</t>
    <phoneticPr fontId="12" type="noConversion"/>
  </si>
  <si>
    <t xml:space="preserve"> ○ 운영본부 정원가산총액계상 : 80,000원*29명</t>
    <phoneticPr fontId="12" type="noConversion"/>
  </si>
  <si>
    <t xml:space="preserve"> ○ 운영부 부서운영 총액계상 : 175,000원*12월</t>
    <phoneticPr fontId="12" type="noConversion"/>
  </si>
  <si>
    <t xml:space="preserve"> ○ 기본업무수행 급량비 : 9,000원*9명*8일*12월</t>
    <phoneticPr fontId="12" type="noConversion"/>
  </si>
  <si>
    <t xml:space="preserve"> ○ 기본업무수행 급량비 : 9,000원*7명*8일*12월</t>
    <phoneticPr fontId="12" type="noConversion"/>
  </si>
  <si>
    <t>섬박람회장 안전시설물 설치사업</t>
    <phoneticPr fontId="48" type="noConversion"/>
  </si>
  <si>
    <t>섬박람회 랜드마크 조성사업</t>
    <phoneticPr fontId="48" type="noConversion"/>
  </si>
  <si>
    <t>섬박람회장 입구게이트 조성</t>
    <phoneticPr fontId="48" type="noConversion"/>
  </si>
  <si>
    <t>섬박람회장 열린문화공간 조성</t>
    <phoneticPr fontId="48" type="noConversion"/>
  </si>
  <si>
    <t xml:space="preserve"> ○  D-365 기념행사 : 280,000,000원*1식</t>
    <phoneticPr fontId="12" type="noConversion"/>
  </si>
  <si>
    <t xml:space="preserve"> ○ 수익사업부 부서운영 총액계상 : 175,000원*12월</t>
    <phoneticPr fontId="12" type="noConversion"/>
  </si>
  <si>
    <t xml:space="preserve"> ○ 박람회 운영 및 조성 업무추진(4급) : 4,800,000원*1식</t>
    <phoneticPr fontId="12" type="noConversion"/>
  </si>
  <si>
    <t xml:space="preserve"> ○ 예비비(자본) : 0원</t>
    <phoneticPr fontId="12" type="noConversion"/>
  </si>
  <si>
    <t>자문위원회 운영</t>
    <phoneticPr fontId="12" type="noConversion"/>
  </si>
  <si>
    <t xml:space="preserve"> ○ 홍보물품 등 제작 : 140,000,000원*1식</t>
    <phoneticPr fontId="12" type="noConversion"/>
  </si>
  <si>
    <t>=</t>
    <phoneticPr fontId="12" type="noConversion"/>
  </si>
  <si>
    <t xml:space="preserve"> ○ 사전 홍보 이벤트 : 30,000,000원*1식</t>
    <phoneticPr fontId="12" type="noConversion"/>
  </si>
  <si>
    <t>=</t>
    <phoneticPr fontId="12" type="noConversion"/>
  </si>
  <si>
    <t xml:space="preserve"> ○ 홍보부스 운영 : 5,000,000원*1식</t>
    <phoneticPr fontId="12" type="noConversion"/>
  </si>
  <si>
    <t xml:space="preserve"> ○ 홍보대사, 서포터즈 운영 : 20,000,000원*1식</t>
    <phoneticPr fontId="12" type="noConversion"/>
  </si>
  <si>
    <t>300 경상이전</t>
    <phoneticPr fontId="12" type="noConversion"/>
  </si>
  <si>
    <t xml:space="preserve"> ○ 홍보부스 참가 : 5,000,000원*4회</t>
    <phoneticPr fontId="12" type="noConversion"/>
  </si>
  <si>
    <t xml:space="preserve"> ○ 종합홍보 대행 용역(1차분) : 1,000,000,000원*1식</t>
    <phoneticPr fontId="12" type="noConversion"/>
  </si>
  <si>
    <t xml:space="preserve"> ○ 온라인 홍보 대행 용역 : 150,000,000원*1식</t>
    <phoneticPr fontId="12" type="noConversion"/>
  </si>
  <si>
    <t xml:space="preserve"> ○ 홍보영상 제작 용역 : 100,000,000원*1식</t>
    <phoneticPr fontId="12" type="noConversion"/>
  </si>
  <si>
    <t>[기타보상금]</t>
    <phoneticPr fontId="12" type="noConversion"/>
  </si>
  <si>
    <t>2026여수세계섬박람회 기획홍보(위탁)</t>
    <phoneticPr fontId="12" type="noConversion"/>
  </si>
  <si>
    <t>2026여수세계섬박람회 유치협력(위탁)</t>
    <phoneticPr fontId="12" type="noConversion"/>
  </si>
  <si>
    <t>2026여수세계섬박람회 행사(위탁)</t>
    <phoneticPr fontId="12" type="noConversion"/>
  </si>
  <si>
    <t>2026여수세계섬박람회 시설조성(위탁)</t>
    <phoneticPr fontId="12" type="noConversion"/>
  </si>
  <si>
    <t xml:space="preserve"> ○ 공모전 시상금 : 7,000,000원*3회</t>
    <phoneticPr fontId="12" type="noConversion"/>
  </si>
  <si>
    <t xml:space="preserve"> ○ 각종 이벤트 경품 : 5,000,000원*1식</t>
    <phoneticPr fontId="12" type="noConversion"/>
  </si>
  <si>
    <t xml:space="preserve"> ○ 제안서, 공모전 평가위원 수당 : 7,000,000원*1식</t>
    <phoneticPr fontId="12" type="noConversion"/>
  </si>
  <si>
    <t xml:space="preserve"> ○ 제안서, 공모전 평가위원 교통비 등 기타 실비 : 2,000,000원*1식</t>
    <phoneticPr fontId="12" type="noConversion"/>
  </si>
  <si>
    <t>[행사운영비]</t>
    <phoneticPr fontId="12" type="noConversion"/>
  </si>
  <si>
    <t xml:space="preserve"> ○ 운영부 기본업무 수행 관외여비 : 110,000원*8명*12월</t>
    <phoneticPr fontId="12" type="noConversion"/>
  </si>
  <si>
    <t>01 시설비</t>
    <phoneticPr fontId="12" type="noConversion"/>
  </si>
  <si>
    <t>03 시설부대비</t>
    <phoneticPr fontId="12" type="noConversion"/>
  </si>
  <si>
    <t>400 자본지출</t>
    <phoneticPr fontId="12" type="noConversion"/>
  </si>
  <si>
    <t>401 시설비및부대비</t>
    <phoneticPr fontId="12" type="noConversion"/>
  </si>
  <si>
    <t>[시설비]</t>
    <phoneticPr fontId="12" type="noConversion"/>
  </si>
  <si>
    <t>[시설부대비]</t>
    <phoneticPr fontId="12" type="noConversion"/>
  </si>
  <si>
    <t xml:space="preserve"> ○ 섬박람회장 안전시설물 설치 시설비 : 3,000,000,000원*1식*99.64/100</t>
    <phoneticPr fontId="12" type="noConversion"/>
  </si>
  <si>
    <t xml:space="preserve"> ○ 섬박람회장 안전시설물 설치 시설부대비 : 3,000,000,000원*1식*0.36/100</t>
    <phoneticPr fontId="12" type="noConversion"/>
  </si>
  <si>
    <t xml:space="preserve"> ○ 섬박람회장 입구게이트 조성 시설비 : 500,000,000원*1식*99.28/100</t>
    <phoneticPr fontId="12" type="noConversion"/>
  </si>
  <si>
    <t xml:space="preserve"> ○ 섬박람회장 입구게이트 조성 시설부대비 : 500,000,000원*1식*0.72/100</t>
    <phoneticPr fontId="12" type="noConversion"/>
  </si>
  <si>
    <t>[시설비]</t>
    <phoneticPr fontId="12" type="noConversion"/>
  </si>
  <si>
    <t xml:space="preserve"> ○ 섬박람회장 열린문화공간 조성 시설비 : 1,800,000,000원*1식*99.64/100</t>
    <phoneticPr fontId="12" type="noConversion"/>
  </si>
  <si>
    <t xml:space="preserve"> ○ 섬박람회장 열린문화공간 조성 시설부대비 : 1,800,000,000원*1식*0.36/100</t>
    <phoneticPr fontId="12" type="noConversion"/>
  </si>
  <si>
    <t xml:space="preserve"> ○ 섬박람회 랜드마크 조성 시설비 : 5,000,000,000원*1식*99.73/100</t>
    <phoneticPr fontId="12" type="noConversion"/>
  </si>
  <si>
    <t xml:space="preserve"> ○ 사무용품 등 소모품 구입 : 5,000,000원*1식 </t>
    <phoneticPr fontId="12" type="noConversion"/>
  </si>
  <si>
    <t xml:space="preserve"> ○ 행사부 기본업무 수행 관외여비 : 110,000원*7명*12월</t>
    <phoneticPr fontId="12" type="noConversion"/>
  </si>
  <si>
    <t xml:space="preserve"> ○ '너와 나의 섬이야기' 성공개최 이벤트 : 120,000,000원*1식</t>
    <phoneticPr fontId="12" type="noConversion"/>
  </si>
  <si>
    <t xml:space="preserve"> ○ 운영부 기본업무 수행 관내여비 : 20,000원*8명*2일*12월</t>
    <phoneticPr fontId="12" type="noConversion"/>
  </si>
  <si>
    <t xml:space="preserve"> ○ 행사부 기본업무 수행 관내여비 : 20,000원*7명*2일*12월</t>
    <phoneticPr fontId="12" type="noConversion"/>
  </si>
  <si>
    <t xml:space="preserve"> ○ 시설조성부 기본업무 수행 관내여비 : 20,000원*7명*2일*12월</t>
    <phoneticPr fontId="12" type="noConversion"/>
  </si>
  <si>
    <t xml:space="preserve"> ○ 시설조성부 기본업무 수행 관외여비 : 110,000원*7명*12월</t>
    <phoneticPr fontId="12" type="noConversion"/>
  </si>
  <si>
    <t xml:space="preserve"> ○ 전시연출부 기본업무 수행 관내여비 : 20,000원*7명*2일*12월</t>
    <phoneticPr fontId="12" type="noConversion"/>
  </si>
  <si>
    <t xml:space="preserve"> ○ 전시연출부 기본업무 수행 관외여비 : 110,000원*7명*12월</t>
    <phoneticPr fontId="12" type="noConversion"/>
  </si>
  <si>
    <t xml:space="preserve"> ○ 유치협력 기본업무 수행 관내여비 : 20,000원*7명*2일*12월</t>
    <phoneticPr fontId="12" type="noConversion"/>
  </si>
  <si>
    <t xml:space="preserve"> ○ 유치협력 기본업무 수행 관외여비 : 110,000원*7명*12월</t>
    <phoneticPr fontId="12" type="noConversion"/>
  </si>
  <si>
    <t xml:space="preserve"> ○ 수익사업 기본업무 수행 관내여비 : 20,000원*9명*2일*12월</t>
    <phoneticPr fontId="12" type="noConversion"/>
  </si>
  <si>
    <t xml:space="preserve"> ○ 기획홍보부 기본업무 수행 관외여비 : 110,000원*8명*12월</t>
    <phoneticPr fontId="12" type="noConversion"/>
  </si>
  <si>
    <t xml:space="preserve"> ○ 기획홍보부 기본업무 수행 관내여비 : 20,000원*8명*2일*12월</t>
    <phoneticPr fontId="12" type="noConversion"/>
  </si>
  <si>
    <t xml:space="preserve"> ○ 섬박람회 랜드마크 조성 시설부대비 : 5,000,000,000원*1식*0.27/100</t>
    <phoneticPr fontId="12" type="noConversion"/>
  </si>
  <si>
    <t xml:space="preserve"> ○ 세계의 섬·한국의 섬 테마존 조성 시설부대비 : 5,000,000,000원*1식*0.27/100</t>
    <phoneticPr fontId="12" type="noConversion"/>
  </si>
  <si>
    <t xml:space="preserve"> ○ 세계의 섬·한국의 섬 테마존 조성 시설비 : 5,000,000,000원*1식*99.73/100</t>
    <phoneticPr fontId="12" type="noConversion"/>
  </si>
  <si>
    <t xml:space="preserve"> ○ 섬박람회장 상징 아트 포토존 조성 시설부대비 : 1,800,000,000원*1식*0.36/100</t>
    <phoneticPr fontId="12" type="noConversion"/>
  </si>
  <si>
    <t xml:space="preserve"> ○ 섬박람회장 상징 아트 포토존 조성 시설비 : 1,800,000,000원*1식*99.64/100</t>
    <phoneticPr fontId="12" type="noConversion"/>
  </si>
  <si>
    <t xml:space="preserve"> ○ 이사회 변경등기 및 법무사 수수료 : 1,000,000원*1식</t>
    <phoneticPr fontId="12" type="noConversion"/>
  </si>
  <si>
    <t>관서업무비</t>
    <phoneticPr fontId="12" type="noConversion"/>
  </si>
  <si>
    <t>부서운영비</t>
    <phoneticPr fontId="12" type="noConversion"/>
  </si>
  <si>
    <t xml:space="preserve"> ○ 자문위원회 참석자 실비 보상 : 4,000,000원*1식</t>
    <phoneticPr fontId="12" type="noConversion"/>
  </si>
  <si>
    <t xml:space="preserve"> ○ 자문위원회 자문수당(대면) : 150,000원*3회*32명</t>
    <phoneticPr fontId="12" type="noConversion"/>
  </si>
  <si>
    <t xml:space="preserve"> ○ 자문위원회 자문수당(서면) : 100,000원*3회*32명</t>
    <phoneticPr fontId="12" type="noConversion"/>
  </si>
  <si>
    <t xml:space="preserve"> ○ 자문위원회 운영 행사운영비 : 100,000원*3회  </t>
    <phoneticPr fontId="12" type="noConversion"/>
  </si>
  <si>
    <t xml:space="preserve"> ○ 관용차량 하이패스 이용료 : 100,000원*12월</t>
    <phoneticPr fontId="12" type="noConversion"/>
  </si>
  <si>
    <t>=</t>
    <phoneticPr fontId="12" type="noConversion"/>
  </si>
  <si>
    <t xml:space="preserve"> ○ 행정관리 업무추진 관외여비 : 110,000원*10명*12월</t>
    <phoneticPr fontId="12" type="noConversion"/>
  </si>
  <si>
    <t xml:space="preserve"> ○ 행정관리 기본업무 수행 관내여비 : 20,000원*10명*2일*12월</t>
    <phoneticPr fontId="12" type="noConversion"/>
  </si>
  <si>
    <t>01 국내여비</t>
    <phoneticPr fontId="12" type="noConversion"/>
  </si>
  <si>
    <t>기타보상금</t>
    <phoneticPr fontId="12" type="noConversion"/>
  </si>
  <si>
    <t>사전행사 개최</t>
    <phoneticPr fontId="12" type="noConversion"/>
  </si>
  <si>
    <t>문화행사 추진</t>
    <phoneticPr fontId="12" type="noConversion"/>
  </si>
  <si>
    <t>행사운영비</t>
    <phoneticPr fontId="12" type="noConversion"/>
  </si>
  <si>
    <t>섬박람회 랜드마크 조성사업</t>
    <phoneticPr fontId="12" type="noConversion"/>
  </si>
  <si>
    <t>시설비및부대비</t>
    <phoneticPr fontId="12" type="noConversion"/>
  </si>
  <si>
    <t>시설비</t>
    <phoneticPr fontId="12" type="noConversion"/>
  </si>
  <si>
    <t>시설부대비</t>
    <phoneticPr fontId="12" type="noConversion"/>
  </si>
  <si>
    <t>2026여수세계섬박람회 시설조성</t>
    <phoneticPr fontId="12" type="noConversion"/>
  </si>
  <si>
    <t>섬박람회장 열린문화공간 조성</t>
    <phoneticPr fontId="48" type="noConversion"/>
  </si>
  <si>
    <r>
      <t>세계 섬</t>
    </r>
    <r>
      <rPr>
        <b/>
        <sz val="10"/>
        <color rgb="FF000000"/>
        <rFont val="맑은 고딕 Semilight"/>
        <family val="3"/>
        <charset val="129"/>
      </rPr>
      <t>‧</t>
    </r>
    <r>
      <rPr>
        <b/>
        <sz val="10"/>
        <color rgb="FF000000"/>
        <rFont val="굴림"/>
        <family val="3"/>
        <charset val="129"/>
      </rPr>
      <t>한국의 섬 테마존 조성</t>
    </r>
    <phoneticPr fontId="48" type="noConversion"/>
  </si>
  <si>
    <t>섬박람회 상징 아트 포토존 조성</t>
  </si>
  <si>
    <t xml:space="preserve"> ○ 국내·외 관람객 홍보물 등 발송 우편료 : 2,500원*3,200개소</t>
    <phoneticPr fontId="12" type="noConversion"/>
  </si>
  <si>
    <t>03 국외업무여비</t>
    <phoneticPr fontId="12" type="noConversion"/>
  </si>
  <si>
    <t xml:space="preserve"> ○ 자매도시 등 국제교류 및 각종 국제행사 참가 : 3,000,000원*2명*4회</t>
    <phoneticPr fontId="12" type="noConversion"/>
  </si>
  <si>
    <t>학술회의 유치</t>
    <phoneticPr fontId="48" type="noConversion"/>
  </si>
  <si>
    <t>301 일반보상금</t>
    <phoneticPr fontId="12" type="noConversion"/>
  </si>
  <si>
    <t>13 외빈초청여비</t>
    <phoneticPr fontId="12" type="noConversion"/>
  </si>
  <si>
    <t>[외빈초청여비]</t>
    <phoneticPr fontId="12" type="noConversion"/>
  </si>
  <si>
    <t xml:space="preserve"> ○ 유치활동 추진을 위한 소책자, 협약서 등 제작(다국어) : 40,000,000원*1식</t>
    <phoneticPr fontId="12" type="noConversion"/>
  </si>
  <si>
    <t>[외빈초청여비]</t>
    <phoneticPr fontId="12" type="noConversion"/>
  </si>
  <si>
    <t xml:space="preserve"> ○ 유치활동 PPT, 영상 제작(다국어) : 16,000,000원*1식</t>
    <phoneticPr fontId="12" type="noConversion"/>
  </si>
  <si>
    <t>=</t>
    <phoneticPr fontId="12" type="noConversion"/>
  </si>
  <si>
    <t>=</t>
    <phoneticPr fontId="12" type="noConversion"/>
  </si>
  <si>
    <t xml:space="preserve"> ○ 유치활동 추진을 위한 통번역 수수료 : 600,000원*40회</t>
    <phoneticPr fontId="12" type="noConversion"/>
  </si>
  <si>
    <t xml:space="preserve"> ○ 유치활동 추진을 위한 유치홍보물 제작 : 20,000원*5,000개</t>
    <phoneticPr fontId="12" type="noConversion"/>
  </si>
  <si>
    <t xml:space="preserve"> ○ 전국 단위 축제·행사 홍보부스 참가비 : 5,000,000원*6회</t>
    <phoneticPr fontId="12" type="noConversion"/>
  </si>
  <si>
    <t xml:space="preserve"> ○ 국내 단체 관람객 유치를 위한 초청 : 2,000,000원*16식</t>
    <phoneticPr fontId="12" type="noConversion"/>
  </si>
  <si>
    <t xml:space="preserve"> ○ 국외 단체 관람객 유치를 위한 초청 : 10,000,000원*10식 </t>
    <phoneticPr fontId="12" type="noConversion"/>
  </si>
  <si>
    <t>14 기타보상금</t>
    <phoneticPr fontId="12" type="noConversion"/>
  </si>
  <si>
    <t>[기타보상금]</t>
    <phoneticPr fontId="12" type="noConversion"/>
  </si>
  <si>
    <t>학술회의 유치</t>
    <phoneticPr fontId="12" type="noConversion"/>
  </si>
  <si>
    <t>일반보상금</t>
    <phoneticPr fontId="12" type="noConversion"/>
  </si>
  <si>
    <t>외빈초청여비</t>
    <phoneticPr fontId="12" type="noConversion"/>
  </si>
  <si>
    <t>2026여수세계섬박람회 유치</t>
    <phoneticPr fontId="12" type="noConversion"/>
  </si>
  <si>
    <t>[임차료]</t>
    <phoneticPr fontId="12" type="noConversion"/>
  </si>
  <si>
    <t xml:space="preserve"> ○ 이사회 개최를 위한 회의실 임차료 : 300,000원*4회</t>
    <phoneticPr fontId="12" type="noConversion"/>
  </si>
  <si>
    <t>201 일반운영비</t>
    <phoneticPr fontId="12" type="noConversion"/>
  </si>
  <si>
    <t>649 후원금 수익</t>
    <phoneticPr fontId="12" type="noConversion"/>
  </si>
  <si>
    <t>01 지정후원금수익</t>
    <phoneticPr fontId="12" type="noConversion"/>
  </si>
  <si>
    <t>박람회 휘장업무 추진</t>
    <phoneticPr fontId="48" type="noConversion"/>
  </si>
  <si>
    <t>01 사무관리비</t>
    <phoneticPr fontId="12" type="noConversion"/>
  </si>
  <si>
    <t>=</t>
    <phoneticPr fontId="12" type="noConversion"/>
  </si>
  <si>
    <t xml:space="preserve"> ○ 후원·기부 유치를 위한 홍보물 제작 : 5,000,000원*1식 </t>
    <phoneticPr fontId="12" type="noConversion"/>
  </si>
  <si>
    <t xml:space="preserve"> ○ 공식상품화권자 선정 심사수당 : 250,000원*7명*1회 </t>
    <phoneticPr fontId="12" type="noConversion"/>
  </si>
  <si>
    <t xml:space="preserve"> ○ 박람회 인정상품 엠블럼 제작 : 3,000,000원*1식</t>
    <phoneticPr fontId="12" type="noConversion"/>
  </si>
  <si>
    <t>[행사운영비]</t>
    <phoneticPr fontId="12" type="noConversion"/>
  </si>
  <si>
    <t xml:space="preserve"> ○ 수익사업 관련 우편물 발송료 : 2,500원*400회 </t>
    <phoneticPr fontId="12" type="noConversion"/>
  </si>
  <si>
    <t>박람회 기부금품 관리</t>
    <phoneticPr fontId="48" type="noConversion"/>
  </si>
  <si>
    <t xml:space="preserve"> ○ 기부자 예우 물품 제작 : 20,000원*200개</t>
    <phoneticPr fontId="12" type="noConversion"/>
  </si>
  <si>
    <t>박람회 입장권 사업</t>
    <phoneticPr fontId="48" type="noConversion"/>
  </si>
  <si>
    <t xml:space="preserve"> ○ 입장권 판촉 홍보물 제작 : 20,000,000원*1식  </t>
    <phoneticPr fontId="12" type="noConversion"/>
  </si>
  <si>
    <t xml:space="preserve"> ○ 입장권 사업 추진 사무용품 구입 : 200,000원*12월</t>
    <phoneticPr fontId="12" type="noConversion"/>
  </si>
  <si>
    <t>14 기타보상금</t>
    <phoneticPr fontId="12" type="noConversion"/>
  </si>
  <si>
    <t>[기타보상금]</t>
    <phoneticPr fontId="12" type="noConversion"/>
  </si>
  <si>
    <t xml:space="preserve"> ○ 입장권 구매보상금 지급 : 10,000,000원*1식</t>
    <phoneticPr fontId="12" type="noConversion"/>
  </si>
  <si>
    <t xml:space="preserve"> ○ 후원 협약식 개최 : 800,000원*5회</t>
    <phoneticPr fontId="12" type="noConversion"/>
  </si>
  <si>
    <t xml:space="preserve"> ○ 기부금품 전달식 개최 : 300,000원*10회</t>
    <phoneticPr fontId="12" type="noConversion"/>
  </si>
  <si>
    <t>박람회 휘장업무 추진</t>
    <phoneticPr fontId="12" type="noConversion"/>
  </si>
  <si>
    <t>일반운영비</t>
    <phoneticPr fontId="12" type="noConversion"/>
  </si>
  <si>
    <t>사무관리비</t>
    <phoneticPr fontId="12" type="noConversion"/>
  </si>
  <si>
    <t>행사운영비</t>
    <phoneticPr fontId="12" type="noConversion"/>
  </si>
  <si>
    <t>박람회 기부금품 관리</t>
    <phoneticPr fontId="12" type="noConversion"/>
  </si>
  <si>
    <t>일반운영비</t>
    <phoneticPr fontId="12" type="noConversion"/>
  </si>
  <si>
    <t>사무관리비</t>
    <phoneticPr fontId="12" type="noConversion"/>
  </si>
  <si>
    <t>박람회 입장권 사업</t>
    <phoneticPr fontId="12" type="noConversion"/>
  </si>
  <si>
    <t>일반보상금</t>
    <phoneticPr fontId="12" type="noConversion"/>
  </si>
  <si>
    <t>기타보상금</t>
    <phoneticPr fontId="12" type="noConversion"/>
  </si>
  <si>
    <t xml:space="preserve"> ○ 공식상품화권자 선정 심사위원 교통비 등 기타실비 : 700,000원*1식</t>
    <phoneticPr fontId="12" type="noConversion"/>
  </si>
  <si>
    <t>공공운영비</t>
    <phoneticPr fontId="12" type="noConversion"/>
  </si>
  <si>
    <t xml:space="preserve"> ○ 자문위원회 회의 운영비 : 50,000원*6회</t>
    <phoneticPr fontId="12" type="noConversion"/>
  </si>
  <si>
    <t>정책</t>
    <phoneticPr fontId="48" type="noConversion"/>
  </si>
  <si>
    <t>=</t>
    <phoneticPr fontId="12" type="noConversion"/>
  </si>
  <si>
    <t xml:space="preserve"> ○ 연봉 : 8,468,460원*12월 </t>
    <phoneticPr fontId="12" type="noConversion"/>
  </si>
  <si>
    <t xml:space="preserve"> ○ 가족수당 : 40,000원*12월</t>
    <phoneticPr fontId="12" type="noConversion"/>
  </si>
  <si>
    <t>=</t>
    <phoneticPr fontId="12" type="noConversion"/>
  </si>
  <si>
    <t>[사무총장]</t>
    <phoneticPr fontId="12" type="noConversion"/>
  </si>
  <si>
    <t>[복리후생비]</t>
    <phoneticPr fontId="12" type="noConversion"/>
  </si>
  <si>
    <t xml:space="preserve"> ○ 사무총장 정액급식비 : 140,000원*12월</t>
    <phoneticPr fontId="12" type="noConversion"/>
  </si>
  <si>
    <t xml:space="preserve"> ○ 사무총장 직급보조비 : 300,000원*12월</t>
    <phoneticPr fontId="12" type="noConversion"/>
  </si>
  <si>
    <t xml:space="preserve"> ○ 사무총장 직책급업무수행비 : 600,000원*12월</t>
    <phoneticPr fontId="12" type="noConversion"/>
  </si>
  <si>
    <t xml:space="preserve"> ○ 계약심의위원회 수당 등 지급 : 100,000원*6명*5회</t>
    <phoneticPr fontId="12" type="noConversion"/>
  </si>
  <si>
    <t xml:space="preserve"> ○  2025 국제 섬 포럼 in Yeosu 개최 : 120,000,000원*1식</t>
    <phoneticPr fontId="12" type="noConversion"/>
  </si>
  <si>
    <t xml:space="preserve"> ○ 해외박람회 참가비 : 10,000,000원*4회</t>
    <phoneticPr fontId="12" type="noConversion"/>
  </si>
  <si>
    <t xml:space="preserve"> ○ 3급기관장(사무총장) : 10,000,000원*1식</t>
    <phoneticPr fontId="12" type="noConversion"/>
  </si>
  <si>
    <t xml:space="preserve"> ○ 박람회 조직위원회 업무추진(3급) : 15,000,000원*1식</t>
    <phoneticPr fontId="12" type="noConversion"/>
  </si>
  <si>
    <t xml:space="preserve"> ○ 행정관리부 업무추진 : 2,000,000원*1식</t>
    <phoneticPr fontId="12" type="noConversion"/>
  </si>
  <si>
    <t xml:space="preserve"> ○ 기획홍보부 업무추진 : 2,000,000원*1식</t>
    <phoneticPr fontId="12" type="noConversion"/>
  </si>
  <si>
    <t xml:space="preserve"> ○ 수익사업부 업무추진 : 2,000,000원*1식</t>
    <phoneticPr fontId="12" type="noConversion"/>
  </si>
  <si>
    <t xml:space="preserve"> ○ 유치협력부 업무추진 : 2,000,000원*1식</t>
    <phoneticPr fontId="12" type="noConversion"/>
  </si>
  <si>
    <t xml:space="preserve"> ○ 협력관 업무추진 : 2,000,000원*1식</t>
    <phoneticPr fontId="12" type="noConversion"/>
  </si>
  <si>
    <t xml:space="preserve"> ○ 운영부 업무추진 : 2,000,000원*1식</t>
    <phoneticPr fontId="12" type="noConversion"/>
  </si>
  <si>
    <t xml:space="preserve"> ○ 행사부 업무추진 : 2,000,000원*1식</t>
    <phoneticPr fontId="12" type="noConversion"/>
  </si>
  <si>
    <t xml:space="preserve"> ○ 시설조성부 업무추진 : 2,000,000원*1식</t>
    <phoneticPr fontId="12" type="noConversion"/>
  </si>
  <si>
    <t xml:space="preserve"> ○ 전시연출부 업무추진 : 2,000,000원*1식</t>
    <phoneticPr fontId="12" type="noConversion"/>
  </si>
  <si>
    <t xml:space="preserve"> ○ 국민연금 : 8,468,460원*4.5%*12월</t>
    <phoneticPr fontId="12" type="noConversion"/>
  </si>
  <si>
    <t xml:space="preserve"> ○ 건강보험 : 8,468,460원*3.6%*12월</t>
    <phoneticPr fontId="12" type="noConversion"/>
  </si>
  <si>
    <t xml:space="preserve"> ○ 고용연금 : 8,468,460원*1.2%*12월</t>
    <phoneticPr fontId="12" type="noConversion"/>
  </si>
  <si>
    <t xml:space="preserve"> ○ 산재보험 : 8,468,460원*1.0%*12월</t>
    <phoneticPr fontId="12" type="noConversion"/>
  </si>
  <si>
    <t xml:space="preserve"> ○ 장기요양보험 : 3,659,000원*12.9% </t>
    <phoneticPr fontId="12" type="noConversion"/>
  </si>
  <si>
    <t>섬박람회 상징 아트 포토존 조성</t>
    <phoneticPr fontId="48" type="noConversion"/>
  </si>
  <si>
    <t>관람객 유치</t>
    <phoneticPr fontId="48" type="noConversion"/>
  </si>
  <si>
    <t xml:space="preserve"> ○ 단체 관광객 유치를 위한 시책개발 및 인센티브 등 : 30,000,000원*1식</t>
    <phoneticPr fontId="12" type="noConversion"/>
  </si>
  <si>
    <t>=</t>
    <phoneticPr fontId="12" type="noConversion"/>
  </si>
  <si>
    <t xml:space="preserve"> ○ 수익사업부 기본업무 수행 관외여비 : 110,000원*9명*12월</t>
    <phoneticPr fontId="12" type="noConversion"/>
  </si>
  <si>
    <t>교육훈련경비</t>
    <phoneticPr fontId="12" type="noConversion"/>
  </si>
  <si>
    <t>16 광고선전비</t>
    <phoneticPr fontId="12" type="noConversion"/>
  </si>
  <si>
    <r>
      <t>세계 섬</t>
    </r>
    <r>
      <rPr>
        <b/>
        <sz val="10"/>
        <color theme="1"/>
        <rFont val="맑은 고딕 Semilight"/>
        <family val="3"/>
        <charset val="129"/>
      </rPr>
      <t>‧</t>
    </r>
    <r>
      <rPr>
        <b/>
        <sz val="10"/>
        <color theme="1"/>
        <rFont val="굴림"/>
        <family val="3"/>
        <charset val="129"/>
      </rPr>
      <t>한국의 섬 테마존 조성</t>
    </r>
    <phoneticPr fontId="48" type="noConversion"/>
  </si>
  <si>
    <t xml:space="preserve"> ○ 국내·외 기관·기업·바이어 등 초청 유치 설명회 및 팸투어 : 48,000,000원*1식</t>
    <phoneticPr fontId="12" type="noConversion"/>
  </si>
  <si>
    <t xml:space="preserve"> ○ 국내·외 유치마케팅 대행 용역 : 200,000,000원*1식</t>
    <phoneticPr fontId="12" type="noConversion"/>
  </si>
  <si>
    <t xml:space="preserve"> ○ 국내외 유치마케팅 대행사 선정 심사수당 : 250,000원*9명*1회 </t>
    <phoneticPr fontId="12" type="noConversion"/>
  </si>
  <si>
    <t xml:space="preserve"> ○ 국내외 유치마케팅 대행사 선정 심사위원 교통비 등 기타실비 : 1,000,000원*1식</t>
    <phoneticPr fontId="12" type="noConversion"/>
  </si>
  <si>
    <t xml:space="preserve"> ○ 예비비 : 316,640,000원*1식</t>
    <phoneticPr fontId="12" type="noConversion"/>
  </si>
  <si>
    <t xml:space="preserve"> ○ 회계감사 및 세무조정 용역 : 28,000,000원*1식</t>
    <phoneticPr fontId="12" type="noConversion"/>
  </si>
  <si>
    <t xml:space="preserve"> ○ 인터넷 사용료 : 330,000원*12월</t>
    <phoneticPr fontId="12" type="noConversion"/>
  </si>
  <si>
    <t xml:space="preserve"> ○ 회계관계공무원 재정보증보험 : 1,000,000원*1식</t>
    <phoneticPr fontId="12" type="noConversion"/>
  </si>
  <si>
    <t xml:space="preserve"> ○ 조달청 이용 수수료 : 600,000원*1식</t>
    <phoneticPr fontId="12" type="noConversion"/>
  </si>
  <si>
    <t>647 기부금수익</t>
    <phoneticPr fontId="12" type="noConversion"/>
  </si>
  <si>
    <t>지출예산(세부사업) - 전시연출부</t>
    <phoneticPr fontId="12" type="noConversion"/>
  </si>
  <si>
    <t>관람객 유치</t>
    <phoneticPr fontId="12" type="noConversion"/>
  </si>
  <si>
    <t>예산액
(A)</t>
    <phoneticPr fontId="12" type="noConversion"/>
  </si>
  <si>
    <t>기정액(본예산)
(B)</t>
    <phoneticPr fontId="12" type="noConversion"/>
  </si>
  <si>
    <t>비교증감
(A-B)</t>
    <phoneticPr fontId="12" type="noConversion"/>
  </si>
  <si>
    <t xml:space="preserve"> ○ 사무총장 수행용 차량 임차비 : 1,000,000원*1대*10월</t>
    <phoneticPr fontId="12" type="noConversion"/>
  </si>
  <si>
    <t>추경1회</t>
    <phoneticPr fontId="12" type="noConversion"/>
  </si>
  <si>
    <t xml:space="preserve"> ○ 기관공통운영 국외업무여비 : 경정 120,000,000원</t>
    <phoneticPr fontId="12" type="noConversion"/>
  </si>
  <si>
    <t>박람회 기획</t>
    <phoneticPr fontId="48" type="noConversion"/>
  </si>
  <si>
    <t>300 경상이전</t>
    <phoneticPr fontId="12" type="noConversion"/>
  </si>
  <si>
    <t>303 포상금</t>
    <phoneticPr fontId="12" type="noConversion"/>
  </si>
  <si>
    <t>01 포상금</t>
    <phoneticPr fontId="12" type="noConversion"/>
  </si>
  <si>
    <t>[포상금]</t>
    <phoneticPr fontId="12" type="noConversion"/>
  </si>
  <si>
    <t>추경1회</t>
    <phoneticPr fontId="12" type="noConversion"/>
  </si>
  <si>
    <t xml:space="preserve"> ○ 2024년 직원 아이디어 경진대회 포상금 : 10,000,000원*1식</t>
    <phoneticPr fontId="12" type="noConversion"/>
  </si>
  <si>
    <t>박람회 기획</t>
    <phoneticPr fontId="12" type="noConversion"/>
  </si>
  <si>
    <t>포상금</t>
    <phoneticPr fontId="12" type="noConversion"/>
  </si>
  <si>
    <t>박람회 임대사업</t>
    <phoneticPr fontId="48" type="noConversion"/>
  </si>
  <si>
    <t>추경1회</t>
    <phoneticPr fontId="12" type="noConversion"/>
  </si>
  <si>
    <t>박람회 임대사업</t>
    <phoneticPr fontId="12" type="noConversion"/>
  </si>
  <si>
    <t xml:space="preserve"> ○ 회의실 임차료 : 400,000원*5회</t>
    <phoneticPr fontId="12" type="noConversion"/>
  </si>
  <si>
    <t xml:space="preserve"> ○ 감정평가수수료 2,500,000원*2개소</t>
    <phoneticPr fontId="12" type="noConversion"/>
  </si>
  <si>
    <t>2026여수세계섬박람회 전시연출</t>
    <phoneticPr fontId="12" type="noConversion"/>
  </si>
  <si>
    <t>섬 테마존 조성 업무 추진</t>
    <phoneticPr fontId="48" type="noConversion"/>
  </si>
  <si>
    <t>추경1회</t>
    <phoneticPr fontId="12" type="noConversion"/>
  </si>
  <si>
    <t>추경1회</t>
    <phoneticPr fontId="12" type="noConversion"/>
  </si>
  <si>
    <t>[임차료]</t>
    <phoneticPr fontId="12" type="noConversion"/>
  </si>
  <si>
    <t xml:space="preserve"> ○ 제안서 평가위원 심사수당 : 250,000원*10명</t>
    <phoneticPr fontId="12" type="noConversion"/>
  </si>
  <si>
    <t xml:space="preserve"> ○ 제안서 평가위원 실비 : 1,000,000원*1식</t>
    <phoneticPr fontId="12" type="noConversion"/>
  </si>
  <si>
    <t xml:space="preserve"> ○ 회의실 임차료 : 400,000원*3회</t>
    <phoneticPr fontId="12" type="noConversion"/>
  </si>
  <si>
    <t>섬박람회 상징 아트포토존 조성 업무 추진</t>
    <phoneticPr fontId="48" type="noConversion"/>
  </si>
  <si>
    <t>추경1회</t>
    <phoneticPr fontId="12" type="noConversion"/>
  </si>
  <si>
    <t xml:space="preserve"> ○ 예비비 : 경정 380,240,000원</t>
    <phoneticPr fontId="12" type="noConversion"/>
  </si>
  <si>
    <t>추경1회</t>
    <phoneticPr fontId="12" type="noConversion"/>
  </si>
  <si>
    <t xml:space="preserve"> ○ 국내·외 유치마케팅 대행 용역 : 경정 0원</t>
    <phoneticPr fontId="12" type="noConversion"/>
  </si>
  <si>
    <t xml:space="preserve"> ○ 참가국, 기업 유치 및 운영 : 200,000,000원 * 1식</t>
    <phoneticPr fontId="12" type="noConversion"/>
  </si>
  <si>
    <t>추경1회</t>
    <phoneticPr fontId="12" type="noConversion"/>
  </si>
  <si>
    <t xml:space="preserve"> ○ 국제 섬 포럼 in Yeosu 대행사 선정 심사수당 : 250,000원*9명</t>
    <phoneticPr fontId="12" type="noConversion"/>
  </si>
  <si>
    <t xml:space="preserve"> ○ 국제 섬 포럼 in Yeosu 대행사 선정 심사위원 교통비 등 기타실비 : 1,000,000원*1식</t>
    <phoneticPr fontId="12" type="noConversion"/>
  </si>
  <si>
    <t>추경1회</t>
    <phoneticPr fontId="12" type="noConversion"/>
  </si>
  <si>
    <t xml:space="preserve"> ○  2025 국제 섬 포럼 in Yeosu 개최 : 경정 170,000,000원</t>
    <phoneticPr fontId="12" type="noConversion"/>
  </si>
  <si>
    <t xml:space="preserve"> ○ 2025 국제 섬 포럼 in Yeosu 참가자 및 외빈 초청 : 170,000,000원*1식</t>
  </si>
  <si>
    <t xml:space="preserve"> ○ 2025 국제 섬 포럼 in Yeosu 참가자 및 외빈 초청 : 경정 116,750,000원*1식</t>
    <phoneticPr fontId="12" type="noConversion"/>
  </si>
  <si>
    <t>2026여수세계섬박람회 전시연출</t>
  </si>
  <si>
    <t>예산액
(제2회추경)</t>
    <phoneticPr fontId="12" type="noConversion"/>
  </si>
  <si>
    <t>기정액
(제1회추경)</t>
    <phoneticPr fontId="12" type="noConversion"/>
  </si>
  <si>
    <t>180 유보자금</t>
    <phoneticPr fontId="12" type="noConversion"/>
  </si>
  <si>
    <t>181 순세계잉여금</t>
    <phoneticPr fontId="12" type="noConversion"/>
  </si>
  <si>
    <t>01 순세계잉여금</t>
    <phoneticPr fontId="12" type="noConversion"/>
  </si>
  <si>
    <t>03 대행사업비 사용잔액</t>
    <phoneticPr fontId="12" type="noConversion"/>
  </si>
  <si>
    <t>예산액
(제2회추경)</t>
    <phoneticPr fontId="12" type="noConversion"/>
  </si>
  <si>
    <t>기정액(제1회추경)
(B)</t>
    <phoneticPr fontId="12" type="noConversion"/>
  </si>
  <si>
    <t>행사운영비</t>
    <phoneticPr fontId="12" type="noConversion"/>
  </si>
  <si>
    <t>박람회 홍보</t>
    <phoneticPr fontId="12" type="noConversion"/>
  </si>
  <si>
    <t>반환금</t>
    <phoneticPr fontId="12" type="noConversion"/>
  </si>
  <si>
    <t>대행사업비반환금</t>
    <phoneticPr fontId="12" type="noConversion"/>
  </si>
  <si>
    <t>기타 수익사업</t>
    <phoneticPr fontId="12" type="noConversion"/>
  </si>
  <si>
    <t>일반보상금</t>
    <phoneticPr fontId="12" type="noConversion"/>
  </si>
  <si>
    <t>기타보상금</t>
    <phoneticPr fontId="12" type="noConversion"/>
  </si>
  <si>
    <t xml:space="preserve"> </t>
    <phoneticPr fontId="12" type="noConversion"/>
  </si>
  <si>
    <t>2026여수세계섬박람회 주행사장 조성연출</t>
    <phoneticPr fontId="12" type="noConversion"/>
  </si>
  <si>
    <t>박람회 조성</t>
    <phoneticPr fontId="12" type="noConversion"/>
  </si>
  <si>
    <t>박람회 조성</t>
    <phoneticPr fontId="12" type="noConversion"/>
  </si>
  <si>
    <t>시설비 및 부대비</t>
    <phoneticPr fontId="12" type="noConversion"/>
  </si>
  <si>
    <t>시설비</t>
    <phoneticPr fontId="12" type="noConversion"/>
  </si>
  <si>
    <t>03 국외업무여비</t>
    <phoneticPr fontId="12" type="noConversion"/>
  </si>
  <si>
    <t xml:space="preserve"> ○ 조직위원회 임원진 선진지 견학 : 2,200,000원 * 24명 * 1회</t>
    <phoneticPr fontId="12" type="noConversion"/>
  </si>
  <si>
    <t>기정액(제1회추경)
(B)</t>
    <phoneticPr fontId="12" type="noConversion"/>
  </si>
  <si>
    <t>추경2회</t>
    <phoneticPr fontId="12" type="noConversion"/>
  </si>
  <si>
    <t>[행사운영비]</t>
    <phoneticPr fontId="12" type="noConversion"/>
  </si>
  <si>
    <t xml:space="preserve"> ○ 지자체, 공공기관 등 업무협약 추진 : 20,000,000원*4회</t>
    <phoneticPr fontId="12" type="noConversion"/>
  </si>
  <si>
    <t xml:space="preserve"> ○ 5급이하 : 경정 302,400,000원</t>
    <phoneticPr fontId="12" type="noConversion"/>
  </si>
  <si>
    <t>○ 전기요금 등 공공요금 납부 : 경정 24,000,000원</t>
    <phoneticPr fontId="12" type="noConversion"/>
  </si>
  <si>
    <t xml:space="preserve"> ○ 부장, 협력관(5급) : 경정 11,400,000원</t>
    <phoneticPr fontId="12" type="noConversion"/>
  </si>
  <si>
    <t>751 반환금</t>
    <phoneticPr fontId="12" type="noConversion"/>
  </si>
  <si>
    <t>04 대행사업비반환금</t>
    <phoneticPr fontId="12" type="noConversion"/>
  </si>
  <si>
    <t>750 기타</t>
    <phoneticPr fontId="12" type="noConversion"/>
  </si>
  <si>
    <t>[대행사업비반환금]</t>
    <phoneticPr fontId="12" type="noConversion"/>
  </si>
  <si>
    <t>추경2회</t>
    <phoneticPr fontId="12" type="noConversion"/>
  </si>
  <si>
    <t xml:space="preserve"> ○ 2026여수세계섬박람회 조직위원회 위탁사업(홍보) 사용잔액 1,622,850원*1식</t>
    <phoneticPr fontId="12" type="noConversion"/>
  </si>
  <si>
    <t xml:space="preserve"> ○ 위탁사업(홍보) 발생이자 22,060원*1식</t>
    <phoneticPr fontId="12" type="noConversion"/>
  </si>
  <si>
    <t xml:space="preserve"> ○ 감정평가수수료 : 경정 27,540,000원</t>
    <phoneticPr fontId="12" type="noConversion"/>
  </si>
  <si>
    <t>기타 수익사업</t>
    <phoneticPr fontId="48" type="noConversion"/>
  </si>
  <si>
    <t xml:space="preserve"> ○ 기타 수익사업 아이디어 공모전 심사위원 수당 250,000원*7명*1회</t>
    <phoneticPr fontId="12" type="noConversion"/>
  </si>
  <si>
    <t xml:space="preserve"> ○ 기타 수익사업 아이디어 공모전 시상금 4,500,000원*1식</t>
    <phoneticPr fontId="12" type="noConversion"/>
  </si>
  <si>
    <t>추경2회</t>
    <phoneticPr fontId="12" type="noConversion"/>
  </si>
  <si>
    <t xml:space="preserve"> ○ 예비비 : 경정 2,692,085,000원</t>
    <phoneticPr fontId="12" type="noConversion"/>
  </si>
  <si>
    <t>박람회 조성</t>
    <phoneticPr fontId="12" type="noConversion"/>
  </si>
  <si>
    <t>박람회 조성</t>
    <phoneticPr fontId="48" type="noConversion"/>
  </si>
  <si>
    <t>400 자본지출</t>
    <phoneticPr fontId="12" type="noConversion"/>
  </si>
  <si>
    <t>401 시설비 및 부대비</t>
    <phoneticPr fontId="12" type="noConversion"/>
  </si>
  <si>
    <t>01 시설비</t>
    <phoneticPr fontId="12" type="noConversion"/>
  </si>
  <si>
    <t>[시설비]</t>
    <phoneticPr fontId="12" type="noConversion"/>
  </si>
  <si>
    <t>03 시설부대비</t>
    <phoneticPr fontId="12" type="noConversion"/>
  </si>
  <si>
    <t>[시설부대비]</t>
    <phoneticPr fontId="12" type="noConversion"/>
  </si>
  <si>
    <t>자본예산</t>
    <phoneticPr fontId="12" type="noConversion"/>
  </si>
  <si>
    <t>추경2회</t>
    <phoneticPr fontId="12" type="noConversion"/>
  </si>
  <si>
    <t xml:space="preserve"> ○ 2026여수세계섬박람회 주행사장 조성사업 : 2,780,000,000원*0.36/100</t>
    <phoneticPr fontId="12" type="noConversion"/>
  </si>
  <si>
    <t>시설부대비</t>
    <phoneticPr fontId="12" type="noConversion"/>
  </si>
  <si>
    <t xml:space="preserve"> ○ 온라인 홍보 대행 용역 : 경정 140,000,000원</t>
    <phoneticPr fontId="12" type="noConversion"/>
  </si>
  <si>
    <t xml:space="preserve"> ○ 홍보영상 제작 용역 : 경정 70,000,000원</t>
    <phoneticPr fontId="12" type="noConversion"/>
  </si>
  <si>
    <t xml:space="preserve"> ○ 서포터즈 보험료 1,000,000원*1식</t>
    <phoneticPr fontId="12" type="noConversion"/>
  </si>
  <si>
    <t xml:space="preserve"> ○ 홍보부스 운영 : 경정 15,000,000원</t>
    <phoneticPr fontId="12" type="noConversion"/>
  </si>
  <si>
    <t xml:space="preserve"> ○ 섬박람회 광고 홍보료 : 500,000,000원*1식</t>
    <phoneticPr fontId="12" type="noConversion"/>
  </si>
  <si>
    <t>10 행사실비보상금</t>
    <phoneticPr fontId="12" type="noConversion"/>
  </si>
  <si>
    <t>[행사실비보상금]</t>
    <phoneticPr fontId="12" type="noConversion"/>
  </si>
  <si>
    <t xml:space="preserve"> ○ 홍보대사 및 서포터즈 실비 20,000원*42명*6개월(20천원 절사)</t>
    <phoneticPr fontId="12" type="noConversion"/>
  </si>
  <si>
    <t>행사실비보상금</t>
    <phoneticPr fontId="12" type="noConversion"/>
  </si>
  <si>
    <t>공공운영비</t>
    <phoneticPr fontId="12" type="noConversion"/>
  </si>
  <si>
    <t>추경2회</t>
    <phoneticPr fontId="12" type="noConversion"/>
  </si>
  <si>
    <t xml:space="preserve"> ○ 섬박람회 랜드마크 조성 시설비 경정 4,737,175,000원</t>
    <phoneticPr fontId="12" type="noConversion"/>
  </si>
  <si>
    <t xml:space="preserve"> ○ 섬박람회 랜드마크 조성 시설부대비 경정 12,825,000원</t>
    <phoneticPr fontId="12" type="noConversion"/>
  </si>
  <si>
    <t>02 감리비</t>
    <phoneticPr fontId="12" type="noConversion"/>
  </si>
  <si>
    <t>[감리비]</t>
    <phoneticPr fontId="12" type="noConversion"/>
  </si>
  <si>
    <t xml:space="preserve"> ○ 섬박람회 랜드마크 조성 감리비 5,000,000,000원*1식*5/100</t>
    <phoneticPr fontId="12" type="noConversion"/>
  </si>
  <si>
    <t>=</t>
    <phoneticPr fontId="12" type="noConversion"/>
  </si>
  <si>
    <t xml:space="preserve"> ○ 섬박람회 안전시설물 설치 시설비 : 경정 2,779,956,000</t>
    <phoneticPr fontId="12" type="noConversion"/>
  </si>
  <si>
    <t xml:space="preserve"> ○ 섬박람회 안전시설물 설치 감리비 3,000,000,000원*1식*7/100</t>
    <phoneticPr fontId="12" type="noConversion"/>
  </si>
  <si>
    <t xml:space="preserve"> ○ 섬박람회 안전시설물 설치 시설부대비 경정 10,044,000원</t>
    <phoneticPr fontId="12" type="noConversion"/>
  </si>
  <si>
    <t>감리비</t>
    <phoneticPr fontId="12" type="noConversion"/>
  </si>
  <si>
    <t>감리비</t>
    <phoneticPr fontId="12" type="noConversion"/>
  </si>
  <si>
    <t>2026여수세계섬박람회 조성연출</t>
  </si>
  <si>
    <t>2026여수세계섬박람회 조성연출</t>
    <phoneticPr fontId="12" type="noConversion"/>
  </si>
  <si>
    <t xml:space="preserve"> ○ 2026여수세계섬박람회 주행사장 조성사업 : 2,780,000,000원*99.64/100</t>
    <phoneticPr fontId="12" type="noConversion"/>
  </si>
  <si>
    <t xml:space="preserve"> (재)2026여수세계섬박람회 조직위</t>
    <phoneticPr fontId="57" type="noConversion"/>
  </si>
  <si>
    <t>섬박람회 조직위원회 2025년도 제2회 추경예산서</t>
    <phoneticPr fontId="57" type="noConversion"/>
  </si>
  <si>
    <t xml:space="preserve"> ○ 서포터즈 원고료 200,000원*20명*6개월</t>
    <phoneticPr fontId="12" type="noConversion"/>
  </si>
  <si>
    <t>2025. 6. 2.</t>
    <phoneticPr fontId="5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</si>
</sst>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#,##0;[Red]&quot;△&quot;#,##0;0"/>
    <numFmt numFmtId="177" formatCode="#,##0_ ;[Red]\-#,##0\ "/>
    <numFmt numFmtId="178" formatCode="#,##0_);[Red]\(#,##0\)"/>
    <numFmt numFmtId="179" formatCode="#,##0;[Red]&quot;△&quot;#,##0"/>
    <numFmt numFmtId="180" formatCode="#,##0_ "/>
    <numFmt numFmtId="181" formatCode="_-* #,##0.0_-;\-* #,##0.0_-;_-* &quot;-&quot;?_-;_-@_-"/>
    <numFmt numFmtId="182" formatCode="_-* #,##0_-;&quot;₩&quot;\!\-* #,##0_-;_-* &quot;-&quot;_-;_-@_-"/>
    <numFmt numFmtId="183" formatCode="mm&quot;월&quot;\ dd&quot;일&quot;"/>
    <numFmt numFmtId="184" formatCode="#,##0_);\(#,##0\)"/>
  </numFmts>
  <fonts count="63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color rgb="FFFF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70C0"/>
      <name val="굴림"/>
      <family val="3"/>
      <charset val="129"/>
    </font>
    <font>
      <sz val="11"/>
      <color indexed="64"/>
      <name val="굴림"/>
      <family val="3"/>
      <charset val="129"/>
    </font>
    <font>
      <sz val="10"/>
      <color indexed="64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0"/>
      <color indexed="64"/>
      <name val="굴림"/>
      <family val="3"/>
      <charset val="129"/>
    </font>
    <font>
      <sz val="9"/>
      <color indexed="64"/>
      <name val="굴림"/>
      <family val="3"/>
      <charset val="129"/>
    </font>
    <font>
      <sz val="11"/>
      <color theme="1"/>
      <name val="돋움"/>
      <family val="3"/>
      <charset val="129"/>
    </font>
    <font>
      <b/>
      <sz val="11"/>
      <color indexed="64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theme="1"/>
      <name val="굴림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sz val="11"/>
      <color rgb="FFFA7D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C3D62"/>
      <name val="맑은 고딕"/>
      <family val="3"/>
      <charset val="129"/>
    </font>
    <font>
      <b/>
      <sz val="15"/>
      <color rgb="FF1C3D62"/>
      <name val="맑은 고딕"/>
      <family val="3"/>
      <charset val="129"/>
    </font>
    <font>
      <b/>
      <sz val="13"/>
      <color rgb="FF1C3D62"/>
      <name val="맑은 고딕"/>
      <family val="3"/>
      <charset val="129"/>
    </font>
    <font>
      <b/>
      <sz val="11"/>
      <color rgb="FF1C3D62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rgb="FF000000"/>
      <name val="맑은 고딕 Semilight"/>
      <family val="3"/>
      <charset val="129"/>
    </font>
    <font>
      <b/>
      <sz val="10"/>
      <color theme="1"/>
      <name val="맑은 고딕 Semilight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8"/>
      <name val="맑은 고딕"/>
      <family val="3"/>
      <charset val="129"/>
      <scheme val="major"/>
    </font>
    <font>
      <sz val="8"/>
      <name val="굴림"/>
      <family val="3"/>
      <charset val="129"/>
    </font>
    <font>
      <sz val="28"/>
      <name val="HY헤드라인M"/>
      <family val="1"/>
      <charset val="129"/>
    </font>
    <font>
      <sz val="12"/>
      <color rgb="FFFF0000"/>
      <name val="굴림"/>
      <family val="3"/>
      <charset val="129"/>
    </font>
    <font>
      <b/>
      <sz val="20"/>
      <name val="HY견명조"/>
      <family val="1"/>
      <charset val="129"/>
    </font>
    <font>
      <b/>
      <sz val="16"/>
      <color rgb="FF0000FF"/>
      <name val="함초롬돋움"/>
      <family val="3"/>
      <charset val="129"/>
    </font>
    <font>
      <b/>
      <sz val="22"/>
      <color theme="2" tint="-0.749992370372631"/>
      <name val="HY견고딕"/>
      <family val="1"/>
      <charset val="129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DEEF"/>
        <bgColor indexed="64"/>
      </patternFill>
    </fill>
    <fill>
      <patternFill patternType="solid">
        <fgColor rgb="FFEABCD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3DCDC"/>
        <bgColor indexed="64"/>
      </patternFill>
    </fill>
    <fill>
      <patternFill patternType="solid">
        <fgColor rgb="FFFBEFD4"/>
        <bgColor indexed="64"/>
      </patternFill>
    </fill>
    <fill>
      <patternFill patternType="solid">
        <fgColor rgb="FFE1EFD3"/>
        <bgColor indexed="64"/>
      </patternFill>
    </fill>
    <fill>
      <patternFill patternType="solid">
        <fgColor rgb="FFD2EBEE"/>
        <bgColor indexed="64"/>
      </patternFill>
    </fill>
    <fill>
      <patternFill patternType="solid">
        <fgColor rgb="FFF4DEEE"/>
        <bgColor indexed="64"/>
      </patternFill>
    </fill>
    <fill>
      <patternFill patternType="solid">
        <fgColor rgb="FFA2BEE0"/>
        <bgColor indexed="64"/>
      </patternFill>
    </fill>
    <fill>
      <patternFill patternType="solid">
        <fgColor rgb="FFE9B9B9"/>
        <bgColor indexed="64"/>
      </patternFill>
    </fill>
    <fill>
      <patternFill patternType="solid">
        <fgColor rgb="FFF6DFAA"/>
        <bgColor indexed="64"/>
      </patternFill>
    </fill>
    <fill>
      <patternFill patternType="solid">
        <fgColor rgb="FFC3E0A6"/>
        <bgColor indexed="64"/>
      </patternFill>
    </fill>
    <fill>
      <patternFill patternType="solid">
        <fgColor rgb="FFA3D7DE"/>
        <bgColor indexed="64"/>
      </patternFill>
    </fill>
    <fill>
      <patternFill patternType="solid">
        <fgColor rgb="FF729DD2"/>
        <bgColor indexed="64"/>
      </patternFill>
    </fill>
    <fill>
      <patternFill patternType="solid">
        <fgColor rgb="FFDD9797"/>
        <bgColor indexed="64"/>
      </patternFill>
    </fill>
    <fill>
      <patternFill patternType="solid">
        <fgColor rgb="FFF2CE80"/>
        <bgColor indexed="64"/>
      </patternFill>
    </fill>
    <fill>
      <patternFill patternType="solid">
        <fgColor rgb="FFA5D07A"/>
        <bgColor indexed="64"/>
      </patternFill>
    </fill>
    <fill>
      <patternFill patternType="solid">
        <fgColor rgb="FF76C3CD"/>
        <bgColor indexed="64"/>
      </patternFill>
    </fill>
    <fill>
      <patternFill patternType="solid">
        <fgColor rgb="FFDF9ACA"/>
        <bgColor indexed="64"/>
      </patternFill>
    </fill>
    <fill>
      <patternFill patternType="solid">
        <fgColor rgb="FF315F97"/>
        <bgColor indexed="64"/>
      </patternFill>
    </fill>
    <fill>
      <patternFill patternType="solid">
        <fgColor rgb="FFC75252"/>
        <bgColor indexed="64"/>
      </patternFill>
    </fill>
    <fill>
      <patternFill patternType="solid">
        <fgColor rgb="FFE9AE2B"/>
        <bgColor indexed="64"/>
      </patternFill>
    </fill>
    <fill>
      <patternFill patternType="solid">
        <fgColor rgb="FF699B37"/>
        <bgColor indexed="64"/>
      </patternFill>
    </fill>
    <fill>
      <patternFill patternType="solid">
        <fgColor rgb="FF358791"/>
        <bgColor indexed="64"/>
      </patternFill>
    </fill>
    <fill>
      <patternFill patternType="solid">
        <fgColor rgb="FFCA56A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315F97"/>
      </top>
      <bottom style="double">
        <color rgb="FF315F97"/>
      </bottom>
      <diagonal/>
    </border>
    <border>
      <left/>
      <right/>
      <top/>
      <bottom style="thick">
        <color rgb="FF315F97"/>
      </bottom>
      <diagonal/>
    </border>
    <border>
      <left/>
      <right/>
      <top/>
      <bottom style="thick">
        <color rgb="FF8BAED9"/>
      </bottom>
      <diagonal/>
    </border>
    <border>
      <left/>
      <right/>
      <top/>
      <bottom style="medium">
        <color rgb="FF729DD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/>
      <bottom style="hair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93">
    <xf numFmtId="0" fontId="0" fillId="0" borderId="0">
      <alignment vertical="center"/>
    </xf>
    <xf numFmtId="41" fontId="11" fillId="0" borderId="0">
      <alignment vertical="center"/>
    </xf>
    <xf numFmtId="0" fontId="6" fillId="0" borderId="0"/>
    <xf numFmtId="41" fontId="6" fillId="0" borderId="0"/>
    <xf numFmtId="41" fontId="11" fillId="0" borderId="0">
      <alignment vertical="center"/>
    </xf>
    <xf numFmtId="0" fontId="11" fillId="0" borderId="0">
      <alignment vertical="center"/>
    </xf>
    <xf numFmtId="41" fontId="6" fillId="0" borderId="0"/>
    <xf numFmtId="0" fontId="11" fillId="0" borderId="0">
      <alignment vertical="center"/>
    </xf>
    <xf numFmtId="9" fontId="6" fillId="0" borderId="0"/>
    <xf numFmtId="0" fontId="13" fillId="0" borderId="0"/>
    <xf numFmtId="41" fontId="13" fillId="0" borderId="0" applyFon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0" fontId="21" fillId="0" borderId="0">
      <alignment vertical="center"/>
    </xf>
    <xf numFmtId="41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3" fillId="0" borderId="0"/>
    <xf numFmtId="0" fontId="30" fillId="0" borderId="0">
      <alignment vertical="center"/>
    </xf>
    <xf numFmtId="0" fontId="5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2" fontId="13" fillId="0" borderId="0" applyFont="0" applyFill="0" applyBorder="0" applyAlignment="0" applyProtection="0"/>
    <xf numFmtId="0" fontId="13" fillId="0" borderId="0"/>
    <xf numFmtId="0" fontId="13" fillId="0" borderId="0"/>
    <xf numFmtId="0" fontId="30" fillId="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6" borderId="52" applyNumberFormat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13" fillId="7" borderId="56" applyNumberFormat="0" applyFont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33" borderId="55" applyNumberFormat="0" applyAlignment="0" applyProtection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40" fillId="0" borderId="54" applyNumberFormat="0" applyFill="0" applyAlignment="0" applyProtection="0">
      <alignment vertical="center"/>
    </xf>
    <xf numFmtId="0" fontId="35" fillId="0" borderId="57" applyNumberFormat="0" applyFill="0" applyAlignment="0" applyProtection="0">
      <alignment vertical="center"/>
    </xf>
    <xf numFmtId="0" fontId="41" fillId="8" borderId="52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58" applyNumberFormat="0" applyFill="0" applyAlignment="0" applyProtection="0">
      <alignment vertical="center"/>
    </xf>
    <xf numFmtId="0" fontId="44" fillId="0" borderId="59" applyNumberFormat="0" applyFill="0" applyAlignment="0" applyProtection="0">
      <alignment vertical="center"/>
    </xf>
    <xf numFmtId="0" fontId="45" fillId="0" borderId="60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6" borderId="53" applyNumberFormat="0" applyAlignment="0" applyProtection="0">
      <alignment vertical="center"/>
    </xf>
    <xf numFmtId="0" fontId="3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0" fontId="3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600">
    <xf numFmtId="0" fontId="0" fillId="0" borderId="0" xfId="0" applyNumberFormat="1">
      <alignment vertical="center"/>
    </xf>
    <xf numFmtId="0" fontId="8" fillId="0" borderId="0" xfId="2" applyNumberFormat="1" applyFont="1" applyBorder="1" applyAlignment="1">
      <alignment vertical="center"/>
    </xf>
    <xf numFmtId="0" fontId="8" fillId="0" borderId="0" xfId="3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vertical="center"/>
    </xf>
    <xf numFmtId="0" fontId="7" fillId="0" borderId="0" xfId="2" applyNumberFormat="1" applyFont="1" applyFill="1" applyBorder="1" applyAlignment="1">
      <alignment horizontal="center" vertical="center"/>
    </xf>
    <xf numFmtId="41" fontId="7" fillId="0" borderId="0" xfId="2" applyNumberFormat="1" applyFont="1" applyFill="1" applyBorder="1" applyAlignment="1">
      <alignment horizontal="right" vertical="center"/>
    </xf>
    <xf numFmtId="0" fontId="8" fillId="0" borderId="2" xfId="2" applyNumberFormat="1" applyFont="1" applyFill="1" applyBorder="1" applyAlignment="1">
      <alignment vertical="center"/>
    </xf>
    <xf numFmtId="0" fontId="8" fillId="0" borderId="3" xfId="2" applyNumberFormat="1" applyFont="1" applyFill="1" applyBorder="1" applyAlignment="1">
      <alignment vertical="center"/>
    </xf>
    <xf numFmtId="177" fontId="7" fillId="0" borderId="0" xfId="1" applyNumberFormat="1" applyFont="1" applyFill="1" applyBorder="1" applyAlignment="1">
      <alignment horizontal="center" vertical="center"/>
    </xf>
    <xf numFmtId="176" fontId="9" fillId="0" borderId="7" xfId="3" applyNumberFormat="1" applyFont="1" applyFill="1" applyBorder="1" applyAlignment="1">
      <alignment horizontal="right" vertical="center"/>
    </xf>
    <xf numFmtId="0" fontId="8" fillId="0" borderId="16" xfId="2" applyNumberFormat="1" applyFont="1" applyFill="1" applyBorder="1" applyAlignment="1">
      <alignment vertical="center"/>
    </xf>
    <xf numFmtId="177" fontId="8" fillId="0" borderId="0" xfId="1" applyNumberFormat="1" applyFont="1" applyFill="1" applyBorder="1" applyAlignment="1">
      <alignment horizontal="center" vertical="center"/>
    </xf>
    <xf numFmtId="41" fontId="8" fillId="0" borderId="0" xfId="3" applyNumberFormat="1" applyFont="1" applyFill="1" applyBorder="1" applyAlignment="1">
      <alignment horizontal="right" vertical="center"/>
    </xf>
    <xf numFmtId="0" fontId="7" fillId="0" borderId="0" xfId="2" applyNumberFormat="1" applyFont="1" applyFill="1" applyBorder="1" applyAlignment="1">
      <alignment horizontal="left" vertical="center"/>
    </xf>
    <xf numFmtId="176" fontId="15" fillId="0" borderId="3" xfId="12" applyNumberFormat="1" applyFont="1" applyFill="1" applyBorder="1" applyAlignment="1">
      <alignment vertical="center"/>
    </xf>
    <xf numFmtId="176" fontId="18" fillId="0" borderId="3" xfId="12" applyNumberFormat="1" applyFont="1" applyFill="1" applyBorder="1" applyAlignment="1">
      <alignment vertical="center"/>
    </xf>
    <xf numFmtId="176" fontId="15" fillId="2" borderId="3" xfId="12" applyNumberFormat="1" applyFont="1" applyFill="1" applyBorder="1" applyAlignment="1">
      <alignment vertical="center"/>
    </xf>
    <xf numFmtId="178" fontId="25" fillId="0" borderId="0" xfId="11" applyNumberFormat="1" applyFont="1" applyFill="1" applyBorder="1" applyAlignment="1">
      <alignment vertical="center"/>
    </xf>
    <xf numFmtId="177" fontId="22" fillId="0" borderId="0" xfId="11" applyNumberFormat="1" applyFont="1" applyFill="1" applyBorder="1" applyAlignment="1">
      <alignment vertical="center" shrinkToFit="1"/>
    </xf>
    <xf numFmtId="181" fontId="24" fillId="0" borderId="0" xfId="12" applyNumberFormat="1" applyFont="1" applyFill="1" applyBorder="1" applyAlignment="1">
      <alignment vertical="center" shrinkToFit="1"/>
    </xf>
    <xf numFmtId="178" fontId="24" fillId="0" borderId="0" xfId="11" applyNumberFormat="1" applyFont="1" applyFill="1" applyBorder="1" applyAlignment="1">
      <alignment vertical="center" shrinkToFit="1"/>
    </xf>
    <xf numFmtId="41" fontId="23" fillId="0" borderId="0" xfId="12" applyFont="1" applyFill="1" applyAlignment="1">
      <alignment vertical="center"/>
    </xf>
    <xf numFmtId="41" fontId="23" fillId="0" borderId="0" xfId="12" applyFont="1" applyFill="1" applyAlignment="1">
      <alignment horizontal="center" vertical="center"/>
    </xf>
    <xf numFmtId="0" fontId="23" fillId="2" borderId="0" xfId="11" applyFont="1" applyFill="1" applyAlignment="1">
      <alignment vertical="center"/>
    </xf>
    <xf numFmtId="0" fontId="27" fillId="0" borderId="0" xfId="11" applyFont="1" applyAlignment="1">
      <alignment vertical="center"/>
    </xf>
    <xf numFmtId="41" fontId="27" fillId="0" borderId="0" xfId="12" applyFont="1" applyFill="1" applyAlignment="1">
      <alignment vertical="center"/>
    </xf>
    <xf numFmtId="176" fontId="27" fillId="0" borderId="0" xfId="12" applyNumberFormat="1" applyFont="1" applyFill="1" applyAlignment="1">
      <alignment vertical="center"/>
    </xf>
    <xf numFmtId="177" fontId="16" fillId="0" borderId="0" xfId="0" applyNumberFormat="1" applyFont="1" applyAlignment="1">
      <alignment vertical="center"/>
    </xf>
    <xf numFmtId="177" fontId="17" fillId="0" borderId="0" xfId="0" applyNumberFormat="1" applyFont="1" applyAlignment="1">
      <alignment vertical="center"/>
    </xf>
    <xf numFmtId="177" fontId="17" fillId="0" borderId="0" xfId="12" applyNumberFormat="1" applyFont="1" applyAlignment="1">
      <alignment vertical="center"/>
    </xf>
    <xf numFmtId="177" fontId="14" fillId="0" borderId="20" xfId="0" applyNumberFormat="1" applyFont="1" applyBorder="1" applyAlignment="1">
      <alignment vertical="center"/>
    </xf>
    <xf numFmtId="177" fontId="14" fillId="0" borderId="0" xfId="12" applyNumberFormat="1" applyFont="1" applyAlignment="1">
      <alignment horizontal="right" vertical="center"/>
    </xf>
    <xf numFmtId="177" fontId="15" fillId="3" borderId="46" xfId="0" applyNumberFormat="1" applyFont="1" applyFill="1" applyBorder="1" applyAlignment="1">
      <alignment horizontal="center" vertical="center"/>
    </xf>
    <xf numFmtId="177" fontId="18" fillId="2" borderId="27" xfId="0" applyNumberFormat="1" applyFont="1" applyFill="1" applyBorder="1" applyAlignment="1">
      <alignment vertical="center"/>
    </xf>
    <xf numFmtId="0" fontId="23" fillId="0" borderId="0" xfId="11" applyFont="1" applyAlignment="1">
      <alignment vertical="center"/>
    </xf>
    <xf numFmtId="0" fontId="24" fillId="0" borderId="0" xfId="11" applyFont="1" applyAlignment="1">
      <alignment vertical="center"/>
    </xf>
    <xf numFmtId="0" fontId="19" fillId="0" borderId="27" xfId="65" applyNumberFormat="1" applyFont="1" applyFill="1" applyBorder="1" applyAlignment="1">
      <alignment horizontal="left" vertical="center"/>
    </xf>
    <xf numFmtId="41" fontId="19" fillId="0" borderId="15" xfId="65" applyFont="1" applyFill="1" applyBorder="1" applyAlignment="1">
      <alignment vertical="center"/>
    </xf>
    <xf numFmtId="0" fontId="20" fillId="0" borderId="6" xfId="65" applyNumberFormat="1" applyFont="1" applyFill="1" applyBorder="1" applyAlignment="1">
      <alignment horizontal="center" vertical="center" shrinkToFit="1"/>
    </xf>
    <xf numFmtId="0" fontId="20" fillId="0" borderId="1" xfId="65" applyNumberFormat="1" applyFont="1" applyFill="1" applyBorder="1" applyAlignment="1">
      <alignment horizontal="center" vertical="center" shrinkToFit="1"/>
    </xf>
    <xf numFmtId="41" fontId="24" fillId="0" borderId="15" xfId="65" applyNumberFormat="1" applyFont="1" applyFill="1" applyBorder="1" applyAlignment="1">
      <alignment horizontal="right" vertical="center"/>
    </xf>
    <xf numFmtId="179" fontId="15" fillId="0" borderId="3" xfId="65" applyNumberFormat="1" applyFont="1" applyFill="1" applyBorder="1" applyAlignment="1">
      <alignment horizontal="right" vertical="center"/>
    </xf>
    <xf numFmtId="0" fontId="13" fillId="0" borderId="0" xfId="11" applyNumberFormat="1" applyFill="1"/>
    <xf numFmtId="0" fontId="29" fillId="0" borderId="0" xfId="11" applyNumberFormat="1" applyFont="1" applyFill="1" applyAlignment="1">
      <alignment vertical="center"/>
    </xf>
    <xf numFmtId="0" fontId="20" fillId="0" borderId="1" xfId="11" applyNumberFormat="1" applyFont="1" applyFill="1" applyBorder="1" applyAlignment="1">
      <alignment horizontal="center" vertical="center"/>
    </xf>
    <xf numFmtId="0" fontId="20" fillId="0" borderId="0" xfId="11" applyNumberFormat="1" applyFont="1" applyFill="1" applyBorder="1" applyAlignment="1">
      <alignment horizontal="center" vertical="center"/>
    </xf>
    <xf numFmtId="0" fontId="10" fillId="0" borderId="0" xfId="11" applyNumberFormat="1" applyFont="1" applyFill="1" applyAlignment="1">
      <alignment vertical="center"/>
    </xf>
    <xf numFmtId="0" fontId="24" fillId="0" borderId="44" xfId="11" applyNumberFormat="1" applyFont="1" applyFill="1" applyBorder="1" applyAlignment="1">
      <alignment vertical="center"/>
    </xf>
    <xf numFmtId="179" fontId="24" fillId="0" borderId="2" xfId="65" applyNumberFormat="1" applyFont="1" applyFill="1" applyBorder="1" applyAlignment="1">
      <alignment horizontal="right" vertical="center"/>
    </xf>
    <xf numFmtId="179" fontId="24" fillId="0" borderId="8" xfId="65" applyNumberFormat="1" applyFont="1" applyFill="1" applyBorder="1" applyAlignment="1">
      <alignment horizontal="right" vertical="center"/>
    </xf>
    <xf numFmtId="179" fontId="15" fillId="0" borderId="2" xfId="65" applyNumberFormat="1" applyFont="1" applyFill="1" applyBorder="1" applyAlignment="1">
      <alignment horizontal="right" vertical="center"/>
    </xf>
    <xf numFmtId="0" fontId="20" fillId="0" borderId="1" xfId="11" applyFont="1" applyFill="1" applyBorder="1" applyAlignment="1">
      <alignment horizontal="center" vertical="center"/>
    </xf>
    <xf numFmtId="0" fontId="20" fillId="0" borderId="0" xfId="65" applyNumberFormat="1" applyFont="1" applyFill="1" applyBorder="1" applyAlignment="1">
      <alignment horizontal="center" vertical="center" shrinkToFit="1"/>
    </xf>
    <xf numFmtId="41" fontId="24" fillId="0" borderId="27" xfId="65" applyNumberFormat="1" applyFont="1" applyFill="1" applyBorder="1" applyAlignment="1">
      <alignment vertical="center"/>
    </xf>
    <xf numFmtId="41" fontId="24" fillId="0" borderId="1" xfId="65" applyNumberFormat="1" applyFont="1" applyFill="1" applyBorder="1" applyAlignment="1">
      <alignment horizontal="center" vertical="center"/>
    </xf>
    <xf numFmtId="0" fontId="15" fillId="0" borderId="0" xfId="11" applyNumberFormat="1" applyFont="1" applyAlignment="1">
      <alignment vertical="center"/>
    </xf>
    <xf numFmtId="0" fontId="20" fillId="0" borderId="16" xfId="11" applyFont="1" applyBorder="1" applyAlignment="1">
      <alignment vertical="center"/>
    </xf>
    <xf numFmtId="0" fontId="20" fillId="0" borderId="2" xfId="17" applyFont="1" applyBorder="1" applyAlignment="1">
      <alignment vertical="center"/>
    </xf>
    <xf numFmtId="0" fontId="20" fillId="0" borderId="2" xfId="11" applyFont="1" applyBorder="1" applyAlignment="1">
      <alignment vertical="center"/>
    </xf>
    <xf numFmtId="41" fontId="20" fillId="2" borderId="5" xfId="65" applyNumberFormat="1" applyFont="1" applyFill="1" applyBorder="1" applyAlignment="1">
      <alignment horizontal="center" vertical="center" shrinkToFit="1"/>
    </xf>
    <xf numFmtId="41" fontId="19" fillId="2" borderId="15" xfId="65" applyFont="1" applyFill="1" applyBorder="1" applyAlignment="1">
      <alignment horizontal="right" vertical="center"/>
    </xf>
    <xf numFmtId="0" fontId="15" fillId="0" borderId="0" xfId="11" applyFont="1" applyAlignment="1">
      <alignment vertical="center"/>
    </xf>
    <xf numFmtId="0" fontId="15" fillId="0" borderId="0" xfId="11" applyFont="1" applyBorder="1" applyAlignment="1">
      <alignment vertical="center"/>
    </xf>
    <xf numFmtId="0" fontId="24" fillId="0" borderId="0" xfId="11" applyNumberFormat="1" applyFont="1" applyFill="1" applyAlignment="1">
      <alignment vertical="center"/>
    </xf>
    <xf numFmtId="0" fontId="24" fillId="0" borderId="0" xfId="11" applyNumberFormat="1" applyFont="1" applyFill="1" applyBorder="1" applyAlignment="1">
      <alignment vertical="center"/>
    </xf>
    <xf numFmtId="0" fontId="24" fillId="0" borderId="16" xfId="11" applyNumberFormat="1" applyFont="1" applyFill="1" applyBorder="1" applyAlignment="1">
      <alignment vertical="center"/>
    </xf>
    <xf numFmtId="0" fontId="24" fillId="0" borderId="3" xfId="11" applyNumberFormat="1" applyFont="1" applyFill="1" applyBorder="1" applyAlignment="1">
      <alignment vertical="center"/>
    </xf>
    <xf numFmtId="0" fontId="24" fillId="0" borderId="2" xfId="11" applyNumberFormat="1" applyFont="1" applyFill="1" applyBorder="1" applyAlignment="1">
      <alignment vertical="center"/>
    </xf>
    <xf numFmtId="0" fontId="24" fillId="0" borderId="0" xfId="11" applyNumberFormat="1" applyFont="1" applyFill="1" applyBorder="1" applyAlignment="1">
      <alignment horizontal="center" vertical="center"/>
    </xf>
    <xf numFmtId="0" fontId="24" fillId="0" borderId="8" xfId="11" applyNumberFormat="1" applyFont="1" applyFill="1" applyBorder="1" applyAlignment="1">
      <alignment vertical="center"/>
    </xf>
    <xf numFmtId="0" fontId="24" fillId="0" borderId="26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center"/>
    </xf>
    <xf numFmtId="179" fontId="20" fillId="0" borderId="8" xfId="65" applyNumberFormat="1" applyFont="1" applyFill="1" applyBorder="1" applyAlignment="1">
      <alignment horizontal="right" vertical="center"/>
    </xf>
    <xf numFmtId="179" fontId="20" fillId="0" borderId="7" xfId="65" applyNumberFormat="1" applyFont="1" applyFill="1" applyBorder="1" applyAlignment="1">
      <alignment horizontal="right" vertical="center"/>
    </xf>
    <xf numFmtId="179" fontId="20" fillId="0" borderId="3" xfId="65" applyNumberFormat="1" applyFont="1" applyFill="1" applyBorder="1" applyAlignment="1">
      <alignment horizontal="right" vertical="center"/>
    </xf>
    <xf numFmtId="179" fontId="20" fillId="0" borderId="2" xfId="65" applyNumberFormat="1" applyFont="1" applyFill="1" applyBorder="1" applyAlignment="1">
      <alignment horizontal="right" vertical="center"/>
    </xf>
    <xf numFmtId="179" fontId="20" fillId="0" borderId="31" xfId="65" applyNumberFormat="1" applyFont="1" applyFill="1" applyBorder="1" applyAlignment="1">
      <alignment horizontal="right" vertical="center"/>
    </xf>
    <xf numFmtId="179" fontId="20" fillId="0" borderId="26" xfId="65" applyNumberFormat="1" applyFont="1" applyFill="1" applyBorder="1" applyAlignment="1">
      <alignment horizontal="right" vertical="center"/>
    </xf>
    <xf numFmtId="179" fontId="20" fillId="0" borderId="9" xfId="65" applyNumberFormat="1" applyFont="1" applyFill="1" applyBorder="1" applyAlignment="1">
      <alignment horizontal="right" vertical="center"/>
    </xf>
    <xf numFmtId="41" fontId="31" fillId="0" borderId="0" xfId="12" applyFont="1" applyFill="1" applyAlignment="1">
      <alignment vertical="center"/>
    </xf>
    <xf numFmtId="41" fontId="20" fillId="0" borderId="5" xfId="3" applyNumberFormat="1" applyFont="1" applyFill="1" applyBorder="1" applyAlignment="1">
      <alignment horizontal="left" vertical="center"/>
    </xf>
    <xf numFmtId="41" fontId="20" fillId="0" borderId="5" xfId="3" applyNumberFormat="1" applyFont="1" applyFill="1" applyBorder="1" applyAlignment="1">
      <alignment horizontal="center" vertical="center"/>
    </xf>
    <xf numFmtId="41" fontId="20" fillId="0" borderId="11" xfId="3" applyNumberFormat="1" applyFont="1" applyFill="1" applyBorder="1" applyAlignment="1">
      <alignment horizontal="right" vertical="center"/>
    </xf>
    <xf numFmtId="0" fontId="20" fillId="0" borderId="0" xfId="3" applyNumberFormat="1" applyFont="1" applyFill="1" applyBorder="1" applyAlignment="1">
      <alignment horizontal="left" vertical="center"/>
    </xf>
    <xf numFmtId="41" fontId="19" fillId="0" borderId="15" xfId="3" applyNumberFormat="1" applyFont="1" applyFill="1" applyBorder="1" applyAlignment="1">
      <alignment vertical="center"/>
    </xf>
    <xf numFmtId="0" fontId="19" fillId="0" borderId="0" xfId="2" applyNumberFormat="1" applyFont="1" applyBorder="1" applyAlignment="1">
      <alignment horizontal="left" vertical="center" shrinkToFit="1"/>
    </xf>
    <xf numFmtId="0" fontId="19" fillId="0" borderId="6" xfId="2" applyNumberFormat="1" applyFont="1" applyFill="1" applyBorder="1" applyAlignment="1">
      <alignment horizontal="left" vertical="center" shrinkToFit="1"/>
    </xf>
    <xf numFmtId="177" fontId="15" fillId="3" borderId="39" xfId="0" applyNumberFormat="1" applyFont="1" applyFill="1" applyBorder="1" applyAlignment="1">
      <alignment horizontal="center" vertical="center"/>
    </xf>
    <xf numFmtId="177" fontId="15" fillId="2" borderId="44" xfId="0" applyNumberFormat="1" applyFont="1" applyFill="1" applyBorder="1" applyAlignment="1">
      <alignment vertical="center"/>
    </xf>
    <xf numFmtId="176" fontId="15" fillId="2" borderId="46" xfId="12" applyNumberFormat="1" applyFont="1" applyFill="1" applyBorder="1" applyAlignment="1">
      <alignment vertical="center"/>
    </xf>
    <xf numFmtId="0" fontId="29" fillId="0" borderId="0" xfId="11" applyNumberFormat="1" applyFont="1" applyFill="1" applyBorder="1" applyAlignment="1">
      <alignment vertical="center"/>
    </xf>
    <xf numFmtId="0" fontId="24" fillId="3" borderId="51" xfId="11" applyNumberFormat="1" applyFont="1" applyFill="1" applyBorder="1" applyAlignment="1">
      <alignment horizontal="center" vertical="center"/>
    </xf>
    <xf numFmtId="0" fontId="24" fillId="3" borderId="37" xfId="11" applyNumberFormat="1" applyFont="1" applyFill="1" applyBorder="1" applyAlignment="1">
      <alignment horizontal="center" vertical="center"/>
    </xf>
    <xf numFmtId="176" fontId="19" fillId="0" borderId="7" xfId="3" applyNumberFormat="1" applyFont="1" applyFill="1" applyBorder="1" applyAlignment="1">
      <alignment horizontal="right" vertical="center"/>
    </xf>
    <xf numFmtId="176" fontId="18" fillId="0" borderId="7" xfId="3" applyNumberFormat="1" applyFont="1" applyFill="1" applyBorder="1" applyAlignment="1">
      <alignment horizontal="right" vertical="center"/>
    </xf>
    <xf numFmtId="0" fontId="19" fillId="0" borderId="6" xfId="2" applyNumberFormat="1" applyFont="1" applyFill="1" applyBorder="1" applyAlignment="1">
      <alignment horizontal="center" vertical="center"/>
    </xf>
    <xf numFmtId="176" fontId="19" fillId="0" borderId="8" xfId="3" applyNumberFormat="1" applyFont="1" applyFill="1" applyBorder="1" applyAlignment="1">
      <alignment horizontal="right" vertical="center"/>
    </xf>
    <xf numFmtId="176" fontId="18" fillId="0" borderId="8" xfId="3" applyNumberFormat="1" applyFont="1" applyFill="1" applyBorder="1" applyAlignment="1">
      <alignment horizontal="right" vertical="center"/>
    </xf>
    <xf numFmtId="0" fontId="20" fillId="0" borderId="0" xfId="17" applyFont="1" applyFill="1" applyBorder="1" applyAlignment="1">
      <alignment horizontal="center" vertical="center" shrinkToFit="1"/>
    </xf>
    <xf numFmtId="38" fontId="15" fillId="0" borderId="0" xfId="11" applyNumberFormat="1" applyFont="1" applyFill="1" applyBorder="1" applyAlignment="1">
      <alignment vertical="center"/>
    </xf>
    <xf numFmtId="179" fontId="15" fillId="0" borderId="7" xfId="65" applyNumberFormat="1" applyFont="1" applyFill="1" applyBorder="1" applyAlignment="1">
      <alignment horizontal="right" vertical="center"/>
    </xf>
    <xf numFmtId="38" fontId="15" fillId="0" borderId="0" xfId="11" applyNumberFormat="1" applyFont="1" applyFill="1" applyAlignment="1">
      <alignment vertical="center"/>
    </xf>
    <xf numFmtId="178" fontId="20" fillId="0" borderId="2" xfId="10" applyNumberFormat="1" applyFont="1" applyBorder="1" applyAlignment="1">
      <alignment horizontal="right" vertical="center"/>
    </xf>
    <xf numFmtId="0" fontId="15" fillId="0" borderId="0" xfId="5" applyNumberFormat="1" applyFont="1" applyAlignment="1">
      <alignment vertical="center"/>
    </xf>
    <xf numFmtId="179" fontId="20" fillId="0" borderId="2" xfId="10" applyNumberFormat="1" applyFont="1" applyBorder="1" applyAlignment="1">
      <alignment vertical="center"/>
    </xf>
    <xf numFmtId="178" fontId="20" fillId="0" borderId="8" xfId="10" applyNumberFormat="1" applyFont="1" applyBorder="1" applyAlignment="1">
      <alignment horizontal="right" vertical="center"/>
    </xf>
    <xf numFmtId="178" fontId="20" fillId="0" borderId="26" xfId="12" applyNumberFormat="1" applyFont="1" applyBorder="1" applyAlignment="1">
      <alignment vertical="center"/>
    </xf>
    <xf numFmtId="0" fontId="20" fillId="0" borderId="2" xfId="5" applyFont="1" applyBorder="1" applyAlignment="1">
      <alignment vertical="center"/>
    </xf>
    <xf numFmtId="178" fontId="20" fillId="0" borderId="2" xfId="12" applyNumberFormat="1" applyFont="1" applyBorder="1" applyAlignment="1">
      <alignment vertical="center"/>
    </xf>
    <xf numFmtId="176" fontId="20" fillId="0" borderId="2" xfId="12" applyNumberFormat="1" applyFont="1" applyBorder="1" applyAlignment="1">
      <alignment vertical="center"/>
    </xf>
    <xf numFmtId="178" fontId="20" fillId="0" borderId="8" xfId="12" applyNumberFormat="1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176" fontId="18" fillId="2" borderId="8" xfId="12" applyNumberFormat="1" applyFont="1" applyFill="1" applyBorder="1" applyAlignment="1">
      <alignment vertical="center"/>
    </xf>
    <xf numFmtId="176" fontId="18" fillId="2" borderId="7" xfId="12" applyNumberFormat="1" applyFont="1" applyFill="1" applyBorder="1" applyAlignment="1">
      <alignment vertical="center"/>
    </xf>
    <xf numFmtId="176" fontId="18" fillId="2" borderId="3" xfId="12" applyNumberFormat="1" applyFont="1" applyFill="1" applyBorder="1" applyAlignment="1">
      <alignment vertical="center"/>
    </xf>
    <xf numFmtId="176" fontId="18" fillId="35" borderId="7" xfId="12" applyNumberFormat="1" applyFont="1" applyFill="1" applyBorder="1" applyAlignment="1">
      <alignment vertical="center"/>
    </xf>
    <xf numFmtId="176" fontId="18" fillId="2" borderId="35" xfId="12" applyNumberFormat="1" applyFont="1" applyFill="1" applyBorder="1" applyAlignment="1">
      <alignment horizontal="right" vertical="center" shrinkToFit="1"/>
    </xf>
    <xf numFmtId="176" fontId="18" fillId="35" borderId="35" xfId="12" applyNumberFormat="1" applyFont="1" applyFill="1" applyBorder="1" applyAlignment="1">
      <alignment horizontal="right" vertical="center" shrinkToFit="1"/>
    </xf>
    <xf numFmtId="176" fontId="15" fillId="2" borderId="35" xfId="12" applyNumberFormat="1" applyFont="1" applyFill="1" applyBorder="1" applyAlignment="1">
      <alignment horizontal="right" vertical="center" shrinkToFit="1"/>
    </xf>
    <xf numFmtId="176" fontId="15" fillId="2" borderId="43" xfId="12" applyNumberFormat="1" applyFont="1" applyFill="1" applyBorder="1" applyAlignment="1">
      <alignment vertical="center"/>
    </xf>
    <xf numFmtId="176" fontId="15" fillId="2" borderId="40" xfId="12" applyNumberFormat="1" applyFont="1" applyFill="1" applyBorder="1" applyAlignment="1">
      <alignment horizontal="right" vertical="center" shrinkToFit="1"/>
    </xf>
    <xf numFmtId="0" fontId="8" fillId="3" borderId="46" xfId="2" applyNumberFormat="1" applyFont="1" applyFill="1" applyBorder="1" applyAlignment="1">
      <alignment horizontal="center" vertical="center"/>
    </xf>
    <xf numFmtId="176" fontId="26" fillId="3" borderId="50" xfId="12" applyNumberFormat="1" applyFont="1" applyFill="1" applyBorder="1" applyAlignment="1">
      <alignment horizontal="right" vertical="center"/>
    </xf>
    <xf numFmtId="41" fontId="24" fillId="3" borderId="38" xfId="11" applyNumberFormat="1" applyFont="1" applyFill="1" applyBorder="1" applyAlignment="1">
      <alignment horizontal="center" vertical="center"/>
    </xf>
    <xf numFmtId="0" fontId="9" fillId="0" borderId="33" xfId="2" applyNumberFormat="1" applyFont="1" applyFill="1" applyBorder="1" applyAlignment="1">
      <alignment vertical="center"/>
    </xf>
    <xf numFmtId="0" fontId="9" fillId="0" borderId="21" xfId="2" applyNumberFormat="1" applyFont="1" applyFill="1" applyBorder="1" applyAlignment="1">
      <alignment vertical="center"/>
    </xf>
    <xf numFmtId="0" fontId="9" fillId="0" borderId="30" xfId="2" applyNumberFormat="1" applyFont="1" applyFill="1" applyBorder="1" applyAlignment="1">
      <alignment vertical="center"/>
    </xf>
    <xf numFmtId="0" fontId="8" fillId="0" borderId="0" xfId="3" applyNumberFormat="1" applyFont="1" applyFill="1" applyBorder="1" applyAlignment="1">
      <alignment horizontal="left" vertical="center"/>
    </xf>
    <xf numFmtId="0" fontId="8" fillId="0" borderId="0" xfId="2" applyNumberFormat="1" applyFont="1" applyFill="1" applyBorder="1" applyAlignment="1">
      <alignment horizontal="center" vertical="center"/>
    </xf>
    <xf numFmtId="41" fontId="8" fillId="0" borderId="0" xfId="2" applyNumberFormat="1" applyFont="1" applyFill="1" applyBorder="1" applyAlignment="1">
      <alignment horizontal="right" vertical="center"/>
    </xf>
    <xf numFmtId="0" fontId="8" fillId="0" borderId="0" xfId="2" applyNumberFormat="1" applyFont="1" applyFill="1" applyBorder="1" applyAlignment="1">
      <alignment vertical="center"/>
    </xf>
    <xf numFmtId="0" fontId="9" fillId="0" borderId="23" xfId="2" applyNumberFormat="1" applyFont="1" applyFill="1" applyBorder="1" applyAlignment="1">
      <alignment vertical="center"/>
    </xf>
    <xf numFmtId="0" fontId="9" fillId="0" borderId="6" xfId="2" applyNumberFormat="1" applyFont="1" applyFill="1" applyBorder="1" applyAlignment="1">
      <alignment vertical="center"/>
    </xf>
    <xf numFmtId="0" fontId="9" fillId="0" borderId="29" xfId="2" applyNumberFormat="1" applyFont="1" applyFill="1" applyBorder="1" applyAlignment="1">
      <alignment vertical="center"/>
    </xf>
    <xf numFmtId="176" fontId="19" fillId="0" borderId="7" xfId="3" applyNumberFormat="1" applyFont="1" applyFill="1" applyBorder="1" applyAlignment="1">
      <alignment vertical="center"/>
    </xf>
    <xf numFmtId="41" fontId="20" fillId="0" borderId="0" xfId="3" applyNumberFormat="1" applyFont="1" applyFill="1" applyBorder="1" applyAlignment="1">
      <alignment horizontal="center" vertical="center"/>
    </xf>
    <xf numFmtId="0" fontId="9" fillId="0" borderId="62" xfId="2" applyNumberFormat="1" applyFont="1" applyFill="1" applyBorder="1" applyAlignment="1">
      <alignment vertical="center"/>
    </xf>
    <xf numFmtId="0" fontId="9" fillId="0" borderId="3" xfId="2" applyNumberFormat="1" applyFont="1" applyFill="1" applyBorder="1" applyAlignment="1">
      <alignment vertical="center"/>
    </xf>
    <xf numFmtId="0" fontId="24" fillId="0" borderId="23" xfId="11" applyNumberFormat="1" applyFont="1" applyFill="1" applyBorder="1" applyAlignment="1">
      <alignment vertical="center"/>
    </xf>
    <xf numFmtId="0" fontId="15" fillId="0" borderId="0" xfId="11" applyFont="1"/>
    <xf numFmtId="0" fontId="24" fillId="0" borderId="31" xfId="11" applyNumberFormat="1" applyFont="1" applyFill="1" applyBorder="1" applyAlignment="1">
      <alignment vertical="center"/>
    </xf>
    <xf numFmtId="178" fontId="15" fillId="0" borderId="0" xfId="5" applyNumberFormat="1" applyFont="1" applyFill="1" applyBorder="1" applyAlignment="1">
      <alignment vertical="center"/>
    </xf>
    <xf numFmtId="0" fontId="24" fillId="0" borderId="29" xfId="11" applyNumberFormat="1" applyFont="1" applyFill="1" applyBorder="1" applyAlignment="1">
      <alignment vertical="center"/>
    </xf>
    <xf numFmtId="0" fontId="15" fillId="0" borderId="0" xfId="11" applyFont="1" applyFill="1"/>
    <xf numFmtId="0" fontId="20" fillId="0" borderId="5" xfId="11" applyNumberFormat="1" applyFont="1" applyFill="1" applyBorder="1" applyAlignment="1">
      <alignment horizontal="center" vertical="center"/>
    </xf>
    <xf numFmtId="0" fontId="24" fillId="0" borderId="12" xfId="11" applyNumberFormat="1" applyFont="1" applyFill="1" applyBorder="1" applyAlignment="1">
      <alignment vertical="center"/>
    </xf>
    <xf numFmtId="0" fontId="19" fillId="0" borderId="6" xfId="11" applyFont="1" applyFill="1" applyBorder="1" applyAlignment="1">
      <alignment vertical="center" shrinkToFit="1"/>
    </xf>
    <xf numFmtId="0" fontId="24" fillId="0" borderId="2" xfId="11" applyNumberFormat="1" applyFont="1" applyFill="1" applyBorder="1" applyAlignment="1">
      <alignment vertical="top"/>
    </xf>
    <xf numFmtId="179" fontId="15" fillId="0" borderId="8" xfId="65" applyNumberFormat="1" applyFont="1" applyFill="1" applyBorder="1" applyAlignment="1">
      <alignment horizontal="right" vertical="center"/>
    </xf>
    <xf numFmtId="0" fontId="8" fillId="0" borderId="63" xfId="2" applyNumberFormat="1" applyFont="1" applyFill="1" applyBorder="1" applyAlignment="1">
      <alignment vertical="center"/>
    </xf>
    <xf numFmtId="0" fontId="20" fillId="0" borderId="6" xfId="3" applyNumberFormat="1" applyFont="1" applyFill="1" applyBorder="1" applyAlignment="1">
      <alignment horizontal="left" vertical="center"/>
    </xf>
    <xf numFmtId="41" fontId="20" fillId="0" borderId="6" xfId="3" applyNumberFormat="1" applyFont="1" applyFill="1" applyBorder="1" applyAlignment="1">
      <alignment horizontal="center" vertical="center"/>
    </xf>
    <xf numFmtId="41" fontId="20" fillId="0" borderId="15" xfId="3" applyNumberFormat="1" applyFont="1" applyFill="1" applyBorder="1" applyAlignment="1">
      <alignment horizontal="right" vertical="center"/>
    </xf>
    <xf numFmtId="0" fontId="15" fillId="0" borderId="0" xfId="5" applyFont="1" applyBorder="1" applyAlignment="1">
      <alignment vertical="center"/>
    </xf>
    <xf numFmtId="38" fontId="20" fillId="0" borderId="7" xfId="65" applyNumberFormat="1" applyFont="1" applyBorder="1" applyAlignment="1">
      <alignment vertical="center"/>
    </xf>
    <xf numFmtId="176" fontId="20" fillId="0" borderId="7" xfId="65" applyNumberFormat="1" applyFont="1" applyBorder="1" applyAlignment="1">
      <alignment horizontal="right" vertical="center"/>
    </xf>
    <xf numFmtId="41" fontId="20" fillId="2" borderId="4" xfId="65" applyNumberFormat="1" applyFont="1" applyFill="1" applyBorder="1" applyAlignment="1">
      <alignment vertical="center" shrinkToFit="1"/>
    </xf>
    <xf numFmtId="179" fontId="20" fillId="0" borderId="8" xfId="10" applyNumberFormat="1" applyFont="1" applyBorder="1" applyAlignment="1">
      <alignment vertical="center"/>
    </xf>
    <xf numFmtId="176" fontId="20" fillId="0" borderId="8" xfId="12" applyNumberFormat="1" applyFont="1" applyBorder="1" applyAlignment="1">
      <alignment vertical="center"/>
    </xf>
    <xf numFmtId="0" fontId="15" fillId="2" borderId="0" xfId="11" applyNumberFormat="1" applyFont="1" applyFill="1" applyAlignment="1">
      <alignment vertical="center"/>
    </xf>
    <xf numFmtId="0" fontId="15" fillId="2" borderId="0" xfId="11" applyFont="1" applyFill="1" applyAlignment="1">
      <alignment vertical="center"/>
    </xf>
    <xf numFmtId="41" fontId="20" fillId="0" borderId="6" xfId="3" applyNumberFormat="1" applyFont="1" applyFill="1" applyBorder="1" applyAlignment="1">
      <alignment horizontal="left" vertical="center"/>
    </xf>
    <xf numFmtId="0" fontId="20" fillId="0" borderId="23" xfId="3" applyNumberFormat="1" applyFont="1" applyFill="1" applyBorder="1" applyAlignment="1">
      <alignment horizontal="left" vertical="center"/>
    </xf>
    <xf numFmtId="41" fontId="18" fillId="3" borderId="50" xfId="12" applyFont="1" applyFill="1" applyBorder="1" applyAlignment="1">
      <alignment horizontal="right" vertical="center"/>
    </xf>
    <xf numFmtId="176" fontId="18" fillId="3" borderId="61" xfId="12" applyNumberFormat="1" applyFont="1" applyFill="1" applyBorder="1" applyAlignment="1">
      <alignment horizontal="right" vertical="center"/>
    </xf>
    <xf numFmtId="177" fontId="18" fillId="2" borderId="47" xfId="0" applyNumberFormat="1" applyFont="1" applyFill="1" applyBorder="1" applyAlignment="1">
      <alignment vertical="center"/>
    </xf>
    <xf numFmtId="177" fontId="18" fillId="2" borderId="44" xfId="0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horizontal="left" vertical="center"/>
    </xf>
    <xf numFmtId="177" fontId="18" fillId="2" borderId="2" xfId="0" applyNumberFormat="1" applyFont="1" applyFill="1" applyBorder="1" applyAlignment="1">
      <alignment horizontal="left" vertical="center"/>
    </xf>
    <xf numFmtId="177" fontId="18" fillId="2" borderId="3" xfId="0" applyNumberFormat="1" applyFont="1" applyFill="1" applyBorder="1" applyAlignment="1">
      <alignment horizontal="left" vertical="center"/>
    </xf>
    <xf numFmtId="177" fontId="15" fillId="2" borderId="2" xfId="0" applyNumberFormat="1" applyFont="1" applyFill="1" applyBorder="1" applyAlignment="1">
      <alignment horizontal="left" vertical="center"/>
    </xf>
    <xf numFmtId="177" fontId="15" fillId="2" borderId="12" xfId="0" applyNumberFormat="1" applyFont="1" applyFill="1" applyBorder="1" applyAlignment="1">
      <alignment horizontal="left" vertical="center"/>
    </xf>
    <xf numFmtId="177" fontId="15" fillId="2" borderId="7" xfId="0" applyNumberFormat="1" applyFont="1" applyFill="1" applyBorder="1" applyAlignment="1">
      <alignment horizontal="left" vertical="center"/>
    </xf>
    <xf numFmtId="177" fontId="15" fillId="2" borderId="3" xfId="0" applyNumberFormat="1" applyFont="1" applyFill="1" applyBorder="1" applyAlignment="1">
      <alignment horizontal="left" vertical="center"/>
    </xf>
    <xf numFmtId="177" fontId="15" fillId="2" borderId="8" xfId="0" applyNumberFormat="1" applyFont="1" applyFill="1" applyBorder="1" applyAlignment="1">
      <alignment horizontal="left" vertical="center"/>
    </xf>
    <xf numFmtId="177" fontId="15" fillId="2" borderId="19" xfId="0" applyNumberFormat="1" applyFont="1" applyFill="1" applyBorder="1" applyAlignment="1">
      <alignment horizontal="left" vertical="center"/>
    </xf>
    <xf numFmtId="177" fontId="15" fillId="2" borderId="46" xfId="0" applyNumberFormat="1" applyFont="1" applyFill="1" applyBorder="1" applyAlignment="1">
      <alignment horizontal="left" vertical="center"/>
    </xf>
    <xf numFmtId="0" fontId="0" fillId="0" borderId="0" xfId="0" applyNumberFormat="1" applyAlignment="1">
      <alignment vertical="center"/>
    </xf>
    <xf numFmtId="177" fontId="18" fillId="35" borderId="23" xfId="0" applyNumberFormat="1" applyFont="1" applyFill="1" applyBorder="1" applyAlignment="1">
      <alignment vertical="center"/>
    </xf>
    <xf numFmtId="177" fontId="18" fillId="35" borderId="6" xfId="0" applyNumberFormat="1" applyFont="1" applyFill="1" applyBorder="1" applyAlignment="1">
      <alignment vertical="center"/>
    </xf>
    <xf numFmtId="177" fontId="18" fillId="35" borderId="29" xfId="0" applyNumberFormat="1" applyFont="1" applyFill="1" applyBorder="1" applyAlignment="1">
      <alignment vertical="center"/>
    </xf>
    <xf numFmtId="177" fontId="18" fillId="2" borderId="23" xfId="0" applyNumberFormat="1" applyFont="1" applyFill="1" applyBorder="1" applyAlignment="1">
      <alignment vertical="center"/>
    </xf>
    <xf numFmtId="177" fontId="18" fillId="2" borderId="6" xfId="0" applyNumberFormat="1" applyFont="1" applyFill="1" applyBorder="1" applyAlignment="1">
      <alignment vertical="center"/>
    </xf>
    <xf numFmtId="177" fontId="18" fillId="2" borderId="29" xfId="0" applyNumberFormat="1" applyFont="1" applyFill="1" applyBorder="1" applyAlignment="1">
      <alignment vertical="center"/>
    </xf>
    <xf numFmtId="41" fontId="31" fillId="0" borderId="20" xfId="3" applyNumberFormat="1" applyFont="1" applyFill="1" applyBorder="1" applyAlignment="1">
      <alignment horizontal="right" vertical="center"/>
    </xf>
    <xf numFmtId="0" fontId="13" fillId="0" borderId="0" xfId="11" applyNumberFormat="1" applyFill="1" applyAlignment="1"/>
    <xf numFmtId="0" fontId="28" fillId="0" borderId="0" xfId="11" applyNumberFormat="1" applyFont="1" applyFill="1" applyAlignment="1"/>
    <xf numFmtId="176" fontId="19" fillId="3" borderId="50" xfId="12" applyNumberFormat="1" applyFont="1" applyFill="1" applyBorder="1" applyAlignment="1">
      <alignment horizontal="right" vertical="center"/>
    </xf>
    <xf numFmtId="0" fontId="26" fillId="0" borderId="12" xfId="11" applyNumberFormat="1" applyFont="1" applyFill="1" applyBorder="1" applyAlignment="1">
      <alignment horizontal="left" vertical="center"/>
    </xf>
    <xf numFmtId="0" fontId="26" fillId="0" borderId="2" xfId="11" applyNumberFormat="1" applyFont="1" applyFill="1" applyBorder="1" applyAlignment="1">
      <alignment horizontal="left" vertical="center"/>
    </xf>
    <xf numFmtId="0" fontId="26" fillId="0" borderId="1" xfId="11" applyNumberFormat="1" applyFont="1" applyFill="1" applyBorder="1" applyAlignment="1">
      <alignment horizontal="left" vertical="center"/>
    </xf>
    <xf numFmtId="0" fontId="26" fillId="0" borderId="29" xfId="11" applyNumberFormat="1" applyFont="1" applyFill="1" applyBorder="1" applyAlignment="1">
      <alignment horizontal="left" vertical="center"/>
    </xf>
    <xf numFmtId="0" fontId="24" fillId="0" borderId="26" xfId="11" applyNumberFormat="1" applyFont="1" applyFill="1" applyBorder="1" applyAlignment="1">
      <alignment vertical="top"/>
    </xf>
    <xf numFmtId="3" fontId="20" fillId="0" borderId="10" xfId="5" applyNumberFormat="1" applyFont="1" applyFill="1" applyBorder="1" applyAlignment="1">
      <alignment horizontal="right" vertical="center"/>
    </xf>
    <xf numFmtId="0" fontId="20" fillId="0" borderId="3" xfId="17" applyFont="1" applyBorder="1" applyAlignment="1">
      <alignment horizontal="left" vertical="top"/>
    </xf>
    <xf numFmtId="0" fontId="20" fillId="0" borderId="12" xfId="5" quotePrefix="1" applyFont="1" applyBorder="1" applyAlignment="1">
      <alignment horizontal="justify" vertical="center"/>
    </xf>
    <xf numFmtId="3" fontId="19" fillId="0" borderId="10" xfId="5" applyNumberFormat="1" applyFont="1" applyFill="1" applyBorder="1" applyAlignment="1">
      <alignment horizontal="right" vertical="center"/>
    </xf>
    <xf numFmtId="0" fontId="20" fillId="0" borderId="2" xfId="5" applyFont="1" applyBorder="1" applyAlignment="1">
      <alignment vertical="top"/>
    </xf>
    <xf numFmtId="0" fontId="20" fillId="0" borderId="8" xfId="5" applyFont="1" applyBorder="1" applyAlignment="1">
      <alignment vertical="top"/>
    </xf>
    <xf numFmtId="3" fontId="20" fillId="0" borderId="11" xfId="5" applyNumberFormat="1" applyFont="1" applyFill="1" applyBorder="1" applyAlignment="1">
      <alignment horizontal="right" vertical="center"/>
    </xf>
    <xf numFmtId="0" fontId="20" fillId="0" borderId="26" xfId="5" applyFont="1" applyBorder="1" applyAlignment="1">
      <alignment vertical="top"/>
    </xf>
    <xf numFmtId="0" fontId="20" fillId="0" borderId="4" xfId="5" applyFont="1" applyFill="1" applyBorder="1" applyAlignment="1">
      <alignment horizontal="justify" vertical="center"/>
    </xf>
    <xf numFmtId="0" fontId="20" fillId="0" borderId="3" xfId="5" applyFont="1" applyBorder="1" applyAlignment="1">
      <alignment vertical="top"/>
    </xf>
    <xf numFmtId="0" fontId="20" fillId="0" borderId="19" xfId="5" applyFont="1" applyBorder="1" applyAlignment="1">
      <alignment vertical="top"/>
    </xf>
    <xf numFmtId="176" fontId="18" fillId="0" borderId="7" xfId="12" applyNumberFormat="1" applyFont="1" applyFill="1" applyBorder="1" applyAlignment="1">
      <alignment vertical="center"/>
    </xf>
    <xf numFmtId="176" fontId="20" fillId="0" borderId="3" xfId="12" applyNumberFormat="1" applyFont="1" applyBorder="1" applyAlignment="1">
      <alignment vertical="center"/>
    </xf>
    <xf numFmtId="0" fontId="20" fillId="0" borderId="0" xfId="11" applyFont="1" applyFill="1" applyBorder="1" applyAlignment="1">
      <alignment horizontal="center" vertical="center"/>
    </xf>
    <xf numFmtId="41" fontId="20" fillId="0" borderId="23" xfId="3" applyNumberFormat="1" applyFont="1" applyFill="1" applyBorder="1" applyAlignment="1">
      <alignment horizontal="left" vertical="center"/>
    </xf>
    <xf numFmtId="0" fontId="20" fillId="0" borderId="5" xfId="11" applyFont="1" applyFill="1" applyBorder="1" applyAlignment="1">
      <alignment horizontal="center" vertical="center"/>
    </xf>
    <xf numFmtId="0" fontId="9" fillId="0" borderId="32" xfId="2" applyNumberFormat="1" applyFont="1" applyFill="1" applyBorder="1" applyAlignment="1">
      <alignment vertical="center"/>
    </xf>
    <xf numFmtId="0" fontId="20" fillId="0" borderId="8" xfId="17" applyFont="1" applyBorder="1" applyAlignment="1">
      <alignment vertical="center"/>
    </xf>
    <xf numFmtId="0" fontId="20" fillId="0" borderId="4" xfId="5" quotePrefix="1" applyFont="1" applyBorder="1" applyAlignment="1">
      <alignment horizontal="justify" vertical="center"/>
    </xf>
    <xf numFmtId="0" fontId="20" fillId="0" borderId="3" xfId="17" applyFont="1" applyBorder="1" applyAlignment="1">
      <alignment vertical="center"/>
    </xf>
    <xf numFmtId="178" fontId="20" fillId="0" borderId="3" xfId="10" applyNumberFormat="1" applyFont="1" applyBorder="1" applyAlignment="1">
      <alignment horizontal="right" vertical="center"/>
    </xf>
    <xf numFmtId="179" fontId="20" fillId="0" borderId="3" xfId="10" applyNumberFormat="1" applyFont="1" applyBorder="1" applyAlignment="1">
      <alignment vertical="center"/>
    </xf>
    <xf numFmtId="0" fontId="20" fillId="0" borderId="1" xfId="17" applyFont="1" applyFill="1" applyBorder="1" applyAlignment="1">
      <alignment horizontal="center" vertical="center" shrinkToFit="1"/>
    </xf>
    <xf numFmtId="178" fontId="20" fillId="0" borderId="3" xfId="12" applyNumberFormat="1" applyFont="1" applyBorder="1" applyAlignment="1">
      <alignment vertical="center"/>
    </xf>
    <xf numFmtId="0" fontId="20" fillId="0" borderId="5" xfId="17" applyFont="1" applyFill="1" applyBorder="1" applyAlignment="1">
      <alignment horizontal="center" vertical="center" shrinkToFit="1"/>
    </xf>
    <xf numFmtId="176" fontId="20" fillId="0" borderId="1" xfId="12" applyNumberFormat="1" applyFont="1" applyBorder="1" applyAlignment="1">
      <alignment vertical="center"/>
    </xf>
    <xf numFmtId="0" fontId="19" fillId="0" borderId="27" xfId="5" applyFont="1" applyFill="1" applyBorder="1" applyAlignment="1">
      <alignment horizontal="justify" vertical="center"/>
    </xf>
    <xf numFmtId="178" fontId="20" fillId="0" borderId="19" xfId="10" applyNumberFormat="1" applyFont="1" applyBorder="1" applyAlignment="1">
      <alignment horizontal="right" vertical="center"/>
    </xf>
    <xf numFmtId="0" fontId="20" fillId="0" borderId="20" xfId="17" applyFont="1" applyFill="1" applyBorder="1" applyAlignment="1">
      <alignment horizontal="center" vertical="center" shrinkToFit="1"/>
    </xf>
    <xf numFmtId="0" fontId="19" fillId="0" borderId="12" xfId="65" applyNumberFormat="1" applyFont="1" applyFill="1" applyBorder="1" applyAlignment="1">
      <alignment horizontal="left" vertical="center"/>
    </xf>
    <xf numFmtId="0" fontId="20" fillId="0" borderId="12" xfId="65" applyNumberFormat="1" applyFont="1" applyFill="1" applyBorder="1" applyAlignment="1">
      <alignment horizontal="left" vertical="center"/>
    </xf>
    <xf numFmtId="0" fontId="19" fillId="0" borderId="27" xfId="2" applyNumberFormat="1" applyFont="1" applyBorder="1" applyAlignment="1">
      <alignment horizontal="left" vertical="center" shrinkToFit="1"/>
    </xf>
    <xf numFmtId="0" fontId="20" fillId="0" borderId="4" xfId="65" applyNumberFormat="1" applyFont="1" applyFill="1" applyBorder="1" applyAlignment="1">
      <alignment horizontal="left" vertical="center"/>
    </xf>
    <xf numFmtId="0" fontId="20" fillId="0" borderId="4" xfId="2" applyNumberFormat="1" applyFont="1" applyBorder="1" applyAlignment="1">
      <alignment horizontal="left" vertical="center" shrinkToFit="1"/>
    </xf>
    <xf numFmtId="0" fontId="20" fillId="0" borderId="0" xfId="65" applyNumberFormat="1" applyFont="1" applyFill="1" applyBorder="1" applyAlignment="1">
      <alignment horizontal="left" vertical="center"/>
    </xf>
    <xf numFmtId="3" fontId="19" fillId="0" borderId="17" xfId="5" applyNumberFormat="1" applyFont="1" applyFill="1" applyBorder="1" applyAlignment="1">
      <alignment horizontal="right" vertical="center"/>
    </xf>
    <xf numFmtId="0" fontId="26" fillId="0" borderId="0" xfId="11" applyNumberFormat="1" applyFont="1" applyFill="1" applyBorder="1" applyAlignment="1">
      <alignment horizontal="left" vertical="center"/>
    </xf>
    <xf numFmtId="41" fontId="24" fillId="0" borderId="23" xfId="65" applyNumberFormat="1" applyFont="1" applyFill="1" applyBorder="1" applyAlignment="1">
      <alignment horizontal="center" vertical="center"/>
    </xf>
    <xf numFmtId="0" fontId="20" fillId="0" borderId="12" xfId="2" applyNumberFormat="1" applyFont="1" applyBorder="1" applyAlignment="1">
      <alignment horizontal="left" vertical="center" shrinkToFit="1"/>
    </xf>
    <xf numFmtId="0" fontId="26" fillId="0" borderId="26" xfId="11" applyNumberFormat="1" applyFont="1" applyFill="1" applyBorder="1" applyAlignment="1">
      <alignment horizontal="left" vertical="center"/>
    </xf>
    <xf numFmtId="0" fontId="20" fillId="0" borderId="2" xfId="17" applyFont="1" applyBorder="1" applyAlignment="1">
      <alignment horizontal="left" vertical="top"/>
    </xf>
    <xf numFmtId="178" fontId="20" fillId="0" borderId="26" xfId="10" applyNumberFormat="1" applyFont="1" applyBorder="1" applyAlignment="1">
      <alignment horizontal="right" vertical="center"/>
    </xf>
    <xf numFmtId="176" fontId="20" fillId="0" borderId="0" xfId="12" applyNumberFormat="1" applyFont="1" applyBorder="1" applyAlignment="1">
      <alignment vertical="center"/>
    </xf>
    <xf numFmtId="0" fontId="20" fillId="0" borderId="8" xfId="5" applyFont="1" applyBorder="1" applyAlignment="1">
      <alignment vertical="center"/>
    </xf>
    <xf numFmtId="178" fontId="20" fillId="0" borderId="9" xfId="10" applyNumberFormat="1" applyFont="1" applyBorder="1" applyAlignment="1">
      <alignment horizontal="right" vertical="center"/>
    </xf>
    <xf numFmtId="0" fontId="20" fillId="0" borderId="18" xfId="11" applyFont="1" applyBorder="1" applyAlignment="1">
      <alignment vertical="center"/>
    </xf>
    <xf numFmtId="0" fontId="20" fillId="0" borderId="19" xfId="11" applyFont="1" applyBorder="1" applyAlignment="1">
      <alignment vertical="center"/>
    </xf>
    <xf numFmtId="0" fontId="20" fillId="0" borderId="19" xfId="17" applyFont="1" applyBorder="1" applyAlignment="1">
      <alignment horizontal="left" vertical="top"/>
    </xf>
    <xf numFmtId="0" fontId="20" fillId="0" borderId="19" xfId="17" applyFont="1" applyBorder="1" applyAlignment="1">
      <alignment vertical="center"/>
    </xf>
    <xf numFmtId="179" fontId="15" fillId="0" borderId="19" xfId="65" applyNumberFormat="1" applyFont="1" applyFill="1" applyBorder="1" applyAlignment="1">
      <alignment horizontal="right" vertical="center"/>
    </xf>
    <xf numFmtId="0" fontId="20" fillId="0" borderId="25" xfId="65" applyNumberFormat="1" applyFont="1" applyFill="1" applyBorder="1" applyAlignment="1">
      <alignment horizontal="left" vertical="center"/>
    </xf>
    <xf numFmtId="0" fontId="20" fillId="0" borderId="20" xfId="11" applyFont="1" applyFill="1" applyBorder="1" applyAlignment="1">
      <alignment horizontal="center" vertical="center"/>
    </xf>
    <xf numFmtId="3" fontId="20" fillId="0" borderId="11" xfId="11" applyNumberFormat="1" applyFont="1" applyFill="1" applyBorder="1" applyAlignment="1">
      <alignment horizontal="right" vertical="center"/>
    </xf>
    <xf numFmtId="41" fontId="24" fillId="3" borderId="38" xfId="11" applyNumberFormat="1" applyFont="1" applyFill="1" applyBorder="1" applyAlignment="1">
      <alignment horizontal="right" vertical="center"/>
    </xf>
    <xf numFmtId="41" fontId="19" fillId="0" borderId="15" xfId="3" applyNumberFormat="1" applyFont="1" applyFill="1" applyBorder="1" applyAlignment="1">
      <alignment horizontal="right" vertical="center"/>
    </xf>
    <xf numFmtId="41" fontId="19" fillId="0" borderId="15" xfId="65" applyFon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177" fontId="15" fillId="2" borderId="24" xfId="0" applyNumberFormat="1" applyFont="1" applyFill="1" applyBorder="1" applyAlignment="1">
      <alignment vertical="center"/>
    </xf>
    <xf numFmtId="177" fontId="15" fillId="2" borderId="25" xfId="0" applyNumberFormat="1" applyFont="1" applyFill="1" applyBorder="1" applyAlignment="1">
      <alignment horizontal="left" vertical="center"/>
    </xf>
    <xf numFmtId="0" fontId="19" fillId="0" borderId="1" xfId="2" applyNumberFormat="1" applyFont="1" applyBorder="1" applyAlignment="1">
      <alignment horizontal="left" vertical="center" shrinkToFit="1"/>
    </xf>
    <xf numFmtId="177" fontId="18" fillId="2" borderId="42" xfId="0" applyNumberFormat="1" applyFont="1" applyFill="1" applyBorder="1" applyAlignment="1">
      <alignment vertical="center"/>
    </xf>
    <xf numFmtId="0" fontId="19" fillId="0" borderId="0" xfId="65" applyNumberFormat="1" applyFont="1" applyFill="1" applyBorder="1" applyAlignment="1">
      <alignment horizontal="left" vertical="center"/>
    </xf>
    <xf numFmtId="0" fontId="19" fillId="0" borderId="1" xfId="65" applyNumberFormat="1" applyFont="1" applyFill="1" applyBorder="1" applyAlignment="1">
      <alignment horizontal="left" vertical="center"/>
    </xf>
    <xf numFmtId="176" fontId="15" fillId="0" borderId="46" xfId="12" applyNumberFormat="1" applyFont="1" applyFill="1" applyBorder="1" applyAlignment="1">
      <alignment vertical="center"/>
    </xf>
    <xf numFmtId="3" fontId="20" fillId="0" borderId="28" xfId="5" applyNumberFormat="1" applyFont="1" applyFill="1" applyBorder="1" applyAlignment="1">
      <alignment horizontal="right" vertical="center"/>
    </xf>
    <xf numFmtId="176" fontId="20" fillId="0" borderId="3" xfId="12" applyNumberFormat="1" applyFont="1" applyFill="1" applyBorder="1" applyAlignment="1">
      <alignment vertical="center"/>
    </xf>
    <xf numFmtId="176" fontId="19" fillId="0" borderId="3" xfId="12" applyNumberFormat="1" applyFont="1" applyFill="1" applyBorder="1" applyAlignment="1">
      <alignment vertical="center"/>
    </xf>
    <xf numFmtId="176" fontId="19" fillId="35" borderId="7" xfId="12" applyNumberFormat="1" applyFont="1" applyFill="1" applyBorder="1" applyAlignment="1">
      <alignment vertical="center"/>
    </xf>
    <xf numFmtId="176" fontId="19" fillId="0" borderId="7" xfId="12" applyNumberFormat="1" applyFont="1" applyFill="1" applyBorder="1" applyAlignment="1">
      <alignment vertical="center"/>
    </xf>
    <xf numFmtId="177" fontId="15" fillId="2" borderId="4" xfId="0" applyNumberFormat="1" applyFont="1" applyFill="1" applyBorder="1" applyAlignment="1">
      <alignment horizontal="left" vertical="center"/>
    </xf>
    <xf numFmtId="0" fontId="24" fillId="0" borderId="8" xfId="11" applyNumberFormat="1" applyFont="1" applyFill="1" applyBorder="1" applyAlignment="1">
      <alignment vertical="top"/>
    </xf>
    <xf numFmtId="0" fontId="9" fillId="0" borderId="2" xfId="2" applyNumberFormat="1" applyFont="1" applyFill="1" applyBorder="1" applyAlignment="1">
      <alignment vertical="center"/>
    </xf>
    <xf numFmtId="0" fontId="49" fillId="0" borderId="0" xfId="0" applyNumberFormat="1" applyFont="1">
      <alignment vertical="center"/>
    </xf>
    <xf numFmtId="176" fontId="49" fillId="0" borderId="0" xfId="0" applyNumberFormat="1" applyFont="1">
      <alignment vertical="center"/>
    </xf>
    <xf numFmtId="177" fontId="18" fillId="35" borderId="47" xfId="0" applyNumberFormat="1" applyFont="1" applyFill="1" applyBorder="1" applyAlignment="1">
      <alignment vertical="center"/>
    </xf>
    <xf numFmtId="176" fontId="18" fillId="35" borderId="8" xfId="12" applyNumberFormat="1" applyFont="1" applyFill="1" applyBorder="1" applyAlignment="1">
      <alignment vertical="center"/>
    </xf>
    <xf numFmtId="3" fontId="49" fillId="0" borderId="0" xfId="0" applyNumberFormat="1" applyFont="1">
      <alignment vertical="center"/>
    </xf>
    <xf numFmtId="177" fontId="18" fillId="2" borderId="16" xfId="0" applyNumberFormat="1" applyFont="1" applyFill="1" applyBorder="1" applyAlignment="1">
      <alignment vertical="center"/>
    </xf>
    <xf numFmtId="177" fontId="18" fillId="0" borderId="27" xfId="0" applyNumberFormat="1" applyFont="1" applyFill="1" applyBorder="1" applyAlignment="1">
      <alignment vertical="center"/>
    </xf>
    <xf numFmtId="0" fontId="11" fillId="0" borderId="0" xfId="0" applyNumberFormat="1" applyFont="1">
      <alignment vertical="center"/>
    </xf>
    <xf numFmtId="177" fontId="18" fillId="2" borderId="1" xfId="0" applyNumberFormat="1" applyFont="1" applyFill="1" applyBorder="1" applyAlignment="1">
      <alignment vertical="center"/>
    </xf>
    <xf numFmtId="0" fontId="18" fillId="2" borderId="7" xfId="0" applyNumberFormat="1" applyFont="1" applyFill="1" applyBorder="1" applyAlignment="1">
      <alignment vertical="center"/>
    </xf>
    <xf numFmtId="177" fontId="18" fillId="2" borderId="12" xfId="0" applyNumberFormat="1" applyFont="1" applyFill="1" applyBorder="1" applyAlignment="1">
      <alignment vertical="center"/>
    </xf>
    <xf numFmtId="0" fontId="18" fillId="2" borderId="23" xfId="0" applyNumberFormat="1" applyFont="1" applyFill="1" applyBorder="1" applyAlignment="1">
      <alignment vertical="center"/>
    </xf>
    <xf numFmtId="177" fontId="18" fillId="0" borderId="2" xfId="0" applyNumberFormat="1" applyFont="1" applyFill="1" applyBorder="1" applyAlignment="1">
      <alignment vertical="center"/>
    </xf>
    <xf numFmtId="177" fontId="18" fillId="35" borderId="5" xfId="0" applyNumberFormat="1" applyFont="1" applyFill="1" applyBorder="1" applyAlignment="1">
      <alignment vertical="center"/>
    </xf>
    <xf numFmtId="177" fontId="18" fillId="2" borderId="24" xfId="0" applyNumberFormat="1" applyFont="1" applyFill="1" applyBorder="1" applyAlignment="1">
      <alignment vertical="center"/>
    </xf>
    <xf numFmtId="177" fontId="18" fillId="2" borderId="19" xfId="0" applyNumberFormat="1" applyFont="1" applyFill="1" applyBorder="1" applyAlignment="1">
      <alignment horizontal="left" vertical="center"/>
    </xf>
    <xf numFmtId="177" fontId="18" fillId="2" borderId="25" xfId="0" applyNumberFormat="1" applyFont="1" applyFill="1" applyBorder="1" applyAlignment="1">
      <alignment horizontal="left" vertical="center"/>
    </xf>
    <xf numFmtId="0" fontId="9" fillId="0" borderId="4" xfId="2" applyNumberFormat="1" applyFont="1" applyFill="1" applyBorder="1" applyAlignment="1">
      <alignment vertical="center"/>
    </xf>
    <xf numFmtId="0" fontId="9" fillId="0" borderId="5" xfId="2" applyNumberFormat="1" applyFont="1" applyFill="1" applyBorder="1" applyAlignment="1">
      <alignment vertical="center"/>
    </xf>
    <xf numFmtId="0" fontId="9" fillId="0" borderId="9" xfId="2" applyNumberFormat="1" applyFont="1" applyFill="1" applyBorder="1" applyAlignment="1">
      <alignment vertical="center"/>
    </xf>
    <xf numFmtId="0" fontId="24" fillId="0" borderId="9" xfId="11" applyNumberFormat="1" applyFont="1" applyFill="1" applyBorder="1" applyAlignment="1">
      <alignment vertical="top"/>
    </xf>
    <xf numFmtId="180" fontId="31" fillId="0" borderId="20" xfId="3" applyNumberFormat="1" applyFont="1" applyFill="1" applyBorder="1" applyAlignment="1">
      <alignment horizontal="right" vertical="center"/>
    </xf>
    <xf numFmtId="180" fontId="24" fillId="3" borderId="38" xfId="11" applyNumberFormat="1" applyFont="1" applyFill="1" applyBorder="1" applyAlignment="1">
      <alignment horizontal="right" vertical="center"/>
    </xf>
    <xf numFmtId="180" fontId="20" fillId="0" borderId="11" xfId="3" applyNumberFormat="1" applyFont="1" applyFill="1" applyBorder="1" applyAlignment="1">
      <alignment horizontal="right" vertical="center"/>
    </xf>
    <xf numFmtId="180" fontId="20" fillId="0" borderId="15" xfId="3" applyNumberFormat="1" applyFont="1" applyFill="1" applyBorder="1" applyAlignment="1">
      <alignment horizontal="right" vertical="center"/>
    </xf>
    <xf numFmtId="180" fontId="19" fillId="0" borderId="15" xfId="3" applyNumberFormat="1" applyFont="1" applyFill="1" applyBorder="1" applyAlignment="1">
      <alignment horizontal="right" vertical="center"/>
    </xf>
    <xf numFmtId="176" fontId="15" fillId="0" borderId="8" xfId="3" applyNumberFormat="1" applyFont="1" applyFill="1" applyBorder="1" applyAlignment="1">
      <alignment horizontal="right" vertical="center"/>
    </xf>
    <xf numFmtId="180" fontId="19" fillId="0" borderId="15" xfId="65" applyNumberFormat="1" applyFont="1" applyFill="1" applyBorder="1" applyAlignment="1">
      <alignment horizontal="right" vertical="center"/>
    </xf>
    <xf numFmtId="176" fontId="15" fillId="0" borderId="2" xfId="3" applyNumberFormat="1" applyFont="1" applyFill="1" applyBorder="1" applyAlignment="1">
      <alignment horizontal="right" vertical="center"/>
    </xf>
    <xf numFmtId="180" fontId="19" fillId="0" borderId="17" xfId="5" applyNumberFormat="1" applyFont="1" applyFill="1" applyBorder="1" applyAlignment="1">
      <alignment horizontal="right" vertical="center"/>
    </xf>
    <xf numFmtId="180" fontId="20" fillId="0" borderId="28" xfId="5" applyNumberFormat="1" applyFont="1" applyFill="1" applyBorder="1" applyAlignment="1">
      <alignment horizontal="right" vertical="center"/>
    </xf>
    <xf numFmtId="0" fontId="19" fillId="0" borderId="5" xfId="11" applyFont="1" applyFill="1" applyBorder="1" applyAlignment="1">
      <alignment vertical="center" shrinkToFit="1"/>
    </xf>
    <xf numFmtId="0" fontId="20" fillId="0" borderId="5" xfId="65" applyNumberFormat="1" applyFont="1" applyFill="1" applyBorder="1" applyAlignment="1">
      <alignment horizontal="center" vertical="center" shrinkToFit="1"/>
    </xf>
    <xf numFmtId="180" fontId="19" fillId="0" borderId="11" xfId="65" applyNumberFormat="1" applyFont="1" applyFill="1" applyBorder="1" applyAlignment="1">
      <alignment horizontal="right" vertical="center"/>
    </xf>
    <xf numFmtId="184" fontId="20" fillId="0" borderId="19" xfId="10" applyNumberFormat="1" applyFont="1" applyBorder="1" applyAlignment="1">
      <alignment horizontal="right"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right" vertical="center"/>
    </xf>
    <xf numFmtId="176" fontId="18" fillId="3" borderId="50" xfId="12" applyNumberFormat="1" applyFont="1" applyFill="1" applyBorder="1" applyAlignment="1">
      <alignment vertical="center"/>
    </xf>
    <xf numFmtId="177" fontId="15" fillId="2" borderId="7" xfId="0" applyNumberFormat="1" applyFont="1" applyFill="1" applyBorder="1" applyAlignment="1">
      <alignment vertical="center"/>
    </xf>
    <xf numFmtId="41" fontId="20" fillId="0" borderId="20" xfId="3" applyNumberFormat="1" applyFont="1" applyFill="1" applyBorder="1" applyAlignment="1">
      <alignment horizontal="right" vertical="center"/>
    </xf>
    <xf numFmtId="176" fontId="18" fillId="3" borderId="45" xfId="3" applyNumberFormat="1" applyFont="1" applyFill="1" applyBorder="1" applyAlignment="1">
      <alignment horizontal="right" vertical="center"/>
    </xf>
    <xf numFmtId="176" fontId="18" fillId="0" borderId="22" xfId="3" applyNumberFormat="1" applyFont="1" applyFill="1" applyBorder="1" applyAlignment="1">
      <alignment horizontal="right" vertical="center"/>
    </xf>
    <xf numFmtId="0" fontId="19" fillId="0" borderId="69" xfId="2" applyNumberFormat="1" applyFont="1" applyFill="1" applyBorder="1" applyAlignment="1">
      <alignment vertical="center"/>
    </xf>
    <xf numFmtId="0" fontId="19" fillId="0" borderId="4" xfId="2" applyNumberFormat="1" applyFont="1" applyFill="1" applyBorder="1" applyAlignment="1">
      <alignment vertical="center"/>
    </xf>
    <xf numFmtId="176" fontId="26" fillId="0" borderId="8" xfId="12" applyNumberFormat="1" applyFont="1" applyFill="1" applyBorder="1" applyAlignment="1">
      <alignment horizontal="right" vertical="center"/>
    </xf>
    <xf numFmtId="0" fontId="20" fillId="0" borderId="16" xfId="2" applyNumberFormat="1" applyFont="1" applyFill="1" applyBorder="1" applyAlignment="1">
      <alignment vertical="center"/>
    </xf>
    <xf numFmtId="0" fontId="19" fillId="0" borderId="23" xfId="2" applyNumberFormat="1" applyFont="1" applyFill="1" applyBorder="1" applyAlignment="1">
      <alignment vertical="center"/>
    </xf>
    <xf numFmtId="0" fontId="24" fillId="0" borderId="18" xfId="11" applyNumberFormat="1" applyFont="1" applyFill="1" applyBorder="1" applyAlignment="1">
      <alignment vertical="center"/>
    </xf>
    <xf numFmtId="0" fontId="24" fillId="0" borderId="19" xfId="11" applyNumberFormat="1" applyFont="1" applyFill="1" applyBorder="1" applyAlignment="1">
      <alignment vertical="top"/>
    </xf>
    <xf numFmtId="0" fontId="24" fillId="0" borderId="70" xfId="11" applyNumberFormat="1" applyFont="1" applyFill="1" applyBorder="1" applyAlignment="1">
      <alignment vertical="top"/>
    </xf>
    <xf numFmtId="179" fontId="20" fillId="0" borderId="19" xfId="65" applyNumberFormat="1" applyFont="1" applyFill="1" applyBorder="1" applyAlignment="1">
      <alignment horizontal="right" vertical="center"/>
    </xf>
    <xf numFmtId="176" fontId="18" fillId="3" borderId="2" xfId="12" applyNumberFormat="1" applyFont="1" applyFill="1" applyBorder="1" applyAlignment="1">
      <alignment vertical="center"/>
    </xf>
    <xf numFmtId="177" fontId="18" fillId="35" borderId="65" xfId="0" applyNumberFormat="1" applyFont="1" applyFill="1" applyBorder="1" applyAlignment="1">
      <alignment vertical="center"/>
    </xf>
    <xf numFmtId="177" fontId="18" fillId="35" borderId="21" xfId="0" applyNumberFormat="1" applyFont="1" applyFill="1" applyBorder="1" applyAlignment="1">
      <alignment vertical="center"/>
    </xf>
    <xf numFmtId="177" fontId="18" fillId="35" borderId="0" xfId="0" applyNumberFormat="1" applyFont="1" applyFill="1" applyBorder="1" applyAlignment="1">
      <alignment horizontal="center" vertical="center"/>
    </xf>
    <xf numFmtId="177" fontId="18" fillId="35" borderId="26" xfId="0" applyNumberFormat="1" applyFont="1" applyFill="1" applyBorder="1" applyAlignment="1">
      <alignment horizontal="center" vertical="center"/>
    </xf>
    <xf numFmtId="176" fontId="18" fillId="35" borderId="22" xfId="12" applyNumberFormat="1" applyFont="1" applyFill="1" applyBorder="1" applyAlignment="1">
      <alignment vertical="center"/>
    </xf>
    <xf numFmtId="176" fontId="18" fillId="35" borderId="66" xfId="12" applyNumberFormat="1" applyFont="1" applyFill="1" applyBorder="1" applyAlignment="1">
      <alignment horizontal="right" vertical="center"/>
    </xf>
    <xf numFmtId="177" fontId="18" fillId="35" borderId="71" xfId="0" applyNumberFormat="1" applyFont="1" applyFill="1" applyBorder="1" applyAlignment="1">
      <alignment vertical="center"/>
    </xf>
    <xf numFmtId="177" fontId="18" fillId="2" borderId="69" xfId="0" applyNumberFormat="1" applyFont="1" applyFill="1" applyBorder="1" applyAlignment="1">
      <alignment vertical="center"/>
    </xf>
    <xf numFmtId="0" fontId="0" fillId="0" borderId="0" xfId="0" applyNumberFormat="1" applyFill="1">
      <alignment vertical="center"/>
    </xf>
    <xf numFmtId="177" fontId="18" fillId="2" borderId="18" xfId="0" applyNumberFormat="1" applyFont="1" applyFill="1" applyBorder="1" applyAlignment="1">
      <alignment vertical="center"/>
    </xf>
    <xf numFmtId="177" fontId="18" fillId="35" borderId="72" xfId="0" applyNumberFormat="1" applyFont="1" applyFill="1" applyBorder="1" applyAlignment="1">
      <alignment vertical="center"/>
    </xf>
    <xf numFmtId="177" fontId="18" fillId="35" borderId="68" xfId="0" applyNumberFormat="1" applyFont="1" applyFill="1" applyBorder="1" applyAlignment="1">
      <alignment vertical="center"/>
    </xf>
    <xf numFmtId="176" fontId="18" fillId="35" borderId="67" xfId="12" applyNumberFormat="1" applyFont="1" applyFill="1" applyBorder="1" applyAlignment="1">
      <alignment horizontal="right" vertical="center"/>
    </xf>
    <xf numFmtId="177" fontId="18" fillId="36" borderId="44" xfId="0" applyNumberFormat="1" applyFont="1" applyFill="1" applyBorder="1" applyAlignment="1">
      <alignment vertical="center"/>
    </xf>
    <xf numFmtId="177" fontId="18" fillId="36" borderId="5" xfId="0" applyNumberFormat="1" applyFont="1" applyFill="1" applyBorder="1" applyAlignment="1">
      <alignment vertical="center"/>
    </xf>
    <xf numFmtId="176" fontId="18" fillId="36" borderId="8" xfId="12" applyNumberFormat="1" applyFont="1" applyFill="1" applyBorder="1" applyAlignment="1">
      <alignment vertical="center"/>
    </xf>
    <xf numFmtId="176" fontId="18" fillId="36" borderId="73" xfId="12" applyNumberFormat="1" applyFont="1" applyFill="1" applyBorder="1" applyAlignment="1">
      <alignment horizontal="right" vertical="center"/>
    </xf>
    <xf numFmtId="177" fontId="18" fillId="36" borderId="47" xfId="0" applyNumberFormat="1" applyFont="1" applyFill="1" applyBorder="1" applyAlignment="1">
      <alignment vertical="center"/>
    </xf>
    <xf numFmtId="177" fontId="18" fillId="36" borderId="6" xfId="0" applyNumberFormat="1" applyFont="1" applyFill="1" applyBorder="1" applyAlignment="1">
      <alignment vertical="center"/>
    </xf>
    <xf numFmtId="177" fontId="18" fillId="36" borderId="29" xfId="0" applyNumberFormat="1" applyFont="1" applyFill="1" applyBorder="1" applyAlignment="1">
      <alignment vertical="center"/>
    </xf>
    <xf numFmtId="177" fontId="18" fillId="36" borderId="20" xfId="0" applyNumberFormat="1" applyFont="1" applyFill="1" applyBorder="1" applyAlignment="1">
      <alignment vertical="center"/>
    </xf>
    <xf numFmtId="177" fontId="18" fillId="36" borderId="70" xfId="0" applyNumberFormat="1" applyFont="1" applyFill="1" applyBorder="1" applyAlignment="1">
      <alignment vertical="center"/>
    </xf>
    <xf numFmtId="176" fontId="18" fillId="36" borderId="19" xfId="12" applyNumberFormat="1" applyFont="1" applyFill="1" applyBorder="1" applyAlignment="1">
      <alignment vertical="center"/>
    </xf>
    <xf numFmtId="177" fontId="18" fillId="36" borderId="23" xfId="0" applyNumberFormat="1" applyFont="1" applyFill="1" applyBorder="1" applyAlignment="1">
      <alignment vertical="center"/>
    </xf>
    <xf numFmtId="176" fontId="18" fillId="36" borderId="7" xfId="12" applyNumberFormat="1" applyFont="1" applyFill="1" applyBorder="1" applyAlignment="1">
      <alignment vertical="center"/>
    </xf>
    <xf numFmtId="176" fontId="18" fillId="36" borderId="35" xfId="12" applyNumberFormat="1" applyFont="1" applyFill="1" applyBorder="1" applyAlignment="1">
      <alignment horizontal="right" vertical="center"/>
    </xf>
    <xf numFmtId="0" fontId="20" fillId="2" borderId="16" xfId="11" applyFont="1" applyFill="1" applyBorder="1" applyAlignment="1">
      <alignment vertical="center"/>
    </xf>
    <xf numFmtId="0" fontId="20" fillId="2" borderId="2" xfId="11" applyFont="1" applyFill="1" applyBorder="1" applyAlignment="1">
      <alignment vertical="center"/>
    </xf>
    <xf numFmtId="0" fontId="20" fillId="0" borderId="9" xfId="5" applyFont="1" applyBorder="1" applyAlignment="1">
      <alignment vertical="top"/>
    </xf>
    <xf numFmtId="176" fontId="18" fillId="0" borderId="2" xfId="3" applyNumberFormat="1" applyFont="1" applyFill="1" applyBorder="1" applyAlignment="1">
      <alignment horizontal="right" vertical="center"/>
    </xf>
    <xf numFmtId="176" fontId="19" fillId="0" borderId="8" xfId="3" applyNumberFormat="1" applyFont="1" applyFill="1" applyBorder="1" applyAlignment="1">
      <alignment vertical="center"/>
    </xf>
    <xf numFmtId="177" fontId="18" fillId="36" borderId="9" xfId="0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76" fontId="18" fillId="3" borderId="50" xfId="3" applyNumberFormat="1" applyFont="1" applyFill="1" applyBorder="1" applyAlignment="1">
      <alignment horizontal="right" vertical="center"/>
    </xf>
    <xf numFmtId="177" fontId="15" fillId="2" borderId="16" xfId="0" applyNumberFormat="1" applyFont="1" applyFill="1" applyBorder="1" applyAlignment="1">
      <alignment vertical="center"/>
    </xf>
    <xf numFmtId="177" fontId="18" fillId="35" borderId="4" xfId="0" applyNumberFormat="1" applyFont="1" applyFill="1" applyBorder="1" applyAlignment="1">
      <alignment vertical="center"/>
    </xf>
    <xf numFmtId="177" fontId="18" fillId="35" borderId="9" xfId="0" applyNumberFormat="1" applyFont="1" applyFill="1" applyBorder="1" applyAlignment="1">
      <alignment vertical="center"/>
    </xf>
    <xf numFmtId="176" fontId="18" fillId="35" borderId="73" xfId="12" applyNumberFormat="1" applyFont="1" applyFill="1" applyBorder="1" applyAlignment="1">
      <alignment horizontal="right" vertical="center" shrinkToFit="1"/>
    </xf>
    <xf numFmtId="176" fontId="15" fillId="2" borderId="7" xfId="12" applyNumberFormat="1" applyFont="1" applyFill="1" applyBorder="1" applyAlignment="1">
      <alignment vertical="center"/>
    </xf>
    <xf numFmtId="0" fontId="20" fillId="0" borderId="20" xfId="11" applyNumberFormat="1" applyFont="1" applyFill="1" applyBorder="1" applyAlignment="1">
      <alignment horizontal="center" vertical="center"/>
    </xf>
    <xf numFmtId="176" fontId="18" fillId="35" borderId="19" xfId="12" applyNumberFormat="1" applyFont="1" applyFill="1" applyBorder="1" applyAlignment="1">
      <alignment vertical="center"/>
    </xf>
    <xf numFmtId="177" fontId="18" fillId="2" borderId="8" xfId="0" applyNumberFormat="1" applyFont="1" applyFill="1" applyBorder="1" applyAlignment="1">
      <alignment vertical="center"/>
    </xf>
    <xf numFmtId="177" fontId="18" fillId="2" borderId="2" xfId="0" applyNumberFormat="1" applyFont="1" applyFill="1" applyBorder="1" applyAlignment="1">
      <alignment vertical="center"/>
    </xf>
    <xf numFmtId="0" fontId="20" fillId="0" borderId="26" xfId="5" applyFont="1" applyFill="1" applyBorder="1" applyAlignment="1">
      <alignment vertical="top"/>
    </xf>
    <xf numFmtId="0" fontId="24" fillId="0" borderId="4" xfId="11" applyNumberFormat="1" applyFont="1" applyFill="1" applyBorder="1" applyAlignment="1">
      <alignment vertical="center"/>
    </xf>
    <xf numFmtId="41" fontId="19" fillId="0" borderId="11" xfId="65" applyFont="1" applyFill="1" applyBorder="1" applyAlignment="1">
      <alignment horizontal="right" vertical="center"/>
    </xf>
    <xf numFmtId="0" fontId="20" fillId="0" borderId="19" xfId="5" applyFont="1" applyBorder="1" applyAlignment="1">
      <alignment vertical="center"/>
    </xf>
    <xf numFmtId="178" fontId="20" fillId="0" borderId="19" xfId="12" applyNumberFormat="1" applyFont="1" applyBorder="1" applyAlignment="1">
      <alignment vertical="center"/>
    </xf>
    <xf numFmtId="178" fontId="20" fillId="0" borderId="70" xfId="10" applyNumberFormat="1" applyFont="1" applyBorder="1" applyAlignment="1">
      <alignment horizontal="right" vertical="center"/>
    </xf>
    <xf numFmtId="176" fontId="20" fillId="0" borderId="19" xfId="12" applyNumberFormat="1" applyFont="1" applyBorder="1" applyAlignment="1">
      <alignment vertical="center"/>
    </xf>
    <xf numFmtId="0" fontId="20" fillId="0" borderId="70" xfId="5" applyFont="1" applyBorder="1" applyAlignment="1">
      <alignment vertical="top"/>
    </xf>
    <xf numFmtId="3" fontId="19" fillId="0" borderId="10" xfId="11" applyNumberFormat="1" applyFont="1" applyFill="1" applyBorder="1" applyAlignment="1">
      <alignment horizontal="right" vertical="center"/>
    </xf>
    <xf numFmtId="3" fontId="20" fillId="0" borderId="10" xfId="11" applyNumberFormat="1" applyFont="1" applyFill="1" applyBorder="1" applyAlignment="1">
      <alignment horizontal="right" vertical="center"/>
    </xf>
    <xf numFmtId="178" fontId="0" fillId="0" borderId="0" xfId="0" applyNumberFormat="1">
      <alignment vertical="center"/>
    </xf>
    <xf numFmtId="177" fontId="18" fillId="36" borderId="0" xfId="0" applyNumberFormat="1" applyFont="1" applyFill="1" applyBorder="1" applyAlignment="1">
      <alignment vertical="center"/>
    </xf>
    <xf numFmtId="177" fontId="18" fillId="36" borderId="68" xfId="0" applyNumberFormat="1" applyFont="1" applyFill="1" applyBorder="1" applyAlignment="1">
      <alignment vertical="center"/>
    </xf>
    <xf numFmtId="177" fontId="18" fillId="36" borderId="72" xfId="0" applyNumberFormat="1" applyFont="1" applyFill="1" applyBorder="1" applyAlignment="1">
      <alignment vertical="center"/>
    </xf>
    <xf numFmtId="176" fontId="18" fillId="36" borderId="40" xfId="12" applyNumberFormat="1" applyFont="1" applyFill="1" applyBorder="1" applyAlignment="1">
      <alignment horizontal="right" vertical="center"/>
    </xf>
    <xf numFmtId="0" fontId="20" fillId="0" borderId="12" xfId="2" applyNumberFormat="1" applyFont="1" applyFill="1" applyBorder="1" applyAlignment="1">
      <alignment horizontal="left" vertical="center" shrinkToFit="1"/>
    </xf>
    <xf numFmtId="0" fontId="0" fillId="0" borderId="14" xfId="0" applyNumberFormat="1" applyBorder="1">
      <alignment vertical="center"/>
    </xf>
    <xf numFmtId="0" fontId="20" fillId="2" borderId="26" xfId="5" applyFont="1" applyFill="1" applyBorder="1" applyAlignment="1">
      <alignment vertical="top"/>
    </xf>
    <xf numFmtId="177" fontId="18" fillId="2" borderId="8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horizontal="left" vertical="center"/>
    </xf>
    <xf numFmtId="177" fontId="18" fillId="2" borderId="4" xfId="0" applyNumberFormat="1" applyFont="1" applyFill="1" applyBorder="1" applyAlignment="1">
      <alignment vertical="center"/>
    </xf>
    <xf numFmtId="41" fontId="20" fillId="2" borderId="23" xfId="65" applyNumberFormat="1" applyFont="1" applyFill="1" applyBorder="1" applyAlignment="1">
      <alignment vertical="center" shrinkToFit="1"/>
    </xf>
    <xf numFmtId="0" fontId="0" fillId="0" borderId="0" xfId="0" applyNumberFormat="1" applyBorder="1">
      <alignment vertical="center"/>
    </xf>
    <xf numFmtId="177" fontId="15" fillId="2" borderId="3" xfId="0" applyNumberFormat="1" applyFont="1" applyFill="1" applyBorder="1" applyAlignment="1">
      <alignment vertical="center"/>
    </xf>
    <xf numFmtId="0" fontId="24" fillId="0" borderId="70" xfId="11" applyNumberFormat="1" applyFont="1" applyFill="1" applyBorder="1" applyAlignment="1">
      <alignment vertical="center"/>
    </xf>
    <xf numFmtId="0" fontId="20" fillId="0" borderId="12" xfId="5" applyFont="1" applyFill="1" applyBorder="1" applyAlignment="1">
      <alignment horizontal="justify" vertical="center"/>
    </xf>
    <xf numFmtId="0" fontId="11" fillId="0" borderId="0" xfId="0" applyNumberFormat="1" applyFont="1" applyAlignment="1">
      <alignment vertical="center"/>
    </xf>
    <xf numFmtId="0" fontId="18" fillId="0" borderId="23" xfId="2" applyNumberFormat="1" applyFont="1" applyFill="1" applyBorder="1" applyAlignment="1">
      <alignment vertical="center"/>
    </xf>
    <xf numFmtId="0" fontId="20" fillId="0" borderId="0" xfId="5" quotePrefix="1" applyFont="1" applyBorder="1" applyAlignment="1">
      <alignment horizontal="justify" vertical="center"/>
    </xf>
    <xf numFmtId="0" fontId="10" fillId="0" borderId="5" xfId="11" applyFont="1" applyFill="1" applyBorder="1" applyAlignment="1">
      <alignment horizontal="center" vertical="center"/>
    </xf>
    <xf numFmtId="3" fontId="10" fillId="0" borderId="10" xfId="5" applyNumberFormat="1" applyFont="1" applyFill="1" applyBorder="1" applyAlignment="1">
      <alignment horizontal="right" vertical="center"/>
    </xf>
    <xf numFmtId="0" fontId="19" fillId="0" borderId="0" xfId="5" quotePrefix="1" applyFont="1" applyBorder="1" applyAlignment="1">
      <alignment horizontal="justify" vertical="center"/>
    </xf>
    <xf numFmtId="0" fontId="10" fillId="0" borderId="12" xfId="65" applyNumberFormat="1" applyFont="1" applyFill="1" applyBorder="1" applyAlignment="1">
      <alignment horizontal="left" vertical="center"/>
    </xf>
    <xf numFmtId="0" fontId="10" fillId="0" borderId="0" xfId="11" applyFont="1" applyFill="1" applyBorder="1" applyAlignment="1">
      <alignment horizontal="center" vertical="center"/>
    </xf>
    <xf numFmtId="0" fontId="15" fillId="0" borderId="0" xfId="3" applyNumberFormat="1" applyFont="1" applyFill="1" applyBorder="1" applyAlignment="1">
      <alignment horizontal="left" vertical="center"/>
    </xf>
    <xf numFmtId="0" fontId="18" fillId="0" borderId="6" xfId="2" applyNumberFormat="1" applyFont="1" applyFill="1" applyBorder="1" applyAlignment="1">
      <alignment horizontal="left" vertical="center" shrinkToFit="1"/>
    </xf>
    <xf numFmtId="41" fontId="15" fillId="0" borderId="1" xfId="65" applyNumberFormat="1" applyFont="1" applyFill="1" applyBorder="1" applyAlignment="1">
      <alignment horizontal="center" vertical="center"/>
    </xf>
    <xf numFmtId="41" fontId="20" fillId="0" borderId="1" xfId="65" applyNumberFormat="1" applyFont="1" applyFill="1" applyBorder="1" applyAlignment="1">
      <alignment horizontal="center" vertical="center"/>
    </xf>
    <xf numFmtId="180" fontId="20" fillId="0" borderId="15" xfId="65" applyNumberFormat="1" applyFont="1" applyFill="1" applyBorder="1" applyAlignment="1">
      <alignment horizontal="right" vertical="center"/>
    </xf>
    <xf numFmtId="0" fontId="18" fillId="0" borderId="27" xfId="2" applyNumberFormat="1" applyFont="1" applyBorder="1" applyAlignment="1">
      <alignment horizontal="left" vertical="center" shrinkToFit="1"/>
    </xf>
    <xf numFmtId="180" fontId="19" fillId="0" borderId="17" xfId="65" applyNumberFormat="1" applyFont="1" applyFill="1" applyBorder="1" applyAlignment="1">
      <alignment horizontal="right" vertical="center"/>
    </xf>
    <xf numFmtId="0" fontId="18" fillId="0" borderId="12" xfId="65" applyNumberFormat="1" applyFont="1" applyFill="1" applyBorder="1" applyAlignment="1">
      <alignment horizontal="left" vertical="center"/>
    </xf>
    <xf numFmtId="0" fontId="15" fillId="0" borderId="16" xfId="11" applyNumberFormat="1" applyFont="1" applyFill="1" applyBorder="1" applyAlignment="1">
      <alignment vertical="center"/>
    </xf>
    <xf numFmtId="0" fontId="15" fillId="0" borderId="2" xfId="11" applyNumberFormat="1" applyFont="1" applyFill="1" applyBorder="1" applyAlignment="1">
      <alignment vertical="center"/>
    </xf>
    <xf numFmtId="0" fontId="15" fillId="0" borderId="2" xfId="11" applyNumberFormat="1" applyFont="1" applyFill="1" applyBorder="1" applyAlignment="1">
      <alignment vertical="top"/>
    </xf>
    <xf numFmtId="0" fontId="15" fillId="0" borderId="26" xfId="11" applyNumberFormat="1" applyFont="1" applyFill="1" applyBorder="1" applyAlignment="1">
      <alignment vertical="top"/>
    </xf>
    <xf numFmtId="0" fontId="15" fillId="0" borderId="26" xfId="11" applyNumberFormat="1" applyFont="1" applyFill="1" applyBorder="1" applyAlignment="1">
      <alignment vertical="center"/>
    </xf>
    <xf numFmtId="0" fontId="53" fillId="0" borderId="0" xfId="0" applyNumberFormat="1" applyFont="1">
      <alignment vertical="center"/>
    </xf>
    <xf numFmtId="3" fontId="53" fillId="0" borderId="0" xfId="0" applyNumberFormat="1" applyFont="1">
      <alignment vertical="center"/>
    </xf>
    <xf numFmtId="0" fontId="20" fillId="0" borderId="4" xfId="3" applyNumberFormat="1" applyFont="1" applyFill="1" applyBorder="1" applyAlignment="1">
      <alignment horizontal="left" vertical="center"/>
    </xf>
    <xf numFmtId="0" fontId="10" fillId="0" borderId="4" xfId="2" applyNumberFormat="1" applyFont="1" applyBorder="1" applyAlignment="1">
      <alignment horizontal="left" vertical="center" shrinkToFit="1"/>
    </xf>
    <xf numFmtId="0" fontId="10" fillId="0" borderId="5" xfId="11" applyNumberFormat="1" applyFont="1" applyFill="1" applyBorder="1" applyAlignment="1">
      <alignment horizontal="center" vertical="center"/>
    </xf>
    <xf numFmtId="0" fontId="10" fillId="0" borderId="4" xfId="65" applyNumberFormat="1" applyFont="1" applyFill="1" applyBorder="1" applyAlignment="1">
      <alignment horizontal="left" vertical="center"/>
    </xf>
    <xf numFmtId="0" fontId="10" fillId="0" borderId="0" xfId="11" applyNumberFormat="1" applyFont="1" applyFill="1" applyBorder="1" applyAlignment="1">
      <alignment horizontal="center" vertical="center"/>
    </xf>
    <xf numFmtId="3" fontId="10" fillId="0" borderId="10" xfId="11" applyNumberFormat="1" applyFont="1" applyFill="1" applyBorder="1" applyAlignment="1">
      <alignment horizontal="right" vertical="center"/>
    </xf>
    <xf numFmtId="0" fontId="10" fillId="0" borderId="25" xfId="65" applyNumberFormat="1" applyFont="1" applyFill="1" applyBorder="1" applyAlignment="1">
      <alignment horizontal="left" vertical="center"/>
    </xf>
    <xf numFmtId="0" fontId="10" fillId="0" borderId="20" xfId="11" applyFont="1" applyFill="1" applyBorder="1" applyAlignment="1">
      <alignment horizontal="center" vertical="center"/>
    </xf>
    <xf numFmtId="3" fontId="10" fillId="0" borderId="28" xfId="5" applyNumberFormat="1" applyFont="1" applyFill="1" applyBorder="1" applyAlignment="1">
      <alignment horizontal="right" vertical="center"/>
    </xf>
    <xf numFmtId="0" fontId="10" fillId="0" borderId="12" xfId="2" applyNumberFormat="1" applyFont="1" applyBorder="1" applyAlignment="1">
      <alignment horizontal="left" vertical="center" shrinkToFit="1"/>
    </xf>
    <xf numFmtId="3" fontId="10" fillId="0" borderId="11" xfId="5" applyNumberFormat="1" applyFont="1" applyFill="1" applyBorder="1" applyAlignment="1">
      <alignment horizontal="right" vertical="center"/>
    </xf>
    <xf numFmtId="0" fontId="18" fillId="2" borderId="19" xfId="0" applyNumberFormat="1" applyFont="1" applyFill="1" applyBorder="1" applyAlignment="1">
      <alignment vertical="center"/>
    </xf>
    <xf numFmtId="0" fontId="18" fillId="2" borderId="3" xfId="0" applyNumberFormat="1" applyFont="1" applyFill="1" applyBorder="1" applyAlignment="1">
      <alignment vertical="center"/>
    </xf>
    <xf numFmtId="0" fontId="15" fillId="2" borderId="7" xfId="0" applyNumberFormat="1" applyFont="1" applyFill="1" applyBorder="1" applyAlignment="1">
      <alignment vertical="center"/>
    </xf>
    <xf numFmtId="176" fontId="15" fillId="2" borderId="29" xfId="12" applyNumberFormat="1" applyFont="1" applyFill="1" applyBorder="1" applyAlignment="1">
      <alignment vertical="center"/>
    </xf>
    <xf numFmtId="0" fontId="15" fillId="2" borderId="19" xfId="0" applyNumberFormat="1" applyFont="1" applyFill="1" applyBorder="1" applyAlignment="1">
      <alignment vertical="center"/>
    </xf>
    <xf numFmtId="176" fontId="15" fillId="2" borderId="70" xfId="12" applyNumberFormat="1" applyFont="1" applyFill="1" applyBorder="1" applyAlignment="1">
      <alignment vertical="center"/>
    </xf>
    <xf numFmtId="176" fontId="15" fillId="2" borderId="19" xfId="12" applyNumberFormat="1" applyFont="1" applyFill="1" applyBorder="1" applyAlignment="1">
      <alignment vertical="center"/>
    </xf>
    <xf numFmtId="176" fontId="15" fillId="2" borderId="67" xfId="12" applyNumberFormat="1" applyFont="1" applyFill="1" applyBorder="1" applyAlignment="1">
      <alignment horizontal="right" vertical="center" shrinkToFit="1"/>
    </xf>
    <xf numFmtId="177" fontId="50" fillId="2" borderId="23" xfId="0" applyNumberFormat="1" applyFont="1" applyFill="1" applyBorder="1" applyAlignment="1">
      <alignment vertical="center"/>
    </xf>
    <xf numFmtId="177" fontId="50" fillId="2" borderId="29" xfId="0" applyNumberFormat="1" applyFont="1" applyFill="1" applyBorder="1" applyAlignment="1">
      <alignment vertical="center"/>
    </xf>
    <xf numFmtId="177" fontId="10" fillId="2" borderId="3" xfId="0" applyNumberFormat="1" applyFont="1" applyFill="1" applyBorder="1" applyAlignment="1">
      <alignment horizontal="left" vertical="center"/>
    </xf>
    <xf numFmtId="177" fontId="10" fillId="2" borderId="7" xfId="0" applyNumberFormat="1" applyFont="1" applyFill="1" applyBorder="1" applyAlignment="1">
      <alignment horizontal="left" vertical="center"/>
    </xf>
    <xf numFmtId="177" fontId="50" fillId="2" borderId="6" xfId="0" applyNumberFormat="1" applyFont="1" applyFill="1" applyBorder="1" applyAlignment="1">
      <alignment vertical="center"/>
    </xf>
    <xf numFmtId="176" fontId="15" fillId="0" borderId="7" xfId="12" applyNumberFormat="1" applyFont="1" applyFill="1" applyBorder="1" applyAlignment="1">
      <alignment vertical="center"/>
    </xf>
    <xf numFmtId="177" fontId="50" fillId="35" borderId="23" xfId="0" applyNumberFormat="1" applyFont="1" applyFill="1" applyBorder="1" applyAlignment="1">
      <alignment vertical="center"/>
    </xf>
    <xf numFmtId="177" fontId="50" fillId="35" borderId="6" xfId="0" applyNumberFormat="1" applyFont="1" applyFill="1" applyBorder="1" applyAlignment="1">
      <alignment vertical="center"/>
    </xf>
    <xf numFmtId="177" fontId="50" fillId="35" borderId="29" xfId="0" applyNumberFormat="1" applyFont="1" applyFill="1" applyBorder="1" applyAlignment="1">
      <alignment vertical="center"/>
    </xf>
    <xf numFmtId="177" fontId="50" fillId="2" borderId="12" xfId="0" applyNumberFormat="1" applyFont="1" applyFill="1" applyBorder="1" applyAlignment="1">
      <alignment horizontal="left" vertical="center"/>
    </xf>
    <xf numFmtId="177" fontId="50" fillId="2" borderId="2" xfId="0" applyNumberFormat="1" applyFont="1" applyFill="1" applyBorder="1" applyAlignment="1">
      <alignment horizontal="left" vertical="center"/>
    </xf>
    <xf numFmtId="177" fontId="50" fillId="2" borderId="3" xfId="0" applyNumberFormat="1" applyFont="1" applyFill="1" applyBorder="1" applyAlignment="1">
      <alignment horizontal="left" vertical="center"/>
    </xf>
    <xf numFmtId="177" fontId="10" fillId="2" borderId="8" xfId="0" applyNumberFormat="1" applyFont="1" applyFill="1" applyBorder="1" applyAlignment="1">
      <alignment horizontal="left" vertical="center"/>
    </xf>
    <xf numFmtId="177" fontId="10" fillId="2" borderId="4" xfId="0" applyNumberFormat="1" applyFont="1" applyFill="1" applyBorder="1" applyAlignment="1">
      <alignment horizontal="left" vertical="center"/>
    </xf>
    <xf numFmtId="179" fontId="10" fillId="0" borderId="2" xfId="65" applyNumberFormat="1" applyFont="1" applyFill="1" applyBorder="1" applyAlignment="1">
      <alignment horizontal="right" vertical="center"/>
    </xf>
    <xf numFmtId="0" fontId="15" fillId="0" borderId="4" xfId="5" quotePrefix="1" applyFont="1" applyBorder="1" applyAlignment="1">
      <alignment horizontal="justify" vertical="center"/>
    </xf>
    <xf numFmtId="0" fontId="15" fillId="0" borderId="5" xfId="11" applyFont="1" applyFill="1" applyBorder="1" applyAlignment="1">
      <alignment horizontal="center" vertical="center"/>
    </xf>
    <xf numFmtId="3" fontId="15" fillId="0" borderId="10" xfId="5" applyNumberFormat="1" applyFont="1" applyFill="1" applyBorder="1" applyAlignment="1">
      <alignment horizontal="right" vertical="center"/>
    </xf>
    <xf numFmtId="0" fontId="50" fillId="0" borderId="0" xfId="5" quotePrefix="1" applyFont="1" applyBorder="1" applyAlignment="1">
      <alignment horizontal="justify" vertical="center"/>
    </xf>
    <xf numFmtId="176" fontId="10" fillId="0" borderId="3" xfId="12" applyNumberFormat="1" applyFont="1" applyBorder="1" applyAlignment="1">
      <alignment vertical="center"/>
    </xf>
    <xf numFmtId="179" fontId="10" fillId="0" borderId="3" xfId="65" applyNumberFormat="1" applyFont="1" applyFill="1" applyBorder="1" applyAlignment="1">
      <alignment horizontal="right" vertical="center"/>
    </xf>
    <xf numFmtId="178" fontId="10" fillId="0" borderId="3" xfId="10" applyNumberFormat="1" applyFont="1" applyBorder="1" applyAlignment="1">
      <alignment horizontal="right" vertical="center"/>
    </xf>
    <xf numFmtId="179" fontId="10" fillId="0" borderId="26" xfId="65" applyNumberFormat="1" applyFont="1" applyFill="1" applyBorder="1" applyAlignment="1">
      <alignment horizontal="right" vertical="center"/>
    </xf>
    <xf numFmtId="178" fontId="10" fillId="0" borderId="3" xfId="12" applyNumberFormat="1" applyFont="1" applyBorder="1" applyAlignment="1">
      <alignment vertical="center"/>
    </xf>
    <xf numFmtId="0" fontId="10" fillId="0" borderId="0" xfId="65" applyNumberFormat="1" applyFont="1" applyFill="1" applyBorder="1" applyAlignment="1">
      <alignment horizontal="center" vertical="center" shrinkToFit="1"/>
    </xf>
    <xf numFmtId="0" fontId="50" fillId="0" borderId="23" xfId="2" applyNumberFormat="1" applyFont="1" applyFill="1" applyBorder="1" applyAlignment="1">
      <alignment vertical="center"/>
    </xf>
    <xf numFmtId="0" fontId="10" fillId="0" borderId="23" xfId="11" applyNumberFormat="1" applyFont="1" applyFill="1" applyBorder="1" applyAlignment="1">
      <alignment vertical="center"/>
    </xf>
    <xf numFmtId="0" fontId="10" fillId="0" borderId="2" xfId="11" applyNumberFormat="1" applyFont="1" applyFill="1" applyBorder="1" applyAlignment="1">
      <alignment vertical="center"/>
    </xf>
    <xf numFmtId="0" fontId="50" fillId="0" borderId="12" xfId="65" quotePrefix="1" applyNumberFormat="1" applyFont="1" applyFill="1" applyBorder="1" applyAlignment="1">
      <alignment horizontal="left" vertical="center"/>
    </xf>
    <xf numFmtId="0" fontId="10" fillId="0" borderId="4" xfId="65" applyNumberFormat="1" applyFont="1" applyFill="1" applyBorder="1" applyAlignment="1">
      <alignment horizontal="left" vertical="center" shrinkToFit="1"/>
    </xf>
    <xf numFmtId="0" fontId="15" fillId="0" borderId="0" xfId="11" applyNumberFormat="1" applyFont="1" applyFill="1" applyBorder="1" applyAlignment="1">
      <alignment horizontal="center" vertical="center"/>
    </xf>
    <xf numFmtId="180" fontId="18" fillId="0" borderId="10" xfId="65" applyNumberFormat="1" applyFont="1" applyFill="1" applyBorder="1" applyAlignment="1">
      <alignment horizontal="right" vertical="center"/>
    </xf>
    <xf numFmtId="0" fontId="15" fillId="0" borderId="4" xfId="2" applyNumberFormat="1" applyFont="1" applyBorder="1" applyAlignment="1">
      <alignment horizontal="left" vertical="center" shrinkToFit="1"/>
    </xf>
    <xf numFmtId="0" fontId="15" fillId="0" borderId="5" xfId="11" applyNumberFormat="1" applyFont="1" applyFill="1" applyBorder="1" applyAlignment="1">
      <alignment horizontal="center" vertical="center"/>
    </xf>
    <xf numFmtId="180" fontId="15" fillId="0" borderId="11" xfId="65" applyNumberFormat="1" applyFont="1" applyFill="1" applyBorder="1" applyAlignment="1">
      <alignment horizontal="right" vertical="center"/>
    </xf>
    <xf numFmtId="0" fontId="15" fillId="0" borderId="0" xfId="11" applyFont="1" applyFill="1" applyBorder="1" applyAlignment="1">
      <alignment horizontal="center" vertical="center"/>
    </xf>
    <xf numFmtId="3" fontId="18" fillId="0" borderId="10" xfId="5" applyNumberFormat="1" applyFont="1" applyFill="1" applyBorder="1" applyAlignment="1">
      <alignment horizontal="right" vertical="center"/>
    </xf>
    <xf numFmtId="0" fontId="15" fillId="0" borderId="4" xfId="65" applyNumberFormat="1" applyFont="1" applyFill="1" applyBorder="1" applyAlignment="1">
      <alignment horizontal="left" vertical="center"/>
    </xf>
    <xf numFmtId="3" fontId="15" fillId="0" borderId="11" xfId="5" applyNumberFormat="1" applyFont="1" applyFill="1" applyBorder="1" applyAlignment="1">
      <alignment horizontal="right" vertical="center"/>
    </xf>
    <xf numFmtId="0" fontId="15" fillId="0" borderId="12" xfId="65" applyNumberFormat="1" applyFont="1" applyFill="1" applyBorder="1" applyAlignment="1">
      <alignment horizontal="left" vertical="center"/>
    </xf>
    <xf numFmtId="0" fontId="18" fillId="0" borderId="6" xfId="11" applyFont="1" applyFill="1" applyBorder="1" applyAlignment="1">
      <alignment vertical="center" shrinkToFit="1"/>
    </xf>
    <xf numFmtId="0" fontId="15" fillId="0" borderId="6" xfId="65" applyNumberFormat="1" applyFont="1" applyFill="1" applyBorder="1" applyAlignment="1">
      <alignment horizontal="center" vertical="center" shrinkToFit="1"/>
    </xf>
    <xf numFmtId="41" fontId="18" fillId="0" borderId="15" xfId="65" applyFont="1" applyFill="1" applyBorder="1" applyAlignment="1">
      <alignment horizontal="right" vertical="center"/>
    </xf>
    <xf numFmtId="0" fontId="18" fillId="0" borderId="27" xfId="65" applyNumberFormat="1" applyFont="1" applyFill="1" applyBorder="1" applyAlignment="1">
      <alignment horizontal="left" vertical="center"/>
    </xf>
    <xf numFmtId="0" fontId="15" fillId="0" borderId="1" xfId="11" applyNumberFormat="1" applyFont="1" applyFill="1" applyBorder="1" applyAlignment="1">
      <alignment horizontal="center" vertical="center"/>
    </xf>
    <xf numFmtId="3" fontId="18" fillId="0" borderId="17" xfId="5" applyNumberFormat="1" applyFont="1" applyFill="1" applyBorder="1" applyAlignment="1">
      <alignment horizontal="right" vertical="center"/>
    </xf>
    <xf numFmtId="0" fontId="15" fillId="0" borderId="6" xfId="3" applyNumberFormat="1" applyFont="1" applyFill="1" applyBorder="1" applyAlignment="1">
      <alignment horizontal="left" vertical="center"/>
    </xf>
    <xf numFmtId="41" fontId="15" fillId="0" borderId="6" xfId="3" applyNumberFormat="1" applyFont="1" applyFill="1" applyBorder="1" applyAlignment="1">
      <alignment horizontal="center" vertical="center"/>
    </xf>
    <xf numFmtId="0" fontId="18" fillId="0" borderId="6" xfId="2" applyNumberFormat="1" applyFont="1" applyFill="1" applyBorder="1" applyAlignment="1">
      <alignment horizontal="center" vertical="center"/>
    </xf>
    <xf numFmtId="41" fontId="18" fillId="0" borderId="15" xfId="3" applyNumberFormat="1" applyFont="1" applyFill="1" applyBorder="1" applyAlignment="1">
      <alignment vertical="center"/>
    </xf>
    <xf numFmtId="41" fontId="15" fillId="0" borderId="27" xfId="65" applyNumberFormat="1" applyFont="1" applyFill="1" applyBorder="1" applyAlignment="1">
      <alignment vertical="center"/>
    </xf>
    <xf numFmtId="41" fontId="15" fillId="0" borderId="15" xfId="65" applyNumberFormat="1" applyFont="1" applyFill="1" applyBorder="1" applyAlignment="1">
      <alignment horizontal="right" vertical="center"/>
    </xf>
    <xf numFmtId="3" fontId="15" fillId="0" borderId="11" xfId="11" applyNumberFormat="1" applyFont="1" applyFill="1" applyBorder="1" applyAlignment="1">
      <alignment horizontal="right" vertical="center"/>
    </xf>
    <xf numFmtId="41" fontId="15" fillId="0" borderId="6" xfId="3" applyNumberFormat="1" applyFont="1" applyFill="1" applyBorder="1" applyAlignment="1">
      <alignment horizontal="left" vertical="center"/>
    </xf>
    <xf numFmtId="41" fontId="15" fillId="0" borderId="15" xfId="3" applyNumberFormat="1" applyFont="1" applyFill="1" applyBorder="1" applyAlignment="1">
      <alignment horizontal="right" vertical="center"/>
    </xf>
    <xf numFmtId="41" fontId="18" fillId="0" borderId="15" xfId="65" applyFont="1" applyFill="1" applyBorder="1" applyAlignment="1">
      <alignment vertical="center"/>
    </xf>
    <xf numFmtId="0" fontId="10" fillId="0" borderId="12" xfId="65" applyNumberFormat="1" applyFont="1" applyFill="1" applyBorder="1" applyAlignment="1">
      <alignment horizontal="left" vertical="center" shrinkToFit="1"/>
    </xf>
    <xf numFmtId="3" fontId="15" fillId="0" borderId="10" xfId="11" applyNumberFormat="1" applyFont="1" applyFill="1" applyBorder="1" applyAlignment="1">
      <alignment horizontal="right" vertical="center"/>
    </xf>
    <xf numFmtId="3" fontId="10" fillId="0" borderId="11" xfId="11" applyNumberFormat="1" applyFont="1" applyFill="1" applyBorder="1" applyAlignment="1">
      <alignment horizontal="right" vertical="center"/>
    </xf>
    <xf numFmtId="0" fontId="50" fillId="0" borderId="12" xfId="65" applyNumberFormat="1" applyFont="1" applyFill="1" applyBorder="1" applyAlignment="1">
      <alignment horizontal="left" vertical="center"/>
    </xf>
    <xf numFmtId="3" fontId="15" fillId="0" borderId="28" xfId="5" applyNumberFormat="1" applyFont="1" applyFill="1" applyBorder="1" applyAlignment="1">
      <alignment horizontal="right" vertical="center"/>
    </xf>
    <xf numFmtId="0" fontId="15" fillId="0" borderId="0" xfId="65" applyNumberFormat="1" applyFont="1" applyFill="1" applyBorder="1" applyAlignment="1">
      <alignment horizontal="left" vertical="center"/>
    </xf>
    <xf numFmtId="41" fontId="15" fillId="0" borderId="5" xfId="3" applyNumberFormat="1" applyFont="1" applyFill="1" applyBorder="1" applyAlignment="1">
      <alignment horizontal="left" vertical="center"/>
    </xf>
    <xf numFmtId="41" fontId="15" fillId="0" borderId="5" xfId="3" applyNumberFormat="1" applyFont="1" applyFill="1" applyBorder="1" applyAlignment="1">
      <alignment horizontal="center" vertical="center"/>
    </xf>
    <xf numFmtId="180" fontId="15" fillId="0" borderId="11" xfId="3" applyNumberFormat="1" applyFont="1" applyFill="1" applyBorder="1" applyAlignment="1">
      <alignment horizontal="right" vertical="center"/>
    </xf>
    <xf numFmtId="41" fontId="15" fillId="0" borderId="0" xfId="3" applyNumberFormat="1" applyFont="1" applyFill="1" applyBorder="1" applyAlignment="1">
      <alignment horizontal="center" vertical="center"/>
    </xf>
    <xf numFmtId="180" fontId="18" fillId="0" borderId="15" xfId="3" applyNumberFormat="1" applyFont="1" applyFill="1" applyBorder="1" applyAlignment="1">
      <alignment vertical="center"/>
    </xf>
    <xf numFmtId="180" fontId="15" fillId="0" borderId="15" xfId="65" applyNumberFormat="1" applyFont="1" applyFill="1" applyBorder="1" applyAlignment="1">
      <alignment horizontal="right" vertical="center"/>
    </xf>
    <xf numFmtId="180" fontId="18" fillId="0" borderId="17" xfId="5" applyNumberFormat="1" applyFont="1" applyFill="1" applyBorder="1" applyAlignment="1">
      <alignment horizontal="right" vertical="center"/>
    </xf>
    <xf numFmtId="180" fontId="18" fillId="0" borderId="10" xfId="65" applyNumberFormat="1" applyFont="1" applyFill="1" applyBorder="1" applyAlignment="1">
      <alignment horizontal="left" vertical="center"/>
    </xf>
    <xf numFmtId="179" fontId="24" fillId="0" borderId="19" xfId="65" applyNumberFormat="1" applyFont="1" applyFill="1" applyBorder="1" applyAlignment="1">
      <alignment horizontal="right" vertical="center"/>
    </xf>
    <xf numFmtId="0" fontId="15" fillId="0" borderId="20" xfId="11" applyNumberFormat="1" applyFont="1" applyFill="1" applyBorder="1" applyAlignment="1">
      <alignment horizontal="center" vertical="center"/>
    </xf>
    <xf numFmtId="3" fontId="18" fillId="0" borderId="10" xfId="11" applyNumberFormat="1" applyFont="1" applyFill="1" applyBorder="1" applyAlignment="1">
      <alignment horizontal="right" vertical="center"/>
    </xf>
    <xf numFmtId="0" fontId="15" fillId="0" borderId="0" xfId="65" applyNumberFormat="1" applyFont="1" applyFill="1" applyBorder="1" applyAlignment="1">
      <alignment horizontal="center" vertical="center" shrinkToFit="1"/>
    </xf>
    <xf numFmtId="0" fontId="15" fillId="0" borderId="1" xfId="65" applyNumberFormat="1" applyFont="1" applyFill="1" applyBorder="1" applyAlignment="1">
      <alignment horizontal="center" vertical="center" shrinkToFit="1"/>
    </xf>
    <xf numFmtId="0" fontId="15" fillId="0" borderId="1" xfId="17" applyFont="1" applyFill="1" applyBorder="1" applyAlignment="1">
      <alignment horizontal="center" vertical="center" shrinkToFit="1"/>
    </xf>
    <xf numFmtId="0" fontId="18" fillId="0" borderId="0" xfId="65" applyNumberFormat="1" applyFont="1" applyFill="1" applyBorder="1" applyAlignment="1">
      <alignment horizontal="left" vertical="center"/>
    </xf>
    <xf numFmtId="41" fontId="15" fillId="2" borderId="4" xfId="65" applyNumberFormat="1" applyFont="1" applyFill="1" applyBorder="1" applyAlignment="1">
      <alignment vertical="center" shrinkToFit="1"/>
    </xf>
    <xf numFmtId="41" fontId="15" fillId="2" borderId="5" xfId="65" applyNumberFormat="1" applyFont="1" applyFill="1" applyBorder="1" applyAlignment="1">
      <alignment horizontal="center" vertical="center" shrinkToFit="1"/>
    </xf>
    <xf numFmtId="41" fontId="18" fillId="2" borderId="15" xfId="65" applyFont="1" applyFill="1" applyBorder="1" applyAlignment="1">
      <alignment horizontal="right" vertical="center"/>
    </xf>
    <xf numFmtId="176" fontId="15" fillId="0" borderId="1" xfId="12" applyNumberFormat="1" applyFont="1" applyBorder="1" applyAlignment="1">
      <alignment vertical="center"/>
    </xf>
    <xf numFmtId="0" fontId="15" fillId="0" borderId="0" xfId="17" applyFont="1" applyFill="1" applyBorder="1" applyAlignment="1">
      <alignment horizontal="center" vertical="center" shrinkToFit="1"/>
    </xf>
    <xf numFmtId="0" fontId="15" fillId="0" borderId="12" xfId="5" quotePrefix="1" applyFont="1" applyBorder="1" applyAlignment="1">
      <alignment horizontal="justify" vertical="center"/>
    </xf>
    <xf numFmtId="41" fontId="15" fillId="0" borderId="11" xfId="3" applyNumberFormat="1" applyFont="1" applyFill="1" applyBorder="1" applyAlignment="1">
      <alignment horizontal="right" vertical="center"/>
    </xf>
    <xf numFmtId="41" fontId="15" fillId="0" borderId="23" xfId="65" applyNumberFormat="1" applyFont="1" applyFill="1" applyBorder="1" applyAlignment="1">
      <alignment horizontal="center" vertical="center"/>
    </xf>
    <xf numFmtId="0" fontId="18" fillId="0" borderId="0" xfId="2" applyNumberFormat="1" applyFont="1" applyBorder="1" applyAlignment="1">
      <alignment horizontal="left" vertical="center" shrinkToFit="1"/>
    </xf>
    <xf numFmtId="0" fontId="15" fillId="0" borderId="12" xfId="2" applyNumberFormat="1" applyFont="1" applyBorder="1" applyAlignment="1">
      <alignment horizontal="left" vertical="center" shrinkToFit="1"/>
    </xf>
    <xf numFmtId="0" fontId="15" fillId="0" borderId="12" xfId="2" applyNumberFormat="1" applyFont="1" applyFill="1" applyBorder="1" applyAlignment="1">
      <alignment horizontal="left" vertical="center" shrinkToFit="1"/>
    </xf>
    <xf numFmtId="0" fontId="18" fillId="0" borderId="12" xfId="2" applyNumberFormat="1" applyFont="1" applyBorder="1" applyAlignment="1">
      <alignment horizontal="left" vertical="center" shrinkToFit="1"/>
    </xf>
    <xf numFmtId="0" fontId="15" fillId="0" borderId="4" xfId="2" applyNumberFormat="1" applyFont="1" applyFill="1" applyBorder="1" applyAlignment="1">
      <alignment horizontal="left" vertical="center" shrinkToFit="1"/>
    </xf>
    <xf numFmtId="0" fontId="15" fillId="0" borderId="0" xfId="2" applyNumberFormat="1" applyFont="1" applyBorder="1" applyAlignment="1">
      <alignment horizontal="left" vertical="center" shrinkToFit="1"/>
    </xf>
    <xf numFmtId="0" fontId="15" fillId="0" borderId="25" xfId="2" applyNumberFormat="1" applyFont="1" applyBorder="1" applyAlignment="1">
      <alignment horizontal="left" vertical="center" shrinkToFit="1"/>
    </xf>
    <xf numFmtId="180" fontId="10" fillId="0" borderId="11" xfId="11" applyNumberFormat="1" applyFont="1" applyFill="1" applyBorder="1" applyAlignment="1">
      <alignment horizontal="right" vertical="center"/>
    </xf>
    <xf numFmtId="180" fontId="50" fillId="0" borderId="10" xfId="65" applyNumberFormat="1" applyFont="1" applyFill="1" applyBorder="1" applyAlignment="1">
      <alignment horizontal="left" vertical="center"/>
    </xf>
    <xf numFmtId="0" fontId="10" fillId="0" borderId="20" xfId="11" applyNumberFormat="1" applyFont="1" applyFill="1" applyBorder="1" applyAlignment="1">
      <alignment horizontal="center" vertical="center"/>
    </xf>
    <xf numFmtId="180" fontId="10" fillId="0" borderId="28" xfId="11" applyNumberFormat="1" applyFont="1" applyFill="1" applyBorder="1" applyAlignment="1">
      <alignment horizontal="right" vertical="center"/>
    </xf>
    <xf numFmtId="177" fontId="10" fillId="2" borderId="2" xfId="0" applyNumberFormat="1" applyFont="1" applyFill="1" applyBorder="1" applyAlignment="1">
      <alignment horizontal="left" vertical="center"/>
    </xf>
    <xf numFmtId="177" fontId="10" fillId="2" borderId="12" xfId="0" applyNumberFormat="1" applyFont="1" applyFill="1" applyBorder="1" applyAlignment="1">
      <alignment horizontal="left" vertical="center"/>
    </xf>
    <xf numFmtId="177" fontId="15" fillId="2" borderId="29" xfId="0" applyNumberFormat="1" applyFont="1" applyFill="1" applyBorder="1" applyAlignment="1">
      <alignment vertical="center"/>
    </xf>
    <xf numFmtId="177" fontId="18" fillId="2" borderId="3" xfId="0" applyNumberFormat="1" applyFont="1" applyFill="1" applyBorder="1" applyAlignment="1">
      <alignment vertical="center"/>
    </xf>
    <xf numFmtId="0" fontId="50" fillId="0" borderId="0" xfId="65" quotePrefix="1" applyNumberFormat="1" applyFont="1" applyFill="1" applyBorder="1" applyAlignment="1">
      <alignment horizontal="left" vertical="center"/>
    </xf>
    <xf numFmtId="176" fontId="20" fillId="0" borderId="43" xfId="12" applyNumberFormat="1" applyFont="1" applyFill="1" applyBorder="1" applyAlignment="1">
      <alignment vertical="center"/>
    </xf>
    <xf numFmtId="0" fontId="24" fillId="0" borderId="10" xfId="11" applyNumberFormat="1" applyFont="1" applyFill="1" applyBorder="1" applyAlignment="1">
      <alignment vertical="center"/>
    </xf>
    <xf numFmtId="0" fontId="24" fillId="0" borderId="17" xfId="11" applyNumberFormat="1" applyFont="1" applyFill="1" applyBorder="1" applyAlignment="1">
      <alignment vertical="center"/>
    </xf>
    <xf numFmtId="0" fontId="15" fillId="0" borderId="10" xfId="11" applyNumberFormat="1" applyFont="1" applyFill="1" applyBorder="1" applyAlignment="1">
      <alignment vertical="center"/>
    </xf>
    <xf numFmtId="0" fontId="10" fillId="0" borderId="17" xfId="11" applyFont="1" applyFill="1" applyBorder="1" applyAlignment="1">
      <alignment vertical="center"/>
    </xf>
    <xf numFmtId="0" fontId="20" fillId="0" borderId="15" xfId="11" applyFont="1" applyBorder="1" applyAlignment="1">
      <alignment vertical="center"/>
    </xf>
    <xf numFmtId="49" fontId="20" fillId="0" borderId="15" xfId="11" applyNumberFormat="1" applyFont="1" applyBorder="1" applyAlignment="1">
      <alignment vertical="center"/>
    </xf>
    <xf numFmtId="0" fontId="20" fillId="0" borderId="10" xfId="5" applyFont="1" applyFill="1" applyBorder="1" applyAlignment="1">
      <alignment vertical="center" wrapText="1"/>
    </xf>
    <xf numFmtId="0" fontId="20" fillId="0" borderId="10" xfId="5" applyFont="1" applyFill="1" applyBorder="1" applyAlignment="1">
      <alignment vertical="center" shrinkToFit="1"/>
    </xf>
    <xf numFmtId="0" fontId="20" fillId="2" borderId="15" xfId="11" applyFont="1" applyFill="1" applyBorder="1" applyAlignment="1">
      <alignment vertical="center"/>
    </xf>
    <xf numFmtId="0" fontId="20" fillId="2" borderId="15" xfId="5" applyFont="1" applyFill="1" applyBorder="1" applyAlignment="1">
      <alignment vertical="center"/>
    </xf>
    <xf numFmtId="0" fontId="20" fillId="2" borderId="10" xfId="5" applyFont="1" applyFill="1" applyBorder="1" applyAlignment="1">
      <alignment horizontal="justify" vertical="center" wrapText="1"/>
    </xf>
    <xf numFmtId="0" fontId="20" fillId="0" borderId="15" xfId="5" applyFont="1" applyBorder="1" applyAlignment="1">
      <alignment horizontal="justify" vertical="center" wrapText="1"/>
    </xf>
    <xf numFmtId="0" fontId="20" fillId="0" borderId="10" xfId="5" applyFont="1" applyBorder="1" applyAlignment="1">
      <alignment horizontal="justify" vertical="center" wrapText="1"/>
    </xf>
    <xf numFmtId="177" fontId="18" fillId="35" borderId="1" xfId="0" applyNumberFormat="1" applyFont="1" applyFill="1" applyBorder="1" applyAlignment="1">
      <alignment vertical="center"/>
    </xf>
    <xf numFmtId="177" fontId="18" fillId="35" borderId="20" xfId="0" applyNumberFormat="1" applyFont="1" applyFill="1" applyBorder="1" applyAlignment="1">
      <alignment vertical="center"/>
    </xf>
    <xf numFmtId="176" fontId="50" fillId="35" borderId="35" xfId="12" applyNumberFormat="1" applyFont="1" applyFill="1" applyBorder="1" applyAlignment="1">
      <alignment horizontal="right" vertical="center" shrinkToFit="1"/>
    </xf>
    <xf numFmtId="176" fontId="10" fillId="2" borderId="35" xfId="12" applyNumberFormat="1" applyFont="1" applyFill="1" applyBorder="1" applyAlignment="1">
      <alignment horizontal="right" vertical="center" shrinkToFit="1"/>
    </xf>
    <xf numFmtId="176" fontId="10" fillId="2" borderId="40" xfId="12" applyNumberFormat="1" applyFont="1" applyFill="1" applyBorder="1" applyAlignment="1">
      <alignment horizontal="right" vertical="center" shrinkToFit="1"/>
    </xf>
    <xf numFmtId="176" fontId="20" fillId="0" borderId="7" xfId="12" applyNumberFormat="1" applyFont="1" applyFill="1" applyBorder="1" applyAlignment="1">
      <alignment vertical="center"/>
    </xf>
    <xf numFmtId="177" fontId="10" fillId="2" borderId="46" xfId="0" applyNumberFormat="1" applyFont="1" applyFill="1" applyBorder="1" applyAlignment="1">
      <alignment horizontal="left" vertical="center"/>
    </xf>
    <xf numFmtId="178" fontId="20" fillId="0" borderId="9" xfId="12" applyNumberFormat="1" applyFont="1" applyBorder="1" applyAlignment="1">
      <alignment vertical="center"/>
    </xf>
    <xf numFmtId="176" fontId="10" fillId="0" borderId="2" xfId="3" applyNumberFormat="1" applyFont="1" applyFill="1" applyBorder="1" applyAlignment="1">
      <alignment horizontal="right" vertical="center"/>
    </xf>
    <xf numFmtId="0" fontId="6" fillId="0" borderId="0" xfId="2"/>
    <xf numFmtId="0" fontId="56" fillId="0" borderId="0" xfId="2" applyFont="1" applyAlignment="1">
      <alignment horizontal="right"/>
    </xf>
    <xf numFmtId="0" fontId="6" fillId="37" borderId="0" xfId="2" applyFill="1"/>
    <xf numFmtId="0" fontId="6" fillId="37" borderId="0" xfId="2" applyFill="1" applyAlignment="1">
      <alignment horizontal="center"/>
    </xf>
    <xf numFmtId="0" fontId="6" fillId="0" borderId="0" xfId="2" applyAlignment="1"/>
    <xf numFmtId="0" fontId="60" fillId="0" borderId="0" xfId="2" applyFont="1" applyAlignment="1">
      <alignment horizontal="center" vertical="center"/>
    </xf>
    <xf numFmtId="0" fontId="58" fillId="0" borderId="0" xfId="2" applyFont="1" applyAlignment="1">
      <alignment horizontal="center" vertical="center" shrinkToFit="1"/>
    </xf>
    <xf numFmtId="0" fontId="59" fillId="37" borderId="0" xfId="2" applyFont="1" applyFill="1" applyAlignment="1">
      <alignment horizontal="center"/>
    </xf>
    <xf numFmtId="0" fontId="61" fillId="0" borderId="0" xfId="2" applyFont="1" applyAlignment="1">
      <alignment horizontal="center" vertical="center"/>
    </xf>
    <xf numFmtId="0" fontId="62" fillId="38" borderId="0" xfId="2" applyFont="1" applyFill="1" applyAlignment="1">
      <alignment horizontal="center" vertical="center"/>
    </xf>
    <xf numFmtId="177" fontId="15" fillId="3" borderId="13" xfId="0" applyNumberFormat="1" applyFont="1" applyFill="1" applyBorder="1" applyAlignment="1">
      <alignment horizontal="center" vertical="center"/>
    </xf>
    <xf numFmtId="177" fontId="15" fillId="3" borderId="14" xfId="0" applyNumberFormat="1" applyFont="1" applyFill="1" applyBorder="1" applyAlignment="1">
      <alignment horizontal="center" vertical="center"/>
    </xf>
    <xf numFmtId="41" fontId="15" fillId="3" borderId="45" xfId="12" applyFont="1" applyFill="1" applyBorder="1" applyAlignment="1">
      <alignment horizontal="center" vertical="center" wrapText="1"/>
    </xf>
    <xf numFmtId="41" fontId="15" fillId="3" borderId="19" xfId="12" applyFont="1" applyFill="1" applyBorder="1" applyAlignment="1">
      <alignment horizontal="center" vertical="center"/>
    </xf>
    <xf numFmtId="177" fontId="15" fillId="3" borderId="34" xfId="12" applyNumberFormat="1" applyFont="1" applyFill="1" applyBorder="1" applyAlignment="1">
      <alignment horizontal="center" vertical="center" wrapText="1"/>
    </xf>
    <xf numFmtId="177" fontId="15" fillId="3" borderId="40" xfId="12" applyNumberFormat="1" applyFont="1" applyFill="1" applyBorder="1" applyAlignment="1">
      <alignment horizontal="center" vertical="center"/>
    </xf>
    <xf numFmtId="177" fontId="18" fillId="3" borderId="36" xfId="0" applyNumberFormat="1" applyFont="1" applyFill="1" applyBorder="1" applyAlignment="1">
      <alignment horizontal="center" vertical="center"/>
    </xf>
    <xf numFmtId="177" fontId="18" fillId="3" borderId="37" xfId="0" applyNumberFormat="1" applyFont="1" applyFill="1" applyBorder="1" applyAlignment="1">
      <alignment horizontal="center" vertical="center"/>
    </xf>
    <xf numFmtId="177" fontId="15" fillId="3" borderId="41" xfId="0" applyNumberFormat="1" applyFont="1" applyFill="1" applyBorder="1" applyAlignment="1">
      <alignment horizontal="center" vertical="center"/>
    </xf>
    <xf numFmtId="177" fontId="18" fillId="3" borderId="48" xfId="0" applyNumberFormat="1" applyFont="1" applyFill="1" applyBorder="1" applyAlignment="1">
      <alignment horizontal="center" vertical="center"/>
    </xf>
    <xf numFmtId="177" fontId="15" fillId="3" borderId="68" xfId="0" applyNumberFormat="1" applyFont="1" applyFill="1" applyBorder="1" applyAlignment="1">
      <alignment horizontal="center" vertical="center"/>
    </xf>
    <xf numFmtId="177" fontId="15" fillId="3" borderId="72" xfId="0" applyNumberFormat="1" applyFont="1" applyFill="1" applyBorder="1" applyAlignment="1">
      <alignment horizontal="center" vertical="center"/>
    </xf>
    <xf numFmtId="177" fontId="15" fillId="3" borderId="64" xfId="0" applyNumberFormat="1" applyFont="1" applyFill="1" applyBorder="1" applyAlignment="1">
      <alignment horizontal="center" vertical="center"/>
    </xf>
    <xf numFmtId="0" fontId="20" fillId="3" borderId="30" xfId="2" applyNumberFormat="1" applyFont="1" applyFill="1" applyBorder="1" applyAlignment="1">
      <alignment horizontal="center" vertical="center"/>
    </xf>
    <xf numFmtId="0" fontId="20" fillId="3" borderId="22" xfId="2" applyNumberFormat="1" applyFont="1" applyFill="1" applyBorder="1" applyAlignment="1">
      <alignment horizontal="center" vertical="center"/>
    </xf>
    <xf numFmtId="0" fontId="20" fillId="3" borderId="34" xfId="2" applyNumberFormat="1" applyFont="1" applyFill="1" applyBorder="1" applyAlignment="1">
      <alignment horizontal="center" vertical="center"/>
    </xf>
    <xf numFmtId="0" fontId="20" fillId="3" borderId="31" xfId="2" applyNumberFormat="1" applyFont="1" applyFill="1" applyBorder="1" applyAlignment="1">
      <alignment horizontal="center" vertical="center"/>
    </xf>
    <xf numFmtId="0" fontId="20" fillId="3" borderId="3" xfId="2" applyNumberFormat="1" applyFont="1" applyFill="1" applyBorder="1" applyAlignment="1">
      <alignment horizontal="center" vertical="center"/>
    </xf>
    <xf numFmtId="0" fontId="20" fillId="3" borderId="43" xfId="2" applyNumberFormat="1" applyFont="1" applyFill="1" applyBorder="1" applyAlignment="1">
      <alignment horizontal="center" vertical="center"/>
    </xf>
    <xf numFmtId="0" fontId="26" fillId="3" borderId="36" xfId="11" applyNumberFormat="1" applyFont="1" applyFill="1" applyBorder="1" applyAlignment="1">
      <alignment horizontal="center" vertical="center"/>
    </xf>
    <xf numFmtId="0" fontId="26" fillId="3" borderId="37" xfId="11" applyNumberFormat="1" applyFont="1" applyFill="1" applyBorder="1" applyAlignment="1">
      <alignment horizontal="center" vertical="center"/>
    </xf>
    <xf numFmtId="0" fontId="26" fillId="3" borderId="48" xfId="11" applyNumberFormat="1" applyFont="1" applyFill="1" applyBorder="1" applyAlignment="1">
      <alignment horizontal="center" vertical="center"/>
    </xf>
    <xf numFmtId="0" fontId="8" fillId="3" borderId="49" xfId="2" applyNumberFormat="1" applyFont="1" applyFill="1" applyBorder="1" applyAlignment="1">
      <alignment horizontal="center" vertical="center"/>
    </xf>
    <xf numFmtId="0" fontId="8" fillId="3" borderId="18" xfId="2" applyNumberFormat="1" applyFont="1" applyFill="1" applyBorder="1" applyAlignment="1">
      <alignment horizontal="center" vertical="center"/>
    </xf>
    <xf numFmtId="0" fontId="8" fillId="3" borderId="33" xfId="2" applyNumberFormat="1" applyFont="1" applyFill="1" applyBorder="1" applyAlignment="1">
      <alignment horizontal="center" vertical="center"/>
    </xf>
    <xf numFmtId="0" fontId="8" fillId="3" borderId="21" xfId="2" applyNumberFormat="1" applyFont="1" applyFill="1" applyBorder="1" applyAlignment="1">
      <alignment horizontal="center" vertical="center"/>
    </xf>
    <xf numFmtId="0" fontId="8" fillId="3" borderId="30" xfId="2" applyNumberFormat="1" applyFont="1" applyFill="1" applyBorder="1" applyAlignment="1">
      <alignment horizontal="center" vertical="center"/>
    </xf>
    <xf numFmtId="177" fontId="15" fillId="3" borderId="22" xfId="12" applyNumberFormat="1" applyFont="1" applyFill="1" applyBorder="1" applyAlignment="1">
      <alignment horizontal="center" vertical="center" wrapText="1"/>
    </xf>
    <xf numFmtId="177" fontId="15" fillId="3" borderId="46" xfId="12" applyNumberFormat="1" applyFont="1" applyFill="1" applyBorder="1" applyAlignment="1">
      <alignment horizontal="center" vertical="center"/>
    </xf>
    <xf numFmtId="0" fontId="20" fillId="0" borderId="23" xfId="11" applyFont="1" applyBorder="1" applyAlignment="1">
      <alignment horizontal="left" vertical="center"/>
    </xf>
    <xf numFmtId="0" fontId="20" fillId="0" borderId="29" xfId="11" applyFont="1" applyBorder="1" applyAlignment="1">
      <alignment horizontal="left" vertical="center"/>
    </xf>
    <xf numFmtId="0" fontId="9" fillId="0" borderId="0" xfId="3" applyNumberFormat="1" applyFont="1" applyFill="1" applyBorder="1" applyAlignment="1">
      <alignment horizontal="left" vertical="center"/>
    </xf>
    <xf numFmtId="177" fontId="15" fillId="3" borderId="65" xfId="0" applyNumberFormat="1" applyFont="1" applyFill="1" applyBorder="1" applyAlignment="1">
      <alignment horizontal="center" vertical="center"/>
    </xf>
    <xf numFmtId="177" fontId="15" fillId="3" borderId="21" xfId="0" applyNumberFormat="1" applyFont="1" applyFill="1" applyBorder="1" applyAlignment="1">
      <alignment horizontal="center" vertical="center"/>
    </xf>
    <xf numFmtId="177" fontId="15" fillId="3" borderId="30" xfId="0" applyNumberFormat="1" applyFont="1" applyFill="1" applyBorder="1" applyAlignment="1">
      <alignment horizontal="center" vertical="center"/>
    </xf>
    <xf numFmtId="0" fontId="20" fillId="3" borderId="46" xfId="2" applyNumberFormat="1" applyFont="1" applyFill="1" applyBorder="1" applyAlignment="1">
      <alignment horizontal="center" vertical="center"/>
    </xf>
    <xf numFmtId="0" fontId="20" fillId="3" borderId="40" xfId="2" applyNumberFormat="1" applyFont="1" applyFill="1" applyBorder="1" applyAlignment="1">
      <alignment horizontal="center" vertical="center"/>
    </xf>
  </cellXfs>
  <cellStyles count="93">
    <cellStyle name="20% - 강조색1 2" xfId="33"/>
    <cellStyle name="20% - 강조색2 2" xfId="34"/>
    <cellStyle name="20% - 강조색3 2" xfId="35"/>
    <cellStyle name="20% - 강조색4 2" xfId="36"/>
    <cellStyle name="20% - 강조색5 2" xfId="37"/>
    <cellStyle name="20% - 강조색6 2" xfId="38"/>
    <cellStyle name="40% - 강조색1 2" xfId="39"/>
    <cellStyle name="40% - 강조색2 2" xfId="40"/>
    <cellStyle name="40% - 강조색3 2" xfId="41"/>
    <cellStyle name="40% - 강조색4 2" xfId="42"/>
    <cellStyle name="40% - 강조색5 2" xfId="43"/>
    <cellStyle name="40% - 강조색6 2" xfId="44"/>
    <cellStyle name="60% - 강조색1 2" xfId="45"/>
    <cellStyle name="60% - 강조색2 2" xfId="46"/>
    <cellStyle name="60% - 강조색3 2" xfId="47"/>
    <cellStyle name="60% - 강조색4 2" xfId="48"/>
    <cellStyle name="60% - 강조색5 2" xfId="49"/>
    <cellStyle name="60% - 강조색6 2" xfId="50"/>
    <cellStyle name="강조색1 2" xfId="51"/>
    <cellStyle name="강조색2 2" xfId="52"/>
    <cellStyle name="강조색3 2" xfId="53"/>
    <cellStyle name="강조색4 2" xfId="54"/>
    <cellStyle name="강조색5 2" xfId="55"/>
    <cellStyle name="강조색6 2" xfId="56"/>
    <cellStyle name="경고문 2" xfId="57"/>
    <cellStyle name="계산 2" xfId="58"/>
    <cellStyle name="나쁨 2" xfId="59"/>
    <cellStyle name="메모 2" xfId="60"/>
    <cellStyle name="백분율 2" xfId="8"/>
    <cellStyle name="백분율 2 2" xfId="25"/>
    <cellStyle name="백분율 3" xfId="15"/>
    <cellStyle name="보통 2" xfId="61"/>
    <cellStyle name="설명 텍스트 2" xfId="62"/>
    <cellStyle name="셀 확인 2" xfId="63"/>
    <cellStyle name="쉼표 [0]" xfId="1" builtinId="6"/>
    <cellStyle name="쉼표 [0] 10" xfId="92"/>
    <cellStyle name="쉼표 [0] 2" xfId="3"/>
    <cellStyle name="쉼표 [0] 2 2" xfId="12"/>
    <cellStyle name="쉼표 [0] 2 2 2" xfId="28"/>
    <cellStyle name="쉼표 [0] 2 2 3" xfId="82"/>
    <cellStyle name="쉼표 [0] 2 3" xfId="16"/>
    <cellStyle name="쉼표 [0] 2 3 2" xfId="65"/>
    <cellStyle name="쉼표 [0] 2 4" xfId="22"/>
    <cellStyle name="쉼표 [0] 2 5" xfId="81"/>
    <cellStyle name="쉼표 [0] 3" xfId="10"/>
    <cellStyle name="쉼표 [0] 3 2" xfId="30"/>
    <cellStyle name="쉼표 [0] 3 3" xfId="21"/>
    <cellStyle name="쉼표 [0] 3 4" xfId="83"/>
    <cellStyle name="쉼표 [0] 4" xfId="4"/>
    <cellStyle name="쉼표 [0] 4 2" xfId="24"/>
    <cellStyle name="쉼표 [0] 4 3" xfId="84"/>
    <cellStyle name="쉼표 [0] 5" xfId="14"/>
    <cellStyle name="쉼표 [0] 5 2" xfId="26"/>
    <cellStyle name="쉼표 [0] 5 3" xfId="85"/>
    <cellStyle name="쉼표 [0] 6" xfId="6"/>
    <cellStyle name="쉼표 [0] 6 2" xfId="27"/>
    <cellStyle name="쉼표 [0] 7" xfId="64"/>
    <cellStyle name="쉼표 [0] 8" xfId="20"/>
    <cellStyle name="쉼표 [0] 9" xfId="80"/>
    <cellStyle name="연결된 셀 2" xfId="66"/>
    <cellStyle name="요약 2" xfId="67"/>
    <cellStyle name="입력 2" xfId="68"/>
    <cellStyle name="제목 1 2" xfId="70"/>
    <cellStyle name="제목 2 2" xfId="71"/>
    <cellStyle name="제목 3 2" xfId="72"/>
    <cellStyle name="제목 4 2" xfId="73"/>
    <cellStyle name="제목 5" xfId="69"/>
    <cellStyle name="좋음 2" xfId="74"/>
    <cellStyle name="출력 2" xfId="75"/>
    <cellStyle name="표준" xfId="0" builtinId="0"/>
    <cellStyle name="표준 2" xfId="5"/>
    <cellStyle name="표준 2 2" xfId="2"/>
    <cellStyle name="표준 2 2 2" xfId="11"/>
    <cellStyle name="표준 2 3" xfId="29"/>
    <cellStyle name="표준 2 4" xfId="76"/>
    <cellStyle name="표준 2 5" xfId="19"/>
    <cellStyle name="표준 2 5 2" xfId="78"/>
    <cellStyle name="표준 2 5 2 2" xfId="79"/>
    <cellStyle name="표준 2 5 2 2 2" xfId="89"/>
    <cellStyle name="표준 2 5 2 2 2 2" xfId="90"/>
    <cellStyle name="표준 2 5 2 2 2 2 3" xfId="91"/>
    <cellStyle name="표준 2 5 3" xfId="77"/>
    <cellStyle name="표준 2 6" xfId="23"/>
    <cellStyle name="표준 3" xfId="7"/>
    <cellStyle name="표준 3 2" xfId="13"/>
    <cellStyle name="표준 3 2 2" xfId="18"/>
    <cellStyle name="표준 3 3" xfId="31"/>
    <cellStyle name="표준 4" xfId="9"/>
    <cellStyle name="표준 4 2" xfId="86"/>
    <cellStyle name="표준 5" xfId="17"/>
    <cellStyle name="표준 5 2" xfId="87"/>
    <cellStyle name="표준 6" xfId="32"/>
    <cellStyle name="표준 7" xfId="88"/>
  </cellStyles>
  <dxfs count="181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FF0000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864"/>
      </font>
      <fill>
        <patternFill>
          <bgColor rgb="FFBED7EE"/>
        </patternFill>
      </fill>
    </dxf>
    <dxf>
      <fill>
        <patternFill>
          <bgColor rgb="FFDBDBDB"/>
        </patternFill>
      </fill>
    </dxf>
    <dxf>
      <fill>
        <patternFill>
          <bgColor rgb="FFCC99FF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257734</xdr:colOff>
      <xdr:row>21</xdr:row>
      <xdr:rowOff>145678</xdr:rowOff>
    </xdr:from>
    <xdr:to>
      <xdr:col>3</xdr:col>
      <xdr:colOff>445933</xdr:colOff>
      <xdr:row>24</xdr:row>
      <xdr:rowOff>80923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1591234" y="5060578"/>
          <a:ext cx="854949" cy="60199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52;%20&#48149;&#46988;&#54924;%20&#51312;&#51649;&#50948;&#50896;&#54924;/Desktop/2025&#45380;%20&#48376;&#50696;&#49328;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9452;%20&#48149;&#46988;&#54924;%20&#51312;&#51649;&#50948;&#50896;&#54924;/Desktop/240229)%202024&#45380;%202&#54924;%20&#52628;&#44221;(&#49464;&#4851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입예산 총괄표"/>
      <sheetName val="지출예산 총괄표"/>
      <sheetName val="지출예산"/>
      <sheetName val="행정관리부"/>
      <sheetName val="기획홍보부"/>
      <sheetName val="수익사업부"/>
      <sheetName val="유치협력부"/>
      <sheetName val="운영부"/>
      <sheetName val="행사부"/>
      <sheetName val="시설조성부"/>
      <sheetName val="전시연출부"/>
      <sheetName val="예비비"/>
      <sheetName val="지출예산(위탁)"/>
      <sheetName val="기획본부(위탁)"/>
      <sheetName val="운영본부(위탁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성연출부"/>
      <sheetName val="홍보사업부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3:M25"/>
  <sheetViews>
    <sheetView tabSelected="1" zoomScale="85" zoomScaleNormal="85" workbookViewId="0">
      <selection activeCell="E7" sqref="E7"/>
    </sheetView>
  </sheetViews>
  <sheetFormatPr defaultRowHeight="13.5"/>
  <cols>
    <col min="1" max="13" width="8.75" style="553" customWidth="1"/>
    <col min="14" max="16384" width="9" style="553"/>
  </cols>
  <sheetData>
    <row r="3" spans="1:13" ht="26.25">
      <c r="M3" s="554" t="s">
        <v>791</v>
      </c>
    </row>
    <row r="11" spans="1:13">
      <c r="K11" s="555"/>
      <c r="L11" s="556"/>
      <c r="M11" s="556"/>
    </row>
    <row r="13" spans="1:13" ht="35.25">
      <c r="A13" s="559" t="s">
        <v>789</v>
      </c>
      <c r="B13" s="559"/>
      <c r="C13" s="559"/>
      <c r="D13" s="559"/>
      <c r="E13" s="559"/>
      <c r="F13" s="559"/>
      <c r="G13" s="559"/>
      <c r="H13" s="559"/>
      <c r="I13" s="559"/>
      <c r="J13" s="559"/>
      <c r="K13" s="559"/>
      <c r="L13" s="559"/>
      <c r="M13" s="559"/>
    </row>
    <row r="15" spans="1:13" ht="14.25">
      <c r="A15" s="560"/>
      <c r="B15" s="560"/>
      <c r="C15" s="560"/>
    </row>
    <row r="16" spans="1:13" ht="25.5">
      <c r="C16" s="557"/>
      <c r="D16" s="558"/>
      <c r="E16" s="558"/>
      <c r="F16" s="558"/>
      <c r="G16" s="558"/>
      <c r="H16" s="558"/>
      <c r="I16" s="558"/>
      <c r="J16" s="558"/>
    </row>
    <row r="17" spans="1:13" ht="25.5">
      <c r="C17" s="557"/>
      <c r="D17" s="558"/>
      <c r="E17" s="558"/>
      <c r="F17" s="558"/>
      <c r="G17" s="558"/>
      <c r="H17" s="558"/>
      <c r="I17" s="558"/>
      <c r="J17" s="558"/>
    </row>
    <row r="18" spans="1:13" ht="25.5">
      <c r="C18" s="557"/>
      <c r="D18" s="558"/>
      <c r="E18" s="558"/>
      <c r="F18" s="558"/>
      <c r="G18" s="558"/>
      <c r="H18" s="558"/>
      <c r="I18" s="558"/>
      <c r="J18" s="558"/>
    </row>
    <row r="19" spans="1:13" ht="25.5">
      <c r="C19" s="557"/>
      <c r="D19" s="558"/>
      <c r="E19" s="558"/>
      <c r="F19" s="558"/>
      <c r="G19" s="558"/>
      <c r="H19" s="558"/>
      <c r="I19" s="558"/>
      <c r="J19" s="558"/>
    </row>
    <row r="20" spans="1:13" ht="21.75">
      <c r="A20" s="561"/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</row>
    <row r="21" spans="1:13" ht="25.5">
      <c r="C21" s="557"/>
      <c r="D21" s="558"/>
      <c r="E21" s="558"/>
      <c r="F21" s="558"/>
      <c r="G21" s="558"/>
      <c r="H21" s="558"/>
      <c r="I21" s="558"/>
      <c r="J21" s="558"/>
    </row>
    <row r="22" spans="1:13" ht="25.5" customHeight="1">
      <c r="C22" s="557"/>
      <c r="D22" s="562" t="s">
        <v>788</v>
      </c>
      <c r="E22" s="562"/>
      <c r="F22" s="562"/>
      <c r="G22" s="562"/>
      <c r="H22" s="562"/>
      <c r="I22" s="562"/>
      <c r="J22" s="562"/>
      <c r="K22" s="562"/>
    </row>
    <row r="23" spans="1:13" ht="13.5" customHeight="1">
      <c r="D23" s="562"/>
      <c r="E23" s="562"/>
      <c r="F23" s="562"/>
      <c r="G23" s="562"/>
      <c r="H23" s="562"/>
      <c r="I23" s="562"/>
      <c r="J23" s="562"/>
      <c r="K23" s="562"/>
    </row>
    <row r="24" spans="1:13" ht="13.5" customHeight="1">
      <c r="D24" s="562"/>
      <c r="E24" s="562"/>
      <c r="F24" s="562"/>
      <c r="G24" s="562"/>
      <c r="H24" s="562"/>
      <c r="I24" s="562"/>
      <c r="J24" s="562"/>
      <c r="K24" s="562"/>
    </row>
    <row r="25" spans="1:13">
      <c r="D25" s="562"/>
      <c r="E25" s="562"/>
      <c r="F25" s="562"/>
      <c r="G25" s="562"/>
      <c r="H25" s="562"/>
      <c r="I25" s="562"/>
      <c r="J25" s="562"/>
      <c r="K25" s="562"/>
    </row>
  </sheetData>
  <mergeCells count="4">
    <mergeCell ref="A13:M13"/>
    <mergeCell ref="A15:C15"/>
    <mergeCell ref="A20:M20"/>
    <mergeCell ref="D22:K25"/>
  </mergeCells>
  <phoneticPr fontId="12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1:R27"/>
  <sheetViews>
    <sheetView zoomScale="85" zoomScaleNormal="85" workbookViewId="0">
      <selection activeCell="G48" sqref="G48"/>
    </sheetView>
  </sheetViews>
  <sheetFormatPr defaultRowHeight="16.5"/>
  <cols>
    <col min="1" max="4" width="4.625" customWidth="1"/>
    <col min="5" max="5" width="21" customWidth="1"/>
    <col min="6" max="7" width="14.375" customWidth="1"/>
    <col min="8" max="8" width="12.125" customWidth="1"/>
    <col min="14" max="14" width="16.125" customWidth="1"/>
    <col min="15" max="15" width="12.125" bestFit="1" customWidth="1"/>
    <col min="17" max="17" width="14.5" bestFit="1" customWidth="1"/>
    <col min="18" max="18" width="10.875" bestFit="1" customWidth="1"/>
  </cols>
  <sheetData>
    <row r="1" spans="1:18" ht="18" customHeight="1">
      <c r="A1" s="27" t="s">
        <v>157</v>
      </c>
      <c r="B1" s="27"/>
      <c r="C1" s="28"/>
      <c r="D1" s="28"/>
      <c r="E1" s="28"/>
      <c r="F1" s="29"/>
      <c r="G1" s="29"/>
      <c r="H1" s="29"/>
    </row>
    <row r="2" spans="1:18" ht="17.25" thickBot="1">
      <c r="A2" s="30"/>
      <c r="B2" s="30"/>
      <c r="C2" s="30"/>
      <c r="D2" s="30"/>
      <c r="E2" s="30"/>
      <c r="F2" s="30"/>
      <c r="G2" s="30"/>
      <c r="H2" s="31" t="s">
        <v>158</v>
      </c>
    </row>
    <row r="3" spans="1:18" ht="18" customHeight="1">
      <c r="A3" s="563" t="s">
        <v>5</v>
      </c>
      <c r="B3" s="564"/>
      <c r="C3" s="564"/>
      <c r="D3" s="564"/>
      <c r="E3" s="564"/>
      <c r="F3" s="565" t="s">
        <v>708</v>
      </c>
      <c r="G3" s="565" t="s">
        <v>709</v>
      </c>
      <c r="H3" s="567" t="s">
        <v>159</v>
      </c>
    </row>
    <row r="4" spans="1:18" ht="18" thickBot="1">
      <c r="A4" s="88" t="s">
        <v>12</v>
      </c>
      <c r="B4" s="32" t="s">
        <v>160</v>
      </c>
      <c r="C4" s="32" t="s">
        <v>161</v>
      </c>
      <c r="D4" s="32" t="s">
        <v>162</v>
      </c>
      <c r="E4" s="32" t="s">
        <v>6</v>
      </c>
      <c r="F4" s="566"/>
      <c r="G4" s="566"/>
      <c r="H4" s="568"/>
      <c r="K4" s="350"/>
      <c r="N4" s="266"/>
      <c r="O4" s="267"/>
      <c r="Q4" s="266"/>
      <c r="R4" s="267"/>
    </row>
    <row r="5" spans="1:18" ht="18" thickBot="1">
      <c r="A5" s="569" t="s">
        <v>163</v>
      </c>
      <c r="B5" s="570"/>
      <c r="C5" s="570"/>
      <c r="D5" s="570"/>
      <c r="E5" s="570"/>
      <c r="F5" s="164">
        <f>F6</f>
        <v>30011081</v>
      </c>
      <c r="G5" s="164">
        <f>G6</f>
        <v>24729000</v>
      </c>
      <c r="H5" s="165">
        <f>F5-G5</f>
        <v>5282081</v>
      </c>
      <c r="J5" s="273"/>
      <c r="K5" s="371"/>
      <c r="N5" s="266"/>
      <c r="O5" s="267"/>
      <c r="Q5" s="266"/>
      <c r="R5" s="267"/>
    </row>
    <row r="6" spans="1:18" ht="17.25">
      <c r="A6" s="268" t="s">
        <v>164</v>
      </c>
      <c r="B6" s="180"/>
      <c r="C6" s="180"/>
      <c r="D6" s="180"/>
      <c r="E6" s="180"/>
      <c r="F6" s="269">
        <f>SUM(F7,F20)</f>
        <v>30011081</v>
      </c>
      <c r="G6" s="269">
        <v>24729000</v>
      </c>
      <c r="H6" s="118">
        <f t="shared" ref="H6:H26" si="0">F6-G6</f>
        <v>5282081</v>
      </c>
      <c r="J6" s="273"/>
      <c r="K6" s="371"/>
      <c r="L6" s="350"/>
      <c r="N6" s="266"/>
      <c r="O6" s="270"/>
      <c r="Q6" s="266"/>
      <c r="R6" s="270"/>
    </row>
    <row r="7" spans="1:18" ht="17.25">
      <c r="A7" s="254"/>
      <c r="B7" s="179" t="s">
        <v>165</v>
      </c>
      <c r="C7" s="180"/>
      <c r="D7" s="180"/>
      <c r="E7" s="180"/>
      <c r="F7" s="116">
        <f>SUM(F8,F17)</f>
        <v>26117900</v>
      </c>
      <c r="G7" s="116">
        <v>24729000</v>
      </c>
      <c r="H7" s="118">
        <f t="shared" si="0"/>
        <v>1388900</v>
      </c>
      <c r="J7" s="273"/>
      <c r="K7" s="371"/>
      <c r="Q7" s="266"/>
      <c r="R7" s="270"/>
    </row>
    <row r="8" spans="1:18" ht="18" customHeight="1">
      <c r="A8" s="271"/>
      <c r="B8" s="272"/>
      <c r="C8" s="179" t="s">
        <v>166</v>
      </c>
      <c r="D8" s="180"/>
      <c r="E8" s="180"/>
      <c r="F8" s="116">
        <f>SUM(F9,F11,F13,F15)</f>
        <v>26099900</v>
      </c>
      <c r="G8" s="116">
        <v>24711000</v>
      </c>
      <c r="H8" s="118">
        <f t="shared" si="0"/>
        <v>1388900</v>
      </c>
      <c r="J8" s="273"/>
      <c r="K8" s="371"/>
      <c r="L8" s="350"/>
      <c r="N8" s="273"/>
      <c r="Q8" s="266"/>
      <c r="R8" s="270"/>
    </row>
    <row r="9" spans="1:18" ht="18" customHeight="1">
      <c r="A9" s="167"/>
      <c r="B9" s="169"/>
      <c r="C9" s="33"/>
      <c r="D9" s="33" t="s">
        <v>167</v>
      </c>
      <c r="E9" s="274"/>
      <c r="F9" s="114">
        <f>F10</f>
        <v>22550000</v>
      </c>
      <c r="G9" s="114">
        <v>22550000</v>
      </c>
      <c r="H9" s="117">
        <f t="shared" si="0"/>
        <v>0</v>
      </c>
      <c r="J9" s="273"/>
      <c r="K9" s="371"/>
      <c r="L9" s="350"/>
    </row>
    <row r="10" spans="1:18" ht="18" customHeight="1">
      <c r="A10" s="167"/>
      <c r="B10" s="169"/>
      <c r="C10" s="168"/>
      <c r="D10" s="275"/>
      <c r="E10" s="423" t="s">
        <v>168</v>
      </c>
      <c r="F10" s="424">
        <v>22550000</v>
      </c>
      <c r="G10" s="16">
        <v>22550000</v>
      </c>
      <c r="H10" s="119">
        <f t="shared" si="0"/>
        <v>0</v>
      </c>
      <c r="J10" s="273"/>
      <c r="K10" s="371"/>
      <c r="L10" s="350"/>
    </row>
    <row r="11" spans="1:18" ht="18" customHeight="1">
      <c r="A11" s="167"/>
      <c r="B11" s="168"/>
      <c r="C11" s="276"/>
      <c r="D11" s="182" t="s">
        <v>663</v>
      </c>
      <c r="E11" s="184"/>
      <c r="F11" s="114">
        <f>F12</f>
        <v>200000</v>
      </c>
      <c r="G11" s="114">
        <v>200000</v>
      </c>
      <c r="H11" s="117">
        <f t="shared" si="0"/>
        <v>0</v>
      </c>
      <c r="J11" s="273"/>
      <c r="K11" s="371"/>
      <c r="L11" s="350"/>
      <c r="N11" s="273"/>
    </row>
    <row r="12" spans="1:18" ht="18" customHeight="1">
      <c r="A12" s="167"/>
      <c r="B12" s="169"/>
      <c r="C12" s="168"/>
      <c r="D12" s="277"/>
      <c r="E12" s="423" t="s">
        <v>169</v>
      </c>
      <c r="F12" s="424">
        <v>200000</v>
      </c>
      <c r="G12" s="16">
        <v>200000</v>
      </c>
      <c r="H12" s="119">
        <f t="shared" si="0"/>
        <v>0</v>
      </c>
      <c r="J12" s="273"/>
      <c r="K12" s="371"/>
      <c r="L12" s="350"/>
      <c r="N12" s="387"/>
      <c r="O12" s="387"/>
      <c r="P12" s="387"/>
      <c r="Q12" s="387"/>
      <c r="R12" s="387"/>
    </row>
    <row r="13" spans="1:18" ht="18" customHeight="1">
      <c r="A13" s="167"/>
      <c r="B13" s="168"/>
      <c r="C13" s="276"/>
      <c r="D13" s="182" t="s">
        <v>170</v>
      </c>
      <c r="E13" s="184"/>
      <c r="F13" s="114">
        <f>F14</f>
        <v>3199900</v>
      </c>
      <c r="G13" s="114">
        <v>1861000</v>
      </c>
      <c r="H13" s="117">
        <f t="shared" si="0"/>
        <v>1338900</v>
      </c>
      <c r="J13" s="273"/>
      <c r="K13" s="371"/>
      <c r="N13" s="273"/>
    </row>
    <row r="14" spans="1:18" ht="18" customHeight="1">
      <c r="A14" s="167"/>
      <c r="B14" s="169"/>
      <c r="C14" s="168"/>
      <c r="D14" s="277"/>
      <c r="E14" s="423" t="s">
        <v>171</v>
      </c>
      <c r="F14" s="424">
        <v>3199900</v>
      </c>
      <c r="G14" s="16">
        <v>1861000</v>
      </c>
      <c r="H14" s="119">
        <f>F14-G14</f>
        <v>1338900</v>
      </c>
    </row>
    <row r="15" spans="1:18" ht="18" customHeight="1">
      <c r="A15" s="167"/>
      <c r="B15" s="168"/>
      <c r="C15" s="276"/>
      <c r="D15" s="182" t="s">
        <v>584</v>
      </c>
      <c r="E15" s="184"/>
      <c r="F15" s="114">
        <f>F16</f>
        <v>150000</v>
      </c>
      <c r="G15" s="114">
        <v>100000</v>
      </c>
      <c r="H15" s="117">
        <f>F15-G15</f>
        <v>50000</v>
      </c>
    </row>
    <row r="16" spans="1:18" ht="18" customHeight="1">
      <c r="A16" s="167"/>
      <c r="B16" s="169"/>
      <c r="C16" s="168"/>
      <c r="D16" s="277"/>
      <c r="E16" s="423" t="s">
        <v>585</v>
      </c>
      <c r="F16" s="424">
        <v>150000</v>
      </c>
      <c r="G16" s="16">
        <v>100000</v>
      </c>
      <c r="H16" s="119">
        <f t="shared" ref="H16" si="1">F16-G16</f>
        <v>50000</v>
      </c>
    </row>
    <row r="17" spans="1:8" ht="18" customHeight="1">
      <c r="A17" s="271"/>
      <c r="B17" s="278"/>
      <c r="C17" s="179" t="s">
        <v>172</v>
      </c>
      <c r="D17" s="180"/>
      <c r="E17" s="180"/>
      <c r="F17" s="116">
        <f>F18</f>
        <v>18000</v>
      </c>
      <c r="G17" s="116">
        <v>18000</v>
      </c>
      <c r="H17" s="118">
        <f t="shared" si="0"/>
        <v>0</v>
      </c>
    </row>
    <row r="18" spans="1:8" ht="18" customHeight="1">
      <c r="A18" s="167"/>
      <c r="B18" s="169"/>
      <c r="C18" s="33"/>
      <c r="D18" s="33" t="s">
        <v>173</v>
      </c>
      <c r="E18" s="274"/>
      <c r="F18" s="114">
        <f>F19</f>
        <v>18000</v>
      </c>
      <c r="G18" s="114">
        <v>18000</v>
      </c>
      <c r="H18" s="117">
        <f t="shared" si="0"/>
        <v>0</v>
      </c>
    </row>
    <row r="19" spans="1:8" ht="18" customHeight="1">
      <c r="A19" s="167"/>
      <c r="B19" s="169"/>
      <c r="C19" s="168"/>
      <c r="D19" s="275"/>
      <c r="E19" s="423" t="s">
        <v>174</v>
      </c>
      <c r="F19" s="424">
        <v>18000</v>
      </c>
      <c r="G19" s="16">
        <v>18000</v>
      </c>
      <c r="H19" s="119">
        <f t="shared" si="0"/>
        <v>0</v>
      </c>
    </row>
    <row r="20" spans="1:8" ht="18" customHeight="1">
      <c r="A20" s="271"/>
      <c r="B20" s="179" t="s">
        <v>175</v>
      </c>
      <c r="C20" s="180"/>
      <c r="D20" s="279"/>
      <c r="E20" s="279"/>
      <c r="F20" s="116">
        <f>F21+F24</f>
        <v>3893181</v>
      </c>
      <c r="G20" s="116">
        <f>G21+G24</f>
        <v>0</v>
      </c>
      <c r="H20" s="118">
        <f t="shared" si="0"/>
        <v>3893181</v>
      </c>
    </row>
    <row r="21" spans="1:8">
      <c r="A21" s="271"/>
      <c r="B21" s="272"/>
      <c r="C21" s="179" t="s">
        <v>176</v>
      </c>
      <c r="D21" s="180"/>
      <c r="E21" s="180"/>
      <c r="F21" s="116">
        <f>F22</f>
        <v>2270000</v>
      </c>
      <c r="G21" s="116">
        <v>0</v>
      </c>
      <c r="H21" s="118">
        <f t="shared" ref="H21:H23" si="2">F21-G21</f>
        <v>2270000</v>
      </c>
    </row>
    <row r="22" spans="1:8">
      <c r="A22" s="167"/>
      <c r="B22" s="169"/>
      <c r="C22" s="33"/>
      <c r="D22" s="33" t="s">
        <v>177</v>
      </c>
      <c r="E22" s="274"/>
      <c r="F22" s="114">
        <f>F23</f>
        <v>2270000</v>
      </c>
      <c r="G22" s="114">
        <v>0</v>
      </c>
      <c r="H22" s="117">
        <f t="shared" si="2"/>
        <v>2270000</v>
      </c>
    </row>
    <row r="23" spans="1:8">
      <c r="A23" s="167"/>
      <c r="B23" s="169"/>
      <c r="C23" s="380"/>
      <c r="D23" s="275"/>
      <c r="E23" s="423" t="s">
        <v>178</v>
      </c>
      <c r="F23" s="424">
        <v>2270000</v>
      </c>
      <c r="G23" s="356">
        <v>0</v>
      </c>
      <c r="H23" s="119">
        <f t="shared" si="2"/>
        <v>2270000</v>
      </c>
    </row>
    <row r="24" spans="1:8">
      <c r="A24" s="271"/>
      <c r="B24" s="278"/>
      <c r="C24" s="353" t="s">
        <v>710</v>
      </c>
      <c r="D24" s="279"/>
      <c r="E24" s="279"/>
      <c r="F24" s="269">
        <f>F25</f>
        <v>1623181</v>
      </c>
      <c r="G24" s="269">
        <f>G25</f>
        <v>0</v>
      </c>
      <c r="H24" s="355">
        <f t="shared" si="0"/>
        <v>1623181</v>
      </c>
    </row>
    <row r="25" spans="1:8">
      <c r="A25" s="167"/>
      <c r="B25" s="169"/>
      <c r="C25" s="33"/>
      <c r="D25" s="33" t="s">
        <v>711</v>
      </c>
      <c r="E25" s="274"/>
      <c r="F25" s="114">
        <f>F26+F27</f>
        <v>1623181</v>
      </c>
      <c r="G25" s="114">
        <f>G26+G27</f>
        <v>0</v>
      </c>
      <c r="H25" s="117">
        <f t="shared" si="0"/>
        <v>1623181</v>
      </c>
    </row>
    <row r="26" spans="1:8">
      <c r="A26" s="167"/>
      <c r="B26" s="169"/>
      <c r="C26" s="168"/>
      <c r="D26" s="422"/>
      <c r="E26" s="423" t="s">
        <v>712</v>
      </c>
      <c r="F26" s="424">
        <v>1621558</v>
      </c>
      <c r="G26" s="356">
        <v>0</v>
      </c>
      <c r="H26" s="119">
        <f t="shared" si="0"/>
        <v>1621558</v>
      </c>
    </row>
    <row r="27" spans="1:8" ht="17.25" thickBot="1">
      <c r="A27" s="280"/>
      <c r="B27" s="281"/>
      <c r="C27" s="282"/>
      <c r="D27" s="421"/>
      <c r="E27" s="425" t="s">
        <v>713</v>
      </c>
      <c r="F27" s="426">
        <v>1623</v>
      </c>
      <c r="G27" s="427">
        <v>0</v>
      </c>
      <c r="H27" s="428">
        <f>F27-G27</f>
        <v>1623</v>
      </c>
    </row>
  </sheetData>
  <mergeCells count="5">
    <mergeCell ref="A3:E3"/>
    <mergeCell ref="F3:F4"/>
    <mergeCell ref="G3:G4"/>
    <mergeCell ref="H3:H4"/>
    <mergeCell ref="A5:E5"/>
  </mergeCells>
  <phoneticPr fontId="12" type="noConversion"/>
  <conditionalFormatting sqref="H3:H4">
    <cfRule type="containsText" dxfId="1813" priority="1" operator="containsText" text="허하나로">
      <formula>NOT(ISERROR(SEARCH("허하나로",F798)))</formula>
    </cfRule>
    <cfRule type="containsText" dxfId="1812" priority="2" operator="containsText" text="한별">
      <formula>NOT(ISERROR(SEARCH("한별",F798)))</formula>
    </cfRule>
    <cfRule type="containsText" dxfId="1811" priority="3" operator="containsText" text="정홍조">
      <formula>NOT(ISERROR(SEARCH("정홍조",F798)))</formula>
    </cfRule>
    <cfRule type="containsText" dxfId="1810" priority="4" operator="containsText" text="김지윤">
      <formula>NOT(ISERROR(SEARCH("김지윤",F798)))</formula>
    </cfRule>
    <cfRule type="containsText" dxfId="1809" priority="5" operator="containsText" text="전준영">
      <formula>NOT(ISERROR(SEARCH("전준영",F798)))</formula>
    </cfRule>
    <cfRule type="containsText" dxfId="1808" priority="6" operator="containsText" text="차재성">
      <formula>NOT(ISERROR(SEARCH("차재성",F798)))</formula>
    </cfRule>
  </conditionalFormatting>
  <pageMargins left="0.25" right="0.25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1:N28"/>
  <sheetViews>
    <sheetView zoomScale="85" zoomScaleNormal="85" workbookViewId="0">
      <selection activeCell="E21" sqref="E21"/>
    </sheetView>
  </sheetViews>
  <sheetFormatPr defaultRowHeight="16.5"/>
  <cols>
    <col min="1" max="1" width="5.625" style="178" customWidth="1"/>
    <col min="2" max="4" width="8" style="178" bestFit="1" customWidth="1"/>
    <col min="5" max="5" width="6.75" style="178" bestFit="1" customWidth="1"/>
    <col min="6" max="6" width="14.875" style="178" customWidth="1"/>
    <col min="7" max="8" width="14.375" style="178" customWidth="1"/>
    <col min="9" max="9" width="12.125" style="178" customWidth="1"/>
    <col min="12" max="12" width="10" bestFit="1" customWidth="1"/>
  </cols>
  <sheetData>
    <row r="1" spans="1:14" ht="18" customHeight="1">
      <c r="A1" s="27" t="s">
        <v>257</v>
      </c>
      <c r="B1" s="28"/>
      <c r="C1" s="28"/>
      <c r="D1" s="28"/>
      <c r="E1" s="28"/>
      <c r="F1" s="28"/>
      <c r="G1" s="29"/>
      <c r="H1" s="29"/>
      <c r="I1" s="29"/>
    </row>
    <row r="2" spans="1:14" ht="17.25" thickBot="1">
      <c r="A2" s="30"/>
      <c r="B2" s="30"/>
      <c r="C2" s="30"/>
      <c r="D2" s="30"/>
      <c r="E2" s="30"/>
      <c r="F2" s="30"/>
      <c r="G2" s="30"/>
      <c r="H2" s="30"/>
      <c r="I2" s="31" t="s">
        <v>158</v>
      </c>
    </row>
    <row r="3" spans="1:14" ht="18" customHeight="1">
      <c r="A3" s="563" t="s">
        <v>5</v>
      </c>
      <c r="B3" s="564"/>
      <c r="C3" s="564"/>
      <c r="D3" s="564"/>
      <c r="E3" s="564"/>
      <c r="F3" s="571"/>
      <c r="G3" s="565" t="s">
        <v>714</v>
      </c>
      <c r="H3" s="565" t="s">
        <v>709</v>
      </c>
      <c r="I3" s="567" t="s">
        <v>258</v>
      </c>
    </row>
    <row r="4" spans="1:14" ht="17.25" thickBot="1">
      <c r="A4" s="88" t="s">
        <v>259</v>
      </c>
      <c r="B4" s="32" t="s">
        <v>13</v>
      </c>
      <c r="C4" s="573"/>
      <c r="D4" s="574"/>
      <c r="E4" s="574"/>
      <c r="F4" s="575"/>
      <c r="G4" s="566"/>
      <c r="H4" s="566"/>
      <c r="I4" s="568"/>
      <c r="L4" s="350"/>
    </row>
    <row r="5" spans="1:14" ht="17.25" thickBot="1">
      <c r="A5" s="569" t="s">
        <v>260</v>
      </c>
      <c r="B5" s="570"/>
      <c r="C5" s="570"/>
      <c r="D5" s="570"/>
      <c r="E5" s="570"/>
      <c r="F5" s="572"/>
      <c r="G5" s="317">
        <f>G6+G20</f>
        <v>30011081</v>
      </c>
      <c r="H5" s="317">
        <v>24729000</v>
      </c>
      <c r="I5" s="165">
        <f>G5-H5</f>
        <v>5282081</v>
      </c>
      <c r="K5" s="273"/>
      <c r="L5" s="371"/>
    </row>
    <row r="6" spans="1:14" ht="18" customHeight="1">
      <c r="A6" s="318" t="s">
        <v>322</v>
      </c>
      <c r="B6" s="319"/>
      <c r="C6" s="320"/>
      <c r="D6" s="320"/>
      <c r="E6" s="320"/>
      <c r="F6" s="321"/>
      <c r="G6" s="322">
        <f>SUM(G7,G17)</f>
        <v>7461081</v>
      </c>
      <c r="H6" s="322">
        <v>2179000</v>
      </c>
      <c r="I6" s="323">
        <f>G6-H6</f>
        <v>5282081</v>
      </c>
      <c r="K6" s="273"/>
      <c r="L6" s="371"/>
      <c r="M6" s="350"/>
      <c r="N6" s="273"/>
    </row>
    <row r="7" spans="1:14" ht="18" customHeight="1">
      <c r="A7" s="324" t="s">
        <v>2</v>
      </c>
      <c r="B7" s="180"/>
      <c r="C7" s="180"/>
      <c r="D7" s="180"/>
      <c r="E7" s="180"/>
      <c r="F7" s="181"/>
      <c r="G7" s="116">
        <f>SUM(G8:G16)</f>
        <v>4681081</v>
      </c>
      <c r="H7" s="116">
        <v>2179000</v>
      </c>
      <c r="I7" s="118">
        <f t="shared" ref="I7:I18" si="0">G7-H7</f>
        <v>2502081</v>
      </c>
      <c r="K7" s="273"/>
      <c r="L7" s="371"/>
    </row>
    <row r="8" spans="1:14" ht="18" customHeight="1">
      <c r="A8" s="271"/>
      <c r="B8" s="179" t="s">
        <v>264</v>
      </c>
      <c r="C8" s="180"/>
      <c r="D8" s="180"/>
      <c r="E8" s="180"/>
      <c r="F8" s="181"/>
      <c r="G8" s="116">
        <f>행정관리부!H5</f>
        <v>1097148</v>
      </c>
      <c r="H8" s="116">
        <v>937348</v>
      </c>
      <c r="I8" s="118">
        <f t="shared" si="0"/>
        <v>159800</v>
      </c>
      <c r="J8" s="273"/>
      <c r="K8" s="273"/>
      <c r="L8" s="371"/>
      <c r="M8" s="350"/>
    </row>
    <row r="9" spans="1:14" ht="18" customHeight="1">
      <c r="A9" s="271"/>
      <c r="B9" s="179" t="s">
        <v>265</v>
      </c>
      <c r="C9" s="180"/>
      <c r="D9" s="180"/>
      <c r="E9" s="180"/>
      <c r="F9" s="181"/>
      <c r="G9" s="116">
        <f>기획홍보부!H5</f>
        <v>263538</v>
      </c>
      <c r="H9" s="116">
        <v>261892</v>
      </c>
      <c r="I9" s="118">
        <f t="shared" si="0"/>
        <v>1646</v>
      </c>
      <c r="J9" s="273"/>
      <c r="K9" s="273"/>
      <c r="L9" s="371"/>
      <c r="M9" s="350"/>
    </row>
    <row r="10" spans="1:14" ht="18" customHeight="1">
      <c r="A10" s="167"/>
      <c r="B10" s="179" t="s">
        <v>266</v>
      </c>
      <c r="C10" s="180"/>
      <c r="D10" s="180"/>
      <c r="E10" s="180"/>
      <c r="F10" s="181"/>
      <c r="G10" s="116">
        <f>수익사업부!H5</f>
        <v>119956</v>
      </c>
      <c r="H10" s="116">
        <v>91166</v>
      </c>
      <c r="I10" s="118">
        <f t="shared" si="0"/>
        <v>28790</v>
      </c>
      <c r="K10" s="273"/>
      <c r="L10" s="371"/>
      <c r="M10" s="350"/>
    </row>
    <row r="11" spans="1:14" ht="18" customHeight="1">
      <c r="A11" s="167"/>
      <c r="B11" s="179" t="s">
        <v>267</v>
      </c>
      <c r="C11" s="180"/>
      <c r="D11" s="180"/>
      <c r="E11" s="180"/>
      <c r="F11" s="181"/>
      <c r="G11" s="116">
        <f>유치협력부!H5</f>
        <v>62518</v>
      </c>
      <c r="H11" s="116">
        <v>62518</v>
      </c>
      <c r="I11" s="118">
        <f t="shared" si="0"/>
        <v>0</v>
      </c>
      <c r="K11" s="273"/>
      <c r="L11" s="371"/>
      <c r="M11" s="350"/>
    </row>
    <row r="12" spans="1:14" ht="18" customHeight="1">
      <c r="A12" s="271"/>
      <c r="B12" s="179" t="s">
        <v>268</v>
      </c>
      <c r="C12" s="180"/>
      <c r="D12" s="180"/>
      <c r="E12" s="180"/>
      <c r="F12" s="181"/>
      <c r="G12" s="116">
        <f>운영부!H5</f>
        <v>360632</v>
      </c>
      <c r="H12" s="116">
        <v>360632</v>
      </c>
      <c r="I12" s="118">
        <f t="shared" ref="I12:I15" si="1">G12-H12</f>
        <v>0</v>
      </c>
      <c r="K12" s="273"/>
      <c r="L12" s="371"/>
      <c r="M12" s="350"/>
    </row>
    <row r="13" spans="1:14" ht="18" customHeight="1">
      <c r="A13" s="271"/>
      <c r="B13" s="179" t="s">
        <v>269</v>
      </c>
      <c r="C13" s="180"/>
      <c r="D13" s="180"/>
      <c r="E13" s="180"/>
      <c r="F13" s="181"/>
      <c r="G13" s="116">
        <f>행사부!H5</f>
        <v>25268</v>
      </c>
      <c r="H13" s="116">
        <v>25268</v>
      </c>
      <c r="I13" s="118">
        <f t="shared" si="1"/>
        <v>0</v>
      </c>
      <c r="K13" s="273"/>
      <c r="L13" s="371"/>
    </row>
    <row r="14" spans="1:14" ht="18" customHeight="1">
      <c r="A14" s="167"/>
      <c r="B14" s="179" t="s">
        <v>270</v>
      </c>
      <c r="C14" s="180"/>
      <c r="D14" s="180"/>
      <c r="E14" s="180"/>
      <c r="F14" s="181"/>
      <c r="G14" s="116">
        <f>시설조성부!H5</f>
        <v>25268</v>
      </c>
      <c r="H14" s="116">
        <v>25268</v>
      </c>
      <c r="I14" s="118">
        <f t="shared" si="1"/>
        <v>0</v>
      </c>
    </row>
    <row r="15" spans="1:14" ht="18" customHeight="1">
      <c r="A15" s="167"/>
      <c r="B15" s="179" t="s">
        <v>271</v>
      </c>
      <c r="C15" s="180"/>
      <c r="D15" s="180"/>
      <c r="E15" s="180"/>
      <c r="F15" s="181"/>
      <c r="G15" s="116">
        <f>전시연출부!H5</f>
        <v>34668</v>
      </c>
      <c r="H15" s="116">
        <v>34668</v>
      </c>
      <c r="I15" s="118">
        <f t="shared" si="1"/>
        <v>0</v>
      </c>
    </row>
    <row r="16" spans="1:14" ht="18" customHeight="1">
      <c r="A16" s="325"/>
      <c r="B16" s="179" t="s">
        <v>3</v>
      </c>
      <c r="C16" s="180"/>
      <c r="D16" s="180"/>
      <c r="E16" s="180"/>
      <c r="F16" s="181"/>
      <c r="G16" s="116">
        <f>예비비!H6</f>
        <v>2692085</v>
      </c>
      <c r="H16" s="116">
        <v>380240</v>
      </c>
      <c r="I16" s="118">
        <f t="shared" si="0"/>
        <v>2311845</v>
      </c>
    </row>
    <row r="17" spans="1:9" s="326" customFormat="1" ht="18" customHeight="1">
      <c r="A17" s="324" t="s">
        <v>200</v>
      </c>
      <c r="B17" s="180"/>
      <c r="C17" s="180"/>
      <c r="D17" s="180"/>
      <c r="E17" s="180"/>
      <c r="F17" s="181"/>
      <c r="G17" s="116">
        <f>SUM(G18:G19)</f>
        <v>2780000</v>
      </c>
      <c r="H17" s="116">
        <v>0</v>
      </c>
      <c r="I17" s="118">
        <f t="shared" si="0"/>
        <v>2780000</v>
      </c>
    </row>
    <row r="18" spans="1:9" s="326" customFormat="1" ht="18" customHeight="1">
      <c r="A18" s="254"/>
      <c r="B18" s="544" t="s">
        <v>785</v>
      </c>
      <c r="C18" s="544"/>
      <c r="D18" s="544"/>
      <c r="E18" s="544"/>
      <c r="F18" s="180"/>
      <c r="G18" s="116">
        <f>시설조성부!H26</f>
        <v>2780000</v>
      </c>
      <c r="H18" s="116">
        <v>0</v>
      </c>
      <c r="I18" s="546">
        <f t="shared" si="0"/>
        <v>2780000</v>
      </c>
    </row>
    <row r="19" spans="1:9" ht="17.25" thickBot="1">
      <c r="A19" s="327"/>
      <c r="B19" s="328" t="s">
        <v>202</v>
      </c>
      <c r="C19" s="329"/>
      <c r="D19" s="328"/>
      <c r="E19" s="328"/>
      <c r="F19" s="545"/>
      <c r="G19" s="358">
        <f>예비비!H17</f>
        <v>0</v>
      </c>
      <c r="H19" s="358">
        <v>0</v>
      </c>
      <c r="I19" s="330">
        <f t="shared" ref="I19:I22" si="2">G19-H19</f>
        <v>0</v>
      </c>
    </row>
    <row r="20" spans="1:9" ht="18" customHeight="1">
      <c r="A20" s="331" t="s">
        <v>323</v>
      </c>
      <c r="B20" s="332"/>
      <c r="C20" s="332"/>
      <c r="D20" s="332"/>
      <c r="E20" s="332"/>
      <c r="F20" s="332"/>
      <c r="G20" s="333">
        <f>G21+G26</f>
        <v>22550000</v>
      </c>
      <c r="H20" s="333">
        <v>22550000</v>
      </c>
      <c r="I20" s="334">
        <f t="shared" si="2"/>
        <v>0</v>
      </c>
    </row>
    <row r="21" spans="1:9" ht="18" customHeight="1">
      <c r="A21" s="335" t="s">
        <v>2</v>
      </c>
      <c r="B21" s="336"/>
      <c r="C21" s="336"/>
      <c r="D21" s="336"/>
      <c r="E21" s="336"/>
      <c r="F21" s="337"/>
      <c r="G21" s="333">
        <f>SUM(G22:G25)</f>
        <v>5450000</v>
      </c>
      <c r="H21" s="333">
        <v>5450000</v>
      </c>
      <c r="I21" s="334">
        <f t="shared" si="2"/>
        <v>0</v>
      </c>
    </row>
    <row r="22" spans="1:9">
      <c r="A22" s="254"/>
      <c r="B22" s="341" t="s">
        <v>491</v>
      </c>
      <c r="C22" s="336"/>
      <c r="D22" s="336"/>
      <c r="E22" s="336"/>
      <c r="F22" s="337"/>
      <c r="G22" s="342">
        <f>'기획본부(위탁)'!H6</f>
        <v>2000000</v>
      </c>
      <c r="H22" s="342">
        <v>2000000</v>
      </c>
      <c r="I22" s="343">
        <f t="shared" si="2"/>
        <v>0</v>
      </c>
    </row>
    <row r="23" spans="1:9">
      <c r="A23" s="271"/>
      <c r="B23" s="341" t="s">
        <v>492</v>
      </c>
      <c r="C23" s="336"/>
      <c r="D23" s="336"/>
      <c r="E23" s="336"/>
      <c r="F23" s="337"/>
      <c r="G23" s="342">
        <f>'기획본부(위탁)'!H43</f>
        <v>950000</v>
      </c>
      <c r="H23" s="342">
        <v>950000</v>
      </c>
      <c r="I23" s="343">
        <f t="shared" ref="I23:I28" si="3">G23-H23</f>
        <v>0</v>
      </c>
    </row>
    <row r="24" spans="1:9">
      <c r="A24" s="271"/>
      <c r="B24" s="341" t="s">
        <v>493</v>
      </c>
      <c r="C24" s="332"/>
      <c r="D24" s="332"/>
      <c r="E24" s="332"/>
      <c r="F24" s="349"/>
      <c r="G24" s="342">
        <f>'운영본부(위탁)'!H6</f>
        <v>1000000</v>
      </c>
      <c r="H24" s="333">
        <v>1000000</v>
      </c>
      <c r="I24" s="334">
        <f t="shared" si="3"/>
        <v>0</v>
      </c>
    </row>
    <row r="25" spans="1:9">
      <c r="A25" s="325"/>
      <c r="B25" s="341" t="s">
        <v>437</v>
      </c>
      <c r="C25" s="332"/>
      <c r="D25" s="332"/>
      <c r="E25" s="332"/>
      <c r="F25" s="349"/>
      <c r="G25" s="342">
        <f>'운영본부(위탁)'!H19</f>
        <v>1500000</v>
      </c>
      <c r="H25" s="333">
        <v>1500000</v>
      </c>
      <c r="I25" s="334">
        <f t="shared" si="3"/>
        <v>0</v>
      </c>
    </row>
    <row r="26" spans="1:9" ht="18" customHeight="1">
      <c r="A26" s="331" t="s">
        <v>289</v>
      </c>
      <c r="B26" s="332"/>
      <c r="C26" s="332"/>
      <c r="D26" s="332"/>
      <c r="E26" s="332"/>
      <c r="F26" s="349"/>
      <c r="G26" s="333">
        <f>SUM(G27:G28)</f>
        <v>17100000</v>
      </c>
      <c r="H26" s="333">
        <v>17100000</v>
      </c>
      <c r="I26" s="334">
        <f t="shared" si="3"/>
        <v>0</v>
      </c>
    </row>
    <row r="27" spans="1:9" ht="18" customHeight="1">
      <c r="A27" s="254"/>
      <c r="B27" s="341" t="s">
        <v>494</v>
      </c>
      <c r="C27" s="372"/>
      <c r="D27" s="336"/>
      <c r="E27" s="336"/>
      <c r="F27" s="337"/>
      <c r="G27" s="342">
        <f>'운영본부(위탁)'!H27</f>
        <v>10300000</v>
      </c>
      <c r="H27" s="342">
        <v>10300000</v>
      </c>
      <c r="I27" s="334">
        <f t="shared" si="3"/>
        <v>0</v>
      </c>
    </row>
    <row r="28" spans="1:9" ht="17.25" thickBot="1">
      <c r="A28" s="327"/>
      <c r="B28" s="373" t="s">
        <v>437</v>
      </c>
      <c r="C28" s="374"/>
      <c r="D28" s="338"/>
      <c r="E28" s="338"/>
      <c r="F28" s="339"/>
      <c r="G28" s="340">
        <f>'운영본부(위탁)'!H71</f>
        <v>6800000</v>
      </c>
      <c r="H28" s="340">
        <v>6800000</v>
      </c>
      <c r="I28" s="375">
        <f t="shared" si="3"/>
        <v>0</v>
      </c>
    </row>
  </sheetData>
  <mergeCells count="6">
    <mergeCell ref="A3:F3"/>
    <mergeCell ref="G3:G4"/>
    <mergeCell ref="H3:H4"/>
    <mergeCell ref="I3:I4"/>
    <mergeCell ref="A5:F5"/>
    <mergeCell ref="C4:F4"/>
  </mergeCells>
  <phoneticPr fontId="12" type="noConversion"/>
  <conditionalFormatting sqref="I3:I4">
    <cfRule type="containsText" dxfId="1807" priority="3" operator="containsText" text="허하나로">
      <formula>NOT(ISERROR(SEARCH("허하나로",G656)))</formula>
    </cfRule>
    <cfRule type="containsText" dxfId="1806" priority="4" operator="containsText" text="한별">
      <formula>NOT(ISERROR(SEARCH("한별",G656)))</formula>
    </cfRule>
    <cfRule type="containsText" dxfId="1805" priority="5" operator="containsText" text="정홍조">
      <formula>NOT(ISERROR(SEARCH("정홍조",G656)))</formula>
    </cfRule>
    <cfRule type="containsText" dxfId="1804" priority="6" operator="containsText" text="김지윤">
      <formula>NOT(ISERROR(SEARCH("김지윤",G656)))</formula>
    </cfRule>
    <cfRule type="containsText" dxfId="1803" priority="7" operator="containsText" text="전준영">
      <formula>NOT(ISERROR(SEARCH("전준영",G656)))</formula>
    </cfRule>
    <cfRule type="containsText" dxfId="1802" priority="8" operator="containsText" text="차재성">
      <formula>NOT(ISERROR(SEARCH("차재성",G656)))</formula>
    </cfRule>
  </conditionalFormatting>
  <conditionalFormatting sqref="I8:I16 I19 I22:I25 I27:I28">
    <cfRule type="cellIs" dxfId="1801" priority="1" operator="lessThan">
      <formula>0</formula>
    </cfRule>
    <cfRule type="cellIs" dxfId="1800" priority="2" operator="greaterThan">
      <formula>0</formula>
    </cfRule>
  </conditionalFormatting>
  <pageMargins left="0.25" right="0.25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7" tint="0.79998168889431442"/>
    <pageSetUpPr fitToPage="1"/>
  </sheetPr>
  <dimension ref="A1:I209"/>
  <sheetViews>
    <sheetView zoomScale="85" zoomScaleNormal="85" workbookViewId="0">
      <pane xSplit="8" ySplit="5" topLeftCell="I27" activePane="bottomRight" state="frozen"/>
      <selection pane="topRight" activeCell="I1" sqref="I1"/>
      <selection pane="bottomLeft" activeCell="A6" sqref="A6"/>
      <selection pane="bottomRight" activeCell="Q23" sqref="Q23"/>
    </sheetView>
  </sheetViews>
  <sheetFormatPr defaultRowHeight="16.5"/>
  <cols>
    <col min="1" max="5" width="3.875" style="178" customWidth="1"/>
    <col min="6" max="6" width="32.625" style="178" customWidth="1"/>
    <col min="7" max="7" width="14.625" style="178" customWidth="1"/>
    <col min="8" max="8" width="14.875" style="178" customWidth="1"/>
    <col min="9" max="9" width="14.625" style="178" customWidth="1"/>
  </cols>
  <sheetData>
    <row r="1" spans="1:9" ht="18" customHeight="1">
      <c r="A1" s="27" t="s">
        <v>153</v>
      </c>
      <c r="B1" s="28"/>
      <c r="C1" s="28"/>
      <c r="D1" s="28"/>
      <c r="E1" s="28"/>
      <c r="F1" s="28"/>
      <c r="G1" s="29"/>
      <c r="H1" s="29"/>
      <c r="I1" s="29"/>
    </row>
    <row r="2" spans="1:9" ht="18" customHeight="1" thickBot="1">
      <c r="A2" s="30"/>
      <c r="B2" s="30"/>
      <c r="C2" s="30"/>
      <c r="D2" s="30"/>
      <c r="E2" s="30"/>
      <c r="F2" s="30"/>
      <c r="G2" s="30"/>
      <c r="H2" s="30"/>
      <c r="I2" s="31" t="s">
        <v>155</v>
      </c>
    </row>
    <row r="3" spans="1:9" ht="18" customHeight="1">
      <c r="A3" s="563" t="s">
        <v>5</v>
      </c>
      <c r="B3" s="564"/>
      <c r="C3" s="564"/>
      <c r="D3" s="564"/>
      <c r="E3" s="564"/>
      <c r="F3" s="571"/>
      <c r="G3" s="565" t="s">
        <v>666</v>
      </c>
      <c r="H3" s="565" t="s">
        <v>715</v>
      </c>
      <c r="I3" s="567" t="s">
        <v>668</v>
      </c>
    </row>
    <row r="4" spans="1:9" ht="18" customHeight="1" thickBot="1">
      <c r="A4" s="88" t="s">
        <v>12</v>
      </c>
      <c r="B4" s="32" t="s">
        <v>13</v>
      </c>
      <c r="C4" s="32" t="s">
        <v>14</v>
      </c>
      <c r="D4" s="32" t="s">
        <v>15</v>
      </c>
      <c r="E4" s="32" t="s">
        <v>6</v>
      </c>
      <c r="F4" s="32" t="s">
        <v>19</v>
      </c>
      <c r="G4" s="566"/>
      <c r="H4" s="566"/>
      <c r="I4" s="568"/>
    </row>
    <row r="5" spans="1:9" ht="18" customHeight="1" thickBot="1">
      <c r="A5" s="569" t="s">
        <v>147</v>
      </c>
      <c r="B5" s="570"/>
      <c r="C5" s="570"/>
      <c r="D5" s="570"/>
      <c r="E5" s="570"/>
      <c r="F5" s="572"/>
      <c r="G5" s="164">
        <f>G6+G198</f>
        <v>7461081</v>
      </c>
      <c r="H5" s="165">
        <f>SUM(H6,H198)</f>
        <v>2179000</v>
      </c>
      <c r="I5" s="165">
        <f t="shared" ref="I5:I11" si="0">G5-H5</f>
        <v>5282081</v>
      </c>
    </row>
    <row r="6" spans="1:9" ht="18" customHeight="1">
      <c r="A6" s="166" t="s">
        <v>143</v>
      </c>
      <c r="B6" s="183"/>
      <c r="C6" s="183"/>
      <c r="D6" s="183"/>
      <c r="E6" s="183"/>
      <c r="F6" s="184"/>
      <c r="G6" s="113">
        <f>SUM(G7+G45+G84+G118+G131+G150+G162+G174+G193)</f>
        <v>4681081</v>
      </c>
      <c r="H6" s="113">
        <f>SUM(H7,H45,H84,H118,H131,H150,H162,H174,H193)</f>
        <v>2179000</v>
      </c>
      <c r="I6" s="117">
        <f t="shared" si="0"/>
        <v>2502081</v>
      </c>
    </row>
    <row r="7" spans="1:9" ht="18" customHeight="1">
      <c r="A7" s="254"/>
      <c r="B7" s="179" t="s">
        <v>304</v>
      </c>
      <c r="C7" s="180"/>
      <c r="D7" s="180"/>
      <c r="E7" s="180"/>
      <c r="F7" s="181"/>
      <c r="G7" s="116">
        <f>SUM(G8,G18)</f>
        <v>1097148</v>
      </c>
      <c r="H7" s="116">
        <v>937348</v>
      </c>
      <c r="I7" s="118">
        <f t="shared" si="0"/>
        <v>159800</v>
      </c>
    </row>
    <row r="8" spans="1:9" ht="18" customHeight="1">
      <c r="A8" s="167"/>
      <c r="B8" s="168"/>
      <c r="C8" s="182" t="s">
        <v>382</v>
      </c>
      <c r="D8" s="183"/>
      <c r="E8" s="183"/>
      <c r="F8" s="184"/>
      <c r="G8" s="205">
        <f>SUM(G9,G12)</f>
        <v>133220</v>
      </c>
      <c r="H8" s="205">
        <v>80420</v>
      </c>
      <c r="I8" s="117">
        <f t="shared" si="0"/>
        <v>52800</v>
      </c>
    </row>
    <row r="9" spans="1:9" ht="18" customHeight="1">
      <c r="A9" s="167"/>
      <c r="B9" s="169"/>
      <c r="C9" s="169"/>
      <c r="D9" s="182" t="s">
        <v>294</v>
      </c>
      <c r="E9" s="183"/>
      <c r="F9" s="184"/>
      <c r="G9" s="260">
        <f>G10</f>
        <v>32960</v>
      </c>
      <c r="H9" s="260">
        <v>32960</v>
      </c>
      <c r="I9" s="117">
        <f t="shared" si="0"/>
        <v>0</v>
      </c>
    </row>
    <row r="10" spans="1:9" ht="18" customHeight="1">
      <c r="A10" s="167"/>
      <c r="B10" s="169"/>
      <c r="C10" s="168"/>
      <c r="D10" s="170"/>
      <c r="E10" s="182" t="s">
        <v>111</v>
      </c>
      <c r="F10" s="184"/>
      <c r="G10" s="260">
        <f>행정관리부!H10</f>
        <v>32960</v>
      </c>
      <c r="H10" s="260">
        <v>32960</v>
      </c>
      <c r="I10" s="117">
        <f t="shared" si="0"/>
        <v>0</v>
      </c>
    </row>
    <row r="11" spans="1:9" ht="18" customHeight="1">
      <c r="A11" s="89"/>
      <c r="B11" s="171"/>
      <c r="C11" s="172"/>
      <c r="D11" s="171"/>
      <c r="E11" s="173"/>
      <c r="F11" s="174" t="s">
        <v>112</v>
      </c>
      <c r="G11" s="259">
        <f>행정관리부!H11</f>
        <v>32960</v>
      </c>
      <c r="H11" s="259">
        <v>32960</v>
      </c>
      <c r="I11" s="119">
        <f t="shared" si="0"/>
        <v>0</v>
      </c>
    </row>
    <row r="12" spans="1:9" ht="18" customHeight="1">
      <c r="A12" s="167"/>
      <c r="B12" s="169"/>
      <c r="C12" s="169"/>
      <c r="D12" s="182" t="s">
        <v>383</v>
      </c>
      <c r="E12" s="183"/>
      <c r="F12" s="184"/>
      <c r="G12" s="260">
        <f>G13+G16</f>
        <v>100260</v>
      </c>
      <c r="H12" s="260">
        <v>47460</v>
      </c>
      <c r="I12" s="117">
        <f t="shared" ref="I12:I22" si="1">G12-H12</f>
        <v>52800</v>
      </c>
    </row>
    <row r="13" spans="1:9" ht="18" customHeight="1">
      <c r="A13" s="167"/>
      <c r="B13" s="169"/>
      <c r="C13" s="168"/>
      <c r="D13" s="170"/>
      <c r="E13" s="182" t="s">
        <v>113</v>
      </c>
      <c r="F13" s="184"/>
      <c r="G13" s="260">
        <f>행정관리부!H16</f>
        <v>47460</v>
      </c>
      <c r="H13" s="260">
        <v>47460</v>
      </c>
      <c r="I13" s="117">
        <f t="shared" si="1"/>
        <v>0</v>
      </c>
    </row>
    <row r="14" spans="1:9" ht="18" customHeight="1">
      <c r="A14" s="89"/>
      <c r="B14" s="171"/>
      <c r="C14" s="172"/>
      <c r="D14" s="171"/>
      <c r="E14" s="174"/>
      <c r="F14" s="174" t="s">
        <v>114</v>
      </c>
      <c r="G14" s="259">
        <f>행정관리부!H17</f>
        <v>45060</v>
      </c>
      <c r="H14" s="259">
        <v>45060</v>
      </c>
      <c r="I14" s="119">
        <f t="shared" si="1"/>
        <v>0</v>
      </c>
    </row>
    <row r="15" spans="1:9" ht="18" customHeight="1">
      <c r="A15" s="89"/>
      <c r="B15" s="171"/>
      <c r="C15" s="172"/>
      <c r="D15" s="171"/>
      <c r="E15" s="175"/>
      <c r="F15" s="174" t="s">
        <v>117</v>
      </c>
      <c r="G15" s="259">
        <f>행정관리부!H28</f>
        <v>2400</v>
      </c>
      <c r="H15" s="259">
        <v>2400</v>
      </c>
      <c r="I15" s="119">
        <f t="shared" si="1"/>
        <v>0</v>
      </c>
    </row>
    <row r="16" spans="1:9" ht="18" customHeight="1">
      <c r="A16" s="167"/>
      <c r="B16" s="169"/>
      <c r="C16" s="168"/>
      <c r="D16" s="169"/>
      <c r="E16" s="429" t="s">
        <v>124</v>
      </c>
      <c r="F16" s="430"/>
      <c r="G16" s="15">
        <f>행정관리부!H30</f>
        <v>52800</v>
      </c>
      <c r="H16" s="15">
        <v>0</v>
      </c>
      <c r="I16" s="117">
        <f t="shared" ref="I16:I17" si="2">G16-H16</f>
        <v>52800</v>
      </c>
    </row>
    <row r="17" spans="1:9" ht="18" customHeight="1">
      <c r="A17" s="89"/>
      <c r="B17" s="171"/>
      <c r="C17" s="172"/>
      <c r="D17" s="175"/>
      <c r="E17" s="431"/>
      <c r="F17" s="431" t="s">
        <v>125</v>
      </c>
      <c r="G17" s="14">
        <f>행정관리부!H31</f>
        <v>52800</v>
      </c>
      <c r="H17" s="14">
        <v>0</v>
      </c>
      <c r="I17" s="547">
        <f t="shared" si="2"/>
        <v>52800</v>
      </c>
    </row>
    <row r="18" spans="1:9" ht="18" customHeight="1">
      <c r="A18" s="167"/>
      <c r="B18" s="168"/>
      <c r="C18" s="182" t="s">
        <v>295</v>
      </c>
      <c r="D18" s="183"/>
      <c r="E18" s="183"/>
      <c r="F18" s="184"/>
      <c r="G18" s="260">
        <f>G19</f>
        <v>963928</v>
      </c>
      <c r="H18" s="260">
        <v>856928</v>
      </c>
      <c r="I18" s="117">
        <f t="shared" si="1"/>
        <v>107000</v>
      </c>
    </row>
    <row r="19" spans="1:9" ht="18" customHeight="1">
      <c r="A19" s="167"/>
      <c r="B19" s="169"/>
      <c r="C19" s="170"/>
      <c r="D19" s="182" t="s">
        <v>296</v>
      </c>
      <c r="E19" s="183"/>
      <c r="F19" s="184"/>
      <c r="G19" s="260">
        <f>SUM(G20,G24,G26,G31,G33,G35,G38,G40,G43)</f>
        <v>963928</v>
      </c>
      <c r="H19" s="260">
        <v>856928</v>
      </c>
      <c r="I19" s="117">
        <f t="shared" si="1"/>
        <v>107000</v>
      </c>
    </row>
    <row r="20" spans="1:9" ht="18" customHeight="1">
      <c r="A20" s="167"/>
      <c r="B20" s="169"/>
      <c r="C20" s="168"/>
      <c r="D20" s="170"/>
      <c r="E20" s="182" t="s">
        <v>119</v>
      </c>
      <c r="F20" s="184"/>
      <c r="G20" s="260">
        <f>행정관리부!H37</f>
        <v>623731</v>
      </c>
      <c r="H20" s="260">
        <v>609331</v>
      </c>
      <c r="I20" s="117">
        <f t="shared" si="1"/>
        <v>14400</v>
      </c>
    </row>
    <row r="21" spans="1:9" ht="18" customHeight="1">
      <c r="A21" s="89"/>
      <c r="B21" s="171"/>
      <c r="C21" s="172"/>
      <c r="D21" s="171"/>
      <c r="E21" s="174"/>
      <c r="F21" s="431" t="s">
        <v>120</v>
      </c>
      <c r="G21" s="259">
        <f>행정관리부!H38</f>
        <v>406800</v>
      </c>
      <c r="H21" s="259">
        <v>392400</v>
      </c>
      <c r="I21" s="547">
        <f t="shared" si="1"/>
        <v>14400</v>
      </c>
    </row>
    <row r="22" spans="1:9" ht="18" customHeight="1">
      <c r="A22" s="89"/>
      <c r="B22" s="171"/>
      <c r="C22" s="172"/>
      <c r="D22" s="171"/>
      <c r="E22" s="171"/>
      <c r="F22" s="174" t="s">
        <v>384</v>
      </c>
      <c r="G22" s="259">
        <f>행정관리부!H45</f>
        <v>186102</v>
      </c>
      <c r="H22" s="259">
        <v>186102</v>
      </c>
      <c r="I22" s="119">
        <f t="shared" si="1"/>
        <v>0</v>
      </c>
    </row>
    <row r="23" spans="1:9" ht="18" customHeight="1">
      <c r="A23" s="89"/>
      <c r="B23" s="171"/>
      <c r="C23" s="172"/>
      <c r="D23" s="171"/>
      <c r="E23" s="175"/>
      <c r="F23" s="174" t="s">
        <v>385</v>
      </c>
      <c r="G23" s="259">
        <f>행정관리부!H50</f>
        <v>30829</v>
      </c>
      <c r="H23" s="259">
        <v>30829</v>
      </c>
      <c r="I23" s="119">
        <f t="shared" ref="I23:I25" si="3">G23-H23</f>
        <v>0</v>
      </c>
    </row>
    <row r="24" spans="1:9" ht="18" customHeight="1">
      <c r="A24" s="167"/>
      <c r="B24" s="169"/>
      <c r="C24" s="168"/>
      <c r="D24" s="169"/>
      <c r="E24" s="182" t="s">
        <v>386</v>
      </c>
      <c r="F24" s="184"/>
      <c r="G24" s="260">
        <f>행정관리부!H54</f>
        <v>10500</v>
      </c>
      <c r="H24" s="260">
        <v>10500</v>
      </c>
      <c r="I24" s="117">
        <f t="shared" si="3"/>
        <v>0</v>
      </c>
    </row>
    <row r="25" spans="1:9" ht="18" customHeight="1">
      <c r="A25" s="89"/>
      <c r="B25" s="171"/>
      <c r="C25" s="172"/>
      <c r="D25" s="171"/>
      <c r="E25" s="174"/>
      <c r="F25" s="174" t="s">
        <v>387</v>
      </c>
      <c r="G25" s="259">
        <f>행정관리부!H55</f>
        <v>10500</v>
      </c>
      <c r="H25" s="259">
        <v>10500</v>
      </c>
      <c r="I25" s="119">
        <f t="shared" si="3"/>
        <v>0</v>
      </c>
    </row>
    <row r="26" spans="1:9" ht="18" customHeight="1">
      <c r="A26" s="167"/>
      <c r="B26" s="169"/>
      <c r="C26" s="168"/>
      <c r="D26" s="169"/>
      <c r="E26" s="182" t="s">
        <v>121</v>
      </c>
      <c r="F26" s="184"/>
      <c r="G26" s="260">
        <f>행정관리부!H58</f>
        <v>217440</v>
      </c>
      <c r="H26" s="260">
        <v>125440</v>
      </c>
      <c r="I26" s="117">
        <f>G26-H26</f>
        <v>92000</v>
      </c>
    </row>
    <row r="27" spans="1:9" ht="18" customHeight="1">
      <c r="A27" s="89"/>
      <c r="B27" s="171"/>
      <c r="C27" s="172"/>
      <c r="D27" s="171"/>
      <c r="E27" s="174"/>
      <c r="F27" s="174" t="s">
        <v>122</v>
      </c>
      <c r="G27" s="259">
        <f>행정관리부!H59</f>
        <v>82560</v>
      </c>
      <c r="H27" s="259">
        <v>82560</v>
      </c>
      <c r="I27" s="119">
        <f>G27-H27</f>
        <v>0</v>
      </c>
    </row>
    <row r="28" spans="1:9" ht="18" customHeight="1">
      <c r="A28" s="89"/>
      <c r="B28" s="171"/>
      <c r="C28" s="172"/>
      <c r="D28" s="171"/>
      <c r="E28" s="171"/>
      <c r="F28" s="431" t="s">
        <v>123</v>
      </c>
      <c r="G28" s="259">
        <f>행정관리부!H76</f>
        <v>33760</v>
      </c>
      <c r="H28" s="259">
        <v>21760</v>
      </c>
      <c r="I28" s="547">
        <f t="shared" ref="I28:I30" si="4">G28-H28</f>
        <v>12000</v>
      </c>
    </row>
    <row r="29" spans="1:9" ht="18" customHeight="1">
      <c r="A29" s="89"/>
      <c r="B29" s="171"/>
      <c r="C29" s="172"/>
      <c r="D29" s="171"/>
      <c r="E29" s="171"/>
      <c r="F29" s="431" t="s">
        <v>716</v>
      </c>
      <c r="G29" s="259">
        <f>행정관리부!H85</f>
        <v>80000</v>
      </c>
      <c r="H29" s="259">
        <v>0</v>
      </c>
      <c r="I29" s="547">
        <f t="shared" si="4"/>
        <v>80000</v>
      </c>
    </row>
    <row r="30" spans="1:9" ht="18" customHeight="1">
      <c r="A30" s="89"/>
      <c r="B30" s="171"/>
      <c r="C30" s="172"/>
      <c r="D30" s="171"/>
      <c r="E30" s="175"/>
      <c r="F30" s="174" t="s">
        <v>146</v>
      </c>
      <c r="G30" s="259">
        <f>행정관리부!H88</f>
        <v>21120</v>
      </c>
      <c r="H30" s="259">
        <v>21120</v>
      </c>
      <c r="I30" s="119">
        <f t="shared" si="4"/>
        <v>0</v>
      </c>
    </row>
    <row r="31" spans="1:9" ht="18" customHeight="1">
      <c r="A31" s="167"/>
      <c r="B31" s="169"/>
      <c r="C31" s="168"/>
      <c r="D31" s="169"/>
      <c r="E31" s="182" t="s">
        <v>124</v>
      </c>
      <c r="F31" s="184"/>
      <c r="G31" s="260">
        <f>행정관리부!H94</f>
        <v>18000</v>
      </c>
      <c r="H31" s="260">
        <v>18000</v>
      </c>
      <c r="I31" s="117">
        <f t="shared" ref="I31" si="5">G31-H31</f>
        <v>0</v>
      </c>
    </row>
    <row r="32" spans="1:9" ht="18" customHeight="1">
      <c r="A32" s="89"/>
      <c r="B32" s="171"/>
      <c r="C32" s="172"/>
      <c r="D32" s="171"/>
      <c r="E32" s="174"/>
      <c r="F32" s="174" t="s">
        <v>115</v>
      </c>
      <c r="G32" s="259">
        <f>행정관리부!H95</f>
        <v>18000</v>
      </c>
      <c r="H32" s="259">
        <v>18000</v>
      </c>
      <c r="I32" s="119">
        <f>G32-H32</f>
        <v>0</v>
      </c>
    </row>
    <row r="33" spans="1:9" ht="18" customHeight="1">
      <c r="A33" s="167"/>
      <c r="B33" s="169"/>
      <c r="C33" s="168"/>
      <c r="D33" s="169"/>
      <c r="E33" s="182" t="s">
        <v>126</v>
      </c>
      <c r="F33" s="184"/>
      <c r="G33" s="260">
        <f>행정관리부!H98</f>
        <v>38400</v>
      </c>
      <c r="H33" s="260">
        <v>38400</v>
      </c>
      <c r="I33" s="117">
        <f t="shared" ref="I33:I35" si="6">G33-H33</f>
        <v>0</v>
      </c>
    </row>
    <row r="34" spans="1:9" ht="18" customHeight="1">
      <c r="A34" s="89"/>
      <c r="B34" s="171"/>
      <c r="C34" s="172"/>
      <c r="D34" s="171"/>
      <c r="E34" s="173"/>
      <c r="F34" s="174" t="s">
        <v>127</v>
      </c>
      <c r="G34" s="14">
        <f>행정관리부!H99</f>
        <v>38400</v>
      </c>
      <c r="H34" s="14">
        <v>38400</v>
      </c>
      <c r="I34" s="119">
        <f t="shared" si="6"/>
        <v>0</v>
      </c>
    </row>
    <row r="35" spans="1:9" ht="18" customHeight="1">
      <c r="A35" s="167"/>
      <c r="B35" s="169"/>
      <c r="C35" s="168"/>
      <c r="D35" s="169"/>
      <c r="E35" s="182" t="s">
        <v>128</v>
      </c>
      <c r="F35" s="184"/>
      <c r="G35" s="15">
        <f>행정관리부!H106</f>
        <v>26520</v>
      </c>
      <c r="H35" s="15">
        <v>25920</v>
      </c>
      <c r="I35" s="117">
        <f t="shared" si="6"/>
        <v>600</v>
      </c>
    </row>
    <row r="36" spans="1:9" ht="18" customHeight="1">
      <c r="A36" s="167"/>
      <c r="B36" s="169"/>
      <c r="C36" s="168"/>
      <c r="D36" s="169"/>
      <c r="E36" s="33"/>
      <c r="F36" s="431" t="s">
        <v>129</v>
      </c>
      <c r="G36" s="14">
        <f>행정관리부!H107</f>
        <v>19800</v>
      </c>
      <c r="H36" s="14">
        <v>19200</v>
      </c>
      <c r="I36" s="547">
        <f>G36-H36</f>
        <v>600</v>
      </c>
    </row>
    <row r="37" spans="1:9" ht="18" customHeight="1">
      <c r="A37" s="89"/>
      <c r="B37" s="171"/>
      <c r="C37" s="172"/>
      <c r="D37" s="171"/>
      <c r="E37" s="175"/>
      <c r="F37" s="174" t="s">
        <v>148</v>
      </c>
      <c r="G37" s="14">
        <f>행정관리부!H112</f>
        <v>6720</v>
      </c>
      <c r="H37" s="14">
        <v>6720</v>
      </c>
      <c r="I37" s="119">
        <f>G37-H37</f>
        <v>0</v>
      </c>
    </row>
    <row r="38" spans="1:9" ht="18" customHeight="1">
      <c r="A38" s="167"/>
      <c r="B38" s="169"/>
      <c r="C38" s="168"/>
      <c r="D38" s="169"/>
      <c r="E38" s="182" t="s">
        <v>130</v>
      </c>
      <c r="F38" s="184"/>
      <c r="G38" s="15">
        <f>행정관리부!H114</f>
        <v>5000</v>
      </c>
      <c r="H38" s="15">
        <v>5000</v>
      </c>
      <c r="I38" s="117">
        <f t="shared" ref="I38" si="7">G38-H38</f>
        <v>0</v>
      </c>
    </row>
    <row r="39" spans="1:9" ht="18" customHeight="1">
      <c r="A39" s="89"/>
      <c r="B39" s="171"/>
      <c r="C39" s="172"/>
      <c r="D39" s="171"/>
      <c r="E39" s="173"/>
      <c r="F39" s="174" t="s">
        <v>131</v>
      </c>
      <c r="G39" s="14">
        <f>행정관리부!H115</f>
        <v>5000</v>
      </c>
      <c r="H39" s="14">
        <v>5000</v>
      </c>
      <c r="I39" s="119">
        <f>G39-H39</f>
        <v>0</v>
      </c>
    </row>
    <row r="40" spans="1:9" ht="18" customHeight="1">
      <c r="A40" s="167"/>
      <c r="B40" s="169"/>
      <c r="C40" s="168"/>
      <c r="D40" s="169"/>
      <c r="E40" s="182" t="s">
        <v>132</v>
      </c>
      <c r="F40" s="184"/>
      <c r="G40" s="15">
        <f>행정관리부!H117</f>
        <v>4740</v>
      </c>
      <c r="H40" s="15">
        <v>4740</v>
      </c>
      <c r="I40" s="117">
        <f t="shared" ref="I40" si="8">G40-H40</f>
        <v>0</v>
      </c>
    </row>
    <row r="41" spans="1:9" ht="18" customHeight="1">
      <c r="A41" s="89"/>
      <c r="B41" s="171"/>
      <c r="C41" s="172"/>
      <c r="D41" s="171"/>
      <c r="E41" s="174"/>
      <c r="F41" s="174" t="s">
        <v>133</v>
      </c>
      <c r="G41" s="14">
        <f>행정관리부!H118</f>
        <v>2640</v>
      </c>
      <c r="H41" s="14">
        <v>2640</v>
      </c>
      <c r="I41" s="120">
        <f>G41-H41</f>
        <v>0</v>
      </c>
    </row>
    <row r="42" spans="1:9" ht="18" customHeight="1">
      <c r="A42" s="89"/>
      <c r="B42" s="171"/>
      <c r="C42" s="172"/>
      <c r="D42" s="171"/>
      <c r="E42" s="175"/>
      <c r="F42" s="174" t="s">
        <v>134</v>
      </c>
      <c r="G42" s="14">
        <f>행정관리부!H120</f>
        <v>2100</v>
      </c>
      <c r="H42" s="14">
        <v>2100</v>
      </c>
      <c r="I42" s="120">
        <f>G42-H42</f>
        <v>0</v>
      </c>
    </row>
    <row r="43" spans="1:9" ht="18" customHeight="1">
      <c r="A43" s="167"/>
      <c r="B43" s="169"/>
      <c r="C43" s="168"/>
      <c r="D43" s="169"/>
      <c r="E43" s="182" t="s">
        <v>388</v>
      </c>
      <c r="F43" s="184"/>
      <c r="G43" s="15">
        <f>행정관리부!H123</f>
        <v>19597</v>
      </c>
      <c r="H43" s="15">
        <v>19597</v>
      </c>
      <c r="I43" s="117">
        <f t="shared" ref="I43" si="9">G43-H43</f>
        <v>0</v>
      </c>
    </row>
    <row r="44" spans="1:9" ht="18" customHeight="1">
      <c r="A44" s="89"/>
      <c r="B44" s="171"/>
      <c r="C44" s="172"/>
      <c r="D44" s="171"/>
      <c r="E44" s="174"/>
      <c r="F44" s="174" t="s">
        <v>389</v>
      </c>
      <c r="G44" s="14">
        <f>행정관리부!H124</f>
        <v>19597</v>
      </c>
      <c r="H44" s="14">
        <v>19597</v>
      </c>
      <c r="I44" s="120">
        <f>G44-H44</f>
        <v>0</v>
      </c>
    </row>
    <row r="45" spans="1:9" ht="18" customHeight="1">
      <c r="A45" s="271"/>
      <c r="B45" s="179" t="s">
        <v>276</v>
      </c>
      <c r="C45" s="180"/>
      <c r="D45" s="180"/>
      <c r="E45" s="180"/>
      <c r="F45" s="181"/>
      <c r="G45" s="116">
        <f>SUM(G46,G55,G59,G62,G73)</f>
        <v>263538</v>
      </c>
      <c r="H45" s="116">
        <v>261892</v>
      </c>
      <c r="I45" s="118">
        <f t="shared" ref="I45:I55" si="10">G45-H45</f>
        <v>1646</v>
      </c>
    </row>
    <row r="46" spans="1:9" ht="18" customHeight="1">
      <c r="A46" s="167"/>
      <c r="B46" s="168"/>
      <c r="C46" s="182" t="s">
        <v>293</v>
      </c>
      <c r="D46" s="183"/>
      <c r="E46" s="183"/>
      <c r="F46" s="184"/>
      <c r="G46" s="15">
        <f>기획홍보부!H7</f>
        <v>38600</v>
      </c>
      <c r="H46" s="114">
        <v>38600</v>
      </c>
      <c r="I46" s="117">
        <f>G46-H46</f>
        <v>0</v>
      </c>
    </row>
    <row r="47" spans="1:9" ht="18" customHeight="1">
      <c r="A47" s="167"/>
      <c r="B47" s="169"/>
      <c r="C47" s="169"/>
      <c r="D47" s="182" t="s">
        <v>679</v>
      </c>
      <c r="E47" s="183"/>
      <c r="F47" s="184"/>
      <c r="G47" s="15">
        <f>기획홍보부!H8</f>
        <v>10000</v>
      </c>
      <c r="H47" s="115">
        <v>10000</v>
      </c>
      <c r="I47" s="117">
        <f t="shared" ref="I47:I49" si="11">G47-H47</f>
        <v>0</v>
      </c>
    </row>
    <row r="48" spans="1:9" ht="18" customHeight="1">
      <c r="A48" s="167"/>
      <c r="B48" s="169"/>
      <c r="C48" s="168"/>
      <c r="D48" s="170"/>
      <c r="E48" s="182" t="s">
        <v>680</v>
      </c>
      <c r="F48" s="184"/>
      <c r="G48" s="15">
        <f>기획홍보부!H10</f>
        <v>10000</v>
      </c>
      <c r="H48" s="115">
        <v>10000</v>
      </c>
      <c r="I48" s="117">
        <f t="shared" si="11"/>
        <v>0</v>
      </c>
    </row>
    <row r="49" spans="1:9" ht="18" customHeight="1">
      <c r="A49" s="89"/>
      <c r="B49" s="171"/>
      <c r="C49" s="172"/>
      <c r="D49" s="171"/>
      <c r="E49" s="174"/>
      <c r="F49" s="174" t="s">
        <v>680</v>
      </c>
      <c r="G49" s="14">
        <f>기획홍보부!H11</f>
        <v>10000</v>
      </c>
      <c r="H49" s="16">
        <v>10000</v>
      </c>
      <c r="I49" s="119">
        <f t="shared" si="11"/>
        <v>0</v>
      </c>
    </row>
    <row r="50" spans="1:9" ht="18" customHeight="1">
      <c r="A50" s="167"/>
      <c r="B50" s="169"/>
      <c r="C50" s="169"/>
      <c r="D50" s="182" t="s">
        <v>478</v>
      </c>
      <c r="E50" s="183"/>
      <c r="F50" s="184"/>
      <c r="G50" s="15">
        <f>기획홍보부!H14</f>
        <v>28600</v>
      </c>
      <c r="H50" s="115">
        <v>28600</v>
      </c>
      <c r="I50" s="117">
        <f t="shared" ref="I50:I52" si="12">G50-H50</f>
        <v>0</v>
      </c>
    </row>
    <row r="51" spans="1:9" ht="18" customHeight="1">
      <c r="A51" s="167"/>
      <c r="B51" s="169"/>
      <c r="C51" s="168"/>
      <c r="D51" s="170"/>
      <c r="E51" s="182" t="s">
        <v>113</v>
      </c>
      <c r="F51" s="184"/>
      <c r="G51" s="15">
        <f>기획홍보부!H16</f>
        <v>28600</v>
      </c>
      <c r="H51" s="115">
        <v>28600</v>
      </c>
      <c r="I51" s="117">
        <f t="shared" si="12"/>
        <v>0</v>
      </c>
    </row>
    <row r="52" spans="1:9" ht="18" customHeight="1">
      <c r="A52" s="89"/>
      <c r="B52" s="171"/>
      <c r="C52" s="172"/>
      <c r="D52" s="171"/>
      <c r="E52" s="174"/>
      <c r="F52" s="174" t="s">
        <v>114</v>
      </c>
      <c r="G52" s="14">
        <f>기획홍보부!H17</f>
        <v>28000</v>
      </c>
      <c r="H52" s="16">
        <v>28000</v>
      </c>
      <c r="I52" s="119">
        <f t="shared" si="12"/>
        <v>0</v>
      </c>
    </row>
    <row r="53" spans="1:9" ht="18" customHeight="1">
      <c r="A53" s="89"/>
      <c r="B53" s="171"/>
      <c r="C53" s="172"/>
      <c r="D53" s="171"/>
      <c r="E53" s="171"/>
      <c r="F53" s="174" t="s">
        <v>116</v>
      </c>
      <c r="G53" s="14">
        <f>기획홍보부!H21</f>
        <v>300</v>
      </c>
      <c r="H53" s="16">
        <v>300</v>
      </c>
      <c r="I53" s="119">
        <f t="shared" ref="I53" si="13">G53-H53</f>
        <v>0</v>
      </c>
    </row>
    <row r="54" spans="1:9" ht="18" customHeight="1">
      <c r="A54" s="89"/>
      <c r="B54" s="171"/>
      <c r="C54" s="172"/>
      <c r="D54" s="171"/>
      <c r="E54" s="171"/>
      <c r="F54" s="174" t="s">
        <v>117</v>
      </c>
      <c r="G54" s="14">
        <f>기획홍보부!H23</f>
        <v>300</v>
      </c>
      <c r="H54" s="16">
        <v>300</v>
      </c>
      <c r="I54" s="119">
        <f>G54-H54</f>
        <v>0</v>
      </c>
    </row>
    <row r="55" spans="1:9" ht="18" customHeight="1">
      <c r="A55" s="167"/>
      <c r="B55" s="168"/>
      <c r="C55" s="182" t="s">
        <v>299</v>
      </c>
      <c r="D55" s="183"/>
      <c r="E55" s="183"/>
      <c r="F55" s="184"/>
      <c r="G55" s="115">
        <f>기획홍보부!H25</f>
        <v>50000</v>
      </c>
      <c r="H55" s="114">
        <v>50000</v>
      </c>
      <c r="I55" s="117">
        <f t="shared" si="10"/>
        <v>0</v>
      </c>
    </row>
    <row r="56" spans="1:9" ht="18" customHeight="1">
      <c r="A56" s="167"/>
      <c r="B56" s="169"/>
      <c r="C56" s="169"/>
      <c r="D56" s="182" t="s">
        <v>300</v>
      </c>
      <c r="E56" s="183"/>
      <c r="F56" s="184"/>
      <c r="G56" s="115">
        <f>기획홍보부!H26</f>
        <v>50000</v>
      </c>
      <c r="H56" s="115">
        <v>50000</v>
      </c>
      <c r="I56" s="117">
        <f t="shared" ref="I56:I64" si="14">G56-H56</f>
        <v>0</v>
      </c>
    </row>
    <row r="57" spans="1:9" ht="18" customHeight="1">
      <c r="A57" s="167"/>
      <c r="B57" s="169"/>
      <c r="C57" s="168"/>
      <c r="D57" s="170"/>
      <c r="E57" s="182" t="s">
        <v>139</v>
      </c>
      <c r="F57" s="184"/>
      <c r="G57" s="115">
        <f>기획홍보부!H28</f>
        <v>50000</v>
      </c>
      <c r="H57" s="115">
        <v>50000</v>
      </c>
      <c r="I57" s="117">
        <f t="shared" si="14"/>
        <v>0</v>
      </c>
    </row>
    <row r="58" spans="1:9" ht="18" customHeight="1">
      <c r="A58" s="89"/>
      <c r="B58" s="171"/>
      <c r="C58" s="172"/>
      <c r="D58" s="171"/>
      <c r="E58" s="173"/>
      <c r="F58" s="174" t="s">
        <v>131</v>
      </c>
      <c r="G58" s="16">
        <f>기획홍보부!H29</f>
        <v>50000</v>
      </c>
      <c r="H58" s="16">
        <v>50000</v>
      </c>
      <c r="I58" s="119">
        <f t="shared" si="14"/>
        <v>0</v>
      </c>
    </row>
    <row r="59" spans="1:9" ht="18" customHeight="1">
      <c r="A59" s="167"/>
      <c r="B59" s="169"/>
      <c r="C59" s="169"/>
      <c r="D59" s="429" t="s">
        <v>717</v>
      </c>
      <c r="E59" s="183"/>
      <c r="F59" s="184"/>
      <c r="G59" s="115">
        <f>기획홍보부!H31</f>
        <v>1646</v>
      </c>
      <c r="H59" s="115">
        <v>0</v>
      </c>
      <c r="I59" s="117">
        <f t="shared" ref="I59:I61" si="15">G59-H59</f>
        <v>1646</v>
      </c>
    </row>
    <row r="60" spans="1:9" ht="18" customHeight="1">
      <c r="A60" s="167"/>
      <c r="B60" s="169"/>
      <c r="C60" s="168"/>
      <c r="D60" s="170"/>
      <c r="E60" s="429" t="s">
        <v>718</v>
      </c>
      <c r="F60" s="430"/>
      <c r="G60" s="115">
        <f>기획홍보부!H33</f>
        <v>1646</v>
      </c>
      <c r="H60" s="115">
        <v>0</v>
      </c>
      <c r="I60" s="117">
        <f>G60-H60</f>
        <v>1646</v>
      </c>
    </row>
    <row r="61" spans="1:9" ht="18" customHeight="1">
      <c r="A61" s="89"/>
      <c r="B61" s="171"/>
      <c r="C61" s="172"/>
      <c r="D61" s="171"/>
      <c r="E61" s="432"/>
      <c r="F61" s="431" t="s">
        <v>719</v>
      </c>
      <c r="G61" s="16">
        <f>기획홍보부!H34</f>
        <v>1646</v>
      </c>
      <c r="H61" s="16">
        <v>0</v>
      </c>
      <c r="I61" s="547">
        <f t="shared" si="15"/>
        <v>1646</v>
      </c>
    </row>
    <row r="62" spans="1:9" ht="18" customHeight="1">
      <c r="A62" s="167"/>
      <c r="B62" s="168"/>
      <c r="C62" s="182" t="s">
        <v>310</v>
      </c>
      <c r="D62" s="183"/>
      <c r="E62" s="183"/>
      <c r="F62" s="184"/>
      <c r="G62" s="115">
        <f>기획홍보부!H38</f>
        <v>28292</v>
      </c>
      <c r="H62" s="114">
        <v>28292</v>
      </c>
      <c r="I62" s="117">
        <f t="shared" si="14"/>
        <v>0</v>
      </c>
    </row>
    <row r="63" spans="1:9" ht="18" customHeight="1">
      <c r="A63" s="167"/>
      <c r="B63" s="169"/>
      <c r="C63" s="170"/>
      <c r="D63" s="182" t="s">
        <v>118</v>
      </c>
      <c r="E63" s="183"/>
      <c r="F63" s="184"/>
      <c r="G63" s="115">
        <f>기획홍보부!H39</f>
        <v>28292</v>
      </c>
      <c r="H63" s="115">
        <v>28292</v>
      </c>
      <c r="I63" s="117">
        <f t="shared" si="14"/>
        <v>0</v>
      </c>
    </row>
    <row r="64" spans="1:9" ht="18" customHeight="1">
      <c r="A64" s="167"/>
      <c r="B64" s="169"/>
      <c r="C64" s="168"/>
      <c r="D64" s="170"/>
      <c r="E64" s="182" t="s">
        <v>121</v>
      </c>
      <c r="F64" s="184"/>
      <c r="G64" s="15">
        <f>기획홍보부!H41</f>
        <v>9792</v>
      </c>
      <c r="H64" s="115">
        <v>9792</v>
      </c>
      <c r="I64" s="117">
        <f t="shared" si="14"/>
        <v>0</v>
      </c>
    </row>
    <row r="65" spans="1:9" ht="18" customHeight="1">
      <c r="A65" s="89"/>
      <c r="B65" s="171"/>
      <c r="C65" s="172"/>
      <c r="D65" s="171"/>
      <c r="E65" s="174"/>
      <c r="F65" s="174" t="s">
        <v>122</v>
      </c>
      <c r="G65" s="259">
        <f>기획홍보부!H42</f>
        <v>2880</v>
      </c>
      <c r="H65" s="16">
        <v>2880</v>
      </c>
      <c r="I65" s="119">
        <f>G65-H65</f>
        <v>0</v>
      </c>
    </row>
    <row r="66" spans="1:9" ht="18" customHeight="1">
      <c r="A66" s="89"/>
      <c r="B66" s="171"/>
      <c r="C66" s="172"/>
      <c r="D66" s="171"/>
      <c r="E66" s="175"/>
      <c r="F66" s="174" t="s">
        <v>326</v>
      </c>
      <c r="G66" s="259">
        <f>기획홍보부!H44</f>
        <v>6912</v>
      </c>
      <c r="H66" s="16">
        <v>6912</v>
      </c>
      <c r="I66" s="119">
        <f>G66-H66</f>
        <v>0</v>
      </c>
    </row>
    <row r="67" spans="1:9" ht="18" customHeight="1">
      <c r="A67" s="167"/>
      <c r="B67" s="169"/>
      <c r="C67" s="168"/>
      <c r="D67" s="169"/>
      <c r="E67" s="182" t="s">
        <v>124</v>
      </c>
      <c r="F67" s="184"/>
      <c r="G67" s="260">
        <f>기획홍보부!H46</f>
        <v>14400</v>
      </c>
      <c r="H67" s="115">
        <v>14400</v>
      </c>
      <c r="I67" s="117">
        <f t="shared" ref="I67" si="16">G67-H67</f>
        <v>0</v>
      </c>
    </row>
    <row r="68" spans="1:9" ht="18" customHeight="1">
      <c r="A68" s="89"/>
      <c r="B68" s="171"/>
      <c r="C68" s="172"/>
      <c r="D68" s="171"/>
      <c r="E68" s="173"/>
      <c r="F68" s="174" t="s">
        <v>115</v>
      </c>
      <c r="G68" s="259">
        <f>기획홍보부!H47</f>
        <v>14400</v>
      </c>
      <c r="H68" s="16">
        <v>14400</v>
      </c>
      <c r="I68" s="119">
        <f>G68-H68</f>
        <v>0</v>
      </c>
    </row>
    <row r="69" spans="1:9" ht="18" customHeight="1">
      <c r="A69" s="167"/>
      <c r="B69" s="169"/>
      <c r="C69" s="168"/>
      <c r="D69" s="169"/>
      <c r="E69" s="182" t="s">
        <v>126</v>
      </c>
      <c r="F69" s="184"/>
      <c r="G69" s="260">
        <f>기획홍보부!H50</f>
        <v>2000</v>
      </c>
      <c r="H69" s="115">
        <v>2000</v>
      </c>
      <c r="I69" s="117">
        <f t="shared" ref="I69:I72" si="17">G69-H69</f>
        <v>0</v>
      </c>
    </row>
    <row r="70" spans="1:9" ht="18" customHeight="1">
      <c r="A70" s="89"/>
      <c r="B70" s="171"/>
      <c r="C70" s="172"/>
      <c r="D70" s="171"/>
      <c r="E70" s="173"/>
      <c r="F70" s="174" t="s">
        <v>127</v>
      </c>
      <c r="G70" s="259">
        <f>기획홍보부!H51</f>
        <v>2000</v>
      </c>
      <c r="H70" s="16">
        <v>2000</v>
      </c>
      <c r="I70" s="119">
        <f t="shared" si="17"/>
        <v>0</v>
      </c>
    </row>
    <row r="71" spans="1:9" ht="18" customHeight="1">
      <c r="A71" s="167"/>
      <c r="B71" s="169"/>
      <c r="C71" s="168"/>
      <c r="D71" s="169"/>
      <c r="E71" s="182" t="s">
        <v>535</v>
      </c>
      <c r="F71" s="184"/>
      <c r="G71" s="260">
        <f>기획홍보부!H53</f>
        <v>2100</v>
      </c>
      <c r="H71" s="115">
        <v>2100</v>
      </c>
      <c r="I71" s="117">
        <f t="shared" si="17"/>
        <v>0</v>
      </c>
    </row>
    <row r="72" spans="1:9" ht="18" customHeight="1">
      <c r="A72" s="89"/>
      <c r="B72" s="171"/>
      <c r="C72" s="172"/>
      <c r="D72" s="171"/>
      <c r="E72" s="173"/>
      <c r="F72" s="174" t="s">
        <v>536</v>
      </c>
      <c r="G72" s="259">
        <f>기획홍보부!H54</f>
        <v>2100</v>
      </c>
      <c r="H72" s="16">
        <v>2100</v>
      </c>
      <c r="I72" s="119">
        <f t="shared" si="17"/>
        <v>0</v>
      </c>
    </row>
    <row r="73" spans="1:9" ht="18" customHeight="1">
      <c r="A73" s="167"/>
      <c r="B73" s="168"/>
      <c r="C73" s="182" t="s">
        <v>297</v>
      </c>
      <c r="D73" s="183"/>
      <c r="E73" s="183"/>
      <c r="F73" s="184"/>
      <c r="G73" s="115">
        <f>기획홍보부!H56</f>
        <v>145000</v>
      </c>
      <c r="H73" s="114">
        <v>145000</v>
      </c>
      <c r="I73" s="117">
        <f t="shared" ref="I73:I78" si="18">G73-H73</f>
        <v>0</v>
      </c>
    </row>
    <row r="74" spans="1:9" ht="18" customHeight="1">
      <c r="A74" s="167"/>
      <c r="B74" s="169"/>
      <c r="C74" s="170"/>
      <c r="D74" s="182" t="s">
        <v>298</v>
      </c>
      <c r="E74" s="183"/>
      <c r="F74" s="184"/>
      <c r="G74" s="115">
        <f>기획홍보부!H57</f>
        <v>145000</v>
      </c>
      <c r="H74" s="115">
        <v>145000</v>
      </c>
      <c r="I74" s="117">
        <f t="shared" si="18"/>
        <v>0</v>
      </c>
    </row>
    <row r="75" spans="1:9" ht="18" customHeight="1">
      <c r="A75" s="167"/>
      <c r="B75" s="169"/>
      <c r="C75" s="168"/>
      <c r="D75" s="170"/>
      <c r="E75" s="182" t="s">
        <v>121</v>
      </c>
      <c r="F75" s="184"/>
      <c r="G75" s="15">
        <f>기획홍보부!H59</f>
        <v>15000</v>
      </c>
      <c r="H75" s="115">
        <v>15000</v>
      </c>
      <c r="I75" s="117">
        <f t="shared" si="18"/>
        <v>0</v>
      </c>
    </row>
    <row r="76" spans="1:9" ht="18" customHeight="1">
      <c r="A76" s="89"/>
      <c r="B76" s="171"/>
      <c r="C76" s="172"/>
      <c r="D76" s="171"/>
      <c r="E76" s="174"/>
      <c r="F76" s="174" t="s">
        <v>122</v>
      </c>
      <c r="G76" s="259">
        <f>기획홍보부!H60</f>
        <v>5000</v>
      </c>
      <c r="H76" s="16">
        <v>5000</v>
      </c>
      <c r="I76" s="119">
        <f t="shared" ref="I76:I77" si="19">G76-H76</f>
        <v>0</v>
      </c>
    </row>
    <row r="77" spans="1:9" ht="18" customHeight="1">
      <c r="A77" s="89"/>
      <c r="B77" s="171"/>
      <c r="C77" s="172"/>
      <c r="D77" s="171"/>
      <c r="E77" s="171"/>
      <c r="F77" s="174" t="s">
        <v>123</v>
      </c>
      <c r="G77" s="259">
        <f>기획홍보부!H62</f>
        <v>5000</v>
      </c>
      <c r="H77" s="16">
        <v>5000</v>
      </c>
      <c r="I77" s="119">
        <f t="shared" si="19"/>
        <v>0</v>
      </c>
    </row>
    <row r="78" spans="1:9" ht="18" customHeight="1">
      <c r="A78" s="89"/>
      <c r="B78" s="171"/>
      <c r="C78" s="172"/>
      <c r="D78" s="171"/>
      <c r="E78" s="175"/>
      <c r="F78" s="173" t="s">
        <v>149</v>
      </c>
      <c r="G78" s="549">
        <f>기획홍보부!H64</f>
        <v>5000</v>
      </c>
      <c r="H78" s="356">
        <v>5000</v>
      </c>
      <c r="I78" s="119">
        <f t="shared" si="18"/>
        <v>0</v>
      </c>
    </row>
    <row r="79" spans="1:9" ht="18" customHeight="1">
      <c r="A79" s="167"/>
      <c r="B79" s="169"/>
      <c r="C79" s="168"/>
      <c r="D79" s="169"/>
      <c r="E79" s="182" t="s">
        <v>124</v>
      </c>
      <c r="F79" s="184"/>
      <c r="G79" s="15">
        <f>기획홍보부!H66</f>
        <v>125000</v>
      </c>
      <c r="H79" s="115">
        <v>125000</v>
      </c>
      <c r="I79" s="117">
        <f t="shared" ref="I79" si="20">G79-H79</f>
        <v>0</v>
      </c>
    </row>
    <row r="80" spans="1:9" ht="18" customHeight="1">
      <c r="A80" s="89"/>
      <c r="B80" s="171"/>
      <c r="C80" s="172"/>
      <c r="D80" s="171"/>
      <c r="E80" s="174"/>
      <c r="F80" s="174" t="s">
        <v>115</v>
      </c>
      <c r="G80" s="259">
        <f>기획홍보부!H67</f>
        <v>5000</v>
      </c>
      <c r="H80" s="16">
        <v>5000</v>
      </c>
      <c r="I80" s="119">
        <f>G80-H80</f>
        <v>0</v>
      </c>
    </row>
    <row r="81" spans="1:9" ht="18" customHeight="1">
      <c r="A81" s="89"/>
      <c r="B81" s="171"/>
      <c r="C81" s="172"/>
      <c r="D81" s="171"/>
      <c r="E81" s="175"/>
      <c r="F81" s="174" t="s">
        <v>125</v>
      </c>
      <c r="G81" s="14">
        <f>기획홍보부!H69</f>
        <v>120000</v>
      </c>
      <c r="H81" s="16">
        <v>120000</v>
      </c>
      <c r="I81" s="119">
        <f>G81-H81</f>
        <v>0</v>
      </c>
    </row>
    <row r="82" spans="1:9" ht="18" customHeight="1">
      <c r="A82" s="167"/>
      <c r="B82" s="169"/>
      <c r="C82" s="168"/>
      <c r="D82" s="169"/>
      <c r="E82" s="182" t="s">
        <v>126</v>
      </c>
      <c r="F82" s="184"/>
      <c r="G82" s="15">
        <f>기획홍보부!H73</f>
        <v>5000</v>
      </c>
      <c r="H82" s="115">
        <v>5000</v>
      </c>
      <c r="I82" s="117">
        <f t="shared" ref="I82:I83" si="21">G82-H82</f>
        <v>0</v>
      </c>
    </row>
    <row r="83" spans="1:9" ht="18" customHeight="1">
      <c r="A83" s="89"/>
      <c r="B83" s="171"/>
      <c r="C83" s="172"/>
      <c r="D83" s="171"/>
      <c r="E83" s="173"/>
      <c r="F83" s="174" t="s">
        <v>127</v>
      </c>
      <c r="G83" s="14">
        <f>기획홍보부!H74</f>
        <v>5000</v>
      </c>
      <c r="H83" s="16">
        <v>5000</v>
      </c>
      <c r="I83" s="119">
        <f t="shared" si="21"/>
        <v>0</v>
      </c>
    </row>
    <row r="84" spans="1:9" ht="18" customHeight="1">
      <c r="A84" s="167"/>
      <c r="B84" s="179" t="s">
        <v>305</v>
      </c>
      <c r="C84" s="180"/>
      <c r="D84" s="180"/>
      <c r="E84" s="180"/>
      <c r="F84" s="181"/>
      <c r="G84" s="116">
        <f>수익사업부!H6</f>
        <v>119956</v>
      </c>
      <c r="H84" s="116">
        <v>91166</v>
      </c>
      <c r="I84" s="118">
        <f t="shared" ref="I84:I87" si="22">G84-H84</f>
        <v>28790</v>
      </c>
    </row>
    <row r="85" spans="1:9" ht="18" customHeight="1">
      <c r="A85" s="167"/>
      <c r="B85" s="168"/>
      <c r="C85" s="182" t="s">
        <v>306</v>
      </c>
      <c r="D85" s="183"/>
      <c r="E85" s="183"/>
      <c r="F85" s="184"/>
      <c r="G85" s="260">
        <f>수익사업부!H7</f>
        <v>87640</v>
      </c>
      <c r="H85" s="260">
        <v>58850</v>
      </c>
      <c r="I85" s="117">
        <f t="shared" si="22"/>
        <v>28790</v>
      </c>
    </row>
    <row r="86" spans="1:9" ht="18" customHeight="1">
      <c r="A86" s="167"/>
      <c r="B86" s="169"/>
      <c r="C86" s="170"/>
      <c r="D86" s="182" t="s">
        <v>604</v>
      </c>
      <c r="E86" s="183"/>
      <c r="F86" s="184"/>
      <c r="G86" s="260">
        <f>수익사업부!H8</f>
        <v>14450</v>
      </c>
      <c r="H86" s="260">
        <v>14450</v>
      </c>
      <c r="I86" s="117">
        <f t="shared" si="22"/>
        <v>0</v>
      </c>
    </row>
    <row r="87" spans="1:9" ht="18" customHeight="1">
      <c r="A87" s="167"/>
      <c r="B87" s="169"/>
      <c r="C87" s="168"/>
      <c r="D87" s="170"/>
      <c r="E87" s="182" t="s">
        <v>605</v>
      </c>
      <c r="F87" s="184"/>
      <c r="G87" s="260">
        <f>수익사업부!H10</f>
        <v>14450</v>
      </c>
      <c r="H87" s="260">
        <v>14450</v>
      </c>
      <c r="I87" s="117">
        <f t="shared" si="22"/>
        <v>0</v>
      </c>
    </row>
    <row r="88" spans="1:9" ht="18" customHeight="1">
      <c r="A88" s="167"/>
      <c r="B88" s="169"/>
      <c r="C88" s="168"/>
      <c r="D88" s="169"/>
      <c r="E88" s="182"/>
      <c r="F88" s="174" t="s">
        <v>606</v>
      </c>
      <c r="G88" s="259">
        <f>수익사업부!H11</f>
        <v>10450</v>
      </c>
      <c r="H88" s="259">
        <v>10450</v>
      </c>
      <c r="I88" s="119">
        <f>G88-H88</f>
        <v>0</v>
      </c>
    </row>
    <row r="89" spans="1:9" ht="18" customHeight="1">
      <c r="A89" s="167"/>
      <c r="B89" s="169"/>
      <c r="C89" s="168"/>
      <c r="D89" s="169"/>
      <c r="E89" s="182"/>
      <c r="F89" s="174" t="s">
        <v>607</v>
      </c>
      <c r="G89" s="259">
        <f>수익사업부!H16</f>
        <v>4000</v>
      </c>
      <c r="H89" s="259">
        <v>4000</v>
      </c>
      <c r="I89" s="119">
        <f>G89-H89</f>
        <v>0</v>
      </c>
    </row>
    <row r="90" spans="1:9" ht="18" customHeight="1">
      <c r="A90" s="167"/>
      <c r="B90" s="169"/>
      <c r="C90" s="169"/>
      <c r="D90" s="182" t="s">
        <v>608</v>
      </c>
      <c r="E90" s="183"/>
      <c r="F90" s="184"/>
      <c r="G90" s="260">
        <f>수익사업부!H18</f>
        <v>7000</v>
      </c>
      <c r="H90" s="260">
        <v>7000</v>
      </c>
      <c r="I90" s="117">
        <f t="shared" ref="I90:I91" si="23">G90-H90</f>
        <v>0</v>
      </c>
    </row>
    <row r="91" spans="1:9" ht="18" customHeight="1">
      <c r="A91" s="167"/>
      <c r="B91" s="169"/>
      <c r="C91" s="168"/>
      <c r="D91" s="170"/>
      <c r="E91" s="182" t="s">
        <v>609</v>
      </c>
      <c r="F91" s="184"/>
      <c r="G91" s="260">
        <f>수익사업부!H20</f>
        <v>7000</v>
      </c>
      <c r="H91" s="260">
        <v>7000</v>
      </c>
      <c r="I91" s="117">
        <f t="shared" si="23"/>
        <v>0</v>
      </c>
    </row>
    <row r="92" spans="1:9" ht="18" customHeight="1">
      <c r="A92" s="167"/>
      <c r="B92" s="169"/>
      <c r="C92" s="168"/>
      <c r="D92" s="169"/>
      <c r="E92" s="182"/>
      <c r="F92" s="174" t="s">
        <v>610</v>
      </c>
      <c r="G92" s="259">
        <f>수익사업부!H21</f>
        <v>7000</v>
      </c>
      <c r="H92" s="259">
        <v>7000</v>
      </c>
      <c r="I92" s="119">
        <f>G92-H92</f>
        <v>0</v>
      </c>
    </row>
    <row r="93" spans="1:9" ht="18" customHeight="1">
      <c r="A93" s="167"/>
      <c r="B93" s="169"/>
      <c r="C93" s="169"/>
      <c r="D93" s="182" t="s">
        <v>611</v>
      </c>
      <c r="E93" s="183"/>
      <c r="F93" s="184"/>
      <c r="G93" s="260">
        <f>수익사업부!H24</f>
        <v>32400</v>
      </c>
      <c r="H93" s="260">
        <v>32400</v>
      </c>
      <c r="I93" s="117">
        <f t="shared" ref="I93:I112" si="24">G93-H93</f>
        <v>0</v>
      </c>
    </row>
    <row r="94" spans="1:9" ht="18" customHeight="1">
      <c r="A94" s="167"/>
      <c r="B94" s="169"/>
      <c r="C94" s="168"/>
      <c r="D94" s="170"/>
      <c r="E94" s="182" t="s">
        <v>605</v>
      </c>
      <c r="F94" s="184"/>
      <c r="G94" s="260">
        <f>수익사업부!H26</f>
        <v>22400</v>
      </c>
      <c r="H94" s="260">
        <v>22400</v>
      </c>
      <c r="I94" s="117">
        <f t="shared" si="24"/>
        <v>0</v>
      </c>
    </row>
    <row r="95" spans="1:9" ht="18" customHeight="1">
      <c r="A95" s="167"/>
      <c r="B95" s="169"/>
      <c r="C95" s="168"/>
      <c r="D95" s="169"/>
      <c r="E95" s="182"/>
      <c r="F95" s="174" t="s">
        <v>610</v>
      </c>
      <c r="G95" s="259">
        <f>수익사업부!H27</f>
        <v>22400</v>
      </c>
      <c r="H95" s="259">
        <v>22400</v>
      </c>
      <c r="I95" s="119">
        <f>G95-H95</f>
        <v>0</v>
      </c>
    </row>
    <row r="96" spans="1:9" ht="18" customHeight="1">
      <c r="A96" s="89"/>
      <c r="B96" s="171"/>
      <c r="C96" s="172"/>
      <c r="D96" s="171"/>
      <c r="E96" s="182" t="s">
        <v>612</v>
      </c>
      <c r="F96" s="174"/>
      <c r="G96" s="260">
        <f>수익사업부!H31</f>
        <v>10000</v>
      </c>
      <c r="H96" s="260">
        <v>10000</v>
      </c>
      <c r="I96" s="117">
        <f t="shared" ref="I96:I99" si="25">G96-H96</f>
        <v>0</v>
      </c>
    </row>
    <row r="97" spans="1:9" ht="18" customHeight="1">
      <c r="A97" s="89"/>
      <c r="B97" s="171"/>
      <c r="C97" s="171"/>
      <c r="D97" s="171"/>
      <c r="E97" s="173"/>
      <c r="F97" s="174" t="s">
        <v>613</v>
      </c>
      <c r="G97" s="259">
        <f>수익사업부!H32</f>
        <v>10000</v>
      </c>
      <c r="H97" s="259">
        <v>10000</v>
      </c>
      <c r="I97" s="119">
        <f t="shared" si="25"/>
        <v>0</v>
      </c>
    </row>
    <row r="98" spans="1:9" ht="18" customHeight="1">
      <c r="A98" s="167"/>
      <c r="B98" s="169"/>
      <c r="C98" s="169"/>
      <c r="D98" s="182" t="s">
        <v>683</v>
      </c>
      <c r="E98" s="183"/>
      <c r="F98" s="184"/>
      <c r="G98" s="260">
        <f>수익사업부!H34</f>
        <v>27540</v>
      </c>
      <c r="H98" s="260">
        <v>5000</v>
      </c>
      <c r="I98" s="117">
        <f t="shared" si="25"/>
        <v>22540</v>
      </c>
    </row>
    <row r="99" spans="1:9" ht="18" customHeight="1">
      <c r="A99" s="167"/>
      <c r="B99" s="169"/>
      <c r="C99" s="168"/>
      <c r="D99" s="170"/>
      <c r="E99" s="182" t="s">
        <v>113</v>
      </c>
      <c r="F99" s="184"/>
      <c r="G99" s="260">
        <f>수익사업부!H36</f>
        <v>27540</v>
      </c>
      <c r="H99" s="260">
        <v>5000</v>
      </c>
      <c r="I99" s="117">
        <f t="shared" si="25"/>
        <v>22540</v>
      </c>
    </row>
    <row r="100" spans="1:9" ht="18" customHeight="1">
      <c r="A100" s="167"/>
      <c r="B100" s="169"/>
      <c r="C100" s="168"/>
      <c r="D100" s="169"/>
      <c r="E100" s="182"/>
      <c r="F100" s="431" t="s">
        <v>114</v>
      </c>
      <c r="G100" s="259">
        <f>수익사업부!H37</f>
        <v>27540</v>
      </c>
      <c r="H100" s="259">
        <v>5000</v>
      </c>
      <c r="I100" s="547">
        <f>G100-H100</f>
        <v>22540</v>
      </c>
    </row>
    <row r="101" spans="1:9" ht="18" customHeight="1">
      <c r="A101" s="167"/>
      <c r="B101" s="169"/>
      <c r="C101" s="169"/>
      <c r="D101" s="429" t="s">
        <v>720</v>
      </c>
      <c r="E101" s="183"/>
      <c r="F101" s="184"/>
      <c r="G101" s="260">
        <f>수익사업부!H42</f>
        <v>6250</v>
      </c>
      <c r="H101" s="260">
        <v>0</v>
      </c>
      <c r="I101" s="117">
        <f t="shared" ref="I101:I102" si="26">G101-H101</f>
        <v>6250</v>
      </c>
    </row>
    <row r="102" spans="1:9" ht="18" customHeight="1">
      <c r="A102" s="167"/>
      <c r="B102" s="169"/>
      <c r="C102" s="168"/>
      <c r="D102" s="170"/>
      <c r="E102" s="429" t="s">
        <v>113</v>
      </c>
      <c r="F102" s="184"/>
      <c r="G102" s="260">
        <f>수익사업부!H44</f>
        <v>1750</v>
      </c>
      <c r="H102" s="260">
        <v>0</v>
      </c>
      <c r="I102" s="117">
        <f t="shared" si="26"/>
        <v>1750</v>
      </c>
    </row>
    <row r="103" spans="1:9" ht="18" customHeight="1">
      <c r="A103" s="167"/>
      <c r="B103" s="169"/>
      <c r="C103" s="168"/>
      <c r="D103" s="169"/>
      <c r="E103" s="429"/>
      <c r="F103" s="431" t="s">
        <v>114</v>
      </c>
      <c r="G103" s="259">
        <f>수익사업부!H45</f>
        <v>1750</v>
      </c>
      <c r="H103" s="259">
        <v>0</v>
      </c>
      <c r="I103" s="547">
        <f>G103-H103</f>
        <v>1750</v>
      </c>
    </row>
    <row r="104" spans="1:9" ht="18" customHeight="1">
      <c r="A104" s="167"/>
      <c r="B104" s="169"/>
      <c r="C104" s="168"/>
      <c r="D104" s="169"/>
      <c r="E104" s="429" t="s">
        <v>721</v>
      </c>
      <c r="F104" s="184"/>
      <c r="G104" s="260">
        <f>수익사업부!H48</f>
        <v>4500</v>
      </c>
      <c r="H104" s="260">
        <v>0</v>
      </c>
      <c r="I104" s="117">
        <f t="shared" ref="I104" si="27">G104-H104</f>
        <v>4500</v>
      </c>
    </row>
    <row r="105" spans="1:9" ht="18" customHeight="1">
      <c r="A105" s="167"/>
      <c r="B105" s="169"/>
      <c r="C105" s="168"/>
      <c r="D105" s="379"/>
      <c r="E105" s="429"/>
      <c r="F105" s="431" t="s">
        <v>722</v>
      </c>
      <c r="G105" s="259">
        <f>수익사업부!H49</f>
        <v>4500</v>
      </c>
      <c r="H105" s="259">
        <v>0</v>
      </c>
      <c r="I105" s="547">
        <f>G105-H105</f>
        <v>4500</v>
      </c>
    </row>
    <row r="106" spans="1:9" ht="18" customHeight="1">
      <c r="A106" s="167"/>
      <c r="B106" s="168"/>
      <c r="C106" s="182" t="s">
        <v>311</v>
      </c>
      <c r="D106" s="183"/>
      <c r="E106" s="183"/>
      <c r="F106" s="184"/>
      <c r="G106" s="260">
        <f>SUM(G107)</f>
        <v>32316</v>
      </c>
      <c r="H106" s="260">
        <v>32316</v>
      </c>
      <c r="I106" s="117">
        <f t="shared" si="24"/>
        <v>0</v>
      </c>
    </row>
    <row r="107" spans="1:9" ht="18" customHeight="1">
      <c r="A107" s="167"/>
      <c r="B107" s="169"/>
      <c r="C107" s="170"/>
      <c r="D107" s="182" t="s">
        <v>140</v>
      </c>
      <c r="E107" s="183"/>
      <c r="F107" s="184"/>
      <c r="G107" s="260">
        <f>SUM(G108,G112,G114,G116)</f>
        <v>32316</v>
      </c>
      <c r="H107" s="260">
        <v>32316</v>
      </c>
      <c r="I107" s="117">
        <f t="shared" si="24"/>
        <v>0</v>
      </c>
    </row>
    <row r="108" spans="1:9" ht="18" customHeight="1">
      <c r="A108" s="167"/>
      <c r="B108" s="169"/>
      <c r="C108" s="168"/>
      <c r="D108" s="170"/>
      <c r="E108" s="182" t="s">
        <v>141</v>
      </c>
      <c r="F108" s="184"/>
      <c r="G108" s="260">
        <f>수익사업부!H55</f>
        <v>12016</v>
      </c>
      <c r="H108" s="260">
        <v>12016</v>
      </c>
      <c r="I108" s="117">
        <f t="shared" si="24"/>
        <v>0</v>
      </c>
    </row>
    <row r="109" spans="1:9" ht="18" customHeight="1">
      <c r="A109" s="89"/>
      <c r="B109" s="171"/>
      <c r="C109" s="172"/>
      <c r="D109" s="171"/>
      <c r="E109" s="174"/>
      <c r="F109" s="174" t="s">
        <v>122</v>
      </c>
      <c r="G109" s="259">
        <f>수익사업부!H56</f>
        <v>3240</v>
      </c>
      <c r="H109" s="259">
        <v>3240</v>
      </c>
      <c r="I109" s="119">
        <f t="shared" ref="I109" si="28">G109-H109</f>
        <v>0</v>
      </c>
    </row>
    <row r="110" spans="1:9" ht="18" customHeight="1">
      <c r="A110" s="89"/>
      <c r="B110" s="171"/>
      <c r="C110" s="172"/>
      <c r="D110" s="171"/>
      <c r="E110" s="171"/>
      <c r="F110" s="174" t="s">
        <v>142</v>
      </c>
      <c r="G110" s="259">
        <f>수익사업부!H58</f>
        <v>1000</v>
      </c>
      <c r="H110" s="259">
        <v>1000</v>
      </c>
      <c r="I110" s="119">
        <f t="shared" si="24"/>
        <v>0</v>
      </c>
    </row>
    <row r="111" spans="1:9" ht="18" customHeight="1">
      <c r="A111" s="89"/>
      <c r="B111" s="171"/>
      <c r="C111" s="172"/>
      <c r="D111" s="171"/>
      <c r="E111" s="175"/>
      <c r="F111" s="174" t="s">
        <v>326</v>
      </c>
      <c r="G111" s="259">
        <f>수익사업부!H60</f>
        <v>7776</v>
      </c>
      <c r="H111" s="259">
        <v>7776</v>
      </c>
      <c r="I111" s="119">
        <f>G111-H111</f>
        <v>0</v>
      </c>
    </row>
    <row r="112" spans="1:9" ht="18" customHeight="1">
      <c r="A112" s="167"/>
      <c r="B112" s="169"/>
      <c r="C112" s="168"/>
      <c r="D112" s="169"/>
      <c r="E112" s="182" t="s">
        <v>124</v>
      </c>
      <c r="F112" s="184"/>
      <c r="G112" s="15">
        <f>수익사업부!H62</f>
        <v>16200</v>
      </c>
      <c r="H112" s="15">
        <v>16200</v>
      </c>
      <c r="I112" s="117">
        <f t="shared" si="24"/>
        <v>0</v>
      </c>
    </row>
    <row r="113" spans="1:9" ht="18" customHeight="1">
      <c r="A113" s="89"/>
      <c r="B113" s="171"/>
      <c r="C113" s="172"/>
      <c r="D113" s="171"/>
      <c r="E113" s="174"/>
      <c r="F113" s="174" t="s">
        <v>115</v>
      </c>
      <c r="G113" s="259">
        <f>수익사업부!H63</f>
        <v>16200</v>
      </c>
      <c r="H113" s="259">
        <v>16200</v>
      </c>
      <c r="I113" s="119">
        <f>G113-H113</f>
        <v>0</v>
      </c>
    </row>
    <row r="114" spans="1:9" ht="18" customHeight="1">
      <c r="A114" s="167"/>
      <c r="B114" s="169"/>
      <c r="C114" s="168"/>
      <c r="D114" s="169"/>
      <c r="E114" s="182" t="s">
        <v>126</v>
      </c>
      <c r="F114" s="184"/>
      <c r="G114" s="15">
        <f>수익사업부!H66</f>
        <v>2000</v>
      </c>
      <c r="H114" s="15">
        <v>2000</v>
      </c>
      <c r="I114" s="117">
        <f t="shared" ref="I114:I117" si="29">G114-H114</f>
        <v>0</v>
      </c>
    </row>
    <row r="115" spans="1:9" ht="18" customHeight="1">
      <c r="A115" s="89"/>
      <c r="B115" s="171"/>
      <c r="C115" s="172"/>
      <c r="D115" s="171"/>
      <c r="E115" s="173"/>
      <c r="F115" s="174" t="s">
        <v>127</v>
      </c>
      <c r="G115" s="14">
        <f>수익사업부!H67</f>
        <v>2000</v>
      </c>
      <c r="H115" s="14">
        <v>2000</v>
      </c>
      <c r="I115" s="119">
        <f t="shared" si="29"/>
        <v>0</v>
      </c>
    </row>
    <row r="116" spans="1:9" ht="18" customHeight="1">
      <c r="A116" s="167"/>
      <c r="B116" s="169"/>
      <c r="C116" s="168"/>
      <c r="D116" s="169"/>
      <c r="E116" s="182" t="s">
        <v>535</v>
      </c>
      <c r="F116" s="184"/>
      <c r="G116" s="260">
        <f>수익사업부!H69</f>
        <v>2100</v>
      </c>
      <c r="H116" s="260">
        <v>2100</v>
      </c>
      <c r="I116" s="117">
        <f t="shared" si="29"/>
        <v>0</v>
      </c>
    </row>
    <row r="117" spans="1:9" ht="18" customHeight="1">
      <c r="A117" s="89"/>
      <c r="B117" s="171"/>
      <c r="C117" s="172"/>
      <c r="D117" s="171"/>
      <c r="E117" s="173"/>
      <c r="F117" s="174" t="s">
        <v>536</v>
      </c>
      <c r="G117" s="259">
        <f>수익사업부!H70</f>
        <v>2100</v>
      </c>
      <c r="H117" s="259">
        <v>2100</v>
      </c>
      <c r="I117" s="119">
        <f t="shared" si="29"/>
        <v>0</v>
      </c>
    </row>
    <row r="118" spans="1:9" ht="18" customHeight="1">
      <c r="A118" s="167"/>
      <c r="B118" s="179" t="s">
        <v>261</v>
      </c>
      <c r="C118" s="180"/>
      <c r="D118" s="180"/>
      <c r="E118" s="180"/>
      <c r="F118" s="181"/>
      <c r="G118" s="261">
        <f>G119</f>
        <v>62518</v>
      </c>
      <c r="H118" s="116">
        <v>62518</v>
      </c>
      <c r="I118" s="118">
        <f t="shared" ref="I118" si="30">G118-H118</f>
        <v>0</v>
      </c>
    </row>
    <row r="119" spans="1:9" ht="18" customHeight="1">
      <c r="A119" s="167"/>
      <c r="B119" s="168"/>
      <c r="C119" s="182" t="s">
        <v>312</v>
      </c>
      <c r="D119" s="183"/>
      <c r="E119" s="183"/>
      <c r="F119" s="184"/>
      <c r="G119" s="260">
        <f>유치협력부!H7</f>
        <v>62518</v>
      </c>
      <c r="H119" s="114">
        <v>62518</v>
      </c>
      <c r="I119" s="117">
        <f t="shared" ref="I119:I122" si="31">G119-H119</f>
        <v>0</v>
      </c>
    </row>
    <row r="120" spans="1:9" ht="18" customHeight="1">
      <c r="A120" s="167"/>
      <c r="B120" s="169"/>
      <c r="C120" s="170"/>
      <c r="D120" s="182" t="s">
        <v>140</v>
      </c>
      <c r="E120" s="183"/>
      <c r="F120" s="184"/>
      <c r="G120" s="260">
        <f>유치협력부!H8</f>
        <v>62518</v>
      </c>
      <c r="H120" s="115">
        <v>62518</v>
      </c>
      <c r="I120" s="117">
        <f t="shared" si="31"/>
        <v>0</v>
      </c>
    </row>
    <row r="121" spans="1:9" ht="18" customHeight="1">
      <c r="A121" s="167"/>
      <c r="B121" s="169"/>
      <c r="C121" s="168"/>
      <c r="D121" s="170"/>
      <c r="E121" s="182" t="s">
        <v>141</v>
      </c>
      <c r="F121" s="184"/>
      <c r="G121" s="260">
        <f>유치협력부!H10</f>
        <v>19818</v>
      </c>
      <c r="H121" s="115">
        <v>19818</v>
      </c>
      <c r="I121" s="117">
        <f t="shared" si="31"/>
        <v>0</v>
      </c>
    </row>
    <row r="122" spans="1:9" ht="18" customHeight="1">
      <c r="A122" s="89"/>
      <c r="B122" s="171"/>
      <c r="C122" s="172"/>
      <c r="D122" s="171"/>
      <c r="E122" s="174"/>
      <c r="F122" s="174" t="s">
        <v>122</v>
      </c>
      <c r="G122" s="259">
        <f>유치협력부!H11</f>
        <v>5770</v>
      </c>
      <c r="H122" s="16">
        <v>5770</v>
      </c>
      <c r="I122" s="119">
        <f t="shared" si="31"/>
        <v>0</v>
      </c>
    </row>
    <row r="123" spans="1:9" ht="18" customHeight="1">
      <c r="A123" s="89"/>
      <c r="B123" s="171"/>
      <c r="C123" s="172"/>
      <c r="D123" s="171"/>
      <c r="E123" s="171"/>
      <c r="F123" s="174" t="s">
        <v>615</v>
      </c>
      <c r="G123" s="259">
        <f>유치협력부!H15</f>
        <v>8000</v>
      </c>
      <c r="H123" s="259">
        <v>8000</v>
      </c>
      <c r="I123" s="530">
        <f>유치협력부!J15</f>
        <v>0</v>
      </c>
    </row>
    <row r="124" spans="1:9" ht="18" customHeight="1">
      <c r="A124" s="89"/>
      <c r="B124" s="171"/>
      <c r="C124" s="172"/>
      <c r="D124" s="171"/>
      <c r="E124" s="175"/>
      <c r="F124" s="174" t="s">
        <v>326</v>
      </c>
      <c r="G124" s="259">
        <f>유치협력부!H17</f>
        <v>6048</v>
      </c>
      <c r="H124" s="16">
        <v>6048</v>
      </c>
      <c r="I124" s="119">
        <f>G124-H124</f>
        <v>0</v>
      </c>
    </row>
    <row r="125" spans="1:9" ht="18" customHeight="1">
      <c r="A125" s="167"/>
      <c r="B125" s="169"/>
      <c r="C125" s="168"/>
      <c r="D125" s="169"/>
      <c r="E125" s="182" t="s">
        <v>124</v>
      </c>
      <c r="F125" s="184"/>
      <c r="G125" s="260">
        <f>유치협력부!H19</f>
        <v>36600</v>
      </c>
      <c r="H125" s="115">
        <v>36600</v>
      </c>
      <c r="I125" s="117">
        <f t="shared" ref="I125" si="32">G125-H125</f>
        <v>0</v>
      </c>
    </row>
    <row r="126" spans="1:9" ht="18" customHeight="1">
      <c r="A126" s="89"/>
      <c r="B126" s="171"/>
      <c r="C126" s="172"/>
      <c r="D126" s="171"/>
      <c r="E126" s="174"/>
      <c r="F126" s="174" t="s">
        <v>115</v>
      </c>
      <c r="G126" s="259">
        <f>유치협력부!H20</f>
        <v>12600</v>
      </c>
      <c r="H126" s="16">
        <v>12600</v>
      </c>
      <c r="I126" s="119">
        <f>G126-H126</f>
        <v>0</v>
      </c>
    </row>
    <row r="127" spans="1:9" ht="18" customHeight="1">
      <c r="A127" s="167"/>
      <c r="B127" s="169"/>
      <c r="C127" s="168"/>
      <c r="D127" s="169"/>
      <c r="E127" s="182" t="s">
        <v>126</v>
      </c>
      <c r="F127" s="184"/>
      <c r="G127" s="260">
        <f>유치협력부!H25</f>
        <v>4000</v>
      </c>
      <c r="H127" s="115">
        <v>4000</v>
      </c>
      <c r="I127" s="117">
        <f>G127-H127</f>
        <v>0</v>
      </c>
    </row>
    <row r="128" spans="1:9" ht="18" customHeight="1">
      <c r="A128" s="89"/>
      <c r="B128" s="171"/>
      <c r="C128" s="172"/>
      <c r="D128" s="171"/>
      <c r="E128" s="173"/>
      <c r="F128" s="174" t="s">
        <v>127</v>
      </c>
      <c r="G128" s="259">
        <f>유치협력부!H26</f>
        <v>4000</v>
      </c>
      <c r="H128" s="16">
        <v>4000</v>
      </c>
      <c r="I128" s="119">
        <f>G128-H128</f>
        <v>0</v>
      </c>
    </row>
    <row r="129" spans="1:9" ht="18" customHeight="1">
      <c r="A129" s="167"/>
      <c r="B129" s="169"/>
      <c r="C129" s="168"/>
      <c r="D129" s="169"/>
      <c r="E129" s="182" t="s">
        <v>535</v>
      </c>
      <c r="F129" s="184"/>
      <c r="G129" s="260">
        <f>유치협력부!H29</f>
        <v>2100</v>
      </c>
      <c r="H129" s="115">
        <v>2100</v>
      </c>
      <c r="I129" s="117">
        <f t="shared" ref="I129:I130" si="33">G129-H129</f>
        <v>0</v>
      </c>
    </row>
    <row r="130" spans="1:9" ht="18" customHeight="1">
      <c r="A130" s="89"/>
      <c r="B130" s="171"/>
      <c r="C130" s="172"/>
      <c r="D130" s="171"/>
      <c r="E130" s="173"/>
      <c r="F130" s="174" t="s">
        <v>536</v>
      </c>
      <c r="G130" s="259">
        <f>유치협력부!H30</f>
        <v>2100</v>
      </c>
      <c r="H130" s="259">
        <v>2100</v>
      </c>
      <c r="I130" s="119">
        <f t="shared" si="33"/>
        <v>0</v>
      </c>
    </row>
    <row r="131" spans="1:9" ht="18" customHeight="1">
      <c r="A131" s="167"/>
      <c r="B131" s="179" t="s">
        <v>307</v>
      </c>
      <c r="C131" s="180"/>
      <c r="D131" s="180"/>
      <c r="E131" s="180"/>
      <c r="F131" s="181"/>
      <c r="G131" s="261">
        <f>SUM(G132,G138)</f>
        <v>360632</v>
      </c>
      <c r="H131" s="261">
        <v>360632</v>
      </c>
      <c r="I131" s="118">
        <f t="shared" ref="I131:I134" si="34">G131-H131</f>
        <v>0</v>
      </c>
    </row>
    <row r="132" spans="1:9" ht="18" customHeight="1">
      <c r="A132" s="167"/>
      <c r="B132" s="168"/>
      <c r="C132" s="182" t="s">
        <v>390</v>
      </c>
      <c r="D132" s="183"/>
      <c r="E132" s="183"/>
      <c r="F132" s="184"/>
      <c r="G132" s="262">
        <f>SUM(G133)</f>
        <v>308500</v>
      </c>
      <c r="H132" s="262">
        <v>308500</v>
      </c>
      <c r="I132" s="117">
        <f t="shared" si="34"/>
        <v>0</v>
      </c>
    </row>
    <row r="133" spans="1:9" ht="18" customHeight="1">
      <c r="A133" s="167"/>
      <c r="B133" s="169"/>
      <c r="C133" s="170"/>
      <c r="D133" s="182" t="s">
        <v>391</v>
      </c>
      <c r="E133" s="183"/>
      <c r="F133" s="184"/>
      <c r="G133" s="260">
        <f>운영부!H8</f>
        <v>308500</v>
      </c>
      <c r="H133" s="260">
        <v>308500</v>
      </c>
      <c r="I133" s="117">
        <f t="shared" si="34"/>
        <v>0</v>
      </c>
    </row>
    <row r="134" spans="1:9" ht="18" customHeight="1">
      <c r="A134" s="167"/>
      <c r="B134" s="169"/>
      <c r="C134" s="168"/>
      <c r="D134" s="170"/>
      <c r="E134" s="182" t="s">
        <v>392</v>
      </c>
      <c r="F134" s="184"/>
      <c r="G134" s="260">
        <f>운영부!H10</f>
        <v>308500</v>
      </c>
      <c r="H134" s="260">
        <v>308500</v>
      </c>
      <c r="I134" s="117">
        <f t="shared" si="34"/>
        <v>0</v>
      </c>
    </row>
    <row r="135" spans="1:9" ht="18" customHeight="1">
      <c r="A135" s="167"/>
      <c r="B135" s="169"/>
      <c r="C135" s="168"/>
      <c r="D135" s="169"/>
      <c r="E135" s="33"/>
      <c r="F135" s="174" t="s">
        <v>114</v>
      </c>
      <c r="G135" s="259">
        <f>운영부!H11</f>
        <v>8000</v>
      </c>
      <c r="H135" s="259">
        <v>8000</v>
      </c>
      <c r="I135" s="119">
        <f>G135-H135</f>
        <v>0</v>
      </c>
    </row>
    <row r="136" spans="1:9" ht="18" customHeight="1">
      <c r="A136" s="167"/>
      <c r="B136" s="169"/>
      <c r="C136" s="168"/>
      <c r="D136" s="169"/>
      <c r="E136" s="360"/>
      <c r="F136" s="174" t="s">
        <v>393</v>
      </c>
      <c r="G136" s="259">
        <f>운영부!H17</f>
        <v>300000</v>
      </c>
      <c r="H136" s="259">
        <v>300000</v>
      </c>
      <c r="I136" s="119">
        <f>G136-H136</f>
        <v>0</v>
      </c>
    </row>
    <row r="137" spans="1:9" ht="18" customHeight="1">
      <c r="A137" s="167"/>
      <c r="B137" s="169"/>
      <c r="C137" s="168"/>
      <c r="D137" s="169"/>
      <c r="E137" s="359"/>
      <c r="F137" s="174" t="s">
        <v>117</v>
      </c>
      <c r="G137" s="259">
        <f>운영부!H19</f>
        <v>500</v>
      </c>
      <c r="H137" s="259">
        <v>500</v>
      </c>
      <c r="I137" s="119">
        <f>G137-H137</f>
        <v>0</v>
      </c>
    </row>
    <row r="138" spans="1:9" ht="18" customHeight="1">
      <c r="A138" s="167"/>
      <c r="B138" s="168"/>
      <c r="C138" s="182" t="s">
        <v>433</v>
      </c>
      <c r="D138" s="183"/>
      <c r="E138" s="183"/>
      <c r="F138" s="184"/>
      <c r="G138" s="260">
        <f>운영부!H21</f>
        <v>52132</v>
      </c>
      <c r="H138" s="260">
        <v>52132</v>
      </c>
      <c r="I138" s="117">
        <f t="shared" ref="I138:I143" si="35">G138-H138</f>
        <v>0</v>
      </c>
    </row>
    <row r="139" spans="1:9" ht="18" customHeight="1">
      <c r="A139" s="167"/>
      <c r="B139" s="169"/>
      <c r="C139" s="170"/>
      <c r="D139" s="182" t="s">
        <v>140</v>
      </c>
      <c r="E139" s="183"/>
      <c r="F139" s="184"/>
      <c r="G139" s="260">
        <f>운영부!H22</f>
        <v>52132</v>
      </c>
      <c r="H139" s="260">
        <v>52132</v>
      </c>
      <c r="I139" s="117">
        <f t="shared" si="35"/>
        <v>0</v>
      </c>
    </row>
    <row r="140" spans="1:9" ht="18" customHeight="1">
      <c r="A140" s="167"/>
      <c r="B140" s="169"/>
      <c r="C140" s="168"/>
      <c r="D140" s="170"/>
      <c r="E140" s="182" t="s">
        <v>141</v>
      </c>
      <c r="F140" s="184"/>
      <c r="G140" s="260">
        <f>운영부!H24</f>
        <v>19912</v>
      </c>
      <c r="H140" s="260">
        <v>19912</v>
      </c>
      <c r="I140" s="117">
        <f t="shared" si="35"/>
        <v>0</v>
      </c>
    </row>
    <row r="141" spans="1:9" ht="18" customHeight="1">
      <c r="A141" s="89"/>
      <c r="B141" s="171"/>
      <c r="C141" s="172"/>
      <c r="D141" s="171"/>
      <c r="E141" s="174"/>
      <c r="F141" s="174" t="s">
        <v>122</v>
      </c>
      <c r="G141" s="259">
        <f>운영부!H25</f>
        <v>13000</v>
      </c>
      <c r="H141" s="259">
        <v>13000</v>
      </c>
      <c r="I141" s="119">
        <f t="shared" si="35"/>
        <v>0</v>
      </c>
    </row>
    <row r="142" spans="1:9" ht="18" customHeight="1">
      <c r="A142" s="89"/>
      <c r="B142" s="171"/>
      <c r="C142" s="172"/>
      <c r="D142" s="171"/>
      <c r="E142" s="175"/>
      <c r="F142" s="174" t="s">
        <v>326</v>
      </c>
      <c r="G142" s="259">
        <f>운영부!H29</f>
        <v>6912</v>
      </c>
      <c r="H142" s="259">
        <v>6912</v>
      </c>
      <c r="I142" s="119">
        <f>G142-H142</f>
        <v>0</v>
      </c>
    </row>
    <row r="143" spans="1:9" ht="18" customHeight="1">
      <c r="A143" s="167"/>
      <c r="B143" s="169"/>
      <c r="C143" s="168"/>
      <c r="D143" s="169"/>
      <c r="E143" s="182" t="s">
        <v>124</v>
      </c>
      <c r="F143" s="184"/>
      <c r="G143" s="260">
        <f>운영부!H31</f>
        <v>14400</v>
      </c>
      <c r="H143" s="260">
        <v>14400</v>
      </c>
      <c r="I143" s="117">
        <f t="shared" si="35"/>
        <v>0</v>
      </c>
    </row>
    <row r="144" spans="1:9" ht="18" customHeight="1">
      <c r="A144" s="89"/>
      <c r="B144" s="171"/>
      <c r="C144" s="172"/>
      <c r="D144" s="171"/>
      <c r="E144" s="174"/>
      <c r="F144" s="174" t="s">
        <v>115</v>
      </c>
      <c r="G144" s="259">
        <f>운영부!H32</f>
        <v>14400</v>
      </c>
      <c r="H144" s="259">
        <v>14400</v>
      </c>
      <c r="I144" s="119">
        <f>G144-H144</f>
        <v>0</v>
      </c>
    </row>
    <row r="145" spans="1:9" ht="18" customHeight="1">
      <c r="A145" s="167"/>
      <c r="B145" s="169"/>
      <c r="C145" s="168"/>
      <c r="D145" s="169"/>
      <c r="E145" s="182" t="s">
        <v>126</v>
      </c>
      <c r="F145" s="184"/>
      <c r="G145" s="260">
        <f>운영부!H35</f>
        <v>13400</v>
      </c>
      <c r="H145" s="260">
        <v>13400</v>
      </c>
      <c r="I145" s="117">
        <f t="shared" ref="I145:I146" si="36">G145-H145</f>
        <v>0</v>
      </c>
    </row>
    <row r="146" spans="1:9" ht="18" customHeight="1">
      <c r="A146" s="89"/>
      <c r="B146" s="171"/>
      <c r="C146" s="172"/>
      <c r="D146" s="171"/>
      <c r="E146" s="173"/>
      <c r="F146" s="174" t="s">
        <v>127</v>
      </c>
      <c r="G146" s="259">
        <f>운영부!H36</f>
        <v>13400</v>
      </c>
      <c r="H146" s="259">
        <v>13400</v>
      </c>
      <c r="I146" s="119">
        <f t="shared" si="36"/>
        <v>0</v>
      </c>
    </row>
    <row r="147" spans="1:9" ht="18" customHeight="1">
      <c r="A147" s="167"/>
      <c r="B147" s="169"/>
      <c r="C147" s="168"/>
      <c r="D147" s="169"/>
      <c r="E147" s="182" t="s">
        <v>132</v>
      </c>
      <c r="F147" s="184"/>
      <c r="G147" s="260">
        <f>운영부!H41</f>
        <v>4420</v>
      </c>
      <c r="H147" s="260">
        <v>4420</v>
      </c>
      <c r="I147" s="117">
        <f t="shared" ref="I147:I149" si="37">G147-H147</f>
        <v>0</v>
      </c>
    </row>
    <row r="148" spans="1:9" ht="18" customHeight="1">
      <c r="A148" s="167"/>
      <c r="B148" s="169"/>
      <c r="C148" s="168"/>
      <c r="D148" s="169"/>
      <c r="E148" s="33"/>
      <c r="F148" s="304" t="s">
        <v>434</v>
      </c>
      <c r="G148" s="259">
        <f>운영부!H42</f>
        <v>2320</v>
      </c>
      <c r="H148" s="259">
        <v>2320</v>
      </c>
      <c r="I148" s="119">
        <f t="shared" si="37"/>
        <v>0</v>
      </c>
    </row>
    <row r="149" spans="1:9" ht="18" customHeight="1">
      <c r="A149" s="89"/>
      <c r="B149" s="171"/>
      <c r="C149" s="172"/>
      <c r="D149" s="171"/>
      <c r="E149" s="175"/>
      <c r="F149" s="174" t="s">
        <v>435</v>
      </c>
      <c r="G149" s="259">
        <f>운영부!H44</f>
        <v>2100</v>
      </c>
      <c r="H149" s="259">
        <v>2100</v>
      </c>
      <c r="I149" s="119">
        <f t="shared" si="37"/>
        <v>0</v>
      </c>
    </row>
    <row r="150" spans="1:9" ht="18" customHeight="1">
      <c r="A150" s="167"/>
      <c r="B150" s="179" t="s">
        <v>313</v>
      </c>
      <c r="C150" s="180"/>
      <c r="D150" s="180"/>
      <c r="E150" s="180"/>
      <c r="F150" s="181"/>
      <c r="G150" s="261">
        <f>G151</f>
        <v>25268</v>
      </c>
      <c r="H150" s="261">
        <v>25268</v>
      </c>
      <c r="I150" s="118">
        <f t="shared" ref="I150" si="38">G150-H150</f>
        <v>0</v>
      </c>
    </row>
    <row r="151" spans="1:9" ht="18" customHeight="1">
      <c r="A151" s="167"/>
      <c r="B151" s="168"/>
      <c r="C151" s="182" t="s">
        <v>314</v>
      </c>
      <c r="D151" s="183"/>
      <c r="E151" s="183"/>
      <c r="F151" s="184"/>
      <c r="G151" s="260">
        <f>행사부!H7</f>
        <v>25268</v>
      </c>
      <c r="H151" s="114">
        <v>25268</v>
      </c>
      <c r="I151" s="117">
        <f t="shared" ref="I151:I156" si="39">G151-H151</f>
        <v>0</v>
      </c>
    </row>
    <row r="152" spans="1:9" ht="18" customHeight="1">
      <c r="A152" s="167"/>
      <c r="B152" s="169"/>
      <c r="C152" s="170"/>
      <c r="D152" s="182" t="s">
        <v>140</v>
      </c>
      <c r="E152" s="183"/>
      <c r="F152" s="184"/>
      <c r="G152" s="260">
        <f>행사부!H8</f>
        <v>25268</v>
      </c>
      <c r="H152" s="115">
        <v>25268</v>
      </c>
      <c r="I152" s="117">
        <f t="shared" si="39"/>
        <v>0</v>
      </c>
    </row>
    <row r="153" spans="1:9" ht="18" customHeight="1">
      <c r="A153" s="167"/>
      <c r="B153" s="169"/>
      <c r="C153" s="168"/>
      <c r="D153" s="170"/>
      <c r="E153" s="182" t="s">
        <v>141</v>
      </c>
      <c r="F153" s="184"/>
      <c r="G153" s="260">
        <f>행사부!H10</f>
        <v>8568</v>
      </c>
      <c r="H153" s="115">
        <v>8568</v>
      </c>
      <c r="I153" s="117">
        <f t="shared" si="39"/>
        <v>0</v>
      </c>
    </row>
    <row r="154" spans="1:9" ht="18" customHeight="1">
      <c r="A154" s="89"/>
      <c r="B154" s="171"/>
      <c r="C154" s="172"/>
      <c r="D154" s="171"/>
      <c r="E154" s="174"/>
      <c r="F154" s="174" t="s">
        <v>122</v>
      </c>
      <c r="G154" s="259">
        <f>행사부!H11</f>
        <v>2520</v>
      </c>
      <c r="H154" s="16">
        <v>2520</v>
      </c>
      <c r="I154" s="119">
        <f t="shared" si="39"/>
        <v>0</v>
      </c>
    </row>
    <row r="155" spans="1:9" ht="18" customHeight="1">
      <c r="A155" s="89"/>
      <c r="B155" s="171"/>
      <c r="C155" s="172"/>
      <c r="D155" s="171"/>
      <c r="E155" s="175"/>
      <c r="F155" s="174" t="s">
        <v>329</v>
      </c>
      <c r="G155" s="259">
        <f>행사부!H13</f>
        <v>6048</v>
      </c>
      <c r="H155" s="16">
        <v>6048</v>
      </c>
      <c r="I155" s="119">
        <f t="shared" ref="I155" si="40">G155-H155</f>
        <v>0</v>
      </c>
    </row>
    <row r="156" spans="1:9" ht="18" customHeight="1">
      <c r="A156" s="167"/>
      <c r="B156" s="169"/>
      <c r="C156" s="168"/>
      <c r="D156" s="169"/>
      <c r="E156" s="182" t="s">
        <v>124</v>
      </c>
      <c r="F156" s="184"/>
      <c r="G156" s="260">
        <f>행사부!H15</f>
        <v>12600</v>
      </c>
      <c r="H156" s="115">
        <v>12600</v>
      </c>
      <c r="I156" s="117">
        <f t="shared" si="39"/>
        <v>0</v>
      </c>
    </row>
    <row r="157" spans="1:9" ht="18" customHeight="1">
      <c r="A157" s="89"/>
      <c r="B157" s="171"/>
      <c r="C157" s="172"/>
      <c r="D157" s="171"/>
      <c r="E157" s="174"/>
      <c r="F157" s="174" t="s">
        <v>115</v>
      </c>
      <c r="G157" s="259">
        <f>행사부!H16</f>
        <v>12600</v>
      </c>
      <c r="H157" s="16">
        <v>12600</v>
      </c>
      <c r="I157" s="119">
        <f>G157-H157</f>
        <v>0</v>
      </c>
    </row>
    <row r="158" spans="1:9" ht="18" customHeight="1">
      <c r="A158" s="167"/>
      <c r="B158" s="169"/>
      <c r="C158" s="168"/>
      <c r="D158" s="169"/>
      <c r="E158" s="182" t="s">
        <v>126</v>
      </c>
      <c r="F158" s="184"/>
      <c r="G158" s="260">
        <f>행사부!H19</f>
        <v>2000</v>
      </c>
      <c r="H158" s="115">
        <v>2000</v>
      </c>
      <c r="I158" s="117">
        <f t="shared" ref="I158:I162" si="41">G158-H158</f>
        <v>0</v>
      </c>
    </row>
    <row r="159" spans="1:9" ht="18" customHeight="1">
      <c r="A159" s="89"/>
      <c r="B159" s="171"/>
      <c r="C159" s="172"/>
      <c r="D159" s="171"/>
      <c r="E159" s="173"/>
      <c r="F159" s="174" t="s">
        <v>127</v>
      </c>
      <c r="G159" s="259">
        <f>행사부!H20</f>
        <v>2000</v>
      </c>
      <c r="H159" s="16">
        <v>2000</v>
      </c>
      <c r="I159" s="119">
        <f t="shared" si="41"/>
        <v>0</v>
      </c>
    </row>
    <row r="160" spans="1:9" ht="18" customHeight="1">
      <c r="A160" s="167"/>
      <c r="B160" s="169"/>
      <c r="C160" s="168"/>
      <c r="D160" s="169"/>
      <c r="E160" s="182" t="s">
        <v>535</v>
      </c>
      <c r="F160" s="184"/>
      <c r="G160" s="260">
        <f>행사부!H22</f>
        <v>2100</v>
      </c>
      <c r="H160" s="115">
        <v>2100</v>
      </c>
      <c r="I160" s="117">
        <f t="shared" ref="I160:I161" si="42">G160-H160</f>
        <v>0</v>
      </c>
    </row>
    <row r="161" spans="1:9" ht="18" customHeight="1">
      <c r="A161" s="89"/>
      <c r="B161" s="171"/>
      <c r="C161" s="172"/>
      <c r="D161" s="171"/>
      <c r="E161" s="173"/>
      <c r="F161" s="174" t="s">
        <v>536</v>
      </c>
      <c r="G161" s="259">
        <f>행사부!H23</f>
        <v>2100</v>
      </c>
      <c r="H161" s="16">
        <v>2100</v>
      </c>
      <c r="I161" s="119">
        <f t="shared" si="42"/>
        <v>0</v>
      </c>
    </row>
    <row r="162" spans="1:9" ht="18" customHeight="1">
      <c r="A162" s="167"/>
      <c r="B162" s="179" t="s">
        <v>285</v>
      </c>
      <c r="C162" s="180"/>
      <c r="D162" s="180"/>
      <c r="E162" s="180"/>
      <c r="F162" s="181"/>
      <c r="G162" s="261">
        <f>G163</f>
        <v>25268</v>
      </c>
      <c r="H162" s="261">
        <v>25268</v>
      </c>
      <c r="I162" s="118">
        <f t="shared" si="41"/>
        <v>0</v>
      </c>
    </row>
    <row r="163" spans="1:9" ht="18" customHeight="1">
      <c r="A163" s="167"/>
      <c r="B163" s="168"/>
      <c r="C163" s="182" t="s">
        <v>315</v>
      </c>
      <c r="D163" s="183"/>
      <c r="E163" s="183"/>
      <c r="F163" s="184"/>
      <c r="G163" s="260">
        <f>시설조성부!H7</f>
        <v>25268</v>
      </c>
      <c r="H163" s="260">
        <v>25268</v>
      </c>
      <c r="I163" s="117">
        <f t="shared" ref="I163:I168" si="43">G163-H163</f>
        <v>0</v>
      </c>
    </row>
    <row r="164" spans="1:9" ht="18" customHeight="1">
      <c r="A164" s="167"/>
      <c r="B164" s="169"/>
      <c r="C164" s="170"/>
      <c r="D164" s="182" t="s">
        <v>140</v>
      </c>
      <c r="E164" s="183"/>
      <c r="F164" s="184"/>
      <c r="G164" s="260">
        <f>시설조성부!H8</f>
        <v>25268</v>
      </c>
      <c r="H164" s="260">
        <v>25268</v>
      </c>
      <c r="I164" s="117">
        <f t="shared" si="43"/>
        <v>0</v>
      </c>
    </row>
    <row r="165" spans="1:9" ht="18" customHeight="1">
      <c r="A165" s="167"/>
      <c r="B165" s="169"/>
      <c r="C165" s="168"/>
      <c r="D165" s="170"/>
      <c r="E165" s="182" t="s">
        <v>141</v>
      </c>
      <c r="F165" s="184"/>
      <c r="G165" s="260">
        <f>시설조성부!H10</f>
        <v>8568</v>
      </c>
      <c r="H165" s="260">
        <v>8568</v>
      </c>
      <c r="I165" s="117">
        <f t="shared" si="43"/>
        <v>0</v>
      </c>
    </row>
    <row r="166" spans="1:9" ht="18" customHeight="1">
      <c r="A166" s="89"/>
      <c r="B166" s="171"/>
      <c r="C166" s="172"/>
      <c r="D166" s="171"/>
      <c r="E166" s="174"/>
      <c r="F166" s="174" t="s">
        <v>122</v>
      </c>
      <c r="G166" s="259">
        <f>시설조성부!H11</f>
        <v>2520</v>
      </c>
      <c r="H166" s="259">
        <v>2520</v>
      </c>
      <c r="I166" s="119">
        <f t="shared" si="43"/>
        <v>0</v>
      </c>
    </row>
    <row r="167" spans="1:9" ht="18" customHeight="1">
      <c r="A167" s="89"/>
      <c r="B167" s="171"/>
      <c r="C167" s="172"/>
      <c r="D167" s="171"/>
      <c r="E167" s="175"/>
      <c r="F167" s="174" t="s">
        <v>326</v>
      </c>
      <c r="G167" s="259">
        <f>시설조성부!H13</f>
        <v>6048</v>
      </c>
      <c r="H167" s="259">
        <v>6048</v>
      </c>
      <c r="I167" s="119">
        <f>G167-H167</f>
        <v>0</v>
      </c>
    </row>
    <row r="168" spans="1:9" ht="18" customHeight="1">
      <c r="A168" s="167"/>
      <c r="B168" s="169"/>
      <c r="C168" s="168"/>
      <c r="D168" s="169"/>
      <c r="E168" s="182" t="s">
        <v>124</v>
      </c>
      <c r="F168" s="184"/>
      <c r="G168" s="260">
        <f>시설조성부!H15</f>
        <v>12600</v>
      </c>
      <c r="H168" s="260">
        <v>12600</v>
      </c>
      <c r="I168" s="117">
        <f t="shared" si="43"/>
        <v>0</v>
      </c>
    </row>
    <row r="169" spans="1:9" ht="18" customHeight="1">
      <c r="A169" s="89"/>
      <c r="B169" s="171"/>
      <c r="C169" s="172"/>
      <c r="D169" s="171"/>
      <c r="E169" s="174"/>
      <c r="F169" s="174" t="s">
        <v>115</v>
      </c>
      <c r="G169" s="259">
        <f>시설조성부!H16</f>
        <v>12600</v>
      </c>
      <c r="H169" s="259">
        <v>12600</v>
      </c>
      <c r="I169" s="119">
        <f>G169-H169</f>
        <v>0</v>
      </c>
    </row>
    <row r="170" spans="1:9" ht="18" customHeight="1">
      <c r="A170" s="167"/>
      <c r="B170" s="169"/>
      <c r="C170" s="168"/>
      <c r="D170" s="169"/>
      <c r="E170" s="182" t="s">
        <v>126</v>
      </c>
      <c r="F170" s="184" t="s">
        <v>723</v>
      </c>
      <c r="G170" s="260">
        <f>시설조성부!H19</f>
        <v>2000</v>
      </c>
      <c r="H170" s="260">
        <v>2000</v>
      </c>
      <c r="I170" s="117">
        <f t="shared" ref="I170:I174" si="44">G170-H170</f>
        <v>0</v>
      </c>
    </row>
    <row r="171" spans="1:9" ht="18" customHeight="1">
      <c r="A171" s="89"/>
      <c r="B171" s="171"/>
      <c r="C171" s="172"/>
      <c r="D171" s="171"/>
      <c r="E171" s="173"/>
      <c r="F171" s="174" t="s">
        <v>127</v>
      </c>
      <c r="G171" s="259">
        <f>시설조성부!H20</f>
        <v>2000</v>
      </c>
      <c r="H171" s="259">
        <v>2000</v>
      </c>
      <c r="I171" s="119">
        <f t="shared" si="44"/>
        <v>0</v>
      </c>
    </row>
    <row r="172" spans="1:9" ht="18" customHeight="1">
      <c r="A172" s="167"/>
      <c r="B172" s="169"/>
      <c r="C172" s="168"/>
      <c r="D172" s="169"/>
      <c r="E172" s="182" t="s">
        <v>535</v>
      </c>
      <c r="F172" s="184"/>
      <c r="G172" s="260">
        <f>시설조성부!H22</f>
        <v>2100</v>
      </c>
      <c r="H172" s="260">
        <v>2100</v>
      </c>
      <c r="I172" s="117">
        <f t="shared" si="44"/>
        <v>0</v>
      </c>
    </row>
    <row r="173" spans="1:9" ht="18" customHeight="1">
      <c r="A173" s="89"/>
      <c r="B173" s="171"/>
      <c r="C173" s="172"/>
      <c r="D173" s="171"/>
      <c r="E173" s="173"/>
      <c r="F173" s="174" t="s">
        <v>536</v>
      </c>
      <c r="G173" s="259">
        <f>시설조성부!H23</f>
        <v>2100</v>
      </c>
      <c r="H173" s="259">
        <v>2100</v>
      </c>
      <c r="I173" s="119">
        <f t="shared" si="44"/>
        <v>0</v>
      </c>
    </row>
    <row r="174" spans="1:9" ht="18" customHeight="1">
      <c r="A174" s="167"/>
      <c r="B174" s="179" t="s">
        <v>316</v>
      </c>
      <c r="C174" s="180"/>
      <c r="D174" s="180"/>
      <c r="E174" s="180"/>
      <c r="F174" s="181"/>
      <c r="G174" s="261">
        <f>전시연출부!H5</f>
        <v>34668</v>
      </c>
      <c r="H174" s="261">
        <v>34668</v>
      </c>
      <c r="I174" s="118">
        <f t="shared" si="44"/>
        <v>0</v>
      </c>
    </row>
    <row r="175" spans="1:9" ht="18" customHeight="1">
      <c r="A175" s="167"/>
      <c r="B175" s="168"/>
      <c r="C175" s="182" t="s">
        <v>707</v>
      </c>
      <c r="D175" s="183"/>
      <c r="E175" s="183"/>
      <c r="F175" s="184"/>
      <c r="G175" s="260">
        <f>전시연출부!H6</f>
        <v>34668</v>
      </c>
      <c r="H175" s="260">
        <v>34668</v>
      </c>
      <c r="I175" s="117">
        <f>G175-H175</f>
        <v>0</v>
      </c>
    </row>
    <row r="176" spans="1:9" ht="18" customHeight="1">
      <c r="A176" s="167"/>
      <c r="B176" s="169"/>
      <c r="C176" s="170"/>
      <c r="D176" s="132" t="s">
        <v>687</v>
      </c>
      <c r="E176" s="183"/>
      <c r="F176" s="184"/>
      <c r="G176" s="260">
        <f>전시연출부!H8</f>
        <v>4700</v>
      </c>
      <c r="H176" s="260">
        <v>4700</v>
      </c>
      <c r="I176" s="117">
        <f t="shared" ref="I176:I181" si="45">G176-H176</f>
        <v>0</v>
      </c>
    </row>
    <row r="177" spans="1:9" ht="18" customHeight="1">
      <c r="A177" s="167"/>
      <c r="B177" s="169"/>
      <c r="C177" s="168"/>
      <c r="D177" s="170"/>
      <c r="E177" s="182" t="s">
        <v>113</v>
      </c>
      <c r="F177" s="184"/>
      <c r="G177" s="260">
        <f>전시연출부!H10</f>
        <v>4700</v>
      </c>
      <c r="H177" s="260">
        <v>4700</v>
      </c>
      <c r="I177" s="117">
        <f t="shared" si="45"/>
        <v>0</v>
      </c>
    </row>
    <row r="178" spans="1:9" ht="18" customHeight="1">
      <c r="A178" s="89"/>
      <c r="B178" s="171"/>
      <c r="C178" s="171"/>
      <c r="D178" s="171"/>
      <c r="E178" s="174"/>
      <c r="F178" s="174" t="s">
        <v>114</v>
      </c>
      <c r="G178" s="259">
        <f>전시연출부!H11+전시연출부!H15</f>
        <v>4700</v>
      </c>
      <c r="H178" s="259">
        <v>4700</v>
      </c>
      <c r="I178" s="119">
        <f t="shared" si="45"/>
        <v>0</v>
      </c>
    </row>
    <row r="179" spans="1:9" ht="18" customHeight="1">
      <c r="A179" s="167"/>
      <c r="B179" s="169"/>
      <c r="C179" s="169"/>
      <c r="D179" s="132" t="s">
        <v>694</v>
      </c>
      <c r="E179" s="183"/>
      <c r="F179" s="184"/>
      <c r="G179" s="260">
        <f>전시연출부!H18</f>
        <v>4700</v>
      </c>
      <c r="H179" s="260">
        <v>4700</v>
      </c>
      <c r="I179" s="117">
        <f t="shared" si="45"/>
        <v>0</v>
      </c>
    </row>
    <row r="180" spans="1:9" ht="18" customHeight="1">
      <c r="A180" s="167"/>
      <c r="B180" s="169"/>
      <c r="C180" s="168"/>
      <c r="D180" s="170"/>
      <c r="E180" s="182" t="s">
        <v>113</v>
      </c>
      <c r="F180" s="184"/>
      <c r="G180" s="260">
        <f>전시연출부!H20</f>
        <v>4700</v>
      </c>
      <c r="H180" s="260">
        <v>4700</v>
      </c>
      <c r="I180" s="117">
        <f t="shared" si="45"/>
        <v>0</v>
      </c>
    </row>
    <row r="181" spans="1:9" ht="18" customHeight="1">
      <c r="A181" s="89"/>
      <c r="B181" s="171"/>
      <c r="C181" s="172"/>
      <c r="D181" s="171"/>
      <c r="E181" s="174"/>
      <c r="F181" s="174" t="s">
        <v>114</v>
      </c>
      <c r="G181" s="259">
        <f>전시연출부!H21+전시연출부!H25</f>
        <v>4700</v>
      </c>
      <c r="H181" s="259">
        <v>4700</v>
      </c>
      <c r="I181" s="119">
        <f t="shared" si="45"/>
        <v>0</v>
      </c>
    </row>
    <row r="182" spans="1:9" ht="18" customHeight="1">
      <c r="A182" s="167"/>
      <c r="B182" s="168"/>
      <c r="C182" s="182" t="s">
        <v>253</v>
      </c>
      <c r="D182" s="183"/>
      <c r="E182" s="183"/>
      <c r="F182" s="184"/>
      <c r="G182" s="260">
        <f>전시연출부!H28</f>
        <v>25268</v>
      </c>
      <c r="H182" s="260">
        <v>25268</v>
      </c>
      <c r="I182" s="117">
        <f t="shared" ref="I182:I187" si="46">G182-H182</f>
        <v>0</v>
      </c>
    </row>
    <row r="183" spans="1:9" ht="18" customHeight="1">
      <c r="A183" s="167"/>
      <c r="B183" s="169"/>
      <c r="C183" s="170"/>
      <c r="D183" s="182" t="s">
        <v>140</v>
      </c>
      <c r="E183" s="183"/>
      <c r="F183" s="184"/>
      <c r="G183" s="260">
        <f>전시연출부!H29</f>
        <v>25268</v>
      </c>
      <c r="H183" s="260">
        <v>25268</v>
      </c>
      <c r="I183" s="117">
        <f t="shared" si="46"/>
        <v>0</v>
      </c>
    </row>
    <row r="184" spans="1:9" ht="18" customHeight="1">
      <c r="A184" s="167"/>
      <c r="B184" s="169"/>
      <c r="C184" s="168"/>
      <c r="D184" s="170"/>
      <c r="E184" s="182" t="s">
        <v>141</v>
      </c>
      <c r="F184" s="184"/>
      <c r="G184" s="260">
        <f>전시연출부!H31</f>
        <v>8568</v>
      </c>
      <c r="H184" s="260">
        <v>8568</v>
      </c>
      <c r="I184" s="117">
        <f t="shared" si="46"/>
        <v>0</v>
      </c>
    </row>
    <row r="185" spans="1:9" ht="18" customHeight="1">
      <c r="A185" s="89"/>
      <c r="B185" s="171"/>
      <c r="C185" s="172"/>
      <c r="D185" s="171"/>
      <c r="E185" s="174"/>
      <c r="F185" s="174" t="s">
        <v>122</v>
      </c>
      <c r="G185" s="259">
        <f>전시연출부!H32</f>
        <v>2520</v>
      </c>
      <c r="H185" s="259">
        <v>2520</v>
      </c>
      <c r="I185" s="119">
        <f t="shared" si="46"/>
        <v>0</v>
      </c>
    </row>
    <row r="186" spans="1:9" ht="18" customHeight="1">
      <c r="A186" s="89"/>
      <c r="B186" s="171"/>
      <c r="C186" s="172"/>
      <c r="D186" s="171"/>
      <c r="E186" s="175"/>
      <c r="F186" s="174" t="s">
        <v>326</v>
      </c>
      <c r="G186" s="259">
        <f>전시연출부!H34</f>
        <v>6048</v>
      </c>
      <c r="H186" s="259">
        <v>6048</v>
      </c>
      <c r="I186" s="119">
        <f>G186-H186</f>
        <v>0</v>
      </c>
    </row>
    <row r="187" spans="1:9" ht="18" customHeight="1">
      <c r="A187" s="167"/>
      <c r="B187" s="169"/>
      <c r="C187" s="168"/>
      <c r="D187" s="169"/>
      <c r="E187" s="182" t="s">
        <v>124</v>
      </c>
      <c r="F187" s="184"/>
      <c r="G187" s="260">
        <f>전시연출부!H36</f>
        <v>12600</v>
      </c>
      <c r="H187" s="260">
        <v>12600</v>
      </c>
      <c r="I187" s="117">
        <f t="shared" si="46"/>
        <v>0</v>
      </c>
    </row>
    <row r="188" spans="1:9" ht="18" customHeight="1">
      <c r="A188" s="89"/>
      <c r="B188" s="171"/>
      <c r="C188" s="172"/>
      <c r="D188" s="171"/>
      <c r="E188" s="174"/>
      <c r="F188" s="174" t="s">
        <v>115</v>
      </c>
      <c r="G188" s="259">
        <f>전시연출부!H37</f>
        <v>12600</v>
      </c>
      <c r="H188" s="259">
        <v>12600</v>
      </c>
      <c r="I188" s="119">
        <f>G188-H188</f>
        <v>0</v>
      </c>
    </row>
    <row r="189" spans="1:9" ht="18" customHeight="1">
      <c r="A189" s="167"/>
      <c r="B189" s="169"/>
      <c r="C189" s="168"/>
      <c r="D189" s="169"/>
      <c r="E189" s="182" t="s">
        <v>126</v>
      </c>
      <c r="F189" s="184"/>
      <c r="G189" s="260">
        <f>전시연출부!H40</f>
        <v>2000</v>
      </c>
      <c r="H189" s="260">
        <v>2000</v>
      </c>
      <c r="I189" s="117">
        <f t="shared" ref="I189:I192" si="47">G189-H189</f>
        <v>0</v>
      </c>
    </row>
    <row r="190" spans="1:9" ht="18" customHeight="1">
      <c r="A190" s="89"/>
      <c r="B190" s="171"/>
      <c r="C190" s="172"/>
      <c r="D190" s="171"/>
      <c r="E190" s="173"/>
      <c r="F190" s="174" t="s">
        <v>127</v>
      </c>
      <c r="G190" s="259">
        <f>전시연출부!H41</f>
        <v>2000</v>
      </c>
      <c r="H190" s="259">
        <v>2000</v>
      </c>
      <c r="I190" s="119">
        <f t="shared" si="47"/>
        <v>0</v>
      </c>
    </row>
    <row r="191" spans="1:9" ht="18" customHeight="1">
      <c r="A191" s="167"/>
      <c r="B191" s="169"/>
      <c r="C191" s="168"/>
      <c r="D191" s="169"/>
      <c r="E191" s="182" t="s">
        <v>535</v>
      </c>
      <c r="F191" s="184"/>
      <c r="G191" s="260">
        <f>전시연출부!H43</f>
        <v>2100</v>
      </c>
      <c r="H191" s="260">
        <v>2100</v>
      </c>
      <c r="I191" s="117">
        <f t="shared" si="47"/>
        <v>0</v>
      </c>
    </row>
    <row r="192" spans="1:9" ht="18" customHeight="1">
      <c r="A192" s="89"/>
      <c r="B192" s="171"/>
      <c r="C192" s="172"/>
      <c r="D192" s="171"/>
      <c r="E192" s="173"/>
      <c r="F192" s="174" t="s">
        <v>536</v>
      </c>
      <c r="G192" s="259">
        <f>전시연출부!H44</f>
        <v>2100</v>
      </c>
      <c r="H192" s="259">
        <v>2100</v>
      </c>
      <c r="I192" s="119">
        <f t="shared" si="47"/>
        <v>0</v>
      </c>
    </row>
    <row r="193" spans="1:9" ht="18" customHeight="1">
      <c r="A193" s="167"/>
      <c r="B193" s="179" t="s">
        <v>3</v>
      </c>
      <c r="C193" s="180"/>
      <c r="D193" s="180"/>
      <c r="E193" s="180"/>
      <c r="F193" s="181"/>
      <c r="G193" s="116">
        <f>G194</f>
        <v>2692085</v>
      </c>
      <c r="H193" s="116">
        <v>380240</v>
      </c>
      <c r="I193" s="118">
        <f t="shared" ref="I193:I203" si="48">G193-H193</f>
        <v>2311845</v>
      </c>
    </row>
    <row r="194" spans="1:9" ht="18" customHeight="1">
      <c r="A194" s="167"/>
      <c r="B194" s="168"/>
      <c r="C194" s="182" t="s">
        <v>135</v>
      </c>
      <c r="D194" s="183"/>
      <c r="E194" s="183"/>
      <c r="F194" s="184"/>
      <c r="G194" s="15">
        <f>예비비!H7</f>
        <v>2692085</v>
      </c>
      <c r="H194" s="114">
        <v>380240</v>
      </c>
      <c r="I194" s="117">
        <f t="shared" si="48"/>
        <v>2311845</v>
      </c>
    </row>
    <row r="195" spans="1:9" ht="18" customHeight="1">
      <c r="A195" s="167"/>
      <c r="B195" s="169"/>
      <c r="C195" s="170"/>
      <c r="D195" s="182" t="s">
        <v>101</v>
      </c>
      <c r="E195" s="183"/>
      <c r="F195" s="184"/>
      <c r="G195" s="15">
        <f>예비비!H8</f>
        <v>2692085</v>
      </c>
      <c r="H195" s="115">
        <v>380240</v>
      </c>
      <c r="I195" s="117">
        <f t="shared" si="48"/>
        <v>2311845</v>
      </c>
    </row>
    <row r="196" spans="1:9" ht="18" customHeight="1">
      <c r="A196" s="167"/>
      <c r="B196" s="169"/>
      <c r="C196" s="168"/>
      <c r="D196" s="170"/>
      <c r="E196" s="182" t="s">
        <v>3</v>
      </c>
      <c r="F196" s="184"/>
      <c r="G196" s="15">
        <f>예비비!H9</f>
        <v>2692085</v>
      </c>
      <c r="H196" s="115">
        <v>380240</v>
      </c>
      <c r="I196" s="117">
        <f t="shared" si="48"/>
        <v>2311845</v>
      </c>
    </row>
    <row r="197" spans="1:9" ht="18" customHeight="1" thickBot="1">
      <c r="A197" s="251"/>
      <c r="B197" s="176"/>
      <c r="C197" s="252"/>
      <c r="D197" s="176"/>
      <c r="E197" s="177"/>
      <c r="F197" s="550" t="s">
        <v>136</v>
      </c>
      <c r="G197" s="257">
        <f>예비비!H11</f>
        <v>2692085</v>
      </c>
      <c r="H197" s="90">
        <v>380240</v>
      </c>
      <c r="I197" s="548">
        <f t="shared" si="48"/>
        <v>2311845</v>
      </c>
    </row>
    <row r="198" spans="1:9" ht="18" customHeight="1">
      <c r="A198" s="166" t="s">
        <v>277</v>
      </c>
      <c r="B198" s="183"/>
      <c r="C198" s="183"/>
      <c r="D198" s="183"/>
      <c r="E198" s="183"/>
      <c r="F198" s="184"/>
      <c r="G198" s="113">
        <f>G199+G205</f>
        <v>2780000</v>
      </c>
      <c r="H198" s="113">
        <v>0</v>
      </c>
      <c r="I198" s="117">
        <f t="shared" si="48"/>
        <v>2780000</v>
      </c>
    </row>
    <row r="199" spans="1:9" ht="18" customHeight="1">
      <c r="A199" s="271"/>
      <c r="B199" s="435" t="s">
        <v>724</v>
      </c>
      <c r="C199" s="436"/>
      <c r="D199" s="436"/>
      <c r="E199" s="436"/>
      <c r="F199" s="437"/>
      <c r="G199" s="116">
        <f>시설조성부!H26</f>
        <v>2780000</v>
      </c>
      <c r="H199" s="116">
        <v>0</v>
      </c>
      <c r="I199" s="118">
        <f t="shared" si="48"/>
        <v>2780000</v>
      </c>
    </row>
    <row r="200" spans="1:9" ht="18" customHeight="1">
      <c r="A200" s="271"/>
      <c r="B200" s="438"/>
      <c r="C200" s="429" t="s">
        <v>725</v>
      </c>
      <c r="D200" s="433"/>
      <c r="E200" s="433"/>
      <c r="F200" s="430"/>
      <c r="G200" s="15">
        <f>시설조성부!H27</f>
        <v>2780000</v>
      </c>
      <c r="H200" s="114">
        <v>0</v>
      </c>
      <c r="I200" s="117">
        <f t="shared" si="48"/>
        <v>2780000</v>
      </c>
    </row>
    <row r="201" spans="1:9">
      <c r="A201" s="271"/>
      <c r="B201" s="439"/>
      <c r="C201" s="440"/>
      <c r="D201" s="429" t="s">
        <v>726</v>
      </c>
      <c r="E201" s="433"/>
      <c r="F201" s="430"/>
      <c r="G201" s="15">
        <f>시설조성부!H28</f>
        <v>2780000</v>
      </c>
      <c r="H201" s="115">
        <v>0</v>
      </c>
      <c r="I201" s="117">
        <f t="shared" si="48"/>
        <v>2780000</v>
      </c>
    </row>
    <row r="202" spans="1:9">
      <c r="A202" s="271"/>
      <c r="B202" s="439"/>
      <c r="C202" s="438"/>
      <c r="D202" s="440"/>
      <c r="E202" s="429" t="s">
        <v>727</v>
      </c>
      <c r="F202" s="430"/>
      <c r="G202" s="15">
        <f>시설조성부!H30</f>
        <v>2780000</v>
      </c>
      <c r="H202" s="115">
        <v>0</v>
      </c>
      <c r="I202" s="117">
        <f t="shared" si="48"/>
        <v>2780000</v>
      </c>
    </row>
    <row r="203" spans="1:9">
      <c r="A203" s="352"/>
      <c r="B203" s="525"/>
      <c r="C203" s="526"/>
      <c r="D203" s="525"/>
      <c r="E203" s="431"/>
      <c r="F203" s="432" t="s">
        <v>728</v>
      </c>
      <c r="G203" s="434">
        <f>시설조성부!H31</f>
        <v>2769992</v>
      </c>
      <c r="H203" s="356">
        <v>0</v>
      </c>
      <c r="I203" s="547">
        <f t="shared" si="48"/>
        <v>2769992</v>
      </c>
    </row>
    <row r="204" spans="1:9">
      <c r="A204" s="352"/>
      <c r="B204" s="441"/>
      <c r="C204" s="442"/>
      <c r="D204" s="441"/>
      <c r="E204" s="441"/>
      <c r="F204" s="432" t="s">
        <v>762</v>
      </c>
      <c r="G204" s="434">
        <f>시설조성부!H34</f>
        <v>10008</v>
      </c>
      <c r="H204" s="356">
        <v>0</v>
      </c>
      <c r="I204" s="547">
        <f t="shared" ref="I204" si="49">G204-H204</f>
        <v>10008</v>
      </c>
    </row>
    <row r="205" spans="1:9" ht="18" customHeight="1">
      <c r="A205" s="271"/>
      <c r="B205" s="353" t="s">
        <v>317</v>
      </c>
      <c r="C205" s="279"/>
      <c r="D205" s="279"/>
      <c r="E205" s="279"/>
      <c r="F205" s="354"/>
      <c r="G205" s="269">
        <f>G206</f>
        <v>0</v>
      </c>
      <c r="H205" s="269">
        <v>0</v>
      </c>
      <c r="I205" s="355">
        <f t="shared" ref="I205:I209" si="50">G205-H205</f>
        <v>0</v>
      </c>
    </row>
    <row r="206" spans="1:9" ht="18" customHeight="1">
      <c r="A206" s="271"/>
      <c r="B206" s="168"/>
      <c r="C206" s="182" t="s">
        <v>135</v>
      </c>
      <c r="D206" s="183"/>
      <c r="E206" s="183"/>
      <c r="F206" s="184"/>
      <c r="G206" s="15">
        <f>예비비!H19</f>
        <v>0</v>
      </c>
      <c r="H206" s="114">
        <v>0</v>
      </c>
      <c r="I206" s="117">
        <f t="shared" si="50"/>
        <v>0</v>
      </c>
    </row>
    <row r="207" spans="1:9">
      <c r="A207" s="167"/>
      <c r="B207" s="169"/>
      <c r="C207" s="170"/>
      <c r="D207" s="182" t="s">
        <v>101</v>
      </c>
      <c r="E207" s="183"/>
      <c r="F207" s="184"/>
      <c r="G207" s="15">
        <f>예비비!H20</f>
        <v>0</v>
      </c>
      <c r="H207" s="115">
        <v>0</v>
      </c>
      <c r="I207" s="117">
        <f t="shared" si="50"/>
        <v>0</v>
      </c>
    </row>
    <row r="208" spans="1:9">
      <c r="A208" s="167"/>
      <c r="B208" s="169"/>
      <c r="C208" s="168"/>
      <c r="D208" s="170"/>
      <c r="E208" s="182" t="s">
        <v>3</v>
      </c>
      <c r="F208" s="184"/>
      <c r="G208" s="15">
        <f>예비비!H21</f>
        <v>0</v>
      </c>
      <c r="H208" s="115">
        <v>0</v>
      </c>
      <c r="I208" s="117">
        <f t="shared" si="50"/>
        <v>0</v>
      </c>
    </row>
    <row r="209" spans="1:9" ht="17.25" thickBot="1">
      <c r="A209" s="251"/>
      <c r="B209" s="176"/>
      <c r="C209" s="252"/>
      <c r="D209" s="176"/>
      <c r="E209" s="177"/>
      <c r="F209" s="177" t="s">
        <v>318</v>
      </c>
      <c r="G209" s="257">
        <f>예비비!H23</f>
        <v>0</v>
      </c>
      <c r="H209" s="90">
        <v>0</v>
      </c>
      <c r="I209" s="121">
        <f t="shared" si="50"/>
        <v>0</v>
      </c>
    </row>
  </sheetData>
  <autoFilter ref="A4:I209"/>
  <mergeCells count="5">
    <mergeCell ref="G3:G4"/>
    <mergeCell ref="H3:H4"/>
    <mergeCell ref="I3:I4"/>
    <mergeCell ref="A3:F3"/>
    <mergeCell ref="A5:F5"/>
  </mergeCells>
  <phoneticPr fontId="12" type="noConversion"/>
  <pageMargins left="0.23622047244094491" right="0.23622047244094491" top="0.74803149606299213" bottom="0.74803149606299213" header="0.31496062992125984" footer="0.31496062992125984"/>
  <pageSetup paperSize="9" scale="95" fitToHeight="0" orientation="portrait" useFirstPageNumber="1" r:id="rId1"/>
  <headerFooter alignWithMargins="0">
    <oddHeader xml:space="preserve">&amp;L&amp;"돋움,굵게"
</oddHeader>
  </headerFooter>
  <rowBreaks count="5" manualBreakCount="5">
    <brk id="42" max="8" man="1"/>
    <brk id="78" max="8" man="1"/>
    <brk id="115" max="8" man="1"/>
    <brk id="149" max="8" man="1"/>
    <brk id="186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O160"/>
  <sheetViews>
    <sheetView topLeftCell="A22" zoomScale="85" zoomScaleNormal="85" workbookViewId="0">
      <selection activeCell="H76" sqref="H76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25" customWidth="1"/>
    <col min="10" max="10" width="14.625" customWidth="1"/>
    <col min="11" max="11" width="63.125" customWidth="1"/>
    <col min="12" max="12" width="3.875" customWidth="1"/>
    <col min="13" max="13" width="11.625" style="250" customWidth="1"/>
    <col min="14" max="14" width="9.875" bestFit="1" customWidth="1"/>
    <col min="15" max="15" width="12" bestFit="1" customWidth="1"/>
  </cols>
  <sheetData>
    <row r="1" spans="1:13" ht="17.25" thickBot="1">
      <c r="A1" s="91" t="s">
        <v>181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</row>
    <row r="2" spans="1:13">
      <c r="A2" s="585" t="s">
        <v>21</v>
      </c>
      <c r="B2" s="587" t="s">
        <v>22</v>
      </c>
      <c r="C2" s="588"/>
      <c r="D2" s="589"/>
      <c r="E2" s="587" t="s">
        <v>23</v>
      </c>
      <c r="F2" s="588"/>
      <c r="G2" s="589"/>
      <c r="H2" s="565" t="s">
        <v>666</v>
      </c>
      <c r="I2" s="565" t="s">
        <v>731</v>
      </c>
      <c r="J2" s="590" t="s">
        <v>668</v>
      </c>
      <c r="K2" s="576" t="s">
        <v>1</v>
      </c>
      <c r="L2" s="577"/>
      <c r="M2" s="578"/>
    </row>
    <row r="3" spans="1:13" ht="17.25" thickBot="1">
      <c r="A3" s="586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566"/>
      <c r="I3" s="566"/>
      <c r="J3" s="591"/>
      <c r="K3" s="579"/>
      <c r="L3" s="580"/>
      <c r="M3" s="581"/>
    </row>
    <row r="4" spans="1:13" ht="17.25" thickBot="1">
      <c r="A4" s="582" t="s">
        <v>30</v>
      </c>
      <c r="B4" s="583"/>
      <c r="C4" s="583"/>
      <c r="D4" s="583"/>
      <c r="E4" s="583"/>
      <c r="F4" s="583"/>
      <c r="G4" s="584"/>
      <c r="H4" s="188">
        <f>H5</f>
        <v>1097148</v>
      </c>
      <c r="I4" s="188">
        <v>937348</v>
      </c>
      <c r="J4" s="123">
        <f>H4-I4</f>
        <v>159800</v>
      </c>
      <c r="K4" s="92"/>
      <c r="L4" s="93"/>
      <c r="M4" s="247"/>
    </row>
    <row r="5" spans="1:13">
      <c r="A5" s="210" t="s">
        <v>2</v>
      </c>
      <c r="B5" s="125"/>
      <c r="C5" s="126"/>
      <c r="D5" s="126"/>
      <c r="E5" s="126"/>
      <c r="F5" s="126"/>
      <c r="G5" s="127"/>
      <c r="H5" s="97">
        <f>H6</f>
        <v>1097148</v>
      </c>
      <c r="I5" s="97">
        <v>937348</v>
      </c>
      <c r="J5" s="98">
        <f>H5-I5</f>
        <v>159800</v>
      </c>
      <c r="K5" s="81"/>
      <c r="L5" s="82"/>
      <c r="M5" s="83"/>
    </row>
    <row r="6" spans="1:13">
      <c r="A6" s="10"/>
      <c r="B6" s="132" t="s">
        <v>275</v>
      </c>
      <c r="C6" s="132"/>
      <c r="D6" s="133"/>
      <c r="E6" s="133"/>
      <c r="F6" s="133"/>
      <c r="G6" s="134"/>
      <c r="H6" s="97">
        <f>SUM(H7,H34)</f>
        <v>1097148</v>
      </c>
      <c r="I6" s="97">
        <v>937348</v>
      </c>
      <c r="J6" s="98">
        <f>H6-I6</f>
        <v>159800</v>
      </c>
      <c r="K6" s="81"/>
      <c r="L6" s="82"/>
      <c r="M6" s="83"/>
    </row>
    <row r="7" spans="1:13">
      <c r="A7" s="10"/>
      <c r="B7" s="6"/>
      <c r="C7" s="132" t="s">
        <v>379</v>
      </c>
      <c r="D7" s="133"/>
      <c r="E7" s="133"/>
      <c r="F7" s="133"/>
      <c r="G7" s="134"/>
      <c r="H7" s="97">
        <f>SUM(H8,H14)</f>
        <v>133220</v>
      </c>
      <c r="I7" s="97">
        <v>80420</v>
      </c>
      <c r="J7" s="98">
        <f t="shared" ref="J7:J11" si="0">H7-I7</f>
        <v>52800</v>
      </c>
      <c r="K7" s="81"/>
      <c r="L7" s="82"/>
      <c r="M7" s="83"/>
    </row>
    <row r="8" spans="1:13">
      <c r="A8" s="10"/>
      <c r="B8" s="6"/>
      <c r="C8" s="6"/>
      <c r="D8" s="132" t="s">
        <v>272</v>
      </c>
      <c r="E8" s="133"/>
      <c r="F8" s="133"/>
      <c r="G8" s="134"/>
      <c r="H8" s="135">
        <f>H9</f>
        <v>32960</v>
      </c>
      <c r="I8" s="135">
        <v>32960</v>
      </c>
      <c r="J8" s="98">
        <f t="shared" si="0"/>
        <v>0</v>
      </c>
      <c r="K8" s="84"/>
      <c r="L8" s="136"/>
      <c r="M8" s="83"/>
    </row>
    <row r="9" spans="1:13">
      <c r="A9" s="10"/>
      <c r="B9" s="6"/>
      <c r="C9" s="137"/>
      <c r="D9" s="138"/>
      <c r="E9" s="132" t="s">
        <v>31</v>
      </c>
      <c r="F9" s="133"/>
      <c r="G9" s="134"/>
      <c r="H9" s="94">
        <f>H10</f>
        <v>32960</v>
      </c>
      <c r="I9" s="94">
        <v>32960</v>
      </c>
      <c r="J9" s="98">
        <f t="shared" si="0"/>
        <v>0</v>
      </c>
      <c r="K9" s="87"/>
      <c r="L9" s="96"/>
      <c r="M9" s="248"/>
    </row>
    <row r="10" spans="1:13">
      <c r="A10" s="65"/>
      <c r="B10" s="67"/>
      <c r="C10" s="189"/>
      <c r="D10" s="190"/>
      <c r="E10" s="191"/>
      <c r="F10" s="139" t="s">
        <v>273</v>
      </c>
      <c r="G10" s="192"/>
      <c r="H10" s="74">
        <f>H11</f>
        <v>32960</v>
      </c>
      <c r="I10" s="74">
        <v>32960</v>
      </c>
      <c r="J10" s="74">
        <f t="shared" si="0"/>
        <v>0</v>
      </c>
      <c r="K10" s="54"/>
      <c r="L10" s="54"/>
      <c r="M10" s="40"/>
    </row>
    <row r="11" spans="1:13">
      <c r="A11" s="65"/>
      <c r="B11" s="67"/>
      <c r="C11" s="67"/>
      <c r="D11" s="148"/>
      <c r="E11" s="193"/>
      <c r="F11" s="193"/>
      <c r="G11" s="141" t="s">
        <v>651</v>
      </c>
      <c r="H11" s="75">
        <f>M11</f>
        <v>32960</v>
      </c>
      <c r="I11" s="75">
        <v>32960</v>
      </c>
      <c r="J11" s="75">
        <f t="shared" si="0"/>
        <v>0</v>
      </c>
      <c r="K11" s="225" t="s">
        <v>274</v>
      </c>
      <c r="L11" s="44"/>
      <c r="M11" s="229">
        <f>SUM(M12:M13)</f>
        <v>32960</v>
      </c>
    </row>
    <row r="12" spans="1:13">
      <c r="A12" s="65"/>
      <c r="B12" s="67"/>
      <c r="C12" s="67"/>
      <c r="D12" s="148"/>
      <c r="E12" s="193"/>
      <c r="F12" s="193"/>
      <c r="G12" s="70"/>
      <c r="H12" s="76"/>
      <c r="I12" s="76"/>
      <c r="J12" s="76"/>
      <c r="K12" s="224" t="s">
        <v>330</v>
      </c>
      <c r="L12" s="45" t="s">
        <v>0</v>
      </c>
      <c r="M12" s="194">
        <v>2960</v>
      </c>
    </row>
    <row r="13" spans="1:13">
      <c r="A13" s="65"/>
      <c r="B13" s="67"/>
      <c r="C13" s="67"/>
      <c r="D13" s="148"/>
      <c r="E13" s="193"/>
      <c r="F13" s="193"/>
      <c r="G13" s="70"/>
      <c r="H13" s="76"/>
      <c r="I13" s="76"/>
      <c r="J13" s="76"/>
      <c r="K13" s="226" t="s">
        <v>449</v>
      </c>
      <c r="L13" s="145" t="s">
        <v>0</v>
      </c>
      <c r="M13" s="200">
        <v>30000</v>
      </c>
    </row>
    <row r="14" spans="1:13">
      <c r="A14" s="10"/>
      <c r="B14" s="6"/>
      <c r="C14" s="6"/>
      <c r="D14" s="132" t="s">
        <v>380</v>
      </c>
      <c r="E14" s="133"/>
      <c r="F14" s="133"/>
      <c r="G14" s="134"/>
      <c r="H14" s="135">
        <f>H15</f>
        <v>100260</v>
      </c>
      <c r="I14" s="135">
        <v>47460</v>
      </c>
      <c r="J14" s="95">
        <f>H14-I14</f>
        <v>52800</v>
      </c>
      <c r="K14" s="84"/>
      <c r="L14" s="136"/>
      <c r="M14" s="83"/>
    </row>
    <row r="15" spans="1:13">
      <c r="A15" s="10"/>
      <c r="B15" s="6"/>
      <c r="C15" s="137"/>
      <c r="D15" s="138"/>
      <c r="E15" s="132" t="s">
        <v>31</v>
      </c>
      <c r="F15" s="133"/>
      <c r="G15" s="134"/>
      <c r="H15" s="94">
        <f>H16+H30</f>
        <v>100260</v>
      </c>
      <c r="I15" s="94">
        <v>47460</v>
      </c>
      <c r="J15" s="95">
        <f>H15-I15</f>
        <v>52800</v>
      </c>
      <c r="K15" s="87"/>
      <c r="L15" s="96"/>
      <c r="M15" s="248"/>
    </row>
    <row r="16" spans="1:13">
      <c r="A16" s="65"/>
      <c r="B16" s="67"/>
      <c r="C16" s="67"/>
      <c r="D16" s="67"/>
      <c r="E16" s="67"/>
      <c r="F16" s="139" t="s">
        <v>63</v>
      </c>
      <c r="G16" s="143"/>
      <c r="H16" s="74">
        <f>SUM(H17,H28)</f>
        <v>47460</v>
      </c>
      <c r="I16" s="74">
        <v>47460</v>
      </c>
      <c r="J16" s="101">
        <f>H16-I16</f>
        <v>0</v>
      </c>
      <c r="K16" s="147"/>
      <c r="L16" s="38"/>
      <c r="M16" s="249"/>
    </row>
    <row r="17" spans="1:13">
      <c r="A17" s="65"/>
      <c r="B17" s="67"/>
      <c r="C17" s="67"/>
      <c r="D17" s="67"/>
      <c r="E17" s="67"/>
      <c r="F17" s="146"/>
      <c r="G17" s="67" t="s">
        <v>36</v>
      </c>
      <c r="H17" s="78">
        <f>SUM(M17,M20,M26)</f>
        <v>45060</v>
      </c>
      <c r="I17" s="78">
        <v>45060</v>
      </c>
      <c r="J17" s="48">
        <f>H17-I17</f>
        <v>0</v>
      </c>
      <c r="K17" s="36" t="s">
        <v>48</v>
      </c>
      <c r="L17" s="39"/>
      <c r="M17" s="229">
        <f>SUM(M18:M19)</f>
        <v>2560</v>
      </c>
    </row>
    <row r="18" spans="1:13">
      <c r="A18" s="65"/>
      <c r="B18" s="67"/>
      <c r="C18" s="67"/>
      <c r="D18" s="67"/>
      <c r="E18" s="67"/>
      <c r="F18" s="146"/>
      <c r="G18" s="67"/>
      <c r="H18" s="78"/>
      <c r="I18" s="78"/>
      <c r="J18" s="48"/>
      <c r="K18" s="224" t="s">
        <v>332</v>
      </c>
      <c r="L18" s="207" t="s">
        <v>0</v>
      </c>
      <c r="M18" s="194">
        <v>1560</v>
      </c>
    </row>
    <row r="19" spans="1:13">
      <c r="A19" s="65"/>
      <c r="B19" s="67"/>
      <c r="C19" s="67"/>
      <c r="D19" s="67"/>
      <c r="E19" s="67"/>
      <c r="F19" s="146"/>
      <c r="G19" s="67"/>
      <c r="H19" s="78"/>
      <c r="I19" s="78"/>
      <c r="J19" s="48"/>
      <c r="K19" s="224" t="s">
        <v>534</v>
      </c>
      <c r="L19" s="207" t="s">
        <v>0</v>
      </c>
      <c r="M19" s="194">
        <v>1000</v>
      </c>
    </row>
    <row r="20" spans="1:13">
      <c r="A20" s="65"/>
      <c r="B20" s="67"/>
      <c r="C20" s="67"/>
      <c r="D20" s="67"/>
      <c r="E20" s="67"/>
      <c r="F20" s="146"/>
      <c r="G20" s="67"/>
      <c r="H20" s="78"/>
      <c r="I20" s="78"/>
      <c r="J20" s="48"/>
      <c r="K20" s="223" t="s">
        <v>64</v>
      </c>
      <c r="L20" s="207"/>
      <c r="M20" s="197">
        <f>SUM(M21:M25)</f>
        <v>30500</v>
      </c>
    </row>
    <row r="21" spans="1:13">
      <c r="A21" s="65"/>
      <c r="B21" s="67"/>
      <c r="C21" s="67"/>
      <c r="D21" s="67"/>
      <c r="E21" s="67"/>
      <c r="F21" s="146"/>
      <c r="G21" s="67"/>
      <c r="H21" s="78"/>
      <c r="I21" s="78"/>
      <c r="J21" s="48"/>
      <c r="K21" s="224" t="s">
        <v>333</v>
      </c>
      <c r="L21" s="207" t="s">
        <v>0</v>
      </c>
      <c r="M21" s="194">
        <v>11700</v>
      </c>
    </row>
    <row r="22" spans="1:13">
      <c r="A22" s="65"/>
      <c r="B22" s="67"/>
      <c r="C22" s="67"/>
      <c r="D22" s="67"/>
      <c r="E22" s="67"/>
      <c r="F22" s="146"/>
      <c r="G22" s="67"/>
      <c r="H22" s="78"/>
      <c r="I22" s="78"/>
      <c r="J22" s="48"/>
      <c r="K22" s="224" t="s">
        <v>334</v>
      </c>
      <c r="L22" s="207" t="s">
        <v>0</v>
      </c>
      <c r="M22" s="194">
        <v>8580</v>
      </c>
    </row>
    <row r="23" spans="1:13">
      <c r="A23" s="65"/>
      <c r="B23" s="67"/>
      <c r="C23" s="67"/>
      <c r="D23" s="67"/>
      <c r="E23" s="67"/>
      <c r="F23" s="146"/>
      <c r="G23" s="67"/>
      <c r="H23" s="78"/>
      <c r="I23" s="78"/>
      <c r="J23" s="48"/>
      <c r="K23" s="224" t="s">
        <v>378</v>
      </c>
      <c r="L23" s="207" t="s">
        <v>0</v>
      </c>
      <c r="M23" s="194">
        <v>1500</v>
      </c>
    </row>
    <row r="24" spans="1:13">
      <c r="A24" s="65"/>
      <c r="B24" s="67"/>
      <c r="C24" s="67"/>
      <c r="D24" s="67"/>
      <c r="E24" s="67"/>
      <c r="F24" s="146"/>
      <c r="G24" s="67"/>
      <c r="H24" s="78"/>
      <c r="I24" s="78"/>
      <c r="J24" s="48"/>
      <c r="K24" s="224" t="s">
        <v>450</v>
      </c>
      <c r="L24" s="207" t="s">
        <v>0</v>
      </c>
      <c r="M24" s="194">
        <v>5720</v>
      </c>
    </row>
    <row r="25" spans="1:13">
      <c r="A25" s="65"/>
      <c r="B25" s="67"/>
      <c r="C25" s="67"/>
      <c r="D25" s="67"/>
      <c r="E25" s="67"/>
      <c r="F25" s="146"/>
      <c r="G25" s="67"/>
      <c r="H25" s="78"/>
      <c r="I25" s="78"/>
      <c r="J25" s="48"/>
      <c r="K25" s="224" t="s">
        <v>627</v>
      </c>
      <c r="L25" s="207" t="s">
        <v>618</v>
      </c>
      <c r="M25" s="194">
        <v>3000</v>
      </c>
    </row>
    <row r="26" spans="1:13">
      <c r="A26" s="65"/>
      <c r="B26" s="67"/>
      <c r="C26" s="67"/>
      <c r="D26" s="67"/>
      <c r="E26" s="67"/>
      <c r="F26" s="146"/>
      <c r="G26" s="67"/>
      <c r="H26" s="76"/>
      <c r="I26" s="76"/>
      <c r="J26" s="48"/>
      <c r="K26" s="223" t="s">
        <v>581</v>
      </c>
      <c r="L26" s="207"/>
      <c r="M26" s="197">
        <f>M27</f>
        <v>12000</v>
      </c>
    </row>
    <row r="27" spans="1:13">
      <c r="A27" s="65"/>
      <c r="B27" s="67"/>
      <c r="C27" s="67"/>
      <c r="D27" s="67"/>
      <c r="E27" s="67"/>
      <c r="F27" s="146"/>
      <c r="G27" s="69"/>
      <c r="H27" s="79"/>
      <c r="I27" s="79"/>
      <c r="J27" s="49"/>
      <c r="K27" s="226" t="s">
        <v>582</v>
      </c>
      <c r="L27" s="209" t="s">
        <v>0</v>
      </c>
      <c r="M27" s="194">
        <v>12000</v>
      </c>
    </row>
    <row r="28" spans="1:13">
      <c r="A28" s="65"/>
      <c r="B28" s="67"/>
      <c r="C28" s="67"/>
      <c r="D28" s="67"/>
      <c r="E28" s="67"/>
      <c r="F28" s="146"/>
      <c r="G28" s="67" t="s">
        <v>68</v>
      </c>
      <c r="H28" s="78">
        <f>M28</f>
        <v>2400</v>
      </c>
      <c r="I28" s="78">
        <v>2400</v>
      </c>
      <c r="J28" s="48">
        <f>H28-I28</f>
        <v>0</v>
      </c>
      <c r="K28" s="36" t="s">
        <v>67</v>
      </c>
      <c r="L28" s="52"/>
      <c r="M28" s="229">
        <f>M29</f>
        <v>2400</v>
      </c>
    </row>
    <row r="29" spans="1:13">
      <c r="A29" s="65"/>
      <c r="B29" s="67"/>
      <c r="C29" s="67"/>
      <c r="D29" s="67"/>
      <c r="E29" s="67"/>
      <c r="F29" s="146"/>
      <c r="G29" s="69"/>
      <c r="H29" s="79"/>
      <c r="I29" s="79"/>
      <c r="J29" s="49"/>
      <c r="K29" s="226" t="s">
        <v>335</v>
      </c>
      <c r="L29" s="209" t="s">
        <v>0</v>
      </c>
      <c r="M29" s="194">
        <v>2400</v>
      </c>
    </row>
    <row r="30" spans="1:13">
      <c r="A30" s="65"/>
      <c r="B30" s="67"/>
      <c r="C30" s="67"/>
      <c r="D30" s="67"/>
      <c r="E30" s="67"/>
      <c r="F30" s="139" t="s">
        <v>40</v>
      </c>
      <c r="G30" s="143"/>
      <c r="H30" s="74">
        <f>SUM(H31)</f>
        <v>52800</v>
      </c>
      <c r="I30" s="74">
        <v>0</v>
      </c>
      <c r="J30" s="101">
        <f>H30-I30</f>
        <v>52800</v>
      </c>
      <c r="K30" s="147"/>
      <c r="L30" s="38"/>
      <c r="M30" s="249"/>
    </row>
    <row r="31" spans="1:13">
      <c r="A31" s="65"/>
      <c r="B31" s="67"/>
      <c r="C31" s="67"/>
      <c r="D31" s="67"/>
      <c r="E31" s="67"/>
      <c r="F31" s="146"/>
      <c r="G31" s="203" t="s">
        <v>729</v>
      </c>
      <c r="H31" s="451">
        <f>M31</f>
        <v>52800</v>
      </c>
      <c r="I31" s="78">
        <v>0</v>
      </c>
      <c r="J31" s="443">
        <f>H31-I31</f>
        <v>52800</v>
      </c>
      <c r="K31" s="36" t="s">
        <v>53</v>
      </c>
      <c r="L31" s="39"/>
      <c r="M31" s="197">
        <f>SUM(M33:M34)</f>
        <v>52800</v>
      </c>
    </row>
    <row r="32" spans="1:13">
      <c r="A32" s="65"/>
      <c r="B32" s="67"/>
      <c r="C32" s="67"/>
      <c r="D32" s="67"/>
      <c r="E32" s="67"/>
      <c r="F32" s="146"/>
      <c r="G32" s="198"/>
      <c r="H32" s="78"/>
      <c r="I32" s="78"/>
      <c r="J32" s="443"/>
      <c r="K32" s="447" t="s">
        <v>732</v>
      </c>
      <c r="L32" s="52"/>
      <c r="M32" s="197"/>
    </row>
    <row r="33" spans="1:15">
      <c r="A33" s="65"/>
      <c r="B33" s="67"/>
      <c r="C33" s="67"/>
      <c r="D33" s="67"/>
      <c r="E33" s="67"/>
      <c r="F33" s="146"/>
      <c r="G33" s="67"/>
      <c r="H33" s="78"/>
      <c r="I33" s="78"/>
      <c r="J33" s="48"/>
      <c r="K33" s="393" t="s">
        <v>730</v>
      </c>
      <c r="L33" s="453" t="s">
        <v>37</v>
      </c>
      <c r="M33" s="391">
        <v>52800</v>
      </c>
    </row>
    <row r="34" spans="1:15">
      <c r="A34" s="10"/>
      <c r="B34" s="6"/>
      <c r="C34" s="182" t="s">
        <v>69</v>
      </c>
      <c r="D34" s="133"/>
      <c r="E34" s="133"/>
      <c r="F34" s="133"/>
      <c r="G34" s="134"/>
      <c r="H34" s="94">
        <f>H35</f>
        <v>963928</v>
      </c>
      <c r="I34" s="94">
        <v>856928</v>
      </c>
      <c r="J34" s="95">
        <f>H34-I34</f>
        <v>107000</v>
      </c>
      <c r="K34" s="162"/>
      <c r="L34" s="152"/>
      <c r="M34" s="153"/>
    </row>
    <row r="35" spans="1:15">
      <c r="A35" s="10"/>
      <c r="B35" s="6"/>
      <c r="C35" s="150"/>
      <c r="D35" s="132" t="s">
        <v>34</v>
      </c>
      <c r="E35" s="133"/>
      <c r="F35" s="133"/>
      <c r="G35" s="134"/>
      <c r="H35" s="135">
        <f>SUM(H36,H57,H122)</f>
        <v>963928</v>
      </c>
      <c r="I35" s="135">
        <v>856928</v>
      </c>
      <c r="J35" s="9">
        <f>H35-I35</f>
        <v>107000</v>
      </c>
      <c r="K35" s="151"/>
      <c r="L35" s="152"/>
      <c r="M35" s="153"/>
    </row>
    <row r="36" spans="1:15">
      <c r="A36" s="10"/>
      <c r="B36" s="6"/>
      <c r="C36" s="137"/>
      <c r="D36" s="138"/>
      <c r="E36" s="132" t="s">
        <v>70</v>
      </c>
      <c r="F36" s="133"/>
      <c r="G36" s="134"/>
      <c r="H36" s="94">
        <f>SUM(H37,H54)</f>
        <v>634231</v>
      </c>
      <c r="I36" s="94">
        <v>619831</v>
      </c>
      <c r="J36" s="95">
        <f>H36-I36</f>
        <v>14400</v>
      </c>
      <c r="K36" s="87"/>
      <c r="L36" s="96"/>
      <c r="M36" s="248"/>
    </row>
    <row r="37" spans="1:15">
      <c r="A37" s="65"/>
      <c r="B37" s="67"/>
      <c r="C37" s="67"/>
      <c r="D37" s="67"/>
      <c r="E37" s="67"/>
      <c r="F37" s="139" t="s">
        <v>71</v>
      </c>
      <c r="G37" s="143"/>
      <c r="H37" s="74">
        <f>SUM(H38,H45,H50)</f>
        <v>623731</v>
      </c>
      <c r="I37" s="74">
        <v>609331</v>
      </c>
      <c r="J37" s="101">
        <f>H37-I37</f>
        <v>14400</v>
      </c>
      <c r="K37" s="147"/>
      <c r="L37" s="38"/>
      <c r="M37" s="249"/>
    </row>
    <row r="38" spans="1:15">
      <c r="A38" s="56"/>
      <c r="B38" s="58"/>
      <c r="C38" s="67"/>
      <c r="D38" s="67"/>
      <c r="E38" s="67"/>
      <c r="F38" s="195"/>
      <c r="G38" s="213" t="s">
        <v>72</v>
      </c>
      <c r="H38" s="450">
        <f>SUM(M38,M43)</f>
        <v>406800</v>
      </c>
      <c r="I38" s="214">
        <v>392400</v>
      </c>
      <c r="J38" s="449">
        <f>H38-I38</f>
        <v>14400</v>
      </c>
      <c r="K38" s="36" t="s">
        <v>73</v>
      </c>
      <c r="L38" s="216"/>
      <c r="M38" s="229">
        <f>SUM(M39,M42)</f>
        <v>316800</v>
      </c>
    </row>
    <row r="39" spans="1:15">
      <c r="A39" s="56"/>
      <c r="B39" s="58"/>
      <c r="C39" s="67"/>
      <c r="D39" s="67"/>
      <c r="E39" s="67"/>
      <c r="F39" s="234"/>
      <c r="G39" s="57"/>
      <c r="H39" s="103"/>
      <c r="I39" s="103"/>
      <c r="J39" s="50"/>
      <c r="K39" s="224" t="s">
        <v>336</v>
      </c>
      <c r="L39" s="207" t="s">
        <v>0</v>
      </c>
      <c r="M39" s="194">
        <v>14400</v>
      </c>
    </row>
    <row r="40" spans="1:15">
      <c r="A40" s="56"/>
      <c r="B40" s="58"/>
      <c r="C40" s="67"/>
      <c r="D40" s="67"/>
      <c r="E40" s="67"/>
      <c r="F40" s="234"/>
      <c r="G40" s="57"/>
      <c r="H40" s="103"/>
      <c r="I40" s="103"/>
      <c r="J40" s="50"/>
      <c r="K40" s="224" t="s">
        <v>447</v>
      </c>
      <c r="L40" s="207" t="s">
        <v>0</v>
      </c>
      <c r="M40" s="194">
        <v>288000</v>
      </c>
    </row>
    <row r="41" spans="1:15">
      <c r="A41" s="56"/>
      <c r="B41" s="58"/>
      <c r="C41" s="67"/>
      <c r="D41" s="67"/>
      <c r="E41" s="67"/>
      <c r="F41" s="234"/>
      <c r="G41" s="57"/>
      <c r="H41" s="103"/>
      <c r="I41" s="103"/>
      <c r="J41" s="50"/>
      <c r="K41" s="447" t="s">
        <v>732</v>
      </c>
      <c r="L41" s="207"/>
      <c r="M41" s="194"/>
    </row>
    <row r="42" spans="1:15">
      <c r="A42" s="56"/>
      <c r="B42" s="58"/>
      <c r="C42" s="67"/>
      <c r="D42" s="67"/>
      <c r="E42" s="67"/>
      <c r="F42" s="234"/>
      <c r="G42" s="57"/>
      <c r="H42" s="103"/>
      <c r="I42" s="103"/>
      <c r="J42" s="50"/>
      <c r="K42" s="393" t="s">
        <v>735</v>
      </c>
      <c r="L42" s="394" t="s">
        <v>0</v>
      </c>
      <c r="M42" s="391">
        <v>302400</v>
      </c>
    </row>
    <row r="43" spans="1:15">
      <c r="A43" s="56"/>
      <c r="B43" s="58"/>
      <c r="C43" s="67"/>
      <c r="D43" s="67"/>
      <c r="E43" s="67"/>
      <c r="F43" s="234"/>
      <c r="G43" s="57"/>
      <c r="H43" s="103"/>
      <c r="I43" s="103"/>
      <c r="J43" s="50"/>
      <c r="K43" s="223" t="s">
        <v>74</v>
      </c>
      <c r="L43" s="207"/>
      <c r="M43" s="197">
        <f>M44</f>
        <v>90000</v>
      </c>
    </row>
    <row r="44" spans="1:15">
      <c r="A44" s="56"/>
      <c r="B44" s="58"/>
      <c r="C44" s="67"/>
      <c r="D44" s="67"/>
      <c r="E44" s="67"/>
      <c r="F44" s="234"/>
      <c r="G44" s="57"/>
      <c r="H44" s="103"/>
      <c r="I44" s="103"/>
      <c r="J44" s="50"/>
      <c r="K44" s="224" t="s">
        <v>448</v>
      </c>
      <c r="L44" s="207" t="s">
        <v>0</v>
      </c>
      <c r="M44" s="194">
        <v>90000</v>
      </c>
    </row>
    <row r="45" spans="1:15">
      <c r="A45" s="56"/>
      <c r="B45" s="58"/>
      <c r="C45" s="67"/>
      <c r="D45" s="67"/>
      <c r="E45" s="67"/>
      <c r="F45" s="234"/>
      <c r="G45" s="213" t="s">
        <v>337</v>
      </c>
      <c r="H45" s="214">
        <f>SUM(M45,M48)</f>
        <v>186102</v>
      </c>
      <c r="I45" s="214">
        <v>186102</v>
      </c>
      <c r="J45" s="41">
        <f>H45-I45</f>
        <v>0</v>
      </c>
      <c r="K45" s="36" t="s">
        <v>622</v>
      </c>
      <c r="L45" s="216"/>
      <c r="M45" s="229">
        <f>SUM(M46:M47)</f>
        <v>102102</v>
      </c>
    </row>
    <row r="46" spans="1:15">
      <c r="A46" s="56"/>
      <c r="B46" s="58"/>
      <c r="C46" s="67"/>
      <c r="D46" s="67"/>
      <c r="E46" s="67"/>
      <c r="F46" s="234"/>
      <c r="G46" s="57"/>
      <c r="H46" s="103"/>
      <c r="I46" s="103"/>
      <c r="J46" s="50"/>
      <c r="K46" s="224" t="s">
        <v>619</v>
      </c>
      <c r="L46" s="207" t="s">
        <v>0</v>
      </c>
      <c r="M46" s="194">
        <v>101622</v>
      </c>
      <c r="N46" s="350"/>
      <c r="O46" s="350"/>
    </row>
    <row r="47" spans="1:15">
      <c r="A47" s="56"/>
      <c r="B47" s="58"/>
      <c r="C47" s="67"/>
      <c r="D47" s="67"/>
      <c r="E47" s="67"/>
      <c r="F47" s="234"/>
      <c r="G47" s="57"/>
      <c r="H47" s="103"/>
      <c r="I47" s="103"/>
      <c r="J47" s="50"/>
      <c r="K47" s="224" t="s">
        <v>620</v>
      </c>
      <c r="L47" s="207" t="s">
        <v>621</v>
      </c>
      <c r="M47" s="194">
        <v>480</v>
      </c>
      <c r="N47" s="350"/>
      <c r="O47" s="350"/>
    </row>
    <row r="48" spans="1:15">
      <c r="A48" s="56"/>
      <c r="B48" s="58"/>
      <c r="C48" s="67"/>
      <c r="D48" s="67"/>
      <c r="E48" s="67"/>
      <c r="F48" s="234"/>
      <c r="G48" s="57"/>
      <c r="H48" s="103"/>
      <c r="I48" s="103"/>
      <c r="J48" s="50"/>
      <c r="K48" s="223" t="s">
        <v>338</v>
      </c>
      <c r="L48" s="207"/>
      <c r="M48" s="197">
        <f>M49</f>
        <v>84000</v>
      </c>
    </row>
    <row r="49" spans="1:13">
      <c r="A49" s="56"/>
      <c r="B49" s="58"/>
      <c r="C49" s="67"/>
      <c r="D49" s="67"/>
      <c r="E49" s="67"/>
      <c r="F49" s="234"/>
      <c r="G49" s="57"/>
      <c r="H49" s="103"/>
      <c r="I49" s="103"/>
      <c r="J49" s="50"/>
      <c r="K49" s="224" t="s">
        <v>339</v>
      </c>
      <c r="L49" s="207" t="s">
        <v>0</v>
      </c>
      <c r="M49" s="194">
        <v>84000</v>
      </c>
    </row>
    <row r="50" spans="1:13">
      <c r="A50" s="56"/>
      <c r="B50" s="58"/>
      <c r="C50" s="67"/>
      <c r="D50" s="67"/>
      <c r="E50" s="67"/>
      <c r="F50" s="234"/>
      <c r="G50" s="213" t="s">
        <v>340</v>
      </c>
      <c r="H50" s="214">
        <f>M50</f>
        <v>30829</v>
      </c>
      <c r="I50" s="214">
        <v>30829</v>
      </c>
      <c r="J50" s="41">
        <f>H50-I50</f>
        <v>0</v>
      </c>
      <c r="K50" s="36" t="s">
        <v>341</v>
      </c>
      <c r="L50" s="216"/>
      <c r="M50" s="229">
        <f>SUM(M51:M53)</f>
        <v>30829</v>
      </c>
    </row>
    <row r="51" spans="1:13">
      <c r="A51" s="56"/>
      <c r="B51" s="58"/>
      <c r="C51" s="67"/>
      <c r="D51" s="67"/>
      <c r="E51" s="67"/>
      <c r="F51" s="234"/>
      <c r="G51" s="57"/>
      <c r="H51" s="103"/>
      <c r="I51" s="103"/>
      <c r="J51" s="50"/>
      <c r="K51" s="224" t="s">
        <v>347</v>
      </c>
      <c r="L51" s="99" t="s">
        <v>342</v>
      </c>
      <c r="M51" s="194">
        <v>25197</v>
      </c>
    </row>
    <row r="52" spans="1:13">
      <c r="A52" s="56"/>
      <c r="B52" s="58"/>
      <c r="C52" s="67"/>
      <c r="D52" s="67"/>
      <c r="E52" s="67"/>
      <c r="F52" s="234"/>
      <c r="G52" s="57"/>
      <c r="H52" s="103"/>
      <c r="I52" s="103"/>
      <c r="J52" s="50"/>
      <c r="K52" s="224" t="s">
        <v>348</v>
      </c>
      <c r="L52" s="207" t="s">
        <v>0</v>
      </c>
      <c r="M52" s="194">
        <v>4582</v>
      </c>
    </row>
    <row r="53" spans="1:13">
      <c r="A53" s="56"/>
      <c r="B53" s="58"/>
      <c r="C53" s="67"/>
      <c r="D53" s="67"/>
      <c r="E53" s="67"/>
      <c r="F53" s="234"/>
      <c r="G53" s="57"/>
      <c r="H53" s="103"/>
      <c r="I53" s="103"/>
      <c r="J53" s="50"/>
      <c r="K53" s="224" t="s">
        <v>349</v>
      </c>
      <c r="L53" s="207" t="s">
        <v>0</v>
      </c>
      <c r="M53" s="194">
        <v>1050</v>
      </c>
    </row>
    <row r="54" spans="1:13">
      <c r="A54" s="65"/>
      <c r="B54" s="67"/>
      <c r="C54" s="67"/>
      <c r="D54" s="67"/>
      <c r="E54" s="67"/>
      <c r="F54" s="139" t="s">
        <v>343</v>
      </c>
      <c r="G54" s="143"/>
      <c r="H54" s="74">
        <f>SUM(H55,H60)</f>
        <v>10500</v>
      </c>
      <c r="I54" s="74">
        <v>10500</v>
      </c>
      <c r="J54" s="101">
        <f>H54-I54</f>
        <v>0</v>
      </c>
      <c r="K54" s="147"/>
      <c r="L54" s="38"/>
      <c r="M54" s="249"/>
    </row>
    <row r="55" spans="1:13">
      <c r="A55" s="56"/>
      <c r="B55" s="58"/>
      <c r="C55" s="67"/>
      <c r="D55" s="67"/>
      <c r="E55" s="67"/>
      <c r="F55" s="195"/>
      <c r="G55" s="213" t="s">
        <v>344</v>
      </c>
      <c r="H55" s="214">
        <f>M55</f>
        <v>10500</v>
      </c>
      <c r="I55" s="214">
        <v>10500</v>
      </c>
      <c r="J55" s="41">
        <f>H55-I55</f>
        <v>0</v>
      </c>
      <c r="K55" s="36" t="s">
        <v>345</v>
      </c>
      <c r="L55" s="216"/>
      <c r="M55" s="229">
        <f>SUM(M56:M57)</f>
        <v>10500</v>
      </c>
    </row>
    <row r="56" spans="1:13">
      <c r="A56" s="56"/>
      <c r="B56" s="58"/>
      <c r="C56" s="67"/>
      <c r="D56" s="67"/>
      <c r="E56" s="67"/>
      <c r="F56" s="234"/>
      <c r="G56" s="57"/>
      <c r="H56" s="103"/>
      <c r="I56" s="103"/>
      <c r="J56" s="50"/>
      <c r="K56" s="224" t="s">
        <v>346</v>
      </c>
      <c r="L56" s="207" t="s">
        <v>0</v>
      </c>
      <c r="M56" s="194">
        <v>10500</v>
      </c>
    </row>
    <row r="57" spans="1:13">
      <c r="A57" s="10"/>
      <c r="B57" s="6"/>
      <c r="C57" s="137"/>
      <c r="D57" s="265"/>
      <c r="E57" s="132" t="s">
        <v>75</v>
      </c>
      <c r="F57" s="133"/>
      <c r="G57" s="134"/>
      <c r="H57" s="94">
        <f>SUM(H58,H94,H98,H106,H114,H117)</f>
        <v>310100</v>
      </c>
      <c r="I57" s="94">
        <v>217500</v>
      </c>
      <c r="J57" s="95">
        <f>H57-I57</f>
        <v>92600</v>
      </c>
      <c r="K57" s="87"/>
      <c r="L57" s="96"/>
      <c r="M57" s="248"/>
    </row>
    <row r="58" spans="1:13">
      <c r="A58" s="65"/>
      <c r="B58" s="67"/>
      <c r="C58" s="67"/>
      <c r="D58" s="67"/>
      <c r="E58" s="67"/>
      <c r="F58" s="139" t="s">
        <v>63</v>
      </c>
      <c r="G58" s="143"/>
      <c r="H58" s="74">
        <f>SUM(H59,H76,H85,H88)</f>
        <v>217440</v>
      </c>
      <c r="I58" s="74">
        <v>125440</v>
      </c>
      <c r="J58" s="101">
        <f>H58-I58</f>
        <v>92000</v>
      </c>
      <c r="K58" s="147"/>
      <c r="L58" s="38"/>
      <c r="M58" s="249"/>
    </row>
    <row r="59" spans="1:13">
      <c r="A59" s="65"/>
      <c r="B59" s="67"/>
      <c r="C59" s="67"/>
      <c r="D59" s="67"/>
      <c r="E59" s="67"/>
      <c r="F59" s="146"/>
      <c r="G59" s="67" t="s">
        <v>36</v>
      </c>
      <c r="H59" s="78">
        <f>SUM(M59,M72)</f>
        <v>82560</v>
      </c>
      <c r="I59" s="78">
        <v>82560</v>
      </c>
      <c r="J59" s="48">
        <f>H59-I59</f>
        <v>0</v>
      </c>
      <c r="K59" s="36" t="s">
        <v>76</v>
      </c>
      <c r="L59" s="39"/>
      <c r="M59" s="229">
        <f>SUM(M60:M71)</f>
        <v>60560</v>
      </c>
    </row>
    <row r="60" spans="1:13">
      <c r="A60" s="56"/>
      <c r="B60" s="58"/>
      <c r="C60" s="67"/>
      <c r="D60" s="67"/>
      <c r="E60" s="67"/>
      <c r="F60" s="234"/>
      <c r="G60" s="57"/>
      <c r="H60" s="103"/>
      <c r="I60" s="103"/>
      <c r="J60" s="50"/>
      <c r="K60" s="224" t="s">
        <v>350</v>
      </c>
      <c r="L60" s="207" t="s">
        <v>0</v>
      </c>
      <c r="M60" s="194">
        <v>3000</v>
      </c>
    </row>
    <row r="61" spans="1:13">
      <c r="A61" s="56"/>
      <c r="B61" s="58"/>
      <c r="C61" s="67"/>
      <c r="D61" s="67"/>
      <c r="E61" s="67"/>
      <c r="F61" s="234"/>
      <c r="G61" s="57"/>
      <c r="H61" s="103"/>
      <c r="I61" s="103"/>
      <c r="J61" s="50"/>
      <c r="K61" s="224" t="s">
        <v>351</v>
      </c>
      <c r="L61" s="207" t="s">
        <v>0</v>
      </c>
      <c r="M61" s="194">
        <v>5000</v>
      </c>
    </row>
    <row r="62" spans="1:13">
      <c r="A62" s="56"/>
      <c r="B62" s="58"/>
      <c r="C62" s="67"/>
      <c r="D62" s="67"/>
      <c r="E62" s="67"/>
      <c r="F62" s="234"/>
      <c r="G62" s="57"/>
      <c r="H62" s="103"/>
      <c r="I62" s="103"/>
      <c r="J62" s="50"/>
      <c r="K62" s="224" t="s">
        <v>352</v>
      </c>
      <c r="L62" s="207" t="s">
        <v>0</v>
      </c>
      <c r="M62" s="194">
        <v>3000</v>
      </c>
    </row>
    <row r="63" spans="1:13">
      <c r="A63" s="56"/>
      <c r="B63" s="58"/>
      <c r="C63" s="67"/>
      <c r="D63" s="67"/>
      <c r="E63" s="67"/>
      <c r="F63" s="234"/>
      <c r="G63" s="57"/>
      <c r="H63" s="103"/>
      <c r="I63" s="103"/>
      <c r="J63" s="50"/>
      <c r="K63" s="224" t="s">
        <v>353</v>
      </c>
      <c r="L63" s="207" t="s">
        <v>0</v>
      </c>
      <c r="M63" s="194">
        <v>5000</v>
      </c>
    </row>
    <row r="64" spans="1:13">
      <c r="A64" s="56"/>
      <c r="B64" s="58"/>
      <c r="C64" s="67"/>
      <c r="D64" s="67"/>
      <c r="E64" s="67"/>
      <c r="F64" s="234"/>
      <c r="G64" s="57"/>
      <c r="H64" s="103"/>
      <c r="I64" s="103"/>
      <c r="J64" s="50"/>
      <c r="K64" s="224" t="s">
        <v>354</v>
      </c>
      <c r="L64" s="207" t="s">
        <v>0</v>
      </c>
      <c r="M64" s="194">
        <v>3000</v>
      </c>
    </row>
    <row r="65" spans="1:13">
      <c r="A65" s="56"/>
      <c r="B65" s="58"/>
      <c r="C65" s="67"/>
      <c r="D65" s="67"/>
      <c r="E65" s="67"/>
      <c r="F65" s="234"/>
      <c r="G65" s="57"/>
      <c r="H65" s="103"/>
      <c r="I65" s="103"/>
      <c r="J65" s="50"/>
      <c r="K65" s="224" t="s">
        <v>355</v>
      </c>
      <c r="L65" s="207" t="s">
        <v>0</v>
      </c>
      <c r="M65" s="194">
        <v>2400</v>
      </c>
    </row>
    <row r="66" spans="1:13">
      <c r="A66" s="56"/>
      <c r="B66" s="58"/>
      <c r="C66" s="67"/>
      <c r="D66" s="67"/>
      <c r="E66" s="67"/>
      <c r="F66" s="234"/>
      <c r="G66" s="57"/>
      <c r="H66" s="103"/>
      <c r="I66" s="103"/>
      <c r="J66" s="50"/>
      <c r="K66" s="224" t="s">
        <v>356</v>
      </c>
      <c r="L66" s="207" t="s">
        <v>0</v>
      </c>
      <c r="M66" s="194">
        <v>4200</v>
      </c>
    </row>
    <row r="67" spans="1:13">
      <c r="A67" s="56"/>
      <c r="B67" s="58"/>
      <c r="C67" s="67"/>
      <c r="D67" s="67"/>
      <c r="E67" s="67"/>
      <c r="F67" s="234"/>
      <c r="G67" s="57"/>
      <c r="H67" s="103"/>
      <c r="I67" s="103"/>
      <c r="J67" s="50"/>
      <c r="K67" s="224" t="s">
        <v>357</v>
      </c>
      <c r="L67" s="207" t="s">
        <v>0</v>
      </c>
      <c r="M67" s="194">
        <v>3960</v>
      </c>
    </row>
    <row r="68" spans="1:13">
      <c r="A68" s="56"/>
      <c r="B68" s="58"/>
      <c r="C68" s="67"/>
      <c r="D68" s="67"/>
      <c r="E68" s="67"/>
      <c r="F68" s="234"/>
      <c r="G68" s="57"/>
      <c r="H68" s="103"/>
      <c r="I68" s="103"/>
      <c r="J68" s="50"/>
      <c r="K68" s="224" t="s">
        <v>358</v>
      </c>
      <c r="L68" s="207" t="s">
        <v>0</v>
      </c>
      <c r="M68" s="194">
        <v>1200</v>
      </c>
    </row>
    <row r="69" spans="1:13">
      <c r="A69" s="56"/>
      <c r="B69" s="58"/>
      <c r="C69" s="67"/>
      <c r="D69" s="67"/>
      <c r="E69" s="67"/>
      <c r="F69" s="234"/>
      <c r="G69" s="57"/>
      <c r="H69" s="103"/>
      <c r="I69" s="103"/>
      <c r="J69" s="50"/>
      <c r="K69" s="224" t="s">
        <v>541</v>
      </c>
      <c r="L69" s="207" t="s">
        <v>542</v>
      </c>
      <c r="M69" s="194">
        <v>1200</v>
      </c>
    </row>
    <row r="70" spans="1:13">
      <c r="A70" s="56"/>
      <c r="B70" s="58"/>
      <c r="C70" s="67"/>
      <c r="D70" s="67"/>
      <c r="E70" s="67"/>
      <c r="F70" s="234"/>
      <c r="G70" s="57"/>
      <c r="H70" s="103"/>
      <c r="I70" s="103"/>
      <c r="J70" s="50"/>
      <c r="K70" s="224" t="s">
        <v>659</v>
      </c>
      <c r="L70" s="207" t="s">
        <v>0</v>
      </c>
      <c r="M70" s="194">
        <v>28000</v>
      </c>
    </row>
    <row r="71" spans="1:13">
      <c r="A71" s="56"/>
      <c r="B71" s="58"/>
      <c r="C71" s="67"/>
      <c r="D71" s="67"/>
      <c r="E71" s="67"/>
      <c r="F71" s="234"/>
      <c r="G71" s="57"/>
      <c r="H71" s="103"/>
      <c r="I71" s="103"/>
      <c r="J71" s="50"/>
      <c r="K71" s="224" t="s">
        <v>662</v>
      </c>
      <c r="L71" s="207" t="s">
        <v>0</v>
      </c>
      <c r="M71" s="194">
        <v>600</v>
      </c>
    </row>
    <row r="72" spans="1:13">
      <c r="A72" s="56"/>
      <c r="B72" s="58"/>
      <c r="C72" s="67"/>
      <c r="D72" s="67"/>
      <c r="E72" s="67"/>
      <c r="F72" s="234"/>
      <c r="G72" s="57"/>
      <c r="H72" s="103"/>
      <c r="I72" s="103"/>
      <c r="J72" s="50"/>
      <c r="K72" s="255" t="s">
        <v>77</v>
      </c>
      <c r="L72" s="99"/>
      <c r="M72" s="197">
        <f>SUM(M73:M75)</f>
        <v>22000</v>
      </c>
    </row>
    <row r="73" spans="1:13">
      <c r="A73" s="56"/>
      <c r="B73" s="58"/>
      <c r="C73" s="67"/>
      <c r="D73" s="67"/>
      <c r="E73" s="67"/>
      <c r="F73" s="234"/>
      <c r="G73" s="57"/>
      <c r="H73" s="103"/>
      <c r="I73" s="103"/>
      <c r="J73" s="50"/>
      <c r="K73" s="389" t="s">
        <v>359</v>
      </c>
      <c r="L73" s="207" t="s">
        <v>37</v>
      </c>
      <c r="M73" s="194">
        <v>12000</v>
      </c>
    </row>
    <row r="74" spans="1:13">
      <c r="A74" s="56"/>
      <c r="B74" s="58"/>
      <c r="C74" s="67"/>
      <c r="D74" s="67"/>
      <c r="E74" s="67"/>
      <c r="F74" s="234"/>
      <c r="G74" s="57"/>
      <c r="H74" s="103"/>
      <c r="I74" s="103"/>
      <c r="J74" s="50"/>
      <c r="K74" s="392" t="s">
        <v>670</v>
      </c>
      <c r="L74" s="207"/>
      <c r="M74" s="194"/>
    </row>
    <row r="75" spans="1:13">
      <c r="A75" s="56"/>
      <c r="B75" s="58"/>
      <c r="C75" s="67"/>
      <c r="D75" s="67"/>
      <c r="E75" s="67"/>
      <c r="F75" s="57"/>
      <c r="G75" s="211"/>
      <c r="H75" s="103"/>
      <c r="I75" s="103"/>
      <c r="J75" s="105"/>
      <c r="K75" s="444" t="s">
        <v>669</v>
      </c>
      <c r="L75" s="445" t="s">
        <v>37</v>
      </c>
      <c r="M75" s="446">
        <v>10000</v>
      </c>
    </row>
    <row r="76" spans="1:13">
      <c r="A76" s="65"/>
      <c r="B76" s="67"/>
      <c r="C76" s="67"/>
      <c r="D76" s="67"/>
      <c r="E76" s="67"/>
      <c r="F76" s="108"/>
      <c r="G76" s="203" t="s">
        <v>78</v>
      </c>
      <c r="H76" s="452">
        <f>SUM(M76,M82)</f>
        <v>33760</v>
      </c>
      <c r="I76" s="75">
        <v>21760</v>
      </c>
      <c r="J76" s="448">
        <f>H76-I76</f>
        <v>12000</v>
      </c>
      <c r="K76" s="36" t="s">
        <v>79</v>
      </c>
      <c r="L76" s="219"/>
      <c r="M76" s="229">
        <f>SUM(M77,M79,M81)</f>
        <v>28960</v>
      </c>
    </row>
    <row r="77" spans="1:13">
      <c r="A77" s="65"/>
      <c r="B77" s="67"/>
      <c r="C77" s="67"/>
      <c r="D77" s="67"/>
      <c r="E77" s="67"/>
      <c r="F77" s="108"/>
      <c r="G77" s="198"/>
      <c r="H77" s="109"/>
      <c r="I77" s="235"/>
      <c r="J77" s="110"/>
      <c r="K77" s="224" t="s">
        <v>660</v>
      </c>
      <c r="L77" s="207" t="s">
        <v>0</v>
      </c>
      <c r="M77" s="194">
        <v>3960</v>
      </c>
    </row>
    <row r="78" spans="1:13">
      <c r="A78" s="65"/>
      <c r="B78" s="67"/>
      <c r="C78" s="67"/>
      <c r="D78" s="67"/>
      <c r="E78" s="67"/>
      <c r="F78" s="108"/>
      <c r="G78" s="198"/>
      <c r="H78" s="109"/>
      <c r="I78" s="235"/>
      <c r="J78" s="110"/>
      <c r="K78" s="224" t="s">
        <v>360</v>
      </c>
      <c r="L78" s="207" t="s">
        <v>0</v>
      </c>
      <c r="M78" s="194">
        <v>12000</v>
      </c>
    </row>
    <row r="79" spans="1:13">
      <c r="A79" s="56"/>
      <c r="B79" s="58"/>
      <c r="C79" s="67"/>
      <c r="D79" s="67"/>
      <c r="E79" s="67"/>
      <c r="F79" s="234"/>
      <c r="G79" s="57"/>
      <c r="H79" s="103"/>
      <c r="I79" s="103"/>
      <c r="J79" s="50"/>
      <c r="K79" s="224" t="s">
        <v>661</v>
      </c>
      <c r="L79" s="207" t="s">
        <v>0</v>
      </c>
      <c r="M79" s="194">
        <v>1000</v>
      </c>
    </row>
    <row r="80" spans="1:13">
      <c r="A80" s="56"/>
      <c r="B80" s="58"/>
      <c r="C80" s="67"/>
      <c r="D80" s="67"/>
      <c r="E80" s="67"/>
      <c r="F80" s="234"/>
      <c r="G80" s="57"/>
      <c r="H80" s="103"/>
      <c r="I80" s="235"/>
      <c r="J80" s="50"/>
      <c r="K80" s="447" t="s">
        <v>732</v>
      </c>
      <c r="L80" s="207"/>
      <c r="M80" s="194"/>
    </row>
    <row r="81" spans="1:13">
      <c r="A81" s="56"/>
      <c r="B81" s="58"/>
      <c r="C81" s="67"/>
      <c r="D81" s="67"/>
      <c r="E81" s="67"/>
      <c r="F81" s="234"/>
      <c r="G81" s="57"/>
      <c r="H81" s="103"/>
      <c r="I81" s="235"/>
      <c r="J81" s="50"/>
      <c r="K81" s="393" t="s">
        <v>736</v>
      </c>
      <c r="L81" s="394"/>
      <c r="M81" s="391">
        <v>24000</v>
      </c>
    </row>
    <row r="82" spans="1:13">
      <c r="A82" s="65"/>
      <c r="B82" s="67"/>
      <c r="C82" s="67"/>
      <c r="D82" s="67"/>
      <c r="E82" s="67"/>
      <c r="F82" s="108"/>
      <c r="G82" s="198"/>
      <c r="H82" s="109"/>
      <c r="I82" s="235"/>
      <c r="J82" s="110"/>
      <c r="K82" s="223" t="s">
        <v>45</v>
      </c>
      <c r="L82" s="236"/>
      <c r="M82" s="197">
        <f>SUM(M83:M84)</f>
        <v>4800</v>
      </c>
    </row>
    <row r="83" spans="1:13">
      <c r="A83" s="65"/>
      <c r="B83" s="67"/>
      <c r="C83" s="67"/>
      <c r="D83" s="67"/>
      <c r="E83" s="67"/>
      <c r="F83" s="108"/>
      <c r="G83" s="198"/>
      <c r="H83" s="109"/>
      <c r="I83" s="235"/>
      <c r="J83" s="110"/>
      <c r="K83" s="224" t="s">
        <v>80</v>
      </c>
      <c r="L83" s="207" t="s">
        <v>0</v>
      </c>
      <c r="M83" s="194">
        <v>3600</v>
      </c>
    </row>
    <row r="84" spans="1:13">
      <c r="A84" s="65"/>
      <c r="B84" s="67"/>
      <c r="C84" s="67"/>
      <c r="D84" s="67"/>
      <c r="E84" s="67"/>
      <c r="F84" s="108"/>
      <c r="G84" s="199"/>
      <c r="H84" s="111"/>
      <c r="I84" s="238"/>
      <c r="J84" s="159"/>
      <c r="K84" s="226" t="s">
        <v>361</v>
      </c>
      <c r="L84" s="209" t="s">
        <v>0</v>
      </c>
      <c r="M84" s="200">
        <v>1200</v>
      </c>
    </row>
    <row r="85" spans="1:13">
      <c r="A85" s="65"/>
      <c r="B85" s="67"/>
      <c r="C85" s="67"/>
      <c r="D85" s="67"/>
      <c r="E85" s="67"/>
      <c r="F85" s="108"/>
      <c r="G85" s="203" t="s">
        <v>46</v>
      </c>
      <c r="H85" s="452">
        <f>SUM(M85)</f>
        <v>80000</v>
      </c>
      <c r="I85" s="75">
        <v>0</v>
      </c>
      <c r="J85" s="448">
        <f>H85-I85</f>
        <v>80000</v>
      </c>
      <c r="K85" s="36" t="s">
        <v>733</v>
      </c>
      <c r="L85" s="219"/>
      <c r="M85" s="229">
        <f>SUM(M86:M87)</f>
        <v>80000</v>
      </c>
    </row>
    <row r="86" spans="1:13">
      <c r="A86" s="65"/>
      <c r="B86" s="67"/>
      <c r="C86" s="67"/>
      <c r="D86" s="67"/>
      <c r="E86" s="67"/>
      <c r="F86" s="108"/>
      <c r="G86" s="198"/>
      <c r="H86" s="109"/>
      <c r="I86" s="235"/>
      <c r="J86" s="110"/>
      <c r="K86" s="447" t="s">
        <v>732</v>
      </c>
      <c r="L86" s="207"/>
      <c r="M86" s="194"/>
    </row>
    <row r="87" spans="1:13">
      <c r="A87" s="65"/>
      <c r="B87" s="67"/>
      <c r="C87" s="67"/>
      <c r="D87" s="67"/>
      <c r="E87" s="67"/>
      <c r="F87" s="108"/>
      <c r="G87" s="199"/>
      <c r="H87" s="111"/>
      <c r="I87" s="238"/>
      <c r="J87" s="159"/>
      <c r="K87" s="413" t="s">
        <v>734</v>
      </c>
      <c r="L87" s="390" t="s">
        <v>0</v>
      </c>
      <c r="M87" s="420">
        <v>80000</v>
      </c>
    </row>
    <row r="88" spans="1:13">
      <c r="A88" s="65"/>
      <c r="B88" s="67"/>
      <c r="C88" s="67"/>
      <c r="D88" s="67"/>
      <c r="E88" s="67"/>
      <c r="F88" s="108"/>
      <c r="G88" s="198" t="s">
        <v>8</v>
      </c>
      <c r="H88" s="109">
        <f>M88+M92</f>
        <v>21120</v>
      </c>
      <c r="I88" s="78">
        <v>21120</v>
      </c>
      <c r="J88" s="110">
        <f>H88-I88</f>
        <v>0</v>
      </c>
      <c r="K88" s="255" t="s">
        <v>623</v>
      </c>
      <c r="L88" s="207"/>
      <c r="M88" s="197">
        <f>SUM(M89:M91)</f>
        <v>12480</v>
      </c>
    </row>
    <row r="89" spans="1:13">
      <c r="A89" s="65"/>
      <c r="B89" s="67"/>
      <c r="C89" s="67"/>
      <c r="D89" s="67"/>
      <c r="E89" s="67"/>
      <c r="F89" s="108"/>
      <c r="G89" s="201"/>
      <c r="H89" s="109"/>
      <c r="I89" s="235"/>
      <c r="J89" s="110"/>
      <c r="K89" s="224" t="s">
        <v>624</v>
      </c>
      <c r="L89" s="207" t="s">
        <v>0</v>
      </c>
      <c r="M89" s="194">
        <v>1680</v>
      </c>
    </row>
    <row r="90" spans="1:13">
      <c r="A90" s="65"/>
      <c r="B90" s="67"/>
      <c r="C90" s="67"/>
      <c r="D90" s="67"/>
      <c r="E90" s="67"/>
      <c r="F90" s="108"/>
      <c r="G90" s="201"/>
      <c r="H90" s="109"/>
      <c r="I90" s="235"/>
      <c r="J90" s="110"/>
      <c r="K90" s="224" t="s">
        <v>625</v>
      </c>
      <c r="L90" s="207" t="s">
        <v>621</v>
      </c>
      <c r="M90" s="194">
        <v>3600</v>
      </c>
    </row>
    <row r="91" spans="1:13">
      <c r="A91" s="65"/>
      <c r="B91" s="67"/>
      <c r="C91" s="67"/>
      <c r="D91" s="67"/>
      <c r="E91" s="67"/>
      <c r="F91" s="108"/>
      <c r="G91" s="201"/>
      <c r="H91" s="109"/>
      <c r="I91" s="235"/>
      <c r="J91" s="110"/>
      <c r="K91" s="224" t="s">
        <v>626</v>
      </c>
      <c r="L91" s="207" t="s">
        <v>618</v>
      </c>
      <c r="M91" s="194">
        <v>7200</v>
      </c>
    </row>
    <row r="92" spans="1:13">
      <c r="A92" s="65"/>
      <c r="B92" s="67"/>
      <c r="C92" s="67"/>
      <c r="D92" s="67"/>
      <c r="E92" s="67"/>
      <c r="F92" s="108"/>
      <c r="G92" s="201"/>
      <c r="H92" s="109"/>
      <c r="I92" s="235"/>
      <c r="J92" s="110"/>
      <c r="K92" s="255" t="s">
        <v>145</v>
      </c>
      <c r="L92" s="207"/>
      <c r="M92" s="197">
        <v>8640</v>
      </c>
    </row>
    <row r="93" spans="1:13">
      <c r="A93" s="65"/>
      <c r="B93" s="67"/>
      <c r="C93" s="67"/>
      <c r="D93" s="67"/>
      <c r="E93" s="67"/>
      <c r="F93" s="237"/>
      <c r="G93" s="201"/>
      <c r="H93" s="109"/>
      <c r="I93" s="235"/>
      <c r="J93" s="110"/>
      <c r="K93" s="224" t="s">
        <v>362</v>
      </c>
      <c r="L93" s="207" t="s">
        <v>37</v>
      </c>
      <c r="M93" s="194">
        <v>8640</v>
      </c>
    </row>
    <row r="94" spans="1:13">
      <c r="A94" s="65"/>
      <c r="B94" s="67"/>
      <c r="C94" s="67"/>
      <c r="D94" s="67"/>
      <c r="E94" s="67"/>
      <c r="F94" s="139" t="s">
        <v>55</v>
      </c>
      <c r="G94" s="143"/>
      <c r="H94" s="74">
        <f>SUM(H95)</f>
        <v>18000</v>
      </c>
      <c r="I94" s="74">
        <v>18000</v>
      </c>
      <c r="J94" s="101">
        <f>H94-I94</f>
        <v>0</v>
      </c>
      <c r="K94" s="147"/>
      <c r="L94" s="38"/>
      <c r="M94" s="249"/>
    </row>
    <row r="95" spans="1:13">
      <c r="A95" s="65"/>
      <c r="B95" s="67"/>
      <c r="C95" s="67"/>
      <c r="D95" s="67"/>
      <c r="E95" s="67"/>
      <c r="F95" s="146"/>
      <c r="G95" s="203" t="s">
        <v>545</v>
      </c>
      <c r="H95" s="78">
        <f>M95</f>
        <v>18000</v>
      </c>
      <c r="I95" s="78">
        <v>18000</v>
      </c>
      <c r="J95" s="48">
        <f>H95-I95</f>
        <v>0</v>
      </c>
      <c r="K95" s="36" t="s">
        <v>81</v>
      </c>
      <c r="L95" s="39"/>
      <c r="M95" s="197">
        <f>SUM(M96:M97)</f>
        <v>18000</v>
      </c>
    </row>
    <row r="96" spans="1:13">
      <c r="A96" s="65"/>
      <c r="B96" s="67"/>
      <c r="C96" s="67"/>
      <c r="D96" s="67"/>
      <c r="E96" s="67"/>
      <c r="F96" s="146"/>
      <c r="G96" s="67"/>
      <c r="H96" s="78"/>
      <c r="I96" s="78"/>
      <c r="J96" s="48"/>
      <c r="K96" s="224" t="s">
        <v>544</v>
      </c>
      <c r="L96" s="52" t="s">
        <v>364</v>
      </c>
      <c r="M96" s="194">
        <v>4800</v>
      </c>
    </row>
    <row r="97" spans="1:13">
      <c r="A97" s="65"/>
      <c r="B97" s="67"/>
      <c r="C97" s="67"/>
      <c r="D97" s="67"/>
      <c r="E97" s="67"/>
      <c r="F97" s="146"/>
      <c r="G97" s="67"/>
      <c r="H97" s="78"/>
      <c r="I97" s="78"/>
      <c r="J97" s="48"/>
      <c r="K97" s="226" t="s">
        <v>543</v>
      </c>
      <c r="L97" s="52" t="s">
        <v>365</v>
      </c>
      <c r="M97" s="194">
        <v>13200</v>
      </c>
    </row>
    <row r="98" spans="1:13">
      <c r="A98" s="65"/>
      <c r="B98" s="67"/>
      <c r="C98" s="67"/>
      <c r="D98" s="67"/>
      <c r="E98" s="67"/>
      <c r="F98" s="139" t="s">
        <v>84</v>
      </c>
      <c r="G98" s="143"/>
      <c r="H98" s="74">
        <f>H99</f>
        <v>38400</v>
      </c>
      <c r="I98" s="74">
        <v>38400</v>
      </c>
      <c r="J98" s="101">
        <f>H98-I98</f>
        <v>0</v>
      </c>
      <c r="K98" s="147"/>
      <c r="L98" s="38"/>
      <c r="M98" s="249"/>
    </row>
    <row r="99" spans="1:13">
      <c r="A99" s="65"/>
      <c r="B99" s="67"/>
      <c r="C99" s="67"/>
      <c r="D99" s="67"/>
      <c r="E99" s="67"/>
      <c r="F99" s="146"/>
      <c r="G99" s="67" t="s">
        <v>85</v>
      </c>
      <c r="H99" s="78">
        <f>SUM(M99,M102)</f>
        <v>38400</v>
      </c>
      <c r="I99" s="78">
        <v>38400</v>
      </c>
      <c r="J99" s="48">
        <f>H99-I99</f>
        <v>0</v>
      </c>
      <c r="K99" s="36" t="s">
        <v>86</v>
      </c>
      <c r="L99" s="39"/>
      <c r="M99" s="229">
        <f>SUM(M100:M101)</f>
        <v>16600</v>
      </c>
    </row>
    <row r="100" spans="1:13">
      <c r="A100" s="65"/>
      <c r="B100" s="67"/>
      <c r="C100" s="67"/>
      <c r="D100" s="67"/>
      <c r="E100" s="67"/>
      <c r="F100" s="108"/>
      <c r="G100" s="201"/>
      <c r="H100" s="109"/>
      <c r="I100" s="235"/>
      <c r="J100" s="110"/>
      <c r="K100" s="224" t="s">
        <v>630</v>
      </c>
      <c r="L100" s="207" t="s">
        <v>0</v>
      </c>
      <c r="M100" s="194">
        <v>10000</v>
      </c>
    </row>
    <row r="101" spans="1:13">
      <c r="A101" s="65"/>
      <c r="B101" s="67"/>
      <c r="C101" s="67"/>
      <c r="D101" s="67"/>
      <c r="E101" s="67"/>
      <c r="F101" s="108"/>
      <c r="G101" s="201"/>
      <c r="H101" s="109"/>
      <c r="I101" s="235"/>
      <c r="J101" s="110"/>
      <c r="K101" s="224" t="s">
        <v>363</v>
      </c>
      <c r="L101" s="207" t="s">
        <v>0</v>
      </c>
      <c r="M101" s="194">
        <v>6600</v>
      </c>
    </row>
    <row r="102" spans="1:13">
      <c r="A102" s="65"/>
      <c r="B102" s="67"/>
      <c r="C102" s="67"/>
      <c r="D102" s="67"/>
      <c r="E102" s="67"/>
      <c r="F102" s="108"/>
      <c r="G102" s="201"/>
      <c r="H102" s="109"/>
      <c r="I102" s="235"/>
      <c r="J102" s="110"/>
      <c r="K102" s="223" t="s">
        <v>87</v>
      </c>
      <c r="L102" s="228"/>
      <c r="M102" s="197">
        <f>SUM(M103:M105)</f>
        <v>21800</v>
      </c>
    </row>
    <row r="103" spans="1:13">
      <c r="A103" s="65"/>
      <c r="B103" s="67"/>
      <c r="C103" s="67"/>
      <c r="D103" s="67"/>
      <c r="E103" s="67"/>
      <c r="F103" s="108"/>
      <c r="G103" s="201"/>
      <c r="H103" s="109"/>
      <c r="I103" s="235"/>
      <c r="J103" s="110"/>
      <c r="K103" s="224" t="s">
        <v>631</v>
      </c>
      <c r="L103" s="207" t="s">
        <v>0</v>
      </c>
      <c r="M103" s="194">
        <v>15000</v>
      </c>
    </row>
    <row r="104" spans="1:13">
      <c r="A104" s="65"/>
      <c r="B104" s="67"/>
      <c r="C104" s="67"/>
      <c r="D104" s="67"/>
      <c r="E104" s="67"/>
      <c r="F104" s="108"/>
      <c r="G104" s="201"/>
      <c r="H104" s="109"/>
      <c r="I104" s="235"/>
      <c r="J104" s="110"/>
      <c r="K104" s="224" t="s">
        <v>456</v>
      </c>
      <c r="L104" s="207" t="s">
        <v>0</v>
      </c>
      <c r="M104" s="194">
        <v>4800</v>
      </c>
    </row>
    <row r="105" spans="1:13">
      <c r="A105" s="65"/>
      <c r="B105" s="67"/>
      <c r="C105" s="189"/>
      <c r="D105" s="190"/>
      <c r="E105" s="230"/>
      <c r="F105" s="264"/>
      <c r="G105" s="233"/>
      <c r="H105" s="76"/>
      <c r="I105" s="76"/>
      <c r="J105" s="76"/>
      <c r="K105" s="224" t="s">
        <v>632</v>
      </c>
      <c r="L105" s="45" t="s">
        <v>0</v>
      </c>
      <c r="M105" s="194">
        <v>2000</v>
      </c>
    </row>
    <row r="106" spans="1:13">
      <c r="A106" s="65"/>
      <c r="B106" s="67"/>
      <c r="C106" s="67"/>
      <c r="D106" s="67"/>
      <c r="E106" s="67"/>
      <c r="F106" s="139" t="s">
        <v>88</v>
      </c>
      <c r="G106" s="143"/>
      <c r="H106" s="74">
        <f>SUM(H107,H112)</f>
        <v>26520</v>
      </c>
      <c r="I106" s="74">
        <v>25920</v>
      </c>
      <c r="J106" s="101">
        <f>H106-I106</f>
        <v>600</v>
      </c>
      <c r="K106" s="147"/>
      <c r="L106" s="38"/>
      <c r="M106" s="249"/>
    </row>
    <row r="107" spans="1:13">
      <c r="A107" s="65"/>
      <c r="B107" s="67"/>
      <c r="C107" s="67"/>
      <c r="D107" s="67"/>
      <c r="E107" s="67"/>
      <c r="F107" s="146"/>
      <c r="G107" s="67" t="s">
        <v>89</v>
      </c>
      <c r="H107" s="451">
        <f>M107</f>
        <v>19800</v>
      </c>
      <c r="I107" s="78">
        <v>19200</v>
      </c>
      <c r="J107" s="443">
        <f>H107-I107</f>
        <v>600</v>
      </c>
      <c r="K107" s="36" t="s">
        <v>90</v>
      </c>
      <c r="L107" s="39"/>
      <c r="M107" s="229">
        <f>SUM(M108,M111)</f>
        <v>19800</v>
      </c>
    </row>
    <row r="108" spans="1:13">
      <c r="A108" s="65"/>
      <c r="B108" s="67"/>
      <c r="C108" s="67"/>
      <c r="D108" s="67"/>
      <c r="E108" s="67"/>
      <c r="F108" s="108"/>
      <c r="G108" s="201"/>
      <c r="H108" s="109"/>
      <c r="I108" s="235"/>
      <c r="J108" s="110"/>
      <c r="K108" s="224" t="s">
        <v>366</v>
      </c>
      <c r="L108" s="207" t="s">
        <v>0</v>
      </c>
      <c r="M108" s="194">
        <v>8400</v>
      </c>
    </row>
    <row r="109" spans="1:13">
      <c r="A109" s="65"/>
      <c r="B109" s="67"/>
      <c r="C109" s="67"/>
      <c r="D109" s="67"/>
      <c r="E109" s="67"/>
      <c r="F109" s="108"/>
      <c r="G109" s="198"/>
      <c r="H109" s="109"/>
      <c r="I109" s="235"/>
      <c r="J109" s="110"/>
      <c r="K109" s="224" t="s">
        <v>455</v>
      </c>
      <c r="L109" s="207" t="s">
        <v>0</v>
      </c>
      <c r="M109" s="194">
        <v>10800</v>
      </c>
    </row>
    <row r="110" spans="1:13">
      <c r="A110" s="65"/>
      <c r="B110" s="67"/>
      <c r="C110" s="67"/>
      <c r="D110" s="67"/>
      <c r="E110" s="67"/>
      <c r="F110" s="108"/>
      <c r="G110" s="198"/>
      <c r="H110" s="109"/>
      <c r="I110" s="235"/>
      <c r="J110" s="110"/>
      <c r="K110" s="447" t="s">
        <v>732</v>
      </c>
      <c r="L110" s="207"/>
      <c r="M110" s="194"/>
    </row>
    <row r="111" spans="1:13">
      <c r="A111" s="65"/>
      <c r="B111" s="67"/>
      <c r="C111" s="67"/>
      <c r="D111" s="67"/>
      <c r="E111" s="67"/>
      <c r="F111" s="108"/>
      <c r="G111" s="199"/>
      <c r="H111" s="111"/>
      <c r="I111" s="238"/>
      <c r="J111" s="159"/>
      <c r="K111" s="413" t="s">
        <v>737</v>
      </c>
      <c r="L111" s="390" t="s">
        <v>0</v>
      </c>
      <c r="M111" s="420">
        <v>11400</v>
      </c>
    </row>
    <row r="112" spans="1:13">
      <c r="A112" s="65"/>
      <c r="B112" s="67"/>
      <c r="C112" s="67"/>
      <c r="D112" s="67"/>
      <c r="E112" s="67"/>
      <c r="F112" s="108"/>
      <c r="G112" s="201" t="s">
        <v>144</v>
      </c>
      <c r="H112" s="109">
        <f>M112</f>
        <v>6720</v>
      </c>
      <c r="I112" s="78">
        <v>6720</v>
      </c>
      <c r="J112" s="110">
        <f>H112-I112</f>
        <v>0</v>
      </c>
      <c r="K112" s="223" t="s">
        <v>91</v>
      </c>
      <c r="L112" s="228"/>
      <c r="M112" s="197">
        <f>M113</f>
        <v>6720</v>
      </c>
    </row>
    <row r="113" spans="1:13">
      <c r="A113" s="65"/>
      <c r="B113" s="67"/>
      <c r="C113" s="67"/>
      <c r="D113" s="67"/>
      <c r="E113" s="67"/>
      <c r="F113" s="108"/>
      <c r="G113" s="201"/>
      <c r="H113" s="109"/>
      <c r="I113" s="235"/>
      <c r="J113" s="110"/>
      <c r="K113" s="224" t="s">
        <v>367</v>
      </c>
      <c r="L113" s="207" t="s">
        <v>0</v>
      </c>
      <c r="M113" s="194">
        <v>6720</v>
      </c>
    </row>
    <row r="114" spans="1:13">
      <c r="A114" s="65"/>
      <c r="B114" s="67"/>
      <c r="C114" s="67"/>
      <c r="D114" s="67"/>
      <c r="E114" s="67"/>
      <c r="F114" s="139" t="s">
        <v>92</v>
      </c>
      <c r="G114" s="143"/>
      <c r="H114" s="74">
        <f>H115</f>
        <v>5000</v>
      </c>
      <c r="I114" s="74">
        <v>5000</v>
      </c>
      <c r="J114" s="101">
        <f>H114-I114</f>
        <v>0</v>
      </c>
      <c r="K114" s="147"/>
      <c r="L114" s="38"/>
      <c r="M114" s="249"/>
    </row>
    <row r="115" spans="1:13">
      <c r="A115" s="65"/>
      <c r="B115" s="67"/>
      <c r="C115" s="67"/>
      <c r="D115" s="67"/>
      <c r="E115" s="67"/>
      <c r="F115" s="146"/>
      <c r="G115" s="67" t="s">
        <v>58</v>
      </c>
      <c r="H115" s="78">
        <f>M115</f>
        <v>5000</v>
      </c>
      <c r="I115" s="78">
        <v>5000</v>
      </c>
      <c r="J115" s="48">
        <f>H115-I115</f>
        <v>0</v>
      </c>
      <c r="K115" s="36" t="s">
        <v>95</v>
      </c>
      <c r="L115" s="39"/>
      <c r="M115" s="229">
        <f>M116</f>
        <v>5000</v>
      </c>
    </row>
    <row r="116" spans="1:13">
      <c r="A116" s="65"/>
      <c r="B116" s="67"/>
      <c r="C116" s="67"/>
      <c r="D116" s="67"/>
      <c r="E116" s="67"/>
      <c r="F116" s="108"/>
      <c r="G116" s="201"/>
      <c r="H116" s="109"/>
      <c r="I116" s="235"/>
      <c r="J116" s="110"/>
      <c r="K116" s="224" t="s">
        <v>452</v>
      </c>
      <c r="L116" s="207" t="s">
        <v>0</v>
      </c>
      <c r="M116" s="194">
        <v>5000</v>
      </c>
    </row>
    <row r="117" spans="1:13">
      <c r="A117" s="65"/>
      <c r="B117" s="67"/>
      <c r="C117" s="67"/>
      <c r="D117" s="67"/>
      <c r="E117" s="67"/>
      <c r="F117" s="139" t="s">
        <v>93</v>
      </c>
      <c r="G117" s="143"/>
      <c r="H117" s="74">
        <f>SUM(H118,H120)</f>
        <v>4740</v>
      </c>
      <c r="I117" s="74">
        <v>4740</v>
      </c>
      <c r="J117" s="101">
        <f>H117-I117</f>
        <v>0</v>
      </c>
      <c r="K117" s="147"/>
      <c r="L117" s="38"/>
      <c r="M117" s="249"/>
    </row>
    <row r="118" spans="1:13">
      <c r="A118" s="65"/>
      <c r="B118" s="67"/>
      <c r="C118" s="67"/>
      <c r="D118" s="67"/>
      <c r="E118" s="67"/>
      <c r="F118" s="146"/>
      <c r="G118" s="67" t="s">
        <v>94</v>
      </c>
      <c r="H118" s="78">
        <f>M118</f>
        <v>2640</v>
      </c>
      <c r="I118" s="78">
        <v>2640</v>
      </c>
      <c r="J118" s="48">
        <f>H118-I118</f>
        <v>0</v>
      </c>
      <c r="K118" s="36" t="s">
        <v>96</v>
      </c>
      <c r="L118" s="39"/>
      <c r="M118" s="229">
        <f>M119</f>
        <v>2640</v>
      </c>
    </row>
    <row r="119" spans="1:13">
      <c r="A119" s="65"/>
      <c r="B119" s="67"/>
      <c r="C119" s="67"/>
      <c r="D119" s="67"/>
      <c r="E119" s="67"/>
      <c r="F119" s="108"/>
      <c r="G119" s="199"/>
      <c r="H119" s="111"/>
      <c r="I119" s="238"/>
      <c r="J119" s="159"/>
      <c r="K119" s="226" t="s">
        <v>453</v>
      </c>
      <c r="L119" s="209" t="s">
        <v>0</v>
      </c>
      <c r="M119" s="200">
        <v>2640</v>
      </c>
    </row>
    <row r="120" spans="1:13">
      <c r="A120" s="65"/>
      <c r="B120" s="67"/>
      <c r="C120" s="67"/>
      <c r="D120" s="67"/>
      <c r="E120" s="67"/>
      <c r="F120" s="108"/>
      <c r="G120" s="378" t="s">
        <v>97</v>
      </c>
      <c r="H120" s="109">
        <f>M120</f>
        <v>2100</v>
      </c>
      <c r="I120" s="78">
        <v>2100</v>
      </c>
      <c r="J120" s="110">
        <f>H120-I120</f>
        <v>0</v>
      </c>
      <c r="K120" s="223" t="s">
        <v>454</v>
      </c>
      <c r="L120" s="228"/>
      <c r="M120" s="197">
        <f>M121</f>
        <v>2100</v>
      </c>
    </row>
    <row r="121" spans="1:13">
      <c r="A121" s="65"/>
      <c r="B121" s="67"/>
      <c r="C121" s="67"/>
      <c r="D121" s="67"/>
      <c r="E121" s="69"/>
      <c r="F121" s="237"/>
      <c r="G121" s="346"/>
      <c r="H121" s="111"/>
      <c r="I121" s="238"/>
      <c r="J121" s="159"/>
      <c r="K121" s="226" t="s">
        <v>451</v>
      </c>
      <c r="L121" s="209" t="s">
        <v>0</v>
      </c>
      <c r="M121" s="200">
        <v>2100</v>
      </c>
    </row>
    <row r="122" spans="1:13">
      <c r="A122" s="10"/>
      <c r="B122" s="6"/>
      <c r="C122" s="265"/>
      <c r="D122" s="265"/>
      <c r="E122" s="132" t="s">
        <v>368</v>
      </c>
      <c r="F122" s="133"/>
      <c r="G122" s="134"/>
      <c r="H122" s="94">
        <f>H123</f>
        <v>19597</v>
      </c>
      <c r="I122" s="94">
        <v>19597</v>
      </c>
      <c r="J122" s="95">
        <f>H122-I122</f>
        <v>0</v>
      </c>
      <c r="K122" s="87"/>
      <c r="L122" s="96"/>
      <c r="M122" s="248"/>
    </row>
    <row r="123" spans="1:13">
      <c r="A123" s="65"/>
      <c r="B123" s="67"/>
      <c r="C123" s="67"/>
      <c r="D123" s="67"/>
      <c r="E123" s="67"/>
      <c r="F123" s="139" t="s">
        <v>369</v>
      </c>
      <c r="G123" s="143"/>
      <c r="H123" s="74">
        <f>H124</f>
        <v>19597</v>
      </c>
      <c r="I123" s="74">
        <v>19597</v>
      </c>
      <c r="J123" s="101">
        <f>H123-I123</f>
        <v>0</v>
      </c>
      <c r="K123" s="147"/>
      <c r="L123" s="38"/>
      <c r="M123" s="249"/>
    </row>
    <row r="124" spans="1:13">
      <c r="A124" s="65"/>
      <c r="B124" s="67"/>
      <c r="C124" s="67"/>
      <c r="D124" s="67"/>
      <c r="E124" s="67"/>
      <c r="F124" s="146"/>
      <c r="G124" s="67" t="s">
        <v>370</v>
      </c>
      <c r="H124" s="78">
        <f>SUM(M124,M130,M135)</f>
        <v>19597</v>
      </c>
      <c r="I124" s="78">
        <v>19597</v>
      </c>
      <c r="J124" s="48">
        <f>H124-I124</f>
        <v>0</v>
      </c>
      <c r="K124" s="36" t="s">
        <v>371</v>
      </c>
      <c r="L124" s="39"/>
      <c r="M124" s="229">
        <f>SUM(M125:M129)</f>
        <v>10942</v>
      </c>
    </row>
    <row r="125" spans="1:13">
      <c r="A125" s="56"/>
      <c r="B125" s="58"/>
      <c r="C125" s="67"/>
      <c r="D125" s="67"/>
      <c r="E125" s="67"/>
      <c r="F125" s="234"/>
      <c r="G125" s="57"/>
      <c r="H125" s="103"/>
      <c r="I125" s="103"/>
      <c r="J125" s="50"/>
      <c r="K125" s="224" t="s">
        <v>641</v>
      </c>
      <c r="L125" s="207" t="s">
        <v>0</v>
      </c>
      <c r="M125" s="194">
        <v>4573</v>
      </c>
    </row>
    <row r="126" spans="1:13">
      <c r="A126" s="56"/>
      <c r="B126" s="58"/>
      <c r="C126" s="67"/>
      <c r="D126" s="67"/>
      <c r="E126" s="67"/>
      <c r="F126" s="234"/>
      <c r="G126" s="57"/>
      <c r="H126" s="103"/>
      <c r="I126" s="103"/>
      <c r="J126" s="50"/>
      <c r="K126" s="224" t="s">
        <v>642</v>
      </c>
      <c r="L126" s="207" t="s">
        <v>0</v>
      </c>
      <c r="M126" s="194">
        <v>3659</v>
      </c>
    </row>
    <row r="127" spans="1:13">
      <c r="A127" s="56"/>
      <c r="B127" s="58"/>
      <c r="C127" s="67"/>
      <c r="D127" s="67"/>
      <c r="E127" s="67"/>
      <c r="F127" s="234"/>
      <c r="G127" s="57"/>
      <c r="H127" s="103"/>
      <c r="I127" s="103"/>
      <c r="J127" s="50"/>
      <c r="K127" s="224" t="s">
        <v>643</v>
      </c>
      <c r="L127" s="207" t="s">
        <v>0</v>
      </c>
      <c r="M127" s="194">
        <v>1220</v>
      </c>
    </row>
    <row r="128" spans="1:13">
      <c r="A128" s="56"/>
      <c r="B128" s="58"/>
      <c r="C128" s="67"/>
      <c r="D128" s="67"/>
      <c r="E128" s="67"/>
      <c r="F128" s="234"/>
      <c r="G128" s="57"/>
      <c r="H128" s="103"/>
      <c r="I128" s="103"/>
      <c r="J128" s="50"/>
      <c r="K128" s="224" t="s">
        <v>644</v>
      </c>
      <c r="L128" s="207" t="s">
        <v>0</v>
      </c>
      <c r="M128" s="194">
        <v>1017</v>
      </c>
    </row>
    <row r="129" spans="1:13">
      <c r="A129" s="56"/>
      <c r="B129" s="58"/>
      <c r="C129" s="67"/>
      <c r="D129" s="67"/>
      <c r="E129" s="67"/>
      <c r="F129" s="234"/>
      <c r="G129" s="57"/>
      <c r="H129" s="103"/>
      <c r="I129" s="103"/>
      <c r="J129" s="50"/>
      <c r="K129" s="224" t="s">
        <v>645</v>
      </c>
      <c r="L129" s="207" t="s">
        <v>0</v>
      </c>
      <c r="M129" s="194">
        <v>473</v>
      </c>
    </row>
    <row r="130" spans="1:13">
      <c r="A130" s="56"/>
      <c r="B130" s="58"/>
      <c r="C130" s="67"/>
      <c r="D130" s="67"/>
      <c r="E130" s="67"/>
      <c r="F130" s="234"/>
      <c r="G130" s="57"/>
      <c r="H130" s="103"/>
      <c r="I130" s="103"/>
      <c r="J130" s="50"/>
      <c r="K130" s="223" t="s">
        <v>372</v>
      </c>
      <c r="L130" s="52"/>
      <c r="M130" s="197">
        <f>SUM(M131:M134)</f>
        <v>5263</v>
      </c>
    </row>
    <row r="131" spans="1:13">
      <c r="A131" s="56"/>
      <c r="B131" s="58"/>
      <c r="C131" s="67"/>
      <c r="D131" s="67"/>
      <c r="E131" s="67"/>
      <c r="F131" s="234"/>
      <c r="G131" s="57"/>
      <c r="H131" s="103"/>
      <c r="I131" s="103"/>
      <c r="J131" s="50"/>
      <c r="K131" s="224" t="s">
        <v>374</v>
      </c>
      <c r="L131" s="207" t="s">
        <v>0</v>
      </c>
      <c r="M131" s="194">
        <v>3024</v>
      </c>
    </row>
    <row r="132" spans="1:13">
      <c r="A132" s="56"/>
      <c r="B132" s="58"/>
      <c r="C132" s="67"/>
      <c r="D132" s="67"/>
      <c r="E132" s="67"/>
      <c r="F132" s="234"/>
      <c r="G132" s="57"/>
      <c r="H132" s="103"/>
      <c r="I132" s="103"/>
      <c r="J132" s="50"/>
      <c r="K132" s="224" t="s">
        <v>375</v>
      </c>
      <c r="L132" s="207" t="s">
        <v>0</v>
      </c>
      <c r="M132" s="194">
        <v>1008</v>
      </c>
    </row>
    <row r="133" spans="1:13">
      <c r="A133" s="56"/>
      <c r="B133" s="58"/>
      <c r="C133" s="67"/>
      <c r="D133" s="67"/>
      <c r="E133" s="67"/>
      <c r="F133" s="234"/>
      <c r="G133" s="57"/>
      <c r="H133" s="103"/>
      <c r="I133" s="103"/>
      <c r="J133" s="50"/>
      <c r="K133" s="224" t="s">
        <v>376</v>
      </c>
      <c r="L133" s="207" t="s">
        <v>0</v>
      </c>
      <c r="M133" s="194">
        <v>840</v>
      </c>
    </row>
    <row r="134" spans="1:13">
      <c r="A134" s="56"/>
      <c r="B134" s="58"/>
      <c r="C134" s="67"/>
      <c r="D134" s="67"/>
      <c r="E134" s="67"/>
      <c r="F134" s="234"/>
      <c r="G134" s="57"/>
      <c r="H134" s="103"/>
      <c r="I134" s="103"/>
      <c r="J134" s="50"/>
      <c r="K134" s="224" t="s">
        <v>377</v>
      </c>
      <c r="L134" s="207" t="s">
        <v>618</v>
      </c>
      <c r="M134" s="194">
        <v>391</v>
      </c>
    </row>
    <row r="135" spans="1:13">
      <c r="A135" s="56"/>
      <c r="B135" s="58"/>
      <c r="C135" s="67"/>
      <c r="D135" s="67"/>
      <c r="E135" s="67"/>
      <c r="F135" s="234"/>
      <c r="G135" s="57"/>
      <c r="H135" s="103"/>
      <c r="I135" s="103"/>
      <c r="J135" s="50"/>
      <c r="K135" s="223" t="s">
        <v>373</v>
      </c>
      <c r="L135" s="52"/>
      <c r="M135" s="197">
        <f>M136</f>
        <v>3392</v>
      </c>
    </row>
    <row r="136" spans="1:13" ht="17.25" thickBot="1">
      <c r="A136" s="239"/>
      <c r="B136" s="240"/>
      <c r="C136" s="71"/>
      <c r="D136" s="71"/>
      <c r="E136" s="71"/>
      <c r="F136" s="241"/>
      <c r="G136" s="242"/>
      <c r="H136" s="221"/>
      <c r="I136" s="221"/>
      <c r="J136" s="243"/>
      <c r="K136" s="244" t="s">
        <v>381</v>
      </c>
      <c r="L136" s="245" t="s">
        <v>0</v>
      </c>
      <c r="M136" s="258">
        <v>3392</v>
      </c>
    </row>
    <row r="144" spans="1:13">
      <c r="L144" s="250"/>
      <c r="M144"/>
    </row>
    <row r="145" spans="12:13">
      <c r="L145" s="250"/>
      <c r="M145"/>
    </row>
    <row r="146" spans="12:13">
      <c r="L146" s="250"/>
      <c r="M146"/>
    </row>
    <row r="147" spans="12:13">
      <c r="L147" s="250"/>
      <c r="M147"/>
    </row>
    <row r="148" spans="12:13">
      <c r="L148" s="250"/>
      <c r="M148"/>
    </row>
    <row r="149" spans="12:13">
      <c r="L149" s="250"/>
      <c r="M149"/>
    </row>
    <row r="150" spans="12:13">
      <c r="L150" s="250"/>
      <c r="M150"/>
    </row>
    <row r="151" spans="12:13">
      <c r="L151" s="250"/>
      <c r="M151"/>
    </row>
    <row r="152" spans="12:13">
      <c r="L152" s="250"/>
      <c r="M152"/>
    </row>
    <row r="153" spans="12:13">
      <c r="L153" s="250"/>
      <c r="M153"/>
    </row>
    <row r="154" spans="12:13">
      <c r="L154" s="250"/>
      <c r="M154"/>
    </row>
    <row r="155" spans="12:13">
      <c r="L155" s="250"/>
      <c r="M155"/>
    </row>
    <row r="156" spans="12:13">
      <c r="L156" s="250"/>
      <c r="M156"/>
    </row>
    <row r="157" spans="12:13">
      <c r="L157" s="250"/>
      <c r="M157"/>
    </row>
    <row r="158" spans="12:13">
      <c r="L158" s="250"/>
      <c r="M158"/>
    </row>
    <row r="159" spans="12:13">
      <c r="L159" s="250"/>
      <c r="M159"/>
    </row>
    <row r="160" spans="12:13">
      <c r="L160" s="250"/>
      <c r="M160"/>
    </row>
  </sheetData>
  <autoFilter ref="A3:M136">
    <filterColumn colId="10" showButton="0"/>
    <filterColumn colId="11" showButton="0"/>
  </autoFilter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799" priority="637" operator="containsText" text="허하나로">
      <formula>NOT(ISERROR(SEARCH("허하나로",H777)))</formula>
    </cfRule>
    <cfRule type="containsText" dxfId="1798" priority="638" operator="containsText" text="한별">
      <formula>NOT(ISERROR(SEARCH("한별",H777)))</formula>
    </cfRule>
    <cfRule type="containsText" dxfId="1797" priority="639" operator="containsText" text="정홍조">
      <formula>NOT(ISERROR(SEARCH("정홍조",H777)))</formula>
    </cfRule>
    <cfRule type="containsText" dxfId="1796" priority="640" operator="containsText" text="김지윤">
      <formula>NOT(ISERROR(SEARCH("김지윤",H777)))</formula>
    </cfRule>
    <cfRule type="containsText" dxfId="1795" priority="641" operator="containsText" text="전준영">
      <formula>NOT(ISERROR(SEARCH("전준영",H777)))</formula>
    </cfRule>
    <cfRule type="containsText" dxfId="1794" priority="642" operator="containsText" text="차재성">
      <formula>NOT(ISERROR(SEARCH("차재성",H777)))</formula>
    </cfRule>
  </conditionalFormatting>
  <conditionalFormatting sqref="J6:J7">
    <cfRule type="containsText" dxfId="1793" priority="631" operator="containsText" text="허하나로">
      <formula>NOT(ISERROR(SEARCH("허하나로",H775)))</formula>
    </cfRule>
    <cfRule type="containsText" dxfId="1792" priority="632" operator="containsText" text="한별">
      <formula>NOT(ISERROR(SEARCH("한별",H775)))</formula>
    </cfRule>
    <cfRule type="containsText" dxfId="1791" priority="633" operator="containsText" text="정홍조">
      <formula>NOT(ISERROR(SEARCH("정홍조",H775)))</formula>
    </cfRule>
    <cfRule type="containsText" dxfId="1790" priority="634" operator="containsText" text="김지윤">
      <formula>NOT(ISERROR(SEARCH("김지윤",H775)))</formula>
    </cfRule>
    <cfRule type="containsText" dxfId="1789" priority="635" operator="containsText" text="전준영">
      <formula>NOT(ISERROR(SEARCH("전준영",H775)))</formula>
    </cfRule>
    <cfRule type="containsText" dxfId="1788" priority="636" operator="containsText" text="차재성">
      <formula>NOT(ISERROR(SEARCH("차재성",H775)))</formula>
    </cfRule>
  </conditionalFormatting>
  <conditionalFormatting sqref="J5">
    <cfRule type="containsText" dxfId="1787" priority="625" operator="containsText" text="허하나로">
      <formula>NOT(ISERROR(SEARCH("허하나로",H774)))</formula>
    </cfRule>
    <cfRule type="containsText" dxfId="1786" priority="626" operator="containsText" text="한별">
      <formula>NOT(ISERROR(SEARCH("한별",H774)))</formula>
    </cfRule>
    <cfRule type="containsText" dxfId="1785" priority="627" operator="containsText" text="정홍조">
      <formula>NOT(ISERROR(SEARCH("정홍조",H774)))</formula>
    </cfRule>
    <cfRule type="containsText" dxfId="1784" priority="628" operator="containsText" text="김지윤">
      <formula>NOT(ISERROR(SEARCH("김지윤",H774)))</formula>
    </cfRule>
    <cfRule type="containsText" dxfId="1783" priority="629" operator="containsText" text="전준영">
      <formula>NOT(ISERROR(SEARCH("전준영",H774)))</formula>
    </cfRule>
    <cfRule type="containsText" dxfId="1782" priority="630" operator="containsText" text="차재성">
      <formula>NOT(ISERROR(SEARCH("차재성",H774)))</formula>
    </cfRule>
  </conditionalFormatting>
  <conditionalFormatting sqref="J34">
    <cfRule type="containsText" dxfId="1781" priority="613" operator="containsText" text="허하나로">
      <formula>NOT(ISERROR(SEARCH("허하나로",H908)))</formula>
    </cfRule>
    <cfRule type="containsText" dxfId="1780" priority="614" operator="containsText" text="한별">
      <formula>NOT(ISERROR(SEARCH("한별",H908)))</formula>
    </cfRule>
    <cfRule type="containsText" dxfId="1779" priority="615" operator="containsText" text="정홍조">
      <formula>NOT(ISERROR(SEARCH("정홍조",H908)))</formula>
    </cfRule>
    <cfRule type="containsText" dxfId="1778" priority="616" operator="containsText" text="김지윤">
      <formula>NOT(ISERROR(SEARCH("김지윤",H908)))</formula>
    </cfRule>
    <cfRule type="containsText" dxfId="1777" priority="617" operator="containsText" text="전준영">
      <formula>NOT(ISERROR(SEARCH("전준영",H908)))</formula>
    </cfRule>
    <cfRule type="containsText" dxfId="1776" priority="618" operator="containsText" text="차재성">
      <formula>NOT(ISERROR(SEARCH("차재성",H908)))</formula>
    </cfRule>
  </conditionalFormatting>
  <conditionalFormatting sqref="J72:J74">
    <cfRule type="containsText" dxfId="1775" priority="607" operator="containsText" text="허하나로">
      <formula>NOT(ISERROR(SEARCH("허하나로",H1118)))</formula>
    </cfRule>
    <cfRule type="containsText" dxfId="1774" priority="608" operator="containsText" text="한별">
      <formula>NOT(ISERROR(SEARCH("한별",H1118)))</formula>
    </cfRule>
    <cfRule type="containsText" dxfId="1773" priority="609" operator="containsText" text="정홍조">
      <formula>NOT(ISERROR(SEARCH("정홍조",H1118)))</formula>
    </cfRule>
    <cfRule type="containsText" dxfId="1772" priority="610" operator="containsText" text="김지윤">
      <formula>NOT(ISERROR(SEARCH("김지윤",H1118)))</formula>
    </cfRule>
    <cfRule type="containsText" dxfId="1771" priority="611" operator="containsText" text="전준영">
      <formula>NOT(ISERROR(SEARCH("전준영",H1118)))</formula>
    </cfRule>
    <cfRule type="containsText" dxfId="1770" priority="612" operator="containsText" text="차재성">
      <formula>NOT(ISERROR(SEARCH("차재성",H1118)))</formula>
    </cfRule>
  </conditionalFormatting>
  <conditionalFormatting sqref="J75">
    <cfRule type="containsText" dxfId="1769" priority="601" operator="containsText" text="허하나로">
      <formula>NOT(ISERROR(SEARCH("허하나로",H1107)))</formula>
    </cfRule>
    <cfRule type="containsText" dxfId="1768" priority="602" operator="containsText" text="한별">
      <formula>NOT(ISERROR(SEARCH("한별",H1107)))</formula>
    </cfRule>
    <cfRule type="containsText" dxfId="1767" priority="603" operator="containsText" text="정홍조">
      <formula>NOT(ISERROR(SEARCH("정홍조",H1107)))</formula>
    </cfRule>
    <cfRule type="containsText" dxfId="1766" priority="604" operator="containsText" text="김지윤">
      <formula>NOT(ISERROR(SEARCH("김지윤",H1107)))</formula>
    </cfRule>
    <cfRule type="containsText" dxfId="1765" priority="605" operator="containsText" text="전준영">
      <formula>NOT(ISERROR(SEARCH("전준영",H1107)))</formula>
    </cfRule>
    <cfRule type="containsText" dxfId="1764" priority="606" operator="containsText" text="차재성">
      <formula>NOT(ISERROR(SEARCH("차재성",H1107)))</formula>
    </cfRule>
  </conditionalFormatting>
  <conditionalFormatting sqref="J36">
    <cfRule type="containsText" dxfId="1763" priority="643" operator="containsText" text="허하나로">
      <formula>NOT(ISERROR(SEARCH("허하나로",H1105)))</formula>
    </cfRule>
    <cfRule type="containsText" dxfId="1762" priority="644" operator="containsText" text="한별">
      <formula>NOT(ISERROR(SEARCH("한별",H1105)))</formula>
    </cfRule>
    <cfRule type="containsText" dxfId="1761" priority="645" operator="containsText" text="정홍조">
      <formula>NOT(ISERROR(SEARCH("정홍조",H1105)))</formula>
    </cfRule>
    <cfRule type="containsText" dxfId="1760" priority="646" operator="containsText" text="김지윤">
      <formula>NOT(ISERROR(SEARCH("김지윤",H1105)))</formula>
    </cfRule>
    <cfRule type="containsText" dxfId="1759" priority="647" operator="containsText" text="전준영">
      <formula>NOT(ISERROR(SEARCH("전준영",H1105)))</formula>
    </cfRule>
    <cfRule type="containsText" dxfId="1758" priority="648" operator="containsText" text="차재성">
      <formula>NOT(ISERROR(SEARCH("차재성",H1105)))</formula>
    </cfRule>
  </conditionalFormatting>
  <conditionalFormatting sqref="J14:J19">
    <cfRule type="containsText" dxfId="1757" priority="1885" operator="containsText" text="허하나로">
      <formula>NOT(ISERROR(SEARCH("허하나로",H1113)))</formula>
    </cfRule>
    <cfRule type="containsText" dxfId="1756" priority="1886" operator="containsText" text="한별">
      <formula>NOT(ISERROR(SEARCH("한별",H1113)))</formula>
    </cfRule>
    <cfRule type="containsText" dxfId="1755" priority="1887" operator="containsText" text="정홍조">
      <formula>NOT(ISERROR(SEARCH("정홍조",H1113)))</formula>
    </cfRule>
    <cfRule type="containsText" dxfId="1754" priority="1888" operator="containsText" text="김지윤">
      <formula>NOT(ISERROR(SEARCH("김지윤",H1113)))</formula>
    </cfRule>
    <cfRule type="containsText" dxfId="1753" priority="1889" operator="containsText" text="전준영">
      <formula>NOT(ISERROR(SEARCH("전준영",H1113)))</formula>
    </cfRule>
    <cfRule type="containsText" dxfId="1752" priority="1890" operator="containsText" text="차재성">
      <formula>NOT(ISERROR(SEARCH("차재성",H1113)))</formula>
    </cfRule>
  </conditionalFormatting>
  <conditionalFormatting sqref="J24:J25">
    <cfRule type="containsText" dxfId="1751" priority="1891" operator="containsText" text="허하나로">
      <formula>NOT(ISERROR(SEARCH("허하나로",H1118)))</formula>
    </cfRule>
    <cfRule type="containsText" dxfId="1750" priority="1892" operator="containsText" text="한별">
      <formula>NOT(ISERROR(SEARCH("한별",H1118)))</formula>
    </cfRule>
    <cfRule type="containsText" dxfId="1749" priority="1893" operator="containsText" text="정홍조">
      <formula>NOT(ISERROR(SEARCH("정홍조",H1118)))</formula>
    </cfRule>
    <cfRule type="containsText" dxfId="1748" priority="1894" operator="containsText" text="김지윤">
      <formula>NOT(ISERROR(SEARCH("김지윤",H1118)))</formula>
    </cfRule>
    <cfRule type="containsText" dxfId="1747" priority="1895" operator="containsText" text="전준영">
      <formula>NOT(ISERROR(SEARCH("전준영",H1118)))</formula>
    </cfRule>
    <cfRule type="containsText" dxfId="1746" priority="1896" operator="containsText" text="차재성">
      <formula>NOT(ISERROR(SEARCH("차재성",H1118)))</formula>
    </cfRule>
  </conditionalFormatting>
  <conditionalFormatting sqref="J44">
    <cfRule type="containsText" dxfId="1745" priority="1903" operator="containsText" text="허하나로">
      <formula>NOT(ISERROR(SEARCH("허하나로",H1118)))</formula>
    </cfRule>
    <cfRule type="containsText" dxfId="1744" priority="1904" operator="containsText" text="한별">
      <formula>NOT(ISERROR(SEARCH("한별",H1118)))</formula>
    </cfRule>
    <cfRule type="containsText" dxfId="1743" priority="1905" operator="containsText" text="정홍조">
      <formula>NOT(ISERROR(SEARCH("정홍조",H1118)))</formula>
    </cfRule>
    <cfRule type="containsText" dxfId="1742" priority="1906" operator="containsText" text="김지윤">
      <formula>NOT(ISERROR(SEARCH("김지윤",H1118)))</formula>
    </cfRule>
    <cfRule type="containsText" dxfId="1741" priority="1907" operator="containsText" text="전준영">
      <formula>NOT(ISERROR(SEARCH("전준영",H1118)))</formula>
    </cfRule>
    <cfRule type="containsText" dxfId="1740" priority="1908" operator="containsText" text="차재성">
      <formula>NOT(ISERROR(SEARCH("차재성",H1118)))</formula>
    </cfRule>
  </conditionalFormatting>
  <conditionalFormatting sqref="J28">
    <cfRule type="containsText" dxfId="1739" priority="529" operator="containsText" text="허하나로">
      <formula>NOT(ISERROR(SEARCH("허하나로",H1117)))</formula>
    </cfRule>
    <cfRule type="containsText" dxfId="1738" priority="530" operator="containsText" text="한별">
      <formula>NOT(ISERROR(SEARCH("한별",H1117)))</formula>
    </cfRule>
    <cfRule type="containsText" dxfId="1737" priority="531" operator="containsText" text="정홍조">
      <formula>NOT(ISERROR(SEARCH("정홍조",H1117)))</formula>
    </cfRule>
    <cfRule type="containsText" dxfId="1736" priority="532" operator="containsText" text="김지윤">
      <formula>NOT(ISERROR(SEARCH("김지윤",H1117)))</formula>
    </cfRule>
    <cfRule type="containsText" dxfId="1735" priority="533" operator="containsText" text="전준영">
      <formula>NOT(ISERROR(SEARCH("전준영",H1117)))</formula>
    </cfRule>
    <cfRule type="containsText" dxfId="1734" priority="534" operator="containsText" text="차재성">
      <formula>NOT(ISERROR(SEARCH("차재성",H1117)))</formula>
    </cfRule>
  </conditionalFormatting>
  <conditionalFormatting sqref="J29">
    <cfRule type="containsText" dxfId="1733" priority="565" operator="containsText" text="허하나로">
      <formula>NOT(ISERROR(SEARCH("허하나로",H1117)))</formula>
    </cfRule>
    <cfRule type="containsText" dxfId="1732" priority="566" operator="containsText" text="한별">
      <formula>NOT(ISERROR(SEARCH("한별",H1117)))</formula>
    </cfRule>
    <cfRule type="containsText" dxfId="1731" priority="567" operator="containsText" text="정홍조">
      <formula>NOT(ISERROR(SEARCH("정홍조",H1117)))</formula>
    </cfRule>
    <cfRule type="containsText" dxfId="1730" priority="568" operator="containsText" text="김지윤">
      <formula>NOT(ISERROR(SEARCH("김지윤",H1117)))</formula>
    </cfRule>
    <cfRule type="containsText" dxfId="1729" priority="569" operator="containsText" text="전준영">
      <formula>NOT(ISERROR(SEARCH("전준영",H1117)))</formula>
    </cfRule>
    <cfRule type="containsText" dxfId="1728" priority="570" operator="containsText" text="차재성">
      <formula>NOT(ISERROR(SEARCH("차재성",H1117)))</formula>
    </cfRule>
  </conditionalFormatting>
  <conditionalFormatting sqref="J22">
    <cfRule type="containsText" dxfId="1727" priority="1987" operator="containsText" text="허하나로">
      <formula>NOT(ISERROR(SEARCH("허하나로",H1118)))</formula>
    </cfRule>
    <cfRule type="containsText" dxfId="1726" priority="1988" operator="containsText" text="한별">
      <formula>NOT(ISERROR(SEARCH("한별",H1118)))</formula>
    </cfRule>
    <cfRule type="containsText" dxfId="1725" priority="1989" operator="containsText" text="정홍조">
      <formula>NOT(ISERROR(SEARCH("정홍조",H1118)))</formula>
    </cfRule>
    <cfRule type="containsText" dxfId="1724" priority="1990" operator="containsText" text="김지윤">
      <formula>NOT(ISERROR(SEARCH("김지윤",H1118)))</formula>
    </cfRule>
    <cfRule type="containsText" dxfId="1723" priority="1991" operator="containsText" text="전준영">
      <formula>NOT(ISERROR(SEARCH("전준영",H1118)))</formula>
    </cfRule>
    <cfRule type="containsText" dxfId="1722" priority="1992" operator="containsText" text="차재성">
      <formula>NOT(ISERROR(SEARCH("차재성",H1118)))</formula>
    </cfRule>
  </conditionalFormatting>
  <conditionalFormatting sqref="J21">
    <cfRule type="containsText" dxfId="1721" priority="1999" operator="containsText" text="허하나로">
      <formula>NOT(ISERROR(SEARCH("허하나로",H1118)))</formula>
    </cfRule>
    <cfRule type="containsText" dxfId="1720" priority="2000" operator="containsText" text="한별">
      <formula>NOT(ISERROR(SEARCH("한별",H1118)))</formula>
    </cfRule>
    <cfRule type="containsText" dxfId="1719" priority="2001" operator="containsText" text="정홍조">
      <formula>NOT(ISERROR(SEARCH("정홍조",H1118)))</formula>
    </cfRule>
    <cfRule type="containsText" dxfId="1718" priority="2002" operator="containsText" text="김지윤">
      <formula>NOT(ISERROR(SEARCH("김지윤",H1118)))</formula>
    </cfRule>
    <cfRule type="containsText" dxfId="1717" priority="2003" operator="containsText" text="전준영">
      <formula>NOT(ISERROR(SEARCH("전준영",H1118)))</formula>
    </cfRule>
    <cfRule type="containsText" dxfId="1716" priority="2004" operator="containsText" text="차재성">
      <formula>NOT(ISERROR(SEARCH("차재성",H1118)))</formula>
    </cfRule>
  </conditionalFormatting>
  <conditionalFormatting sqref="J20">
    <cfRule type="containsText" dxfId="1715" priority="2011" operator="containsText" text="허하나로">
      <formula>NOT(ISERROR(SEARCH("허하나로",H1118)))</formula>
    </cfRule>
    <cfRule type="containsText" dxfId="1714" priority="2012" operator="containsText" text="한별">
      <formula>NOT(ISERROR(SEARCH("한별",H1118)))</formula>
    </cfRule>
    <cfRule type="containsText" dxfId="1713" priority="2013" operator="containsText" text="정홍조">
      <formula>NOT(ISERROR(SEARCH("정홍조",H1118)))</formula>
    </cfRule>
    <cfRule type="containsText" dxfId="1712" priority="2014" operator="containsText" text="김지윤">
      <formula>NOT(ISERROR(SEARCH("김지윤",H1118)))</formula>
    </cfRule>
    <cfRule type="containsText" dxfId="1711" priority="2015" operator="containsText" text="전준영">
      <formula>NOT(ISERROR(SEARCH("전준영",H1118)))</formula>
    </cfRule>
    <cfRule type="containsText" dxfId="1710" priority="2016" operator="containsText" text="차재성">
      <formula>NOT(ISERROR(SEARCH("차재성",H1118)))</formula>
    </cfRule>
  </conditionalFormatting>
  <conditionalFormatting sqref="J81">
    <cfRule type="containsText" dxfId="1709" priority="2017" operator="containsText" text="허하나로">
      <formula>NOT(ISERROR(SEARCH("허하나로",H1119)))</formula>
    </cfRule>
    <cfRule type="containsText" dxfId="1708" priority="2018" operator="containsText" text="한별">
      <formula>NOT(ISERROR(SEARCH("한별",H1119)))</formula>
    </cfRule>
    <cfRule type="containsText" dxfId="1707" priority="2019" operator="containsText" text="정홍조">
      <formula>NOT(ISERROR(SEARCH("정홍조",H1119)))</formula>
    </cfRule>
    <cfRule type="containsText" dxfId="1706" priority="2020" operator="containsText" text="김지윤">
      <formula>NOT(ISERROR(SEARCH("김지윤",H1119)))</formula>
    </cfRule>
    <cfRule type="containsText" dxfId="1705" priority="2021" operator="containsText" text="전준영">
      <formula>NOT(ISERROR(SEARCH("전준영",H1119)))</formula>
    </cfRule>
    <cfRule type="containsText" dxfId="1704" priority="2022" operator="containsText" text="차재성">
      <formula>NOT(ISERROR(SEARCH("차재성",H1119)))</formula>
    </cfRule>
  </conditionalFormatting>
  <conditionalFormatting sqref="J71">
    <cfRule type="containsText" dxfId="1703" priority="2035" operator="containsText" text="허하나로">
      <formula>NOT(ISERROR(SEARCH("허하나로",H1119)))</formula>
    </cfRule>
    <cfRule type="containsText" dxfId="1702" priority="2036" operator="containsText" text="한별">
      <formula>NOT(ISERROR(SEARCH("한별",H1119)))</formula>
    </cfRule>
    <cfRule type="containsText" dxfId="1701" priority="2037" operator="containsText" text="정홍조">
      <formula>NOT(ISERROR(SEARCH("정홍조",H1119)))</formula>
    </cfRule>
    <cfRule type="containsText" dxfId="1700" priority="2038" operator="containsText" text="김지윤">
      <formula>NOT(ISERROR(SEARCH("김지윤",H1119)))</formula>
    </cfRule>
    <cfRule type="containsText" dxfId="1699" priority="2039" operator="containsText" text="전준영">
      <formula>NOT(ISERROR(SEARCH("전준영",H1119)))</formula>
    </cfRule>
    <cfRule type="containsText" dxfId="1698" priority="2040" operator="containsText" text="차재성">
      <formula>NOT(ISERROR(SEARCH("차재성",H1119)))</formula>
    </cfRule>
  </conditionalFormatting>
  <conditionalFormatting sqref="J68:J69">
    <cfRule type="containsText" dxfId="1697" priority="2053" operator="containsText" text="허하나로">
      <formula>NOT(ISERROR(SEARCH("허하나로",H1119)))</formula>
    </cfRule>
    <cfRule type="containsText" dxfId="1696" priority="2054" operator="containsText" text="한별">
      <formula>NOT(ISERROR(SEARCH("한별",H1119)))</formula>
    </cfRule>
    <cfRule type="containsText" dxfId="1695" priority="2055" operator="containsText" text="정홍조">
      <formula>NOT(ISERROR(SEARCH("정홍조",H1119)))</formula>
    </cfRule>
    <cfRule type="containsText" dxfId="1694" priority="2056" operator="containsText" text="김지윤">
      <formula>NOT(ISERROR(SEARCH("김지윤",H1119)))</formula>
    </cfRule>
    <cfRule type="containsText" dxfId="1693" priority="2057" operator="containsText" text="전준영">
      <formula>NOT(ISERROR(SEARCH("전준영",H1119)))</formula>
    </cfRule>
    <cfRule type="containsText" dxfId="1692" priority="2058" operator="containsText" text="차재성">
      <formula>NOT(ISERROR(SEARCH("차재성",H1119)))</formula>
    </cfRule>
  </conditionalFormatting>
  <conditionalFormatting sqref="J60">
    <cfRule type="containsText" dxfId="1691" priority="2071" operator="containsText" text="허하나로">
      <formula>NOT(ISERROR(SEARCH("허하나로",H1118)))</formula>
    </cfRule>
    <cfRule type="containsText" dxfId="1690" priority="2072" operator="containsText" text="한별">
      <formula>NOT(ISERROR(SEARCH("한별",H1118)))</formula>
    </cfRule>
    <cfRule type="containsText" dxfId="1689" priority="2073" operator="containsText" text="정홍조">
      <formula>NOT(ISERROR(SEARCH("정홍조",H1118)))</formula>
    </cfRule>
    <cfRule type="containsText" dxfId="1688" priority="2074" operator="containsText" text="김지윤">
      <formula>NOT(ISERROR(SEARCH("김지윤",H1118)))</formula>
    </cfRule>
    <cfRule type="containsText" dxfId="1687" priority="2075" operator="containsText" text="전준영">
      <formula>NOT(ISERROR(SEARCH("전준영",H1118)))</formula>
    </cfRule>
    <cfRule type="containsText" dxfId="1686" priority="2076" operator="containsText" text="차재성">
      <formula>NOT(ISERROR(SEARCH("차재성",H1118)))</formula>
    </cfRule>
  </conditionalFormatting>
  <conditionalFormatting sqref="J53">
    <cfRule type="containsText" dxfId="1685" priority="2197" operator="containsText" text="허하나로">
      <formula>NOT(ISERROR(SEARCH("허하나로",H1127)))</formula>
    </cfRule>
    <cfRule type="containsText" dxfId="1684" priority="2198" operator="containsText" text="한별">
      <formula>NOT(ISERROR(SEARCH("한별",H1127)))</formula>
    </cfRule>
    <cfRule type="containsText" dxfId="1683" priority="2199" operator="containsText" text="정홍조">
      <formula>NOT(ISERROR(SEARCH("정홍조",H1127)))</formula>
    </cfRule>
    <cfRule type="containsText" dxfId="1682" priority="2200" operator="containsText" text="김지윤">
      <formula>NOT(ISERROR(SEARCH("김지윤",H1127)))</formula>
    </cfRule>
    <cfRule type="containsText" dxfId="1681" priority="2201" operator="containsText" text="전준영">
      <formula>NOT(ISERROR(SEARCH("전준영",H1127)))</formula>
    </cfRule>
    <cfRule type="containsText" dxfId="1680" priority="2202" operator="containsText" text="차재성">
      <formula>NOT(ISERROR(SEARCH("차재성",H1127)))</formula>
    </cfRule>
  </conditionalFormatting>
  <conditionalFormatting sqref="J57">
    <cfRule type="containsText" dxfId="1679" priority="523" operator="containsText" text="허하나로">
      <formula>NOT(ISERROR(SEARCH("허하나로",H1112)))</formula>
    </cfRule>
    <cfRule type="containsText" dxfId="1678" priority="524" operator="containsText" text="한별">
      <formula>NOT(ISERROR(SEARCH("한별",H1112)))</formula>
    </cfRule>
    <cfRule type="containsText" dxfId="1677" priority="525" operator="containsText" text="정홍조">
      <formula>NOT(ISERROR(SEARCH("정홍조",H1112)))</formula>
    </cfRule>
    <cfRule type="containsText" dxfId="1676" priority="526" operator="containsText" text="김지윤">
      <formula>NOT(ISERROR(SEARCH("김지윤",H1112)))</formula>
    </cfRule>
    <cfRule type="containsText" dxfId="1675" priority="527" operator="containsText" text="전준영">
      <formula>NOT(ISERROR(SEARCH("전준영",H1112)))</formula>
    </cfRule>
    <cfRule type="containsText" dxfId="1674" priority="528" operator="containsText" text="차재성">
      <formula>NOT(ISERROR(SEARCH("차재성",H1112)))</formula>
    </cfRule>
  </conditionalFormatting>
  <conditionalFormatting sqref="J58:J59">
    <cfRule type="containsText" dxfId="1673" priority="517" operator="containsText" text="허하나로">
      <formula>NOT(ISERROR(SEARCH("허하나로",H1141)))</formula>
    </cfRule>
    <cfRule type="containsText" dxfId="1672" priority="518" operator="containsText" text="한별">
      <formula>NOT(ISERROR(SEARCH("한별",H1141)))</formula>
    </cfRule>
    <cfRule type="containsText" dxfId="1671" priority="519" operator="containsText" text="정홍조">
      <formula>NOT(ISERROR(SEARCH("정홍조",H1141)))</formula>
    </cfRule>
    <cfRule type="containsText" dxfId="1670" priority="520" operator="containsText" text="김지윤">
      <formula>NOT(ISERROR(SEARCH("김지윤",H1141)))</formula>
    </cfRule>
    <cfRule type="containsText" dxfId="1669" priority="521" operator="containsText" text="전준영">
      <formula>NOT(ISERROR(SEARCH("전준영",H1141)))</formula>
    </cfRule>
    <cfRule type="containsText" dxfId="1668" priority="522" operator="containsText" text="차재성">
      <formula>NOT(ISERROR(SEARCH("차재성",H1141)))</formula>
    </cfRule>
  </conditionalFormatting>
  <conditionalFormatting sqref="J135">
    <cfRule type="containsText" dxfId="1667" priority="2215" operator="containsText" text="허하나로">
      <formula>NOT(ISERROR(SEARCH("허하나로",H1170)))</formula>
    </cfRule>
    <cfRule type="containsText" dxfId="1666" priority="2216" operator="containsText" text="한별">
      <formula>NOT(ISERROR(SEARCH("한별",H1170)))</formula>
    </cfRule>
    <cfRule type="containsText" dxfId="1665" priority="2217" operator="containsText" text="정홍조">
      <formula>NOT(ISERROR(SEARCH("정홍조",H1170)))</formula>
    </cfRule>
    <cfRule type="containsText" dxfId="1664" priority="2218" operator="containsText" text="김지윤">
      <formula>NOT(ISERROR(SEARCH("김지윤",H1170)))</formula>
    </cfRule>
    <cfRule type="containsText" dxfId="1663" priority="2219" operator="containsText" text="전준영">
      <formula>NOT(ISERROR(SEARCH("전준영",H1170)))</formula>
    </cfRule>
    <cfRule type="containsText" dxfId="1662" priority="2220" operator="containsText" text="차재성">
      <formula>NOT(ISERROR(SEARCH("차재성",H1170)))</formula>
    </cfRule>
  </conditionalFormatting>
  <conditionalFormatting sqref="J131:J132">
    <cfRule type="containsText" dxfId="1661" priority="2233" operator="containsText" text="허하나로">
      <formula>NOT(ISERROR(SEARCH("허하나로",H1169)))</formula>
    </cfRule>
    <cfRule type="containsText" dxfId="1660" priority="2234" operator="containsText" text="한별">
      <formula>NOT(ISERROR(SEARCH("한별",H1169)))</formula>
    </cfRule>
    <cfRule type="containsText" dxfId="1659" priority="2235" operator="containsText" text="정홍조">
      <formula>NOT(ISERROR(SEARCH("정홍조",H1169)))</formula>
    </cfRule>
    <cfRule type="containsText" dxfId="1658" priority="2236" operator="containsText" text="김지윤">
      <formula>NOT(ISERROR(SEARCH("김지윤",H1169)))</formula>
    </cfRule>
    <cfRule type="containsText" dxfId="1657" priority="2237" operator="containsText" text="전준영">
      <formula>NOT(ISERROR(SEARCH("전준영",H1169)))</formula>
    </cfRule>
    <cfRule type="containsText" dxfId="1656" priority="2238" operator="containsText" text="차재성">
      <formula>NOT(ISERROR(SEARCH("차재성",H1169)))</formula>
    </cfRule>
  </conditionalFormatting>
  <conditionalFormatting sqref="J65">
    <cfRule type="containsText" dxfId="1655" priority="2251" operator="containsText" text="허하나로">
      <formula>NOT(ISERROR(SEARCH("허하나로",H1119)))</formula>
    </cfRule>
    <cfRule type="containsText" dxfId="1654" priority="2252" operator="containsText" text="한별">
      <formula>NOT(ISERROR(SEARCH("한별",H1119)))</formula>
    </cfRule>
    <cfRule type="containsText" dxfId="1653" priority="2253" operator="containsText" text="정홍조">
      <formula>NOT(ISERROR(SEARCH("정홍조",H1119)))</formula>
    </cfRule>
    <cfRule type="containsText" dxfId="1652" priority="2254" operator="containsText" text="김지윤">
      <formula>NOT(ISERROR(SEARCH("김지윤",H1119)))</formula>
    </cfRule>
    <cfRule type="containsText" dxfId="1651" priority="2255" operator="containsText" text="전준영">
      <formula>NOT(ISERROR(SEARCH("전준영",H1119)))</formula>
    </cfRule>
    <cfRule type="containsText" dxfId="1650" priority="2256" operator="containsText" text="차재성">
      <formula>NOT(ISERROR(SEARCH("차재성",H1119)))</formula>
    </cfRule>
  </conditionalFormatting>
  <conditionalFormatting sqref="J64">
    <cfRule type="containsText" dxfId="1649" priority="2269" operator="containsText" text="허하나로">
      <formula>NOT(ISERROR(SEARCH("허하나로",H1119)))</formula>
    </cfRule>
    <cfRule type="containsText" dxfId="1648" priority="2270" operator="containsText" text="한별">
      <formula>NOT(ISERROR(SEARCH("한별",H1119)))</formula>
    </cfRule>
    <cfRule type="containsText" dxfId="1647" priority="2271" operator="containsText" text="정홍조">
      <formula>NOT(ISERROR(SEARCH("정홍조",H1119)))</formula>
    </cfRule>
    <cfRule type="containsText" dxfId="1646" priority="2272" operator="containsText" text="김지윤">
      <formula>NOT(ISERROR(SEARCH("김지윤",H1119)))</formula>
    </cfRule>
    <cfRule type="containsText" dxfId="1645" priority="2273" operator="containsText" text="전준영">
      <formula>NOT(ISERROR(SEARCH("전준영",H1119)))</formula>
    </cfRule>
    <cfRule type="containsText" dxfId="1644" priority="2274" operator="containsText" text="차재성">
      <formula>NOT(ISERROR(SEARCH("차재성",H1119)))</formula>
    </cfRule>
  </conditionalFormatting>
  <conditionalFormatting sqref="J63">
    <cfRule type="containsText" dxfId="1643" priority="2287" operator="containsText" text="허하나로">
      <formula>NOT(ISERROR(SEARCH("허하나로",H1119)))</formula>
    </cfRule>
    <cfRule type="containsText" dxfId="1642" priority="2288" operator="containsText" text="한별">
      <formula>NOT(ISERROR(SEARCH("한별",H1119)))</formula>
    </cfRule>
    <cfRule type="containsText" dxfId="1641" priority="2289" operator="containsText" text="정홍조">
      <formula>NOT(ISERROR(SEARCH("정홍조",H1119)))</formula>
    </cfRule>
    <cfRule type="containsText" dxfId="1640" priority="2290" operator="containsText" text="김지윤">
      <formula>NOT(ISERROR(SEARCH("김지윤",H1119)))</formula>
    </cfRule>
    <cfRule type="containsText" dxfId="1639" priority="2291" operator="containsText" text="전준영">
      <formula>NOT(ISERROR(SEARCH("전준영",H1119)))</formula>
    </cfRule>
    <cfRule type="containsText" dxfId="1638" priority="2292" operator="containsText" text="차재성">
      <formula>NOT(ISERROR(SEARCH("차재성",H1119)))</formula>
    </cfRule>
  </conditionalFormatting>
  <conditionalFormatting sqref="J61:J62">
    <cfRule type="containsText" dxfId="1637" priority="2305" operator="containsText" text="허하나로">
      <formula>NOT(ISERROR(SEARCH("허하나로",H1118)))</formula>
    </cfRule>
    <cfRule type="containsText" dxfId="1636" priority="2306" operator="containsText" text="한별">
      <formula>NOT(ISERROR(SEARCH("한별",H1118)))</formula>
    </cfRule>
    <cfRule type="containsText" dxfId="1635" priority="2307" operator="containsText" text="정홍조">
      <formula>NOT(ISERROR(SEARCH("정홍조",H1118)))</formula>
    </cfRule>
    <cfRule type="containsText" dxfId="1634" priority="2308" operator="containsText" text="김지윤">
      <formula>NOT(ISERROR(SEARCH("김지윤",H1118)))</formula>
    </cfRule>
    <cfRule type="containsText" dxfId="1633" priority="2309" operator="containsText" text="전준영">
      <formula>NOT(ISERROR(SEARCH("전준영",H1118)))</formula>
    </cfRule>
    <cfRule type="containsText" dxfId="1632" priority="2310" operator="containsText" text="차재성">
      <formula>NOT(ISERROR(SEARCH("차재성",H1118)))</formula>
    </cfRule>
  </conditionalFormatting>
  <conditionalFormatting sqref="J83">
    <cfRule type="containsText" dxfId="1631" priority="2311" operator="containsText" text="허하나로">
      <formula>NOT(ISERROR(SEARCH("허하나로",H1120)))</formula>
    </cfRule>
    <cfRule type="containsText" dxfId="1630" priority="2312" operator="containsText" text="한별">
      <formula>NOT(ISERROR(SEARCH("한별",H1120)))</formula>
    </cfRule>
    <cfRule type="containsText" dxfId="1629" priority="2313" operator="containsText" text="정홍조">
      <formula>NOT(ISERROR(SEARCH("정홍조",H1120)))</formula>
    </cfRule>
    <cfRule type="containsText" dxfId="1628" priority="2314" operator="containsText" text="김지윤">
      <formula>NOT(ISERROR(SEARCH("김지윤",H1120)))</formula>
    </cfRule>
    <cfRule type="containsText" dxfId="1627" priority="2315" operator="containsText" text="전준영">
      <formula>NOT(ISERROR(SEARCH("전준영",H1120)))</formula>
    </cfRule>
    <cfRule type="containsText" dxfId="1626" priority="2316" operator="containsText" text="차재성">
      <formula>NOT(ISERROR(SEARCH("차재성",H1120)))</formula>
    </cfRule>
  </conditionalFormatting>
  <conditionalFormatting sqref="J82">
    <cfRule type="containsText" dxfId="1625" priority="2341" operator="containsText" text="허하나로">
      <formula>NOT(ISERROR(SEARCH("허하나로",H1120)))</formula>
    </cfRule>
    <cfRule type="containsText" dxfId="1624" priority="2342" operator="containsText" text="한별">
      <formula>NOT(ISERROR(SEARCH("한별",H1120)))</formula>
    </cfRule>
    <cfRule type="containsText" dxfId="1623" priority="2343" operator="containsText" text="정홍조">
      <formula>NOT(ISERROR(SEARCH("정홍조",H1120)))</formula>
    </cfRule>
    <cfRule type="containsText" dxfId="1622" priority="2344" operator="containsText" text="김지윤">
      <formula>NOT(ISERROR(SEARCH("김지윤",H1120)))</formula>
    </cfRule>
    <cfRule type="containsText" dxfId="1621" priority="2345" operator="containsText" text="전준영">
      <formula>NOT(ISERROR(SEARCH("전준영",H1120)))</formula>
    </cfRule>
    <cfRule type="containsText" dxfId="1620" priority="2346" operator="containsText" text="차재성">
      <formula>NOT(ISERROR(SEARCH("차재성",H1120)))</formula>
    </cfRule>
  </conditionalFormatting>
  <conditionalFormatting sqref="L82">
    <cfRule type="containsText" dxfId="1619" priority="2353" operator="containsText" text="허하나로">
      <formula>NOT(ISERROR(SEARCH("허하나로",J1254)))</formula>
    </cfRule>
    <cfRule type="containsText" dxfId="1618" priority="2354" operator="containsText" text="한별">
      <formula>NOT(ISERROR(SEARCH("한별",J1254)))</formula>
    </cfRule>
    <cfRule type="containsText" dxfId="1617" priority="2355" operator="containsText" text="정홍조">
      <formula>NOT(ISERROR(SEARCH("정홍조",J1254)))</formula>
    </cfRule>
    <cfRule type="containsText" dxfId="1616" priority="2356" operator="containsText" text="김지윤">
      <formula>NOT(ISERROR(SEARCH("김지윤",J1254)))</formula>
    </cfRule>
    <cfRule type="containsText" dxfId="1615" priority="2357" operator="containsText" text="전준영">
      <formula>NOT(ISERROR(SEARCH("전준영",J1254)))</formula>
    </cfRule>
    <cfRule type="containsText" dxfId="1614" priority="2358" operator="containsText" text="차재성">
      <formula>NOT(ISERROR(SEARCH("차재성",J1254)))</formula>
    </cfRule>
  </conditionalFormatting>
  <conditionalFormatting sqref="J78">
    <cfRule type="containsText" dxfId="1613" priority="2371" operator="containsText" text="허하나로">
      <formula>NOT(ISERROR(SEARCH("허하나로",H1120)))</formula>
    </cfRule>
    <cfRule type="containsText" dxfId="1612" priority="2372" operator="containsText" text="한별">
      <formula>NOT(ISERROR(SEARCH("한별",H1120)))</formula>
    </cfRule>
    <cfRule type="containsText" dxfId="1611" priority="2373" operator="containsText" text="정홍조">
      <formula>NOT(ISERROR(SEARCH("정홍조",H1120)))</formula>
    </cfRule>
    <cfRule type="containsText" dxfId="1610" priority="2374" operator="containsText" text="김지윤">
      <formula>NOT(ISERROR(SEARCH("김지윤",H1120)))</formula>
    </cfRule>
    <cfRule type="containsText" dxfId="1609" priority="2375" operator="containsText" text="전준영">
      <formula>NOT(ISERROR(SEARCH("전준영",H1120)))</formula>
    </cfRule>
    <cfRule type="containsText" dxfId="1608" priority="2376" operator="containsText" text="차재성">
      <formula>NOT(ISERROR(SEARCH("차재성",H1120)))</formula>
    </cfRule>
  </conditionalFormatting>
  <conditionalFormatting sqref="J76:J77">
    <cfRule type="containsText" dxfId="1607" priority="2401" operator="containsText" text="허하나로">
      <formula>NOT(ISERROR(SEARCH("허하나로",H1119)))</formula>
    </cfRule>
    <cfRule type="containsText" dxfId="1606" priority="2402" operator="containsText" text="한별">
      <formula>NOT(ISERROR(SEARCH("한별",H1119)))</formula>
    </cfRule>
    <cfRule type="containsText" dxfId="1605" priority="2403" operator="containsText" text="정홍조">
      <formula>NOT(ISERROR(SEARCH("정홍조",H1119)))</formula>
    </cfRule>
    <cfRule type="containsText" dxfId="1604" priority="2404" operator="containsText" text="김지윤">
      <formula>NOT(ISERROR(SEARCH("김지윤",H1119)))</formula>
    </cfRule>
    <cfRule type="containsText" dxfId="1603" priority="2405" operator="containsText" text="전준영">
      <formula>NOT(ISERROR(SEARCH("전준영",H1119)))</formula>
    </cfRule>
    <cfRule type="containsText" dxfId="1602" priority="2406" operator="containsText" text="차재성">
      <formula>NOT(ISERROR(SEARCH("차재성",H1119)))</formula>
    </cfRule>
  </conditionalFormatting>
  <conditionalFormatting sqref="L76">
    <cfRule type="containsText" dxfId="1601" priority="2413" operator="containsText" text="허하나로">
      <formula>NOT(ISERROR(SEARCH("허하나로",J1253)))</formula>
    </cfRule>
    <cfRule type="containsText" dxfId="1600" priority="2414" operator="containsText" text="한별">
      <formula>NOT(ISERROR(SEARCH("한별",J1253)))</formula>
    </cfRule>
    <cfRule type="containsText" dxfId="1599" priority="2415" operator="containsText" text="정홍조">
      <formula>NOT(ISERROR(SEARCH("정홍조",J1253)))</formula>
    </cfRule>
    <cfRule type="containsText" dxfId="1598" priority="2416" operator="containsText" text="김지윤">
      <formula>NOT(ISERROR(SEARCH("김지윤",J1253)))</formula>
    </cfRule>
    <cfRule type="containsText" dxfId="1597" priority="2417" operator="containsText" text="전준영">
      <formula>NOT(ISERROR(SEARCH("전준영",J1253)))</formula>
    </cfRule>
    <cfRule type="containsText" dxfId="1596" priority="2418" operator="containsText" text="차재성">
      <formula>NOT(ISERROR(SEARCH("차재성",J1253)))</formula>
    </cfRule>
  </conditionalFormatting>
  <conditionalFormatting sqref="J121">
    <cfRule type="containsText" dxfId="1595" priority="2419" operator="containsText" text="허하나로">
      <formula>NOT(ISERROR(SEARCH("허하나로",H1122)))</formula>
    </cfRule>
    <cfRule type="containsText" dxfId="1594" priority="2420" operator="containsText" text="한별">
      <formula>NOT(ISERROR(SEARCH("한별",H1122)))</formula>
    </cfRule>
    <cfRule type="containsText" dxfId="1593" priority="2421" operator="containsText" text="정홍조">
      <formula>NOT(ISERROR(SEARCH("정홍조",H1122)))</formula>
    </cfRule>
    <cfRule type="containsText" dxfId="1592" priority="2422" operator="containsText" text="김지윤">
      <formula>NOT(ISERROR(SEARCH("김지윤",H1122)))</formula>
    </cfRule>
    <cfRule type="containsText" dxfId="1591" priority="2423" operator="containsText" text="전준영">
      <formula>NOT(ISERROR(SEARCH("전준영",H1122)))</formula>
    </cfRule>
    <cfRule type="containsText" dxfId="1590" priority="2424" operator="containsText" text="차재성">
      <formula>NOT(ISERROR(SEARCH("차재성",H1122)))</formula>
    </cfRule>
  </conditionalFormatting>
  <conditionalFormatting sqref="J108">
    <cfRule type="containsText" dxfId="1589" priority="2449" operator="containsText" text="허하나로">
      <formula>NOT(ISERROR(SEARCH("허하나로",H1121)))</formula>
    </cfRule>
    <cfRule type="containsText" dxfId="1588" priority="2450" operator="containsText" text="한별">
      <formula>NOT(ISERROR(SEARCH("한별",H1121)))</formula>
    </cfRule>
    <cfRule type="containsText" dxfId="1587" priority="2451" operator="containsText" text="정홍조">
      <formula>NOT(ISERROR(SEARCH("정홍조",H1121)))</formula>
    </cfRule>
    <cfRule type="containsText" dxfId="1586" priority="2452" operator="containsText" text="김지윤">
      <formula>NOT(ISERROR(SEARCH("김지윤",H1121)))</formula>
    </cfRule>
    <cfRule type="containsText" dxfId="1585" priority="2453" operator="containsText" text="전준영">
      <formula>NOT(ISERROR(SEARCH("전준영",H1121)))</formula>
    </cfRule>
    <cfRule type="containsText" dxfId="1584" priority="2454" operator="containsText" text="차재성">
      <formula>NOT(ISERROR(SEARCH("차재성",H1121)))</formula>
    </cfRule>
  </conditionalFormatting>
  <conditionalFormatting sqref="J104">
    <cfRule type="containsText" dxfId="1583" priority="2539" operator="containsText" text="허하나로">
      <formula>NOT(ISERROR(SEARCH("허하나로",H1121)))</formula>
    </cfRule>
    <cfRule type="containsText" dxfId="1582" priority="2540" operator="containsText" text="한별">
      <formula>NOT(ISERROR(SEARCH("한별",H1121)))</formula>
    </cfRule>
    <cfRule type="containsText" dxfId="1581" priority="2541" operator="containsText" text="정홍조">
      <formula>NOT(ISERROR(SEARCH("정홍조",H1121)))</formula>
    </cfRule>
    <cfRule type="containsText" dxfId="1580" priority="2542" operator="containsText" text="김지윤">
      <formula>NOT(ISERROR(SEARCH("김지윤",H1121)))</formula>
    </cfRule>
    <cfRule type="containsText" dxfId="1579" priority="2543" operator="containsText" text="전준영">
      <formula>NOT(ISERROR(SEARCH("전준영",H1121)))</formula>
    </cfRule>
    <cfRule type="containsText" dxfId="1578" priority="2544" operator="containsText" text="차재성">
      <formula>NOT(ISERROR(SEARCH("차재성",H1121)))</formula>
    </cfRule>
  </conditionalFormatting>
  <conditionalFormatting sqref="J102">
    <cfRule type="containsText" dxfId="1577" priority="2569" operator="containsText" text="허하나로">
      <formula>NOT(ISERROR(SEARCH("허하나로",H1121)))</formula>
    </cfRule>
    <cfRule type="containsText" dxfId="1576" priority="2570" operator="containsText" text="한별">
      <formula>NOT(ISERROR(SEARCH("한별",H1121)))</formula>
    </cfRule>
    <cfRule type="containsText" dxfId="1575" priority="2571" operator="containsText" text="정홍조">
      <formula>NOT(ISERROR(SEARCH("정홍조",H1121)))</formula>
    </cfRule>
    <cfRule type="containsText" dxfId="1574" priority="2572" operator="containsText" text="김지윤">
      <formula>NOT(ISERROR(SEARCH("김지윤",H1121)))</formula>
    </cfRule>
    <cfRule type="containsText" dxfId="1573" priority="2573" operator="containsText" text="전준영">
      <formula>NOT(ISERROR(SEARCH("전준영",H1121)))</formula>
    </cfRule>
    <cfRule type="containsText" dxfId="1572" priority="2574" operator="containsText" text="차재성">
      <formula>NOT(ISERROR(SEARCH("차재성",H1121)))</formula>
    </cfRule>
  </conditionalFormatting>
  <conditionalFormatting sqref="J101">
    <cfRule type="containsText" dxfId="1571" priority="2599" operator="containsText" text="허하나로">
      <formula>NOT(ISERROR(SEARCH("허하나로",H1121)))</formula>
    </cfRule>
    <cfRule type="containsText" dxfId="1570" priority="2600" operator="containsText" text="한별">
      <formula>NOT(ISERROR(SEARCH("한별",H1121)))</formula>
    </cfRule>
    <cfRule type="containsText" dxfId="1569" priority="2601" operator="containsText" text="정홍조">
      <formula>NOT(ISERROR(SEARCH("정홍조",H1121)))</formula>
    </cfRule>
    <cfRule type="containsText" dxfId="1568" priority="2602" operator="containsText" text="김지윤">
      <formula>NOT(ISERROR(SEARCH("김지윤",H1121)))</formula>
    </cfRule>
    <cfRule type="containsText" dxfId="1567" priority="2603" operator="containsText" text="전준영">
      <formula>NOT(ISERROR(SEARCH("전준영",H1121)))</formula>
    </cfRule>
    <cfRule type="containsText" dxfId="1566" priority="2604" operator="containsText" text="차재성">
      <formula>NOT(ISERROR(SEARCH("차재성",H1121)))</formula>
    </cfRule>
  </conditionalFormatting>
  <conditionalFormatting sqref="J92:J93">
    <cfRule type="containsText" dxfId="1565" priority="2809" operator="containsText" text="허하나로">
      <formula>NOT(ISERROR(SEARCH("허하나로",H1123)))</formula>
    </cfRule>
    <cfRule type="containsText" dxfId="1564" priority="2810" operator="containsText" text="한별">
      <formula>NOT(ISERROR(SEARCH("한별",H1123)))</formula>
    </cfRule>
    <cfRule type="containsText" dxfId="1563" priority="2811" operator="containsText" text="정홍조">
      <formula>NOT(ISERROR(SEARCH("정홍조",H1123)))</formula>
    </cfRule>
    <cfRule type="containsText" dxfId="1562" priority="2812" operator="containsText" text="김지윤">
      <formula>NOT(ISERROR(SEARCH("김지윤",H1123)))</formula>
    </cfRule>
    <cfRule type="containsText" dxfId="1561" priority="2813" operator="containsText" text="전준영">
      <formula>NOT(ISERROR(SEARCH("전준영",H1123)))</formula>
    </cfRule>
    <cfRule type="containsText" dxfId="1560" priority="2814" operator="containsText" text="차재성">
      <formula>NOT(ISERROR(SEARCH("차재성",H1123)))</formula>
    </cfRule>
  </conditionalFormatting>
  <conditionalFormatting sqref="J94:J96">
    <cfRule type="containsText" dxfId="1559" priority="511" operator="containsText" text="허하나로">
      <formula>NOT(ISERROR(SEARCH("허하나로",H1162)))</formula>
    </cfRule>
    <cfRule type="containsText" dxfId="1558" priority="512" operator="containsText" text="한별">
      <formula>NOT(ISERROR(SEARCH("한별",H1162)))</formula>
    </cfRule>
    <cfRule type="containsText" dxfId="1557" priority="513" operator="containsText" text="정홍조">
      <formula>NOT(ISERROR(SEARCH("정홍조",H1162)))</formula>
    </cfRule>
    <cfRule type="containsText" dxfId="1556" priority="514" operator="containsText" text="김지윤">
      <formula>NOT(ISERROR(SEARCH("김지윤",H1162)))</formula>
    </cfRule>
    <cfRule type="containsText" dxfId="1555" priority="515" operator="containsText" text="전준영">
      <formula>NOT(ISERROR(SEARCH("전준영",H1162)))</formula>
    </cfRule>
    <cfRule type="containsText" dxfId="1554" priority="516" operator="containsText" text="차재성">
      <formula>NOT(ISERROR(SEARCH("차재성",H1162)))</formula>
    </cfRule>
  </conditionalFormatting>
  <conditionalFormatting sqref="J97">
    <cfRule type="containsText" dxfId="1553" priority="499" operator="containsText" text="허하나로">
      <formula>NOT(ISERROR(SEARCH("허하나로",H1164)))</formula>
    </cfRule>
    <cfRule type="containsText" dxfId="1552" priority="500" operator="containsText" text="한별">
      <formula>NOT(ISERROR(SEARCH("한별",H1164)))</formula>
    </cfRule>
    <cfRule type="containsText" dxfId="1551" priority="501" operator="containsText" text="정홍조">
      <formula>NOT(ISERROR(SEARCH("정홍조",H1164)))</formula>
    </cfRule>
    <cfRule type="containsText" dxfId="1550" priority="502" operator="containsText" text="김지윤">
      <formula>NOT(ISERROR(SEARCH("김지윤",H1164)))</formula>
    </cfRule>
    <cfRule type="containsText" dxfId="1549" priority="503" operator="containsText" text="전준영">
      <formula>NOT(ISERROR(SEARCH("전준영",H1164)))</formula>
    </cfRule>
    <cfRule type="containsText" dxfId="1548" priority="504" operator="containsText" text="차재성">
      <formula>NOT(ISERROR(SEARCH("차재성",H1164)))</formula>
    </cfRule>
  </conditionalFormatting>
  <conditionalFormatting sqref="J98">
    <cfRule type="containsText" dxfId="1547" priority="493" operator="containsText" text="허하나로">
      <formula>NOT(ISERROR(SEARCH("허하나로",H1167)))</formula>
    </cfRule>
    <cfRule type="containsText" dxfId="1546" priority="494" operator="containsText" text="한별">
      <formula>NOT(ISERROR(SEARCH("한별",H1167)))</formula>
    </cfRule>
    <cfRule type="containsText" dxfId="1545" priority="495" operator="containsText" text="정홍조">
      <formula>NOT(ISERROR(SEARCH("정홍조",H1167)))</formula>
    </cfRule>
    <cfRule type="containsText" dxfId="1544" priority="496" operator="containsText" text="김지윤">
      <formula>NOT(ISERROR(SEARCH("김지윤",H1167)))</formula>
    </cfRule>
    <cfRule type="containsText" dxfId="1543" priority="497" operator="containsText" text="전준영">
      <formula>NOT(ISERROR(SEARCH("전준영",H1167)))</formula>
    </cfRule>
    <cfRule type="containsText" dxfId="1542" priority="498" operator="containsText" text="차재성">
      <formula>NOT(ISERROR(SEARCH("차재성",H1167)))</formula>
    </cfRule>
  </conditionalFormatting>
  <conditionalFormatting sqref="J99">
    <cfRule type="containsText" dxfId="1541" priority="487" operator="containsText" text="허하나로">
      <formula>NOT(ISERROR(SEARCH("허하나로",H1168)))</formula>
    </cfRule>
    <cfRule type="containsText" dxfId="1540" priority="488" operator="containsText" text="한별">
      <formula>NOT(ISERROR(SEARCH("한별",H1168)))</formula>
    </cfRule>
    <cfRule type="containsText" dxfId="1539" priority="489" operator="containsText" text="정홍조">
      <formula>NOT(ISERROR(SEARCH("정홍조",H1168)))</formula>
    </cfRule>
    <cfRule type="containsText" dxfId="1538" priority="490" operator="containsText" text="김지윤">
      <formula>NOT(ISERROR(SEARCH("김지윤",H1168)))</formula>
    </cfRule>
    <cfRule type="containsText" dxfId="1537" priority="491" operator="containsText" text="전준영">
      <formula>NOT(ISERROR(SEARCH("전준영",H1168)))</formula>
    </cfRule>
    <cfRule type="containsText" dxfId="1536" priority="492" operator="containsText" text="차재성">
      <formula>NOT(ISERROR(SEARCH("차재성",H1168)))</formula>
    </cfRule>
  </conditionalFormatting>
  <conditionalFormatting sqref="J106">
    <cfRule type="containsText" dxfId="1535" priority="481" operator="containsText" text="허하나로">
      <formula>NOT(ISERROR(SEARCH("허하나로",H1172)))</formula>
    </cfRule>
    <cfRule type="containsText" dxfId="1534" priority="482" operator="containsText" text="한별">
      <formula>NOT(ISERROR(SEARCH("한별",H1172)))</formula>
    </cfRule>
    <cfRule type="containsText" dxfId="1533" priority="483" operator="containsText" text="정홍조">
      <formula>NOT(ISERROR(SEARCH("정홍조",H1172)))</formula>
    </cfRule>
    <cfRule type="containsText" dxfId="1532" priority="484" operator="containsText" text="김지윤">
      <formula>NOT(ISERROR(SEARCH("김지윤",H1172)))</formula>
    </cfRule>
    <cfRule type="containsText" dxfId="1531" priority="485" operator="containsText" text="전준영">
      <formula>NOT(ISERROR(SEARCH("전준영",H1172)))</formula>
    </cfRule>
    <cfRule type="containsText" dxfId="1530" priority="486" operator="containsText" text="차재성">
      <formula>NOT(ISERROR(SEARCH("차재성",H1172)))</formula>
    </cfRule>
  </conditionalFormatting>
  <conditionalFormatting sqref="J107">
    <cfRule type="containsText" dxfId="1529" priority="475" operator="containsText" text="허하나로">
      <formula>NOT(ISERROR(SEARCH("허하나로",H1173)))</formula>
    </cfRule>
    <cfRule type="containsText" dxfId="1528" priority="476" operator="containsText" text="한별">
      <formula>NOT(ISERROR(SEARCH("한별",H1173)))</formula>
    </cfRule>
    <cfRule type="containsText" dxfId="1527" priority="477" operator="containsText" text="정홍조">
      <formula>NOT(ISERROR(SEARCH("정홍조",H1173)))</formula>
    </cfRule>
    <cfRule type="containsText" dxfId="1526" priority="478" operator="containsText" text="김지윤">
      <formula>NOT(ISERROR(SEARCH("김지윤",H1173)))</formula>
    </cfRule>
    <cfRule type="containsText" dxfId="1525" priority="479" operator="containsText" text="전준영">
      <formula>NOT(ISERROR(SEARCH("전준영",H1173)))</formula>
    </cfRule>
    <cfRule type="containsText" dxfId="1524" priority="480" operator="containsText" text="차재성">
      <formula>NOT(ISERROR(SEARCH("차재성",H1173)))</formula>
    </cfRule>
  </conditionalFormatting>
  <conditionalFormatting sqref="J120">
    <cfRule type="containsText" dxfId="1523" priority="2827" operator="containsText" text="허하나로">
      <formula>NOT(ISERROR(SEARCH("허하나로",H1122)))</formula>
    </cfRule>
    <cfRule type="containsText" dxfId="1522" priority="2828" operator="containsText" text="한별">
      <formula>NOT(ISERROR(SEARCH("한별",H1122)))</formula>
    </cfRule>
    <cfRule type="containsText" dxfId="1521" priority="2829" operator="containsText" text="정홍조">
      <formula>NOT(ISERROR(SEARCH("정홍조",H1122)))</formula>
    </cfRule>
    <cfRule type="containsText" dxfId="1520" priority="2830" operator="containsText" text="김지윤">
      <formula>NOT(ISERROR(SEARCH("김지윤",H1122)))</formula>
    </cfRule>
    <cfRule type="containsText" dxfId="1519" priority="2831" operator="containsText" text="전준영">
      <formula>NOT(ISERROR(SEARCH("전준영",H1122)))</formula>
    </cfRule>
    <cfRule type="containsText" dxfId="1518" priority="2832" operator="containsText" text="차재성">
      <formula>NOT(ISERROR(SEARCH("차재성",H1122)))</formula>
    </cfRule>
  </conditionalFormatting>
  <conditionalFormatting sqref="J113">
    <cfRule type="containsText" dxfId="1517" priority="3007" operator="containsText" text="허하나로">
      <formula>NOT(ISERROR(SEARCH("허하나로",H1122)))</formula>
    </cfRule>
    <cfRule type="containsText" dxfId="1516" priority="3008" operator="containsText" text="한별">
      <formula>NOT(ISERROR(SEARCH("한별",H1122)))</formula>
    </cfRule>
    <cfRule type="containsText" dxfId="1515" priority="3009" operator="containsText" text="정홍조">
      <formula>NOT(ISERROR(SEARCH("정홍조",H1122)))</formula>
    </cfRule>
    <cfRule type="containsText" dxfId="1514" priority="3010" operator="containsText" text="김지윤">
      <formula>NOT(ISERROR(SEARCH("김지윤",H1122)))</formula>
    </cfRule>
    <cfRule type="containsText" dxfId="1513" priority="3011" operator="containsText" text="전준영">
      <formula>NOT(ISERROR(SEARCH("전준영",H1122)))</formula>
    </cfRule>
    <cfRule type="containsText" dxfId="1512" priority="3012" operator="containsText" text="차재성">
      <formula>NOT(ISERROR(SEARCH("차재성",H1122)))</formula>
    </cfRule>
  </conditionalFormatting>
  <conditionalFormatting sqref="J112">
    <cfRule type="containsText" dxfId="1511" priority="3025" operator="containsText" text="허하나로">
      <formula>NOT(ISERROR(SEARCH("허하나로",H1122)))</formula>
    </cfRule>
    <cfRule type="containsText" dxfId="1510" priority="3026" operator="containsText" text="한별">
      <formula>NOT(ISERROR(SEARCH("한별",H1122)))</formula>
    </cfRule>
    <cfRule type="containsText" dxfId="1509" priority="3027" operator="containsText" text="정홍조">
      <formula>NOT(ISERROR(SEARCH("정홍조",H1122)))</formula>
    </cfRule>
    <cfRule type="containsText" dxfId="1508" priority="3028" operator="containsText" text="김지윤">
      <formula>NOT(ISERROR(SEARCH("김지윤",H1122)))</formula>
    </cfRule>
    <cfRule type="containsText" dxfId="1507" priority="3029" operator="containsText" text="전준영">
      <formula>NOT(ISERROR(SEARCH("전준영",H1122)))</formula>
    </cfRule>
    <cfRule type="containsText" dxfId="1506" priority="3030" operator="containsText" text="차재성">
      <formula>NOT(ISERROR(SEARCH("차재성",H1122)))</formula>
    </cfRule>
  </conditionalFormatting>
  <conditionalFormatting sqref="J116">
    <cfRule type="containsText" dxfId="1505" priority="457" operator="containsText" text="허하나로">
      <formula>NOT(ISERROR(SEARCH("허하나로",H1125)))</formula>
    </cfRule>
    <cfRule type="containsText" dxfId="1504" priority="458" operator="containsText" text="한별">
      <formula>NOT(ISERROR(SEARCH("한별",H1125)))</formula>
    </cfRule>
    <cfRule type="containsText" dxfId="1503" priority="459" operator="containsText" text="정홍조">
      <formula>NOT(ISERROR(SEARCH("정홍조",H1125)))</formula>
    </cfRule>
    <cfRule type="containsText" dxfId="1502" priority="460" operator="containsText" text="김지윤">
      <formula>NOT(ISERROR(SEARCH("김지윤",H1125)))</formula>
    </cfRule>
    <cfRule type="containsText" dxfId="1501" priority="461" operator="containsText" text="전준영">
      <formula>NOT(ISERROR(SEARCH("전준영",H1125)))</formula>
    </cfRule>
    <cfRule type="containsText" dxfId="1500" priority="462" operator="containsText" text="차재성">
      <formula>NOT(ISERROR(SEARCH("차재성",H1125)))</formula>
    </cfRule>
  </conditionalFormatting>
  <conditionalFormatting sqref="J114">
    <cfRule type="containsText" dxfId="1499" priority="451" operator="containsText" text="허하나로">
      <formula>NOT(ISERROR(SEARCH("허하나로",H1181)))</formula>
    </cfRule>
    <cfRule type="containsText" dxfId="1498" priority="452" operator="containsText" text="한별">
      <formula>NOT(ISERROR(SEARCH("한별",H1181)))</formula>
    </cfRule>
    <cfRule type="containsText" dxfId="1497" priority="453" operator="containsText" text="정홍조">
      <formula>NOT(ISERROR(SEARCH("정홍조",H1181)))</formula>
    </cfRule>
    <cfRule type="containsText" dxfId="1496" priority="454" operator="containsText" text="김지윤">
      <formula>NOT(ISERROR(SEARCH("김지윤",H1181)))</formula>
    </cfRule>
    <cfRule type="containsText" dxfId="1495" priority="455" operator="containsText" text="전준영">
      <formula>NOT(ISERROR(SEARCH("전준영",H1181)))</formula>
    </cfRule>
    <cfRule type="containsText" dxfId="1494" priority="456" operator="containsText" text="차재성">
      <formula>NOT(ISERROR(SEARCH("차재성",H1181)))</formula>
    </cfRule>
  </conditionalFormatting>
  <conditionalFormatting sqref="J115">
    <cfRule type="containsText" dxfId="1493" priority="445" operator="containsText" text="허하나로">
      <formula>NOT(ISERROR(SEARCH("허하나로",H1182)))</formula>
    </cfRule>
    <cfRule type="containsText" dxfId="1492" priority="446" operator="containsText" text="한별">
      <formula>NOT(ISERROR(SEARCH("한별",H1182)))</formula>
    </cfRule>
    <cfRule type="containsText" dxfId="1491" priority="447" operator="containsText" text="정홍조">
      <formula>NOT(ISERROR(SEARCH("정홍조",H1182)))</formula>
    </cfRule>
    <cfRule type="containsText" dxfId="1490" priority="448" operator="containsText" text="김지윤">
      <formula>NOT(ISERROR(SEARCH("김지윤",H1182)))</formula>
    </cfRule>
    <cfRule type="containsText" dxfId="1489" priority="449" operator="containsText" text="전준영">
      <formula>NOT(ISERROR(SEARCH("전준영",H1182)))</formula>
    </cfRule>
    <cfRule type="containsText" dxfId="1488" priority="450" operator="containsText" text="차재성">
      <formula>NOT(ISERROR(SEARCH("차재성",H1182)))</formula>
    </cfRule>
  </conditionalFormatting>
  <conditionalFormatting sqref="J119">
    <cfRule type="containsText" dxfId="1487" priority="439" operator="containsText" text="허하나로">
      <formula>NOT(ISERROR(SEARCH("허하나로",H1128)))</formula>
    </cfRule>
    <cfRule type="containsText" dxfId="1486" priority="440" operator="containsText" text="한별">
      <formula>NOT(ISERROR(SEARCH("한별",H1128)))</formula>
    </cfRule>
    <cfRule type="containsText" dxfId="1485" priority="441" operator="containsText" text="정홍조">
      <formula>NOT(ISERROR(SEARCH("정홍조",H1128)))</formula>
    </cfRule>
    <cfRule type="containsText" dxfId="1484" priority="442" operator="containsText" text="김지윤">
      <formula>NOT(ISERROR(SEARCH("김지윤",H1128)))</formula>
    </cfRule>
    <cfRule type="containsText" dxfId="1483" priority="443" operator="containsText" text="전준영">
      <formula>NOT(ISERROR(SEARCH("전준영",H1128)))</formula>
    </cfRule>
    <cfRule type="containsText" dxfId="1482" priority="444" operator="containsText" text="차재성">
      <formula>NOT(ISERROR(SEARCH("차재성",H1128)))</formula>
    </cfRule>
  </conditionalFormatting>
  <conditionalFormatting sqref="J117">
    <cfRule type="containsText" dxfId="1481" priority="433" operator="containsText" text="허하나로">
      <formula>NOT(ISERROR(SEARCH("허하나로",H1184)))</formula>
    </cfRule>
    <cfRule type="containsText" dxfId="1480" priority="434" operator="containsText" text="한별">
      <formula>NOT(ISERROR(SEARCH("한별",H1184)))</formula>
    </cfRule>
    <cfRule type="containsText" dxfId="1479" priority="435" operator="containsText" text="정홍조">
      <formula>NOT(ISERROR(SEARCH("정홍조",H1184)))</formula>
    </cfRule>
    <cfRule type="containsText" dxfId="1478" priority="436" operator="containsText" text="김지윤">
      <formula>NOT(ISERROR(SEARCH("김지윤",H1184)))</formula>
    </cfRule>
    <cfRule type="containsText" dxfId="1477" priority="437" operator="containsText" text="전준영">
      <formula>NOT(ISERROR(SEARCH("전준영",H1184)))</formula>
    </cfRule>
    <cfRule type="containsText" dxfId="1476" priority="438" operator="containsText" text="차재성">
      <formula>NOT(ISERROR(SEARCH("차재성",H1184)))</formula>
    </cfRule>
  </conditionalFormatting>
  <conditionalFormatting sqref="J118">
    <cfRule type="containsText" dxfId="1475" priority="427" operator="containsText" text="허하나로">
      <formula>NOT(ISERROR(SEARCH("허하나로",H1185)))</formula>
    </cfRule>
    <cfRule type="containsText" dxfId="1474" priority="428" operator="containsText" text="한별">
      <formula>NOT(ISERROR(SEARCH("한별",H1185)))</formula>
    </cfRule>
    <cfRule type="containsText" dxfId="1473" priority="429" operator="containsText" text="정홍조">
      <formula>NOT(ISERROR(SEARCH("정홍조",H1185)))</formula>
    </cfRule>
    <cfRule type="containsText" dxfId="1472" priority="430" operator="containsText" text="김지윤">
      <formula>NOT(ISERROR(SEARCH("김지윤",H1185)))</formula>
    </cfRule>
    <cfRule type="containsText" dxfId="1471" priority="431" operator="containsText" text="전준영">
      <formula>NOT(ISERROR(SEARCH("전준영",H1185)))</formula>
    </cfRule>
    <cfRule type="containsText" dxfId="1470" priority="432" operator="containsText" text="차재성">
      <formula>NOT(ISERROR(SEARCH("차재성",H1185)))</formula>
    </cfRule>
  </conditionalFormatting>
  <conditionalFormatting sqref="J88">
    <cfRule type="containsText" dxfId="1469" priority="3373" operator="containsText" text="허하나로">
      <formula>NOT(ISERROR(SEARCH("허하나로",H1121)))</formula>
    </cfRule>
    <cfRule type="containsText" dxfId="1468" priority="3374" operator="containsText" text="한별">
      <formula>NOT(ISERROR(SEARCH("한별",H1121)))</formula>
    </cfRule>
    <cfRule type="containsText" dxfId="1467" priority="3375" operator="containsText" text="정홍조">
      <formula>NOT(ISERROR(SEARCH("정홍조",H1121)))</formula>
    </cfRule>
    <cfRule type="containsText" dxfId="1466" priority="3376" operator="containsText" text="김지윤">
      <formula>NOT(ISERROR(SEARCH("김지윤",H1121)))</formula>
    </cfRule>
    <cfRule type="containsText" dxfId="1465" priority="3377" operator="containsText" text="전준영">
      <formula>NOT(ISERROR(SEARCH("전준영",H1121)))</formula>
    </cfRule>
    <cfRule type="containsText" dxfId="1464" priority="3378" operator="containsText" text="차재성">
      <formula>NOT(ISERROR(SEARCH("차재성",H1121)))</formula>
    </cfRule>
  </conditionalFormatting>
  <conditionalFormatting sqref="J50:J51 J30:J32">
    <cfRule type="containsText" dxfId="1463" priority="3391" operator="containsText" text="허하나로">
      <formula>NOT(ISERROR(SEARCH("허하나로",H1106)))</formula>
    </cfRule>
    <cfRule type="containsText" dxfId="1462" priority="3392" operator="containsText" text="한별">
      <formula>NOT(ISERROR(SEARCH("한별",H1106)))</formula>
    </cfRule>
    <cfRule type="containsText" dxfId="1461" priority="3393" operator="containsText" text="정홍조">
      <formula>NOT(ISERROR(SEARCH("정홍조",H1106)))</formula>
    </cfRule>
    <cfRule type="containsText" dxfId="1460" priority="3394" operator="containsText" text="김지윤">
      <formula>NOT(ISERROR(SEARCH("김지윤",H1106)))</formula>
    </cfRule>
    <cfRule type="containsText" dxfId="1459" priority="3395" operator="containsText" text="전준영">
      <formula>NOT(ISERROR(SEARCH("전준영",H1106)))</formula>
    </cfRule>
    <cfRule type="containsText" dxfId="1458" priority="3396" operator="containsText" text="차재성">
      <formula>NOT(ISERROR(SEARCH("차재성",H1106)))</formula>
    </cfRule>
  </conditionalFormatting>
  <conditionalFormatting sqref="J43">
    <cfRule type="containsText" dxfId="1457" priority="3397" operator="containsText" text="허하나로">
      <formula>NOT(ISERROR(SEARCH("허하나로",H1118)))</formula>
    </cfRule>
    <cfRule type="containsText" dxfId="1456" priority="3398" operator="containsText" text="한별">
      <formula>NOT(ISERROR(SEARCH("한별",H1118)))</formula>
    </cfRule>
    <cfRule type="containsText" dxfId="1455" priority="3399" operator="containsText" text="정홍조">
      <formula>NOT(ISERROR(SEARCH("정홍조",H1118)))</formula>
    </cfRule>
    <cfRule type="containsText" dxfId="1454" priority="3400" operator="containsText" text="김지윤">
      <formula>NOT(ISERROR(SEARCH("김지윤",H1118)))</formula>
    </cfRule>
    <cfRule type="containsText" dxfId="1453" priority="3401" operator="containsText" text="전준영">
      <formula>NOT(ISERROR(SEARCH("전준영",H1118)))</formula>
    </cfRule>
    <cfRule type="containsText" dxfId="1452" priority="3402" operator="containsText" text="차재성">
      <formula>NOT(ISERROR(SEARCH("차재성",H1118)))</formula>
    </cfRule>
  </conditionalFormatting>
  <conditionalFormatting sqref="J8:J9">
    <cfRule type="containsText" dxfId="1451" priority="289" operator="containsText" text="허하나로">
      <formula>NOT(ISERROR(SEARCH("허하나로",H808)))</formula>
    </cfRule>
    <cfRule type="containsText" dxfId="1450" priority="290" operator="containsText" text="한별">
      <formula>NOT(ISERROR(SEARCH("한별",H808)))</formula>
    </cfRule>
    <cfRule type="containsText" dxfId="1449" priority="291" operator="containsText" text="정홍조">
      <formula>NOT(ISERROR(SEARCH("정홍조",H808)))</formula>
    </cfRule>
    <cfRule type="containsText" dxfId="1448" priority="292" operator="containsText" text="김지윤">
      <formula>NOT(ISERROR(SEARCH("김지윤",H808)))</formula>
    </cfRule>
    <cfRule type="containsText" dxfId="1447" priority="293" operator="containsText" text="전준영">
      <formula>NOT(ISERROR(SEARCH("전준영",H808)))</formula>
    </cfRule>
    <cfRule type="containsText" dxfId="1446" priority="294" operator="containsText" text="차재성">
      <formula>NOT(ISERROR(SEARCH("차재성",H808)))</formula>
    </cfRule>
  </conditionalFormatting>
  <conditionalFormatting sqref="J49">
    <cfRule type="containsText" dxfId="1445" priority="187" operator="containsText" text="허하나로">
      <formula>NOT(ISERROR(SEARCH("허하나로",H1123)))</formula>
    </cfRule>
    <cfRule type="containsText" dxfId="1444" priority="188" operator="containsText" text="한별">
      <formula>NOT(ISERROR(SEARCH("한별",H1123)))</formula>
    </cfRule>
    <cfRule type="containsText" dxfId="1443" priority="189" operator="containsText" text="정홍조">
      <formula>NOT(ISERROR(SEARCH("정홍조",H1123)))</formula>
    </cfRule>
    <cfRule type="containsText" dxfId="1442" priority="190" operator="containsText" text="김지윤">
      <formula>NOT(ISERROR(SEARCH("김지윤",H1123)))</formula>
    </cfRule>
    <cfRule type="containsText" dxfId="1441" priority="191" operator="containsText" text="전준영">
      <formula>NOT(ISERROR(SEARCH("전준영",H1123)))</formula>
    </cfRule>
    <cfRule type="containsText" dxfId="1440" priority="192" operator="containsText" text="차재성">
      <formula>NOT(ISERROR(SEARCH("차재성",H1123)))</formula>
    </cfRule>
  </conditionalFormatting>
  <conditionalFormatting sqref="J45:J47">
    <cfRule type="containsText" dxfId="1439" priority="199" operator="containsText" text="허하나로">
      <formula>NOT(ISERROR(SEARCH("허하나로",H1122)))</formula>
    </cfRule>
    <cfRule type="containsText" dxfId="1438" priority="200" operator="containsText" text="한별">
      <formula>NOT(ISERROR(SEARCH("한별",H1122)))</formula>
    </cfRule>
    <cfRule type="containsText" dxfId="1437" priority="201" operator="containsText" text="정홍조">
      <formula>NOT(ISERROR(SEARCH("정홍조",H1122)))</formula>
    </cfRule>
    <cfRule type="containsText" dxfId="1436" priority="202" operator="containsText" text="김지윤">
      <formula>NOT(ISERROR(SEARCH("김지윤",H1122)))</formula>
    </cfRule>
    <cfRule type="containsText" dxfId="1435" priority="203" operator="containsText" text="전준영">
      <formula>NOT(ISERROR(SEARCH("전준영",H1122)))</formula>
    </cfRule>
    <cfRule type="containsText" dxfId="1434" priority="204" operator="containsText" text="차재성">
      <formula>NOT(ISERROR(SEARCH("차재성",H1122)))</formula>
    </cfRule>
  </conditionalFormatting>
  <conditionalFormatting sqref="J48">
    <cfRule type="containsText" dxfId="1433" priority="205" operator="containsText" text="허하나로">
      <formula>NOT(ISERROR(SEARCH("허하나로",H1123)))</formula>
    </cfRule>
    <cfRule type="containsText" dxfId="1432" priority="206" operator="containsText" text="한별">
      <formula>NOT(ISERROR(SEARCH("한별",H1123)))</formula>
    </cfRule>
    <cfRule type="containsText" dxfId="1431" priority="207" operator="containsText" text="정홍조">
      <formula>NOT(ISERROR(SEARCH("정홍조",H1123)))</formula>
    </cfRule>
    <cfRule type="containsText" dxfId="1430" priority="208" operator="containsText" text="김지윤">
      <formula>NOT(ISERROR(SEARCH("김지윤",H1123)))</formula>
    </cfRule>
    <cfRule type="containsText" dxfId="1429" priority="209" operator="containsText" text="전준영">
      <formula>NOT(ISERROR(SEARCH("전준영",H1123)))</formula>
    </cfRule>
    <cfRule type="containsText" dxfId="1428" priority="210" operator="containsText" text="차재성">
      <formula>NOT(ISERROR(SEARCH("차재성",H1123)))</formula>
    </cfRule>
  </conditionalFormatting>
  <conditionalFormatting sqref="J52">
    <cfRule type="containsText" dxfId="1427" priority="163" operator="containsText" text="허하나로">
      <formula>NOT(ISERROR(SEARCH("허하나로",H1126)))</formula>
    </cfRule>
    <cfRule type="containsText" dxfId="1426" priority="164" operator="containsText" text="한별">
      <formula>NOT(ISERROR(SEARCH("한별",H1126)))</formula>
    </cfRule>
    <cfRule type="containsText" dxfId="1425" priority="165" operator="containsText" text="정홍조">
      <formula>NOT(ISERROR(SEARCH("정홍조",H1126)))</formula>
    </cfRule>
    <cfRule type="containsText" dxfId="1424" priority="166" operator="containsText" text="김지윤">
      <formula>NOT(ISERROR(SEARCH("김지윤",H1126)))</formula>
    </cfRule>
    <cfRule type="containsText" dxfId="1423" priority="167" operator="containsText" text="전준영">
      <formula>NOT(ISERROR(SEARCH("전준영",H1126)))</formula>
    </cfRule>
    <cfRule type="containsText" dxfId="1422" priority="168" operator="containsText" text="차재성">
      <formula>NOT(ISERROR(SEARCH("차재성",H1126)))</formula>
    </cfRule>
  </conditionalFormatting>
  <conditionalFormatting sqref="J54:J56">
    <cfRule type="containsText" dxfId="1421" priority="157" operator="containsText" text="허하나로">
      <formula>NOT(ISERROR(SEARCH("허하나로",H1130)))</formula>
    </cfRule>
    <cfRule type="containsText" dxfId="1420" priority="158" operator="containsText" text="한별">
      <formula>NOT(ISERROR(SEARCH("한별",H1130)))</formula>
    </cfRule>
    <cfRule type="containsText" dxfId="1419" priority="159" operator="containsText" text="정홍조">
      <formula>NOT(ISERROR(SEARCH("정홍조",H1130)))</formula>
    </cfRule>
    <cfRule type="containsText" dxfId="1418" priority="160" operator="containsText" text="김지윤">
      <formula>NOT(ISERROR(SEARCH("김지윤",H1130)))</formula>
    </cfRule>
    <cfRule type="containsText" dxfId="1417" priority="161" operator="containsText" text="전준영">
      <formula>NOT(ISERROR(SEARCH("전준영",H1130)))</formula>
    </cfRule>
    <cfRule type="containsText" dxfId="1416" priority="162" operator="containsText" text="차재성">
      <formula>NOT(ISERROR(SEARCH("차재성",H1130)))</formula>
    </cfRule>
  </conditionalFormatting>
  <conditionalFormatting sqref="J100">
    <cfRule type="containsText" dxfId="1415" priority="151" operator="containsText" text="허하나로">
      <formula>NOT(ISERROR(SEARCH("허하나로",H1120)))</formula>
    </cfRule>
    <cfRule type="containsText" dxfId="1414" priority="152" operator="containsText" text="한별">
      <formula>NOT(ISERROR(SEARCH("한별",H1120)))</formula>
    </cfRule>
    <cfRule type="containsText" dxfId="1413" priority="153" operator="containsText" text="정홍조">
      <formula>NOT(ISERROR(SEARCH("정홍조",H1120)))</formula>
    </cfRule>
    <cfRule type="containsText" dxfId="1412" priority="154" operator="containsText" text="김지윤">
      <formula>NOT(ISERROR(SEARCH("김지윤",H1120)))</formula>
    </cfRule>
    <cfRule type="containsText" dxfId="1411" priority="155" operator="containsText" text="전준영">
      <formula>NOT(ISERROR(SEARCH("전준영",H1120)))</formula>
    </cfRule>
    <cfRule type="containsText" dxfId="1410" priority="156" operator="containsText" text="차재성">
      <formula>NOT(ISERROR(SEARCH("차재성",H1120)))</formula>
    </cfRule>
  </conditionalFormatting>
  <conditionalFormatting sqref="J103">
    <cfRule type="containsText" dxfId="1409" priority="145" operator="containsText" text="허하나로">
      <formula>NOT(ISERROR(SEARCH("허하나로",H1120)))</formula>
    </cfRule>
    <cfRule type="containsText" dxfId="1408" priority="146" operator="containsText" text="한별">
      <formula>NOT(ISERROR(SEARCH("한별",H1120)))</formula>
    </cfRule>
    <cfRule type="containsText" dxfId="1407" priority="147" operator="containsText" text="정홍조">
      <formula>NOT(ISERROR(SEARCH("정홍조",H1120)))</formula>
    </cfRule>
    <cfRule type="containsText" dxfId="1406" priority="148" operator="containsText" text="김지윤">
      <formula>NOT(ISERROR(SEARCH("김지윤",H1120)))</formula>
    </cfRule>
    <cfRule type="containsText" dxfId="1405" priority="149" operator="containsText" text="전준영">
      <formula>NOT(ISERROR(SEARCH("전준영",H1120)))</formula>
    </cfRule>
    <cfRule type="containsText" dxfId="1404" priority="150" operator="containsText" text="차재성">
      <formula>NOT(ISERROR(SEARCH("차재성",H1120)))</formula>
    </cfRule>
  </conditionalFormatting>
  <conditionalFormatting sqref="J125">
    <cfRule type="containsText" dxfId="1403" priority="103" operator="containsText" text="허하나로">
      <formula>NOT(ISERROR(SEARCH("허하나로",H1168)))</formula>
    </cfRule>
    <cfRule type="containsText" dxfId="1402" priority="104" operator="containsText" text="한별">
      <formula>NOT(ISERROR(SEARCH("한별",H1168)))</formula>
    </cfRule>
    <cfRule type="containsText" dxfId="1401" priority="105" operator="containsText" text="정홍조">
      <formula>NOT(ISERROR(SEARCH("정홍조",H1168)))</formula>
    </cfRule>
    <cfRule type="containsText" dxfId="1400" priority="106" operator="containsText" text="김지윤">
      <formula>NOT(ISERROR(SEARCH("김지윤",H1168)))</formula>
    </cfRule>
    <cfRule type="containsText" dxfId="1399" priority="107" operator="containsText" text="전준영">
      <formula>NOT(ISERROR(SEARCH("전준영",H1168)))</formula>
    </cfRule>
    <cfRule type="containsText" dxfId="1398" priority="108" operator="containsText" text="차재성">
      <formula>NOT(ISERROR(SEARCH("차재성",H1168)))</formula>
    </cfRule>
  </conditionalFormatting>
  <conditionalFormatting sqref="J122">
    <cfRule type="containsText" dxfId="1397" priority="91" operator="containsText" text="허하나로">
      <formula>NOT(ISERROR(SEARCH("허하나로",H1162)))</formula>
    </cfRule>
    <cfRule type="containsText" dxfId="1396" priority="92" operator="containsText" text="한별">
      <formula>NOT(ISERROR(SEARCH("한별",H1162)))</formula>
    </cfRule>
    <cfRule type="containsText" dxfId="1395" priority="93" operator="containsText" text="정홍조">
      <formula>NOT(ISERROR(SEARCH("정홍조",H1162)))</formula>
    </cfRule>
    <cfRule type="containsText" dxfId="1394" priority="94" operator="containsText" text="김지윤">
      <formula>NOT(ISERROR(SEARCH("김지윤",H1162)))</formula>
    </cfRule>
    <cfRule type="containsText" dxfId="1393" priority="95" operator="containsText" text="전준영">
      <formula>NOT(ISERROR(SEARCH("전준영",H1162)))</formula>
    </cfRule>
    <cfRule type="containsText" dxfId="1392" priority="96" operator="containsText" text="차재성">
      <formula>NOT(ISERROR(SEARCH("차재성",H1162)))</formula>
    </cfRule>
  </conditionalFormatting>
  <conditionalFormatting sqref="J123:J124">
    <cfRule type="containsText" dxfId="1391" priority="85" operator="containsText" text="허하나로">
      <formula>NOT(ISERROR(SEARCH("허하나로",H1191)))</formula>
    </cfRule>
    <cfRule type="containsText" dxfId="1390" priority="86" operator="containsText" text="한별">
      <formula>NOT(ISERROR(SEARCH("한별",H1191)))</formula>
    </cfRule>
    <cfRule type="containsText" dxfId="1389" priority="87" operator="containsText" text="정홍조">
      <formula>NOT(ISERROR(SEARCH("정홍조",H1191)))</formula>
    </cfRule>
    <cfRule type="containsText" dxfId="1388" priority="88" operator="containsText" text="김지윤">
      <formula>NOT(ISERROR(SEARCH("김지윤",H1191)))</formula>
    </cfRule>
    <cfRule type="containsText" dxfId="1387" priority="89" operator="containsText" text="전준영">
      <formula>NOT(ISERROR(SEARCH("전준영",H1191)))</formula>
    </cfRule>
    <cfRule type="containsText" dxfId="1386" priority="90" operator="containsText" text="차재성">
      <formula>NOT(ISERROR(SEARCH("차재성",H1191)))</formula>
    </cfRule>
  </conditionalFormatting>
  <conditionalFormatting sqref="J136">
    <cfRule type="containsText" dxfId="1385" priority="109" operator="containsText" text="허하나로">
      <formula>NOT(ISERROR(SEARCH("허하나로",H1169)))</formula>
    </cfRule>
    <cfRule type="containsText" dxfId="1384" priority="110" operator="containsText" text="한별">
      <formula>NOT(ISERROR(SEARCH("한별",H1169)))</formula>
    </cfRule>
    <cfRule type="containsText" dxfId="1383" priority="111" operator="containsText" text="정홍조">
      <formula>NOT(ISERROR(SEARCH("정홍조",H1169)))</formula>
    </cfRule>
    <cfRule type="containsText" dxfId="1382" priority="112" operator="containsText" text="김지윤">
      <formula>NOT(ISERROR(SEARCH("김지윤",H1169)))</formula>
    </cfRule>
    <cfRule type="containsText" dxfId="1381" priority="113" operator="containsText" text="전준영">
      <formula>NOT(ISERROR(SEARCH("전준영",H1169)))</formula>
    </cfRule>
    <cfRule type="containsText" dxfId="1380" priority="114" operator="containsText" text="차재성">
      <formula>NOT(ISERROR(SEARCH("차재성",H1169)))</formula>
    </cfRule>
  </conditionalFormatting>
  <conditionalFormatting sqref="J130 J79:J80">
    <cfRule type="containsText" dxfId="1379" priority="121" operator="containsText" text="허하나로">
      <formula>NOT(ISERROR(SEARCH("허하나로",H1118)))</formula>
    </cfRule>
    <cfRule type="containsText" dxfId="1378" priority="122" operator="containsText" text="한별">
      <formula>NOT(ISERROR(SEARCH("한별",H1118)))</formula>
    </cfRule>
    <cfRule type="containsText" dxfId="1377" priority="123" operator="containsText" text="정홍조">
      <formula>NOT(ISERROR(SEARCH("정홍조",H1118)))</formula>
    </cfRule>
    <cfRule type="containsText" dxfId="1376" priority="124" operator="containsText" text="김지윤">
      <formula>NOT(ISERROR(SEARCH("김지윤",H1118)))</formula>
    </cfRule>
    <cfRule type="containsText" dxfId="1375" priority="125" operator="containsText" text="전준영">
      <formula>NOT(ISERROR(SEARCH("전준영",H1118)))</formula>
    </cfRule>
    <cfRule type="containsText" dxfId="1374" priority="126" operator="containsText" text="차재성">
      <formula>NOT(ISERROR(SEARCH("차재성",H1118)))</formula>
    </cfRule>
  </conditionalFormatting>
  <conditionalFormatting sqref="J129">
    <cfRule type="containsText" dxfId="1373" priority="127" operator="containsText" text="허하나로">
      <formula>NOT(ISERROR(SEARCH("허하나로",H1169)))</formula>
    </cfRule>
    <cfRule type="containsText" dxfId="1372" priority="128" operator="containsText" text="한별">
      <formula>NOT(ISERROR(SEARCH("한별",H1169)))</formula>
    </cfRule>
    <cfRule type="containsText" dxfId="1371" priority="129" operator="containsText" text="정홍조">
      <formula>NOT(ISERROR(SEARCH("정홍조",H1169)))</formula>
    </cfRule>
    <cfRule type="containsText" dxfId="1370" priority="130" operator="containsText" text="김지윤">
      <formula>NOT(ISERROR(SEARCH("김지윤",H1169)))</formula>
    </cfRule>
    <cfRule type="containsText" dxfId="1369" priority="131" operator="containsText" text="전준영">
      <formula>NOT(ISERROR(SEARCH("전준영",H1169)))</formula>
    </cfRule>
    <cfRule type="containsText" dxfId="1368" priority="132" operator="containsText" text="차재성">
      <formula>NOT(ISERROR(SEARCH("차재성",H1169)))</formula>
    </cfRule>
  </conditionalFormatting>
  <conditionalFormatting sqref="J128">
    <cfRule type="containsText" dxfId="1367" priority="133" operator="containsText" text="허하나로">
      <formula>NOT(ISERROR(SEARCH("허하나로",H1169)))</formula>
    </cfRule>
    <cfRule type="containsText" dxfId="1366" priority="134" operator="containsText" text="한별">
      <formula>NOT(ISERROR(SEARCH("한별",H1169)))</formula>
    </cfRule>
    <cfRule type="containsText" dxfId="1365" priority="135" operator="containsText" text="정홍조">
      <formula>NOT(ISERROR(SEARCH("정홍조",H1169)))</formula>
    </cfRule>
    <cfRule type="containsText" dxfId="1364" priority="136" operator="containsText" text="김지윤">
      <formula>NOT(ISERROR(SEARCH("김지윤",H1169)))</formula>
    </cfRule>
    <cfRule type="containsText" dxfId="1363" priority="137" operator="containsText" text="전준영">
      <formula>NOT(ISERROR(SEARCH("전준영",H1169)))</formula>
    </cfRule>
    <cfRule type="containsText" dxfId="1362" priority="138" operator="containsText" text="차재성">
      <formula>NOT(ISERROR(SEARCH("차재성",H1169)))</formula>
    </cfRule>
  </conditionalFormatting>
  <conditionalFormatting sqref="J126:J127">
    <cfRule type="containsText" dxfId="1361" priority="139" operator="containsText" text="허하나로">
      <formula>NOT(ISERROR(SEARCH("허하나로",H1168)))</formula>
    </cfRule>
    <cfRule type="containsText" dxfId="1360" priority="140" operator="containsText" text="한별">
      <formula>NOT(ISERROR(SEARCH("한별",H1168)))</formula>
    </cfRule>
    <cfRule type="containsText" dxfId="1359" priority="141" operator="containsText" text="정홍조">
      <formula>NOT(ISERROR(SEARCH("정홍조",H1168)))</formula>
    </cfRule>
    <cfRule type="containsText" dxfId="1358" priority="142" operator="containsText" text="김지윤">
      <formula>NOT(ISERROR(SEARCH("김지윤",H1168)))</formula>
    </cfRule>
    <cfRule type="containsText" dxfId="1357" priority="143" operator="containsText" text="전준영">
      <formula>NOT(ISERROR(SEARCH("전준영",H1168)))</formula>
    </cfRule>
    <cfRule type="containsText" dxfId="1356" priority="144" operator="containsText" text="차재성">
      <formula>NOT(ISERROR(SEARCH("차재성",H1168)))</formula>
    </cfRule>
  </conditionalFormatting>
  <conditionalFormatting sqref="J134">
    <cfRule type="containsText" dxfId="1355" priority="3415" operator="containsText" text="허하나로">
      <formula>NOT(ISERROR(SEARCH("허하나로",H1170)))</formula>
    </cfRule>
    <cfRule type="containsText" dxfId="1354" priority="3416" operator="containsText" text="한별">
      <formula>NOT(ISERROR(SEARCH("한별",H1170)))</formula>
    </cfRule>
    <cfRule type="containsText" dxfId="1353" priority="3417" operator="containsText" text="정홍조">
      <formula>NOT(ISERROR(SEARCH("정홍조",H1170)))</formula>
    </cfRule>
    <cfRule type="containsText" dxfId="1352" priority="3418" operator="containsText" text="김지윤">
      <formula>NOT(ISERROR(SEARCH("김지윤",H1170)))</formula>
    </cfRule>
    <cfRule type="containsText" dxfId="1351" priority="3419" operator="containsText" text="전준영">
      <formula>NOT(ISERROR(SEARCH("전준영",H1170)))</formula>
    </cfRule>
    <cfRule type="containsText" dxfId="1350" priority="3420" operator="containsText" text="차재성">
      <formula>NOT(ISERROR(SEARCH("차재성",H1170)))</formula>
    </cfRule>
  </conditionalFormatting>
  <conditionalFormatting sqref="J133">
    <cfRule type="containsText" dxfId="1349" priority="3427" operator="containsText" text="허하나로">
      <formula>NOT(ISERROR(SEARCH("허하나로",H1170)))</formula>
    </cfRule>
    <cfRule type="containsText" dxfId="1348" priority="3428" operator="containsText" text="한별">
      <formula>NOT(ISERROR(SEARCH("한별",H1170)))</formula>
    </cfRule>
    <cfRule type="containsText" dxfId="1347" priority="3429" operator="containsText" text="정홍조">
      <formula>NOT(ISERROR(SEARCH("정홍조",H1170)))</formula>
    </cfRule>
    <cfRule type="containsText" dxfId="1346" priority="3430" operator="containsText" text="김지윤">
      <formula>NOT(ISERROR(SEARCH("김지윤",H1170)))</formula>
    </cfRule>
    <cfRule type="containsText" dxfId="1345" priority="3431" operator="containsText" text="전준영">
      <formula>NOT(ISERROR(SEARCH("전준영",H1170)))</formula>
    </cfRule>
    <cfRule type="containsText" dxfId="1344" priority="3432" operator="containsText" text="차재성">
      <formula>NOT(ISERROR(SEARCH("차재성",H1170)))</formula>
    </cfRule>
  </conditionalFormatting>
  <conditionalFormatting sqref="J23">
    <cfRule type="containsText" dxfId="1343" priority="79" operator="containsText" text="허하나로">
      <formula>NOT(ISERROR(SEARCH("허하나로",H1120)))</formula>
    </cfRule>
    <cfRule type="containsText" dxfId="1342" priority="80" operator="containsText" text="한별">
      <formula>NOT(ISERROR(SEARCH("한별",H1120)))</formula>
    </cfRule>
    <cfRule type="containsText" dxfId="1341" priority="81" operator="containsText" text="정홍조">
      <formula>NOT(ISERROR(SEARCH("정홍조",H1120)))</formula>
    </cfRule>
    <cfRule type="containsText" dxfId="1340" priority="82" operator="containsText" text="김지윤">
      <formula>NOT(ISERROR(SEARCH("김지윤",H1120)))</formula>
    </cfRule>
    <cfRule type="containsText" dxfId="1339" priority="83" operator="containsText" text="전준영">
      <formula>NOT(ISERROR(SEARCH("전준영",H1120)))</formula>
    </cfRule>
    <cfRule type="containsText" dxfId="1338" priority="84" operator="containsText" text="차재성">
      <formula>NOT(ISERROR(SEARCH("차재성",H1120)))</formula>
    </cfRule>
  </conditionalFormatting>
  <conditionalFormatting sqref="J27">
    <cfRule type="containsText" dxfId="1337" priority="61" operator="containsText" text="허하나로">
      <formula>NOT(ISERROR(SEARCH("허하나로",H1124)))</formula>
    </cfRule>
    <cfRule type="containsText" dxfId="1336" priority="62" operator="containsText" text="한별">
      <formula>NOT(ISERROR(SEARCH("한별",H1124)))</formula>
    </cfRule>
    <cfRule type="containsText" dxfId="1335" priority="63" operator="containsText" text="정홍조">
      <formula>NOT(ISERROR(SEARCH("정홍조",H1124)))</formula>
    </cfRule>
    <cfRule type="containsText" dxfId="1334" priority="64" operator="containsText" text="김지윤">
      <formula>NOT(ISERROR(SEARCH("김지윤",H1124)))</formula>
    </cfRule>
    <cfRule type="containsText" dxfId="1333" priority="65" operator="containsText" text="전준영">
      <formula>NOT(ISERROR(SEARCH("전준영",H1124)))</formula>
    </cfRule>
    <cfRule type="containsText" dxfId="1332" priority="66" operator="containsText" text="차재성">
      <formula>NOT(ISERROR(SEARCH("차재성",H1124)))</formula>
    </cfRule>
  </conditionalFormatting>
  <conditionalFormatting sqref="J26">
    <cfRule type="containsText" dxfId="1331" priority="67" operator="containsText" text="허하나로">
      <formula>NOT(ISERROR(SEARCH("허하나로",H1124)))</formula>
    </cfRule>
    <cfRule type="containsText" dxfId="1330" priority="68" operator="containsText" text="한별">
      <formula>NOT(ISERROR(SEARCH("한별",H1124)))</formula>
    </cfRule>
    <cfRule type="containsText" dxfId="1329" priority="69" operator="containsText" text="정홍조">
      <formula>NOT(ISERROR(SEARCH("정홍조",H1124)))</formula>
    </cfRule>
    <cfRule type="containsText" dxfId="1328" priority="70" operator="containsText" text="김지윤">
      <formula>NOT(ISERROR(SEARCH("김지윤",H1124)))</formula>
    </cfRule>
    <cfRule type="containsText" dxfId="1327" priority="71" operator="containsText" text="전준영">
      <formula>NOT(ISERROR(SEARCH("전준영",H1124)))</formula>
    </cfRule>
    <cfRule type="containsText" dxfId="1326" priority="72" operator="containsText" text="차재성">
      <formula>NOT(ISERROR(SEARCH("차재성",H1124)))</formula>
    </cfRule>
  </conditionalFormatting>
  <conditionalFormatting sqref="J40:J41">
    <cfRule type="containsText" dxfId="1325" priority="4021" operator="containsText" text="허하나로">
      <formula>NOT(ISERROR(SEARCH("허하나로",H1118)))</formula>
    </cfRule>
    <cfRule type="containsText" dxfId="1324" priority="4022" operator="containsText" text="한별">
      <formula>NOT(ISERROR(SEARCH("한별",H1118)))</formula>
    </cfRule>
    <cfRule type="containsText" dxfId="1323" priority="4023" operator="containsText" text="정홍조">
      <formula>NOT(ISERROR(SEARCH("정홍조",H1118)))</formula>
    </cfRule>
    <cfRule type="containsText" dxfId="1322" priority="4024" operator="containsText" text="김지윤">
      <formula>NOT(ISERROR(SEARCH("김지윤",H1118)))</formula>
    </cfRule>
    <cfRule type="containsText" dxfId="1321" priority="4025" operator="containsText" text="전준영">
      <formula>NOT(ISERROR(SEARCH("전준영",H1118)))</formula>
    </cfRule>
    <cfRule type="containsText" dxfId="1320" priority="4026" operator="containsText" text="차재성">
      <formula>NOT(ISERROR(SEARCH("차재성",H1118)))</formula>
    </cfRule>
  </conditionalFormatting>
  <conditionalFormatting sqref="J67">
    <cfRule type="containsText" dxfId="1319" priority="4033" operator="containsText" text="허하나로">
      <formula>NOT(ISERROR(SEARCH("허하나로",H1119)))</formula>
    </cfRule>
    <cfRule type="containsText" dxfId="1318" priority="4034" operator="containsText" text="한별">
      <formula>NOT(ISERROR(SEARCH("한별",H1119)))</formula>
    </cfRule>
    <cfRule type="containsText" dxfId="1317" priority="4035" operator="containsText" text="정홍조">
      <formula>NOT(ISERROR(SEARCH("정홍조",H1119)))</formula>
    </cfRule>
    <cfRule type="containsText" dxfId="1316" priority="4036" operator="containsText" text="김지윤">
      <formula>NOT(ISERROR(SEARCH("김지윤",H1119)))</formula>
    </cfRule>
    <cfRule type="containsText" dxfId="1315" priority="4037" operator="containsText" text="전준영">
      <formula>NOT(ISERROR(SEARCH("전준영",H1119)))</formula>
    </cfRule>
    <cfRule type="containsText" dxfId="1314" priority="4038" operator="containsText" text="차재성">
      <formula>NOT(ISERROR(SEARCH("차재성",H1119)))</formula>
    </cfRule>
  </conditionalFormatting>
  <conditionalFormatting sqref="J66">
    <cfRule type="containsText" dxfId="1313" priority="4039" operator="containsText" text="허하나로">
      <formula>NOT(ISERROR(SEARCH("허하나로",H1119)))</formula>
    </cfRule>
    <cfRule type="containsText" dxfId="1312" priority="4040" operator="containsText" text="한별">
      <formula>NOT(ISERROR(SEARCH("한별",H1119)))</formula>
    </cfRule>
    <cfRule type="containsText" dxfId="1311" priority="4041" operator="containsText" text="정홍조">
      <formula>NOT(ISERROR(SEARCH("정홍조",H1119)))</formula>
    </cfRule>
    <cfRule type="containsText" dxfId="1310" priority="4042" operator="containsText" text="김지윤">
      <formula>NOT(ISERROR(SEARCH("김지윤",H1119)))</formula>
    </cfRule>
    <cfRule type="containsText" dxfId="1309" priority="4043" operator="containsText" text="전준영">
      <formula>NOT(ISERROR(SEARCH("전준영",H1119)))</formula>
    </cfRule>
    <cfRule type="containsText" dxfId="1308" priority="4044" operator="containsText" text="차재성">
      <formula>NOT(ISERROR(SEARCH("차재성",H1119)))</formula>
    </cfRule>
  </conditionalFormatting>
  <conditionalFormatting sqref="J89:J91">
    <cfRule type="containsText" dxfId="1307" priority="4069" operator="containsText" text="허하나로">
      <formula>NOT(ISERROR(SEARCH("허하나로",H1121)))</formula>
    </cfRule>
    <cfRule type="containsText" dxfId="1306" priority="4070" operator="containsText" text="한별">
      <formula>NOT(ISERROR(SEARCH("한별",H1121)))</formula>
    </cfRule>
    <cfRule type="containsText" dxfId="1305" priority="4071" operator="containsText" text="정홍조">
      <formula>NOT(ISERROR(SEARCH("정홍조",H1121)))</formula>
    </cfRule>
    <cfRule type="containsText" dxfId="1304" priority="4072" operator="containsText" text="김지윤">
      <formula>NOT(ISERROR(SEARCH("김지윤",H1121)))</formula>
    </cfRule>
    <cfRule type="containsText" dxfId="1303" priority="4073" operator="containsText" text="전준영">
      <formula>NOT(ISERROR(SEARCH("전준영",H1121)))</formula>
    </cfRule>
    <cfRule type="containsText" dxfId="1302" priority="4074" operator="containsText" text="차재성">
      <formula>NOT(ISERROR(SEARCH("차재성",H1121)))</formula>
    </cfRule>
  </conditionalFormatting>
  <conditionalFormatting sqref="J70">
    <cfRule type="containsText" dxfId="1301" priority="4249" operator="containsText" text="허하나로">
      <formula>NOT(ISERROR(SEARCH("허하나로",H1119)))</formula>
    </cfRule>
    <cfRule type="containsText" dxfId="1300" priority="4250" operator="containsText" text="한별">
      <formula>NOT(ISERROR(SEARCH("한별",H1119)))</formula>
    </cfRule>
    <cfRule type="containsText" dxfId="1299" priority="4251" operator="containsText" text="정홍조">
      <formula>NOT(ISERROR(SEARCH("정홍조",H1119)))</formula>
    </cfRule>
    <cfRule type="containsText" dxfId="1298" priority="4252" operator="containsText" text="김지윤">
      <formula>NOT(ISERROR(SEARCH("김지윤",H1119)))</formula>
    </cfRule>
    <cfRule type="containsText" dxfId="1297" priority="4253" operator="containsText" text="전준영">
      <formula>NOT(ISERROR(SEARCH("전준영",H1119)))</formula>
    </cfRule>
    <cfRule type="containsText" dxfId="1296" priority="4254" operator="containsText" text="차재성">
      <formula>NOT(ISERROR(SEARCH("차재성",H1119)))</formula>
    </cfRule>
  </conditionalFormatting>
  <conditionalFormatting sqref="J33">
    <cfRule type="containsText" dxfId="1295" priority="4261" operator="containsText" text="허하나로">
      <formula>NOT(ISERROR(SEARCH("허하나로",H1108)))</formula>
    </cfRule>
    <cfRule type="containsText" dxfId="1294" priority="4262" operator="containsText" text="한별">
      <formula>NOT(ISERROR(SEARCH("한별",H1108)))</formula>
    </cfRule>
    <cfRule type="containsText" dxfId="1293" priority="4263" operator="containsText" text="정홍조">
      <formula>NOT(ISERROR(SEARCH("정홍조",H1108)))</formula>
    </cfRule>
    <cfRule type="containsText" dxfId="1292" priority="4264" operator="containsText" text="김지윤">
      <formula>NOT(ISERROR(SEARCH("김지윤",H1108)))</formula>
    </cfRule>
    <cfRule type="containsText" dxfId="1291" priority="4265" operator="containsText" text="전준영">
      <formula>NOT(ISERROR(SEARCH("전준영",H1108)))</formula>
    </cfRule>
    <cfRule type="containsText" dxfId="1290" priority="4266" operator="containsText" text="차재성">
      <formula>NOT(ISERROR(SEARCH("차재성",H1108)))</formula>
    </cfRule>
  </conditionalFormatting>
  <conditionalFormatting sqref="J84">
    <cfRule type="containsText" dxfId="1289" priority="4267" operator="containsText" text="허하나로">
      <formula>NOT(ISERROR(SEARCH("허하나로",H1120)))</formula>
    </cfRule>
    <cfRule type="containsText" dxfId="1288" priority="4268" operator="containsText" text="한별">
      <formula>NOT(ISERROR(SEARCH("한별",H1120)))</formula>
    </cfRule>
    <cfRule type="containsText" dxfId="1287" priority="4269" operator="containsText" text="정홍조">
      <formula>NOT(ISERROR(SEARCH("정홍조",H1120)))</formula>
    </cfRule>
    <cfRule type="containsText" dxfId="1286" priority="4270" operator="containsText" text="김지윤">
      <formula>NOT(ISERROR(SEARCH("김지윤",H1120)))</formula>
    </cfRule>
    <cfRule type="containsText" dxfId="1285" priority="4271" operator="containsText" text="전준영">
      <formula>NOT(ISERROR(SEARCH("전준영",H1120)))</formula>
    </cfRule>
    <cfRule type="containsText" dxfId="1284" priority="4272" operator="containsText" text="차재성">
      <formula>NOT(ISERROR(SEARCH("차재성",H1120)))</formula>
    </cfRule>
  </conditionalFormatting>
  <conditionalFormatting sqref="J87">
    <cfRule type="containsText" dxfId="1283" priority="7" operator="containsText" text="허하나로">
      <formula>NOT(ISERROR(SEARCH("허하나로",H1127)))</formula>
    </cfRule>
    <cfRule type="containsText" dxfId="1282" priority="8" operator="containsText" text="한별">
      <formula>NOT(ISERROR(SEARCH("한별",H1127)))</formula>
    </cfRule>
    <cfRule type="containsText" dxfId="1281" priority="9" operator="containsText" text="정홍조">
      <formula>NOT(ISERROR(SEARCH("정홍조",H1127)))</formula>
    </cfRule>
    <cfRule type="containsText" dxfId="1280" priority="10" operator="containsText" text="김지윤">
      <formula>NOT(ISERROR(SEARCH("김지윤",H1127)))</formula>
    </cfRule>
    <cfRule type="containsText" dxfId="1279" priority="11" operator="containsText" text="전준영">
      <formula>NOT(ISERROR(SEARCH("전준영",H1127)))</formula>
    </cfRule>
    <cfRule type="containsText" dxfId="1278" priority="12" operator="containsText" text="차재성">
      <formula>NOT(ISERROR(SEARCH("차재성",H1127)))</formula>
    </cfRule>
  </conditionalFormatting>
  <conditionalFormatting sqref="J85:J86">
    <cfRule type="containsText" dxfId="1277" priority="13" operator="containsText" text="허하나로">
      <formula>NOT(ISERROR(SEARCH("허하나로",H1126)))</formula>
    </cfRule>
    <cfRule type="containsText" dxfId="1276" priority="14" operator="containsText" text="한별">
      <formula>NOT(ISERROR(SEARCH("한별",H1126)))</formula>
    </cfRule>
    <cfRule type="containsText" dxfId="1275" priority="15" operator="containsText" text="정홍조">
      <formula>NOT(ISERROR(SEARCH("정홍조",H1126)))</formula>
    </cfRule>
    <cfRule type="containsText" dxfId="1274" priority="16" operator="containsText" text="김지윤">
      <formula>NOT(ISERROR(SEARCH("김지윤",H1126)))</formula>
    </cfRule>
    <cfRule type="containsText" dxfId="1273" priority="17" operator="containsText" text="전준영">
      <formula>NOT(ISERROR(SEARCH("전준영",H1126)))</formula>
    </cfRule>
    <cfRule type="containsText" dxfId="1272" priority="18" operator="containsText" text="차재성">
      <formula>NOT(ISERROR(SEARCH("차재성",H1126)))</formula>
    </cfRule>
  </conditionalFormatting>
  <conditionalFormatting sqref="L85">
    <cfRule type="containsText" dxfId="1271" priority="19" operator="containsText" text="허하나로">
      <formula>NOT(ISERROR(SEARCH("허하나로",J1260)))</formula>
    </cfRule>
    <cfRule type="containsText" dxfId="1270" priority="20" operator="containsText" text="한별">
      <formula>NOT(ISERROR(SEARCH("한별",J1260)))</formula>
    </cfRule>
    <cfRule type="containsText" dxfId="1269" priority="21" operator="containsText" text="정홍조">
      <formula>NOT(ISERROR(SEARCH("정홍조",J1260)))</formula>
    </cfRule>
    <cfRule type="containsText" dxfId="1268" priority="22" operator="containsText" text="김지윤">
      <formula>NOT(ISERROR(SEARCH("김지윤",J1260)))</formula>
    </cfRule>
    <cfRule type="containsText" dxfId="1267" priority="23" operator="containsText" text="전준영">
      <formula>NOT(ISERROR(SEARCH("전준영",J1260)))</formula>
    </cfRule>
    <cfRule type="containsText" dxfId="1266" priority="24" operator="containsText" text="차재성">
      <formula>NOT(ISERROR(SEARCH("차재성",J1260)))</formula>
    </cfRule>
  </conditionalFormatting>
  <conditionalFormatting sqref="J37:J39">
    <cfRule type="containsText" dxfId="1265" priority="4279" operator="containsText" text="허하나로">
      <formula>NOT(ISERROR(SEARCH("허하나로",H1116)))</formula>
    </cfRule>
    <cfRule type="containsText" dxfId="1264" priority="4280" operator="containsText" text="한별">
      <formula>NOT(ISERROR(SEARCH("한별",H1116)))</formula>
    </cfRule>
    <cfRule type="containsText" dxfId="1263" priority="4281" operator="containsText" text="정홍조">
      <formula>NOT(ISERROR(SEARCH("정홍조",H1116)))</formula>
    </cfRule>
    <cfRule type="containsText" dxfId="1262" priority="4282" operator="containsText" text="김지윤">
      <formula>NOT(ISERROR(SEARCH("김지윤",H1116)))</formula>
    </cfRule>
    <cfRule type="containsText" dxfId="1261" priority="4283" operator="containsText" text="전준영">
      <formula>NOT(ISERROR(SEARCH("전준영",H1116)))</formula>
    </cfRule>
    <cfRule type="containsText" dxfId="1260" priority="4284" operator="containsText" text="차재성">
      <formula>NOT(ISERROR(SEARCH("차재성",H1116)))</formula>
    </cfRule>
  </conditionalFormatting>
  <conditionalFormatting sqref="J42">
    <cfRule type="containsText" dxfId="1259" priority="1" operator="containsText" text="허하나로">
      <formula>NOT(ISERROR(SEARCH("허하나로",H1120)))</formula>
    </cfRule>
    <cfRule type="containsText" dxfId="1258" priority="2" operator="containsText" text="한별">
      <formula>NOT(ISERROR(SEARCH("한별",H1120)))</formula>
    </cfRule>
    <cfRule type="containsText" dxfId="1257" priority="3" operator="containsText" text="정홍조">
      <formula>NOT(ISERROR(SEARCH("정홍조",H1120)))</formula>
    </cfRule>
    <cfRule type="containsText" dxfId="1256" priority="4" operator="containsText" text="김지윤">
      <formula>NOT(ISERROR(SEARCH("김지윤",H1120)))</formula>
    </cfRule>
    <cfRule type="containsText" dxfId="1255" priority="5" operator="containsText" text="전준영">
      <formula>NOT(ISERROR(SEARCH("전준영",H1120)))</formula>
    </cfRule>
    <cfRule type="containsText" dxfId="1254" priority="6" operator="containsText" text="차재성">
      <formula>NOT(ISERROR(SEARCH("차재성",H1120)))</formula>
    </cfRule>
  </conditionalFormatting>
  <conditionalFormatting sqref="J111">
    <cfRule type="containsText" dxfId="1253" priority="4285" operator="containsText" text="허하나로">
      <formula>NOT(ISERROR(SEARCH("허하나로",H1122)))</formula>
    </cfRule>
    <cfRule type="containsText" dxfId="1252" priority="4286" operator="containsText" text="한별">
      <formula>NOT(ISERROR(SEARCH("한별",H1122)))</formula>
    </cfRule>
    <cfRule type="containsText" dxfId="1251" priority="4287" operator="containsText" text="정홍조">
      <formula>NOT(ISERROR(SEARCH("정홍조",H1122)))</formula>
    </cfRule>
    <cfRule type="containsText" dxfId="1250" priority="4288" operator="containsText" text="김지윤">
      <formula>NOT(ISERROR(SEARCH("김지윤",H1122)))</formula>
    </cfRule>
    <cfRule type="containsText" dxfId="1249" priority="4289" operator="containsText" text="전준영">
      <formula>NOT(ISERROR(SEARCH("전준영",H1122)))</formula>
    </cfRule>
    <cfRule type="containsText" dxfId="1248" priority="4290" operator="containsText" text="차재성">
      <formula>NOT(ISERROR(SEARCH("차재성",H1122)))</formula>
    </cfRule>
  </conditionalFormatting>
  <conditionalFormatting sqref="J109:J110">
    <cfRule type="containsText" dxfId="1247" priority="4303" operator="containsText" text="허하나로">
      <formula>NOT(ISERROR(SEARCH("허하나로",H1121)))</formula>
    </cfRule>
    <cfRule type="containsText" dxfId="1246" priority="4304" operator="containsText" text="한별">
      <formula>NOT(ISERROR(SEARCH("한별",H1121)))</formula>
    </cfRule>
    <cfRule type="containsText" dxfId="1245" priority="4305" operator="containsText" text="정홍조">
      <formula>NOT(ISERROR(SEARCH("정홍조",H1121)))</formula>
    </cfRule>
    <cfRule type="containsText" dxfId="1244" priority="4306" operator="containsText" text="김지윤">
      <formula>NOT(ISERROR(SEARCH("김지윤",H1121)))</formula>
    </cfRule>
    <cfRule type="containsText" dxfId="1243" priority="4307" operator="containsText" text="전준영">
      <formula>NOT(ISERROR(SEARCH("전준영",H1121)))</formula>
    </cfRule>
    <cfRule type="containsText" dxfId="1242" priority="4308" operator="containsText" text="차재성">
      <formula>NOT(ISERROR(SEARCH("차재성",H1121)))</formula>
    </cfRule>
  </conditionalFormatting>
  <pageMargins left="0.25" right="0.25" top="0.75" bottom="0.75" header="0.3" footer="0.3"/>
  <pageSetup paperSize="9" scale="72" fitToHeight="0" orientation="landscape" r:id="rId1"/>
  <rowBreaks count="3" manualBreakCount="3">
    <brk id="37" max="16383" man="1"/>
    <brk id="71" max="16383" man="1"/>
    <brk id="10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O75"/>
  <sheetViews>
    <sheetView zoomScale="85" zoomScaleNormal="85" workbookViewId="0">
      <selection activeCell="E64" sqref="E64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5.625" customWidth="1"/>
    <col min="10" max="10" width="14.625" customWidth="1"/>
    <col min="11" max="11" width="57.5" customWidth="1"/>
    <col min="12" max="12" width="3.875" customWidth="1"/>
    <col min="13" max="13" width="14.625" customWidth="1"/>
  </cols>
  <sheetData>
    <row r="1" spans="1:15" ht="17.25" thickBot="1">
      <c r="A1" s="91" t="s">
        <v>180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</row>
    <row r="2" spans="1:15" ht="16.5" customHeight="1">
      <c r="A2" s="585" t="s">
        <v>21</v>
      </c>
      <c r="B2" s="587" t="s">
        <v>22</v>
      </c>
      <c r="C2" s="588"/>
      <c r="D2" s="589"/>
      <c r="E2" s="587" t="s">
        <v>23</v>
      </c>
      <c r="F2" s="588"/>
      <c r="G2" s="589"/>
      <c r="H2" s="565" t="s">
        <v>666</v>
      </c>
      <c r="I2" s="565" t="s">
        <v>731</v>
      </c>
      <c r="J2" s="590" t="s">
        <v>668</v>
      </c>
      <c r="K2" s="576" t="s">
        <v>1</v>
      </c>
      <c r="L2" s="577"/>
      <c r="M2" s="578"/>
    </row>
    <row r="3" spans="1:15" ht="17.25" thickBot="1">
      <c r="A3" s="586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566"/>
      <c r="I3" s="566"/>
      <c r="J3" s="591"/>
      <c r="K3" s="579"/>
      <c r="L3" s="580"/>
      <c r="M3" s="581"/>
    </row>
    <row r="4" spans="1:15" ht="17.25" thickBot="1">
      <c r="A4" s="582" t="s">
        <v>152</v>
      </c>
      <c r="B4" s="583"/>
      <c r="C4" s="583"/>
      <c r="D4" s="583"/>
      <c r="E4" s="583"/>
      <c r="F4" s="583"/>
      <c r="G4" s="584"/>
      <c r="H4" s="188">
        <f>H5</f>
        <v>263538</v>
      </c>
      <c r="I4" s="188">
        <v>261892</v>
      </c>
      <c r="J4" s="123">
        <f>H4-I4</f>
        <v>1646</v>
      </c>
      <c r="K4" s="92"/>
      <c r="L4" s="93"/>
      <c r="M4" s="124"/>
    </row>
    <row r="5" spans="1:15">
      <c r="A5" s="210" t="s">
        <v>2</v>
      </c>
      <c r="B5" s="125"/>
      <c r="C5" s="126"/>
      <c r="D5" s="126"/>
      <c r="E5" s="126"/>
      <c r="F5" s="126"/>
      <c r="G5" s="127"/>
      <c r="H5" s="97">
        <f>H6</f>
        <v>263538</v>
      </c>
      <c r="I5" s="97">
        <v>261892</v>
      </c>
      <c r="J5" s="98">
        <f t="shared" ref="J5:J11" si="0">H5-I5</f>
        <v>1646</v>
      </c>
      <c r="K5" s="81"/>
      <c r="L5" s="82"/>
      <c r="M5" s="83"/>
    </row>
    <row r="6" spans="1:15">
      <c r="A6" s="10"/>
      <c r="B6" s="132" t="s">
        <v>276</v>
      </c>
      <c r="C6" s="132"/>
      <c r="D6" s="133"/>
      <c r="E6" s="133"/>
      <c r="F6" s="133"/>
      <c r="G6" s="134"/>
      <c r="H6" s="97">
        <f>SUM(H7,H25,H31,H38,H56)</f>
        <v>263538</v>
      </c>
      <c r="I6" s="97">
        <v>261892</v>
      </c>
      <c r="J6" s="98">
        <f t="shared" si="0"/>
        <v>1646</v>
      </c>
      <c r="K6" s="81"/>
      <c r="L6" s="82"/>
      <c r="M6" s="83"/>
    </row>
    <row r="7" spans="1:15">
      <c r="A7" s="10"/>
      <c r="B7" s="6"/>
      <c r="C7" s="132" t="s">
        <v>110</v>
      </c>
      <c r="D7" s="133"/>
      <c r="E7" s="133"/>
      <c r="F7" s="133"/>
      <c r="G7" s="134"/>
      <c r="H7" s="97">
        <f>H8+H14</f>
        <v>38600</v>
      </c>
      <c r="I7" s="97">
        <v>38600</v>
      </c>
      <c r="J7" s="98">
        <f t="shared" si="0"/>
        <v>0</v>
      </c>
      <c r="K7" s="81"/>
      <c r="L7" s="82"/>
      <c r="M7" s="83"/>
    </row>
    <row r="8" spans="1:15">
      <c r="A8" s="10"/>
      <c r="B8" s="6"/>
      <c r="C8" s="7"/>
      <c r="D8" s="388" t="s">
        <v>672</v>
      </c>
      <c r="E8" s="133"/>
      <c r="F8" s="133"/>
      <c r="G8" s="134"/>
      <c r="H8" s="135">
        <f>SUM(H9)</f>
        <v>10000</v>
      </c>
      <c r="I8" s="135">
        <v>10000</v>
      </c>
      <c r="J8" s="98">
        <f t="shared" si="0"/>
        <v>0</v>
      </c>
      <c r="K8" s="395"/>
      <c r="L8" s="136"/>
      <c r="M8" s="289"/>
    </row>
    <row r="9" spans="1:15">
      <c r="A9" s="10"/>
      <c r="B9" s="6"/>
      <c r="C9" s="137"/>
      <c r="D9" s="138"/>
      <c r="E9" s="132" t="s">
        <v>673</v>
      </c>
      <c r="F9" s="133"/>
      <c r="G9" s="134"/>
      <c r="H9" s="94">
        <f>SUM(H10)</f>
        <v>10000</v>
      </c>
      <c r="I9" s="94">
        <v>10000</v>
      </c>
      <c r="J9" s="98">
        <f t="shared" si="0"/>
        <v>0</v>
      </c>
      <c r="K9" s="396"/>
      <c r="L9" s="96"/>
      <c r="M9" s="291"/>
    </row>
    <row r="10" spans="1:15">
      <c r="A10" s="65"/>
      <c r="B10" s="67"/>
      <c r="C10" s="189"/>
      <c r="D10" s="190"/>
      <c r="E10" s="190"/>
      <c r="F10" s="139" t="s">
        <v>674</v>
      </c>
      <c r="G10" s="192"/>
      <c r="H10" s="74">
        <f>H11</f>
        <v>10000</v>
      </c>
      <c r="I10" s="74">
        <v>10000</v>
      </c>
      <c r="J10" s="292">
        <f t="shared" si="0"/>
        <v>0</v>
      </c>
      <c r="K10" s="397"/>
      <c r="L10" s="398"/>
      <c r="M10" s="399"/>
    </row>
    <row r="11" spans="1:15">
      <c r="A11" s="65"/>
      <c r="B11" s="67"/>
      <c r="C11" s="67"/>
      <c r="D11" s="148"/>
      <c r="E11" s="193"/>
      <c r="F11" s="193"/>
      <c r="G11" s="70" t="s">
        <v>675</v>
      </c>
      <c r="H11" s="75">
        <f>M11</f>
        <v>10000</v>
      </c>
      <c r="I11" s="75">
        <v>10000</v>
      </c>
      <c r="J11" s="294">
        <f t="shared" si="0"/>
        <v>0</v>
      </c>
      <c r="K11" s="400" t="s">
        <v>676</v>
      </c>
      <c r="L11" s="44"/>
      <c r="M11" s="401">
        <f>M13</f>
        <v>10000</v>
      </c>
    </row>
    <row r="12" spans="1:15">
      <c r="A12" s="65"/>
      <c r="B12" s="67"/>
      <c r="C12" s="67"/>
      <c r="D12" s="148"/>
      <c r="E12" s="193"/>
      <c r="F12" s="193"/>
      <c r="G12" s="70"/>
      <c r="H12" s="76"/>
      <c r="I12" s="76"/>
      <c r="J12" s="76"/>
      <c r="K12" s="402" t="s">
        <v>677</v>
      </c>
      <c r="L12" s="459"/>
      <c r="M12" s="460"/>
    </row>
    <row r="13" spans="1:15" s="408" customFormat="1">
      <c r="A13" s="403"/>
      <c r="B13" s="404"/>
      <c r="C13" s="404"/>
      <c r="D13" s="405"/>
      <c r="E13" s="406"/>
      <c r="F13" s="406"/>
      <c r="G13" s="407"/>
      <c r="H13" s="50"/>
      <c r="I13" s="50"/>
      <c r="J13" s="50"/>
      <c r="K13" s="461" t="s">
        <v>678</v>
      </c>
      <c r="L13" s="462" t="s">
        <v>0</v>
      </c>
      <c r="M13" s="463">
        <v>10000</v>
      </c>
      <c r="O13" s="409"/>
    </row>
    <row r="14" spans="1:15">
      <c r="A14" s="10"/>
      <c r="B14" s="6"/>
      <c r="C14" s="6"/>
      <c r="D14" s="132" t="s">
        <v>331</v>
      </c>
      <c r="E14" s="133"/>
      <c r="F14" s="133"/>
      <c r="G14" s="134"/>
      <c r="H14" s="135">
        <f>H15</f>
        <v>28600</v>
      </c>
      <c r="I14" s="135">
        <v>28600</v>
      </c>
      <c r="J14" s="95">
        <f>H14-I14</f>
        <v>0</v>
      </c>
      <c r="K14" s="410"/>
      <c r="L14" s="136"/>
      <c r="M14" s="83"/>
    </row>
    <row r="15" spans="1:15">
      <c r="A15" s="10"/>
      <c r="B15" s="6"/>
      <c r="C15" s="137"/>
      <c r="D15" s="138"/>
      <c r="E15" s="132" t="s">
        <v>31</v>
      </c>
      <c r="F15" s="133"/>
      <c r="G15" s="134"/>
      <c r="H15" s="94">
        <f>SUM(H16)</f>
        <v>28600</v>
      </c>
      <c r="I15" s="94">
        <v>28600</v>
      </c>
      <c r="J15" s="95">
        <f>H15-I15</f>
        <v>0</v>
      </c>
      <c r="K15" s="87"/>
      <c r="L15" s="96"/>
      <c r="M15" s="248"/>
    </row>
    <row r="16" spans="1:15">
      <c r="A16" s="65"/>
      <c r="B16" s="67"/>
      <c r="C16" s="67"/>
      <c r="D16" s="67"/>
      <c r="E16" s="67"/>
      <c r="F16" s="139" t="s">
        <v>63</v>
      </c>
      <c r="G16" s="143"/>
      <c r="H16" s="74">
        <f>SUM(H17,H21,H23)</f>
        <v>28600</v>
      </c>
      <c r="I16" s="74">
        <v>28600</v>
      </c>
      <c r="J16" s="101">
        <f>H16-I16</f>
        <v>0</v>
      </c>
      <c r="K16" s="147"/>
      <c r="L16" s="38"/>
      <c r="M16" s="249"/>
    </row>
    <row r="17" spans="1:13">
      <c r="A17" s="65"/>
      <c r="B17" s="67"/>
      <c r="C17" s="67"/>
      <c r="D17" s="67"/>
      <c r="E17" s="67"/>
      <c r="F17" s="146"/>
      <c r="G17" s="67" t="s">
        <v>36</v>
      </c>
      <c r="H17" s="78">
        <f>M17</f>
        <v>28000</v>
      </c>
      <c r="I17" s="78">
        <v>28000</v>
      </c>
      <c r="J17" s="48">
        <f>H17-I17</f>
        <v>0</v>
      </c>
      <c r="K17" s="36" t="s">
        <v>64</v>
      </c>
      <c r="L17" s="39"/>
      <c r="M17" s="229">
        <f>SUM(M18:M20)</f>
        <v>28000</v>
      </c>
    </row>
    <row r="18" spans="1:13">
      <c r="A18" s="65"/>
      <c r="B18" s="67"/>
      <c r="C18" s="67"/>
      <c r="D18" s="67"/>
      <c r="E18" s="67"/>
      <c r="F18" s="146"/>
      <c r="G18" s="67"/>
      <c r="H18" s="78"/>
      <c r="I18" s="78"/>
      <c r="J18" s="48"/>
      <c r="K18" s="224" t="s">
        <v>538</v>
      </c>
      <c r="L18" s="52" t="s">
        <v>482</v>
      </c>
      <c r="M18" s="194">
        <v>14400</v>
      </c>
    </row>
    <row r="19" spans="1:13">
      <c r="A19" s="65"/>
      <c r="B19" s="67"/>
      <c r="C19" s="67"/>
      <c r="D19" s="67"/>
      <c r="E19" s="67"/>
      <c r="F19" s="146"/>
      <c r="G19" s="67"/>
      <c r="H19" s="78"/>
      <c r="I19" s="78"/>
      <c r="J19" s="48"/>
      <c r="K19" s="224" t="s">
        <v>539</v>
      </c>
      <c r="L19" s="207" t="s">
        <v>0</v>
      </c>
      <c r="M19" s="194">
        <v>9600</v>
      </c>
    </row>
    <row r="20" spans="1:13">
      <c r="A20" s="65"/>
      <c r="B20" s="67"/>
      <c r="C20" s="67"/>
      <c r="D20" s="67"/>
      <c r="E20" s="67"/>
      <c r="F20" s="146"/>
      <c r="G20" s="67"/>
      <c r="H20" s="78"/>
      <c r="I20" s="78"/>
      <c r="J20" s="49"/>
      <c r="K20" s="224" t="s">
        <v>537</v>
      </c>
      <c r="L20" s="207" t="s">
        <v>0</v>
      </c>
      <c r="M20" s="194">
        <v>4000</v>
      </c>
    </row>
    <row r="21" spans="1:13">
      <c r="A21" s="65"/>
      <c r="B21" s="67"/>
      <c r="C21" s="67"/>
      <c r="D21" s="67"/>
      <c r="E21" s="67"/>
      <c r="F21" s="146"/>
      <c r="G21" s="66" t="s">
        <v>65</v>
      </c>
      <c r="H21" s="77">
        <f>M21</f>
        <v>300</v>
      </c>
      <c r="I21" s="77">
        <v>300</v>
      </c>
      <c r="J21" s="48">
        <f>H21-I21</f>
        <v>0</v>
      </c>
      <c r="K21" s="36" t="s">
        <v>66</v>
      </c>
      <c r="L21" s="39"/>
      <c r="M21" s="229">
        <f>M22</f>
        <v>300</v>
      </c>
    </row>
    <row r="22" spans="1:13">
      <c r="A22" s="65"/>
      <c r="B22" s="67"/>
      <c r="C22" s="67"/>
      <c r="D22" s="67"/>
      <c r="E22" s="67"/>
      <c r="F22" s="146"/>
      <c r="G22" s="69"/>
      <c r="H22" s="79"/>
      <c r="I22" s="79"/>
      <c r="J22" s="49"/>
      <c r="K22" s="226" t="s">
        <v>540</v>
      </c>
      <c r="L22" s="209" t="s">
        <v>0</v>
      </c>
      <c r="M22" s="194">
        <v>300</v>
      </c>
    </row>
    <row r="23" spans="1:13">
      <c r="A23" s="65"/>
      <c r="B23" s="67"/>
      <c r="C23" s="67"/>
      <c r="D23" s="67"/>
      <c r="E23" s="67"/>
      <c r="F23" s="146"/>
      <c r="G23" s="67" t="s">
        <v>68</v>
      </c>
      <c r="H23" s="78">
        <f>M23</f>
        <v>300</v>
      </c>
      <c r="I23" s="78">
        <v>300</v>
      </c>
      <c r="J23" s="48">
        <f>H23-I23</f>
        <v>0</v>
      </c>
      <c r="K23" s="223" t="s">
        <v>67</v>
      </c>
      <c r="L23" s="52"/>
      <c r="M23" s="229">
        <f>M24</f>
        <v>300</v>
      </c>
    </row>
    <row r="24" spans="1:13">
      <c r="A24" s="65"/>
      <c r="B24" s="67"/>
      <c r="C24" s="67"/>
      <c r="D24" s="67"/>
      <c r="E24" s="67"/>
      <c r="F24" s="146"/>
      <c r="G24" s="67"/>
      <c r="H24" s="78"/>
      <c r="I24" s="73"/>
      <c r="J24" s="48"/>
      <c r="K24" s="226" t="s">
        <v>616</v>
      </c>
      <c r="L24" s="209" t="s">
        <v>0</v>
      </c>
      <c r="M24" s="200">
        <v>300</v>
      </c>
    </row>
    <row r="25" spans="1:13">
      <c r="A25" s="10"/>
      <c r="B25" s="6"/>
      <c r="C25" s="132" t="s">
        <v>137</v>
      </c>
      <c r="D25" s="133"/>
      <c r="E25" s="133"/>
      <c r="F25" s="133"/>
      <c r="G25" s="134"/>
      <c r="H25" s="94">
        <f>H26</f>
        <v>50000</v>
      </c>
      <c r="I25" s="97">
        <v>50000</v>
      </c>
      <c r="J25" s="95">
        <f t="shared" ref="J25" si="1">H25-I25</f>
        <v>0</v>
      </c>
      <c r="K25" s="81"/>
      <c r="L25" s="82"/>
      <c r="M25" s="83"/>
    </row>
    <row r="26" spans="1:13">
      <c r="A26" s="10"/>
      <c r="B26" s="6"/>
      <c r="C26" s="6"/>
      <c r="D26" s="132" t="s">
        <v>56</v>
      </c>
      <c r="E26" s="133"/>
      <c r="F26" s="133"/>
      <c r="G26" s="134"/>
      <c r="H26" s="135">
        <f>H27</f>
        <v>50000</v>
      </c>
      <c r="I26" s="135">
        <v>50000</v>
      </c>
      <c r="J26" s="95">
        <f>H26-I26</f>
        <v>0</v>
      </c>
      <c r="K26" s="84"/>
      <c r="L26" s="152"/>
      <c r="M26" s="83"/>
    </row>
    <row r="27" spans="1:13">
      <c r="A27" s="10"/>
      <c r="B27" s="6"/>
      <c r="C27" s="137"/>
      <c r="D27" s="138"/>
      <c r="E27" s="132" t="s">
        <v>31</v>
      </c>
      <c r="F27" s="133"/>
      <c r="G27" s="134"/>
      <c r="H27" s="94">
        <f>H28</f>
        <v>50000</v>
      </c>
      <c r="I27" s="94">
        <v>50000</v>
      </c>
      <c r="J27" s="95">
        <f>H27-I27</f>
        <v>0</v>
      </c>
      <c r="K27" s="87"/>
      <c r="L27" s="96"/>
      <c r="M27" s="85"/>
    </row>
    <row r="28" spans="1:13">
      <c r="A28" s="65"/>
      <c r="B28" s="67"/>
      <c r="C28" s="67"/>
      <c r="D28" s="67"/>
      <c r="E28" s="67"/>
      <c r="F28" s="139" t="s">
        <v>57</v>
      </c>
      <c r="G28" s="143"/>
      <c r="H28" s="74">
        <f>H29</f>
        <v>50000</v>
      </c>
      <c r="I28" s="74">
        <v>50000</v>
      </c>
      <c r="J28" s="101">
        <f>H28-I28</f>
        <v>0</v>
      </c>
      <c r="K28" s="147"/>
      <c r="L28" s="38"/>
      <c r="M28" s="37"/>
    </row>
    <row r="29" spans="1:13">
      <c r="A29" s="65"/>
      <c r="B29" s="67"/>
      <c r="C29" s="67"/>
      <c r="D29" s="67"/>
      <c r="E29" s="67"/>
      <c r="F29" s="146"/>
      <c r="G29" s="67" t="s">
        <v>58</v>
      </c>
      <c r="H29" s="78">
        <f>M29</f>
        <v>50000</v>
      </c>
      <c r="I29" s="78">
        <v>50000</v>
      </c>
      <c r="J29" s="48">
        <f>H29-I29</f>
        <v>0</v>
      </c>
      <c r="K29" s="36" t="s">
        <v>59</v>
      </c>
      <c r="L29" s="39"/>
      <c r="M29" s="229">
        <f>SUM(M30:M30)</f>
        <v>50000</v>
      </c>
    </row>
    <row r="30" spans="1:13">
      <c r="A30" s="65"/>
      <c r="B30" s="67"/>
      <c r="C30" s="67"/>
      <c r="D30" s="67"/>
      <c r="E30" s="67"/>
      <c r="F30" s="146"/>
      <c r="G30" s="67"/>
      <c r="H30" s="78"/>
      <c r="I30" s="78"/>
      <c r="J30" s="48"/>
      <c r="K30" s="226" t="s">
        <v>443</v>
      </c>
      <c r="L30" s="209" t="s">
        <v>0</v>
      </c>
      <c r="M30" s="194">
        <v>50000</v>
      </c>
    </row>
    <row r="31" spans="1:13">
      <c r="A31" s="10"/>
      <c r="B31" s="6"/>
      <c r="C31" s="6"/>
      <c r="D31" s="454" t="s">
        <v>227</v>
      </c>
      <c r="E31" s="133"/>
      <c r="F31" s="133"/>
      <c r="G31" s="134"/>
      <c r="H31" s="135">
        <f>H32</f>
        <v>1646</v>
      </c>
      <c r="I31" s="135">
        <v>0</v>
      </c>
      <c r="J31" s="95">
        <f>H31-I31</f>
        <v>1646</v>
      </c>
      <c r="K31" s="84"/>
      <c r="L31" s="152"/>
      <c r="M31" s="83"/>
    </row>
    <row r="32" spans="1:13">
      <c r="A32" s="10"/>
      <c r="B32" s="6"/>
      <c r="C32" s="137"/>
      <c r="D32" s="138"/>
      <c r="E32" s="454" t="s">
        <v>740</v>
      </c>
      <c r="F32" s="133"/>
      <c r="G32" s="134"/>
      <c r="H32" s="94">
        <f>H33</f>
        <v>1646</v>
      </c>
      <c r="I32" s="94">
        <v>0</v>
      </c>
      <c r="J32" s="95">
        <f>H32-I32</f>
        <v>1646</v>
      </c>
      <c r="K32" s="87"/>
      <c r="L32" s="96"/>
      <c r="M32" s="85"/>
    </row>
    <row r="33" spans="1:13">
      <c r="A33" s="65"/>
      <c r="B33" s="67"/>
      <c r="C33" s="67"/>
      <c r="D33" s="67"/>
      <c r="E33" s="67"/>
      <c r="F33" s="455" t="s">
        <v>738</v>
      </c>
      <c r="G33" s="143"/>
      <c r="H33" s="74">
        <f>H34</f>
        <v>1646</v>
      </c>
      <c r="I33" s="74">
        <v>0</v>
      </c>
      <c r="J33" s="101">
        <f>H33-I33</f>
        <v>1646</v>
      </c>
      <c r="K33" s="147"/>
      <c r="L33" s="38"/>
      <c r="M33" s="37"/>
    </row>
    <row r="34" spans="1:13">
      <c r="A34" s="65"/>
      <c r="B34" s="67"/>
      <c r="C34" s="67"/>
      <c r="D34" s="67"/>
      <c r="E34" s="67"/>
      <c r="F34" s="146"/>
      <c r="G34" s="456" t="s">
        <v>739</v>
      </c>
      <c r="H34" s="451">
        <f>M34</f>
        <v>1646</v>
      </c>
      <c r="I34" s="78">
        <v>0</v>
      </c>
      <c r="J34" s="443">
        <f>H34-I34</f>
        <v>1646</v>
      </c>
      <c r="K34" s="36" t="s">
        <v>741</v>
      </c>
      <c r="L34" s="39"/>
      <c r="M34" s="229">
        <f>SUM(M36:M37)</f>
        <v>1646</v>
      </c>
    </row>
    <row r="35" spans="1:13">
      <c r="A35" s="65"/>
      <c r="B35" s="67"/>
      <c r="C35" s="67"/>
      <c r="D35" s="67"/>
      <c r="E35" s="67"/>
      <c r="F35" s="146"/>
      <c r="G35" s="456"/>
      <c r="H35" s="78"/>
      <c r="I35" s="78"/>
      <c r="J35" s="48"/>
      <c r="K35" s="457" t="s">
        <v>742</v>
      </c>
      <c r="L35" s="52"/>
      <c r="M35" s="197"/>
    </row>
    <row r="36" spans="1:13">
      <c r="A36" s="65"/>
      <c r="B36" s="67"/>
      <c r="C36" s="67"/>
      <c r="D36" s="67"/>
      <c r="E36" s="67"/>
      <c r="F36" s="146"/>
      <c r="G36" s="67"/>
      <c r="H36" s="78"/>
      <c r="I36" s="78"/>
      <c r="J36" s="48"/>
      <c r="K36" s="485" t="s">
        <v>743</v>
      </c>
      <c r="L36" s="394" t="s">
        <v>0</v>
      </c>
      <c r="M36" s="391">
        <v>1623</v>
      </c>
    </row>
    <row r="37" spans="1:13">
      <c r="A37" s="65"/>
      <c r="B37" s="67"/>
      <c r="C37" s="69"/>
      <c r="D37" s="69"/>
      <c r="E37" s="69"/>
      <c r="F37" s="362"/>
      <c r="G37" s="69"/>
      <c r="H37" s="79"/>
      <c r="I37" s="79"/>
      <c r="J37" s="49"/>
      <c r="K37" s="458" t="s">
        <v>744</v>
      </c>
      <c r="L37" s="390" t="s">
        <v>0</v>
      </c>
      <c r="M37" s="420">
        <v>23</v>
      </c>
    </row>
    <row r="38" spans="1:13">
      <c r="A38" s="10"/>
      <c r="B38" s="6"/>
      <c r="C38" s="182" t="s">
        <v>309</v>
      </c>
      <c r="D38" s="133"/>
      <c r="E38" s="133"/>
      <c r="F38" s="133"/>
      <c r="G38" s="134"/>
      <c r="H38" s="94">
        <f>H39</f>
        <v>28292</v>
      </c>
      <c r="I38" s="94">
        <v>28292</v>
      </c>
      <c r="J38" s="95">
        <f>H38-I38</f>
        <v>0</v>
      </c>
      <c r="K38" s="162"/>
      <c r="L38" s="152"/>
      <c r="M38" s="153"/>
    </row>
    <row r="39" spans="1:13">
      <c r="A39" s="10"/>
      <c r="B39" s="6"/>
      <c r="C39" s="150"/>
      <c r="D39" s="132" t="s">
        <v>34</v>
      </c>
      <c r="E39" s="133"/>
      <c r="F39" s="133"/>
      <c r="G39" s="134"/>
      <c r="H39" s="135">
        <f>H40</f>
        <v>28292</v>
      </c>
      <c r="I39" s="135">
        <v>28292</v>
      </c>
      <c r="J39" s="9">
        <f>H39-I39</f>
        <v>0</v>
      </c>
      <c r="K39" s="151"/>
      <c r="L39" s="152"/>
      <c r="M39" s="153"/>
    </row>
    <row r="40" spans="1:13">
      <c r="A40" s="10"/>
      <c r="B40" s="6"/>
      <c r="C40" s="137"/>
      <c r="D40" s="138"/>
      <c r="E40" s="132" t="s">
        <v>33</v>
      </c>
      <c r="F40" s="133"/>
      <c r="G40" s="134"/>
      <c r="H40" s="94">
        <f>SUM(H41,H46,H50,H53)</f>
        <v>28292</v>
      </c>
      <c r="I40" s="94">
        <v>28292</v>
      </c>
      <c r="J40" s="95">
        <f>H40-I40</f>
        <v>0</v>
      </c>
      <c r="K40" s="87"/>
      <c r="L40" s="96"/>
      <c r="M40" s="85"/>
    </row>
    <row r="41" spans="1:13">
      <c r="A41" s="65"/>
      <c r="B41" s="67"/>
      <c r="C41" s="67"/>
      <c r="D41" s="67"/>
      <c r="E41" s="67"/>
      <c r="F41" s="139" t="s">
        <v>35</v>
      </c>
      <c r="G41" s="143"/>
      <c r="H41" s="74">
        <f>H42+H44</f>
        <v>9792</v>
      </c>
      <c r="I41" s="74">
        <v>9792</v>
      </c>
      <c r="J41" s="101">
        <f>H41-I41</f>
        <v>0</v>
      </c>
      <c r="K41" s="147"/>
      <c r="L41" s="38"/>
      <c r="M41" s="37"/>
    </row>
    <row r="42" spans="1:13">
      <c r="A42" s="56"/>
      <c r="B42" s="58"/>
      <c r="C42" s="67"/>
      <c r="D42" s="67"/>
      <c r="E42" s="67"/>
      <c r="F42" s="195"/>
      <c r="G42" s="213" t="s">
        <v>36</v>
      </c>
      <c r="H42" s="214">
        <f>M42</f>
        <v>2880</v>
      </c>
      <c r="I42" s="214">
        <v>2880</v>
      </c>
      <c r="J42" s="41">
        <f>H42-I42</f>
        <v>0</v>
      </c>
      <c r="K42" s="36" t="s">
        <v>54</v>
      </c>
      <c r="L42" s="216"/>
      <c r="M42" s="229">
        <f>SUM(M43:M43)</f>
        <v>2880</v>
      </c>
    </row>
    <row r="43" spans="1:13">
      <c r="A43" s="56"/>
      <c r="B43" s="58"/>
      <c r="C43" s="67"/>
      <c r="D43" s="67"/>
      <c r="E43" s="67"/>
      <c r="F43" s="57"/>
      <c r="G43" s="211"/>
      <c r="H43" s="103"/>
      <c r="I43" s="103"/>
      <c r="J43" s="105"/>
      <c r="K43" s="212" t="s">
        <v>460</v>
      </c>
      <c r="L43" s="209" t="s">
        <v>37</v>
      </c>
      <c r="M43" s="194">
        <v>2880</v>
      </c>
    </row>
    <row r="44" spans="1:13">
      <c r="A44" s="56"/>
      <c r="B44" s="58"/>
      <c r="C44" s="67"/>
      <c r="D44" s="67"/>
      <c r="E44" s="67"/>
      <c r="F44" s="234"/>
      <c r="G44" s="57" t="s">
        <v>150</v>
      </c>
      <c r="H44" s="214">
        <f>M44</f>
        <v>6912</v>
      </c>
      <c r="I44" s="214">
        <v>6912</v>
      </c>
      <c r="J44" s="41">
        <f>H44-I44</f>
        <v>0</v>
      </c>
      <c r="K44" s="223" t="s">
        <v>145</v>
      </c>
      <c r="L44" s="216"/>
      <c r="M44" s="229">
        <f>SUM(M45:M45)</f>
        <v>6912</v>
      </c>
    </row>
    <row r="45" spans="1:13">
      <c r="A45" s="56"/>
      <c r="B45" s="58"/>
      <c r="C45" s="67"/>
      <c r="D45" s="67"/>
      <c r="E45" s="67"/>
      <c r="F45" s="57"/>
      <c r="G45" s="57"/>
      <c r="H45" s="103"/>
      <c r="I45" s="103"/>
      <c r="J45" s="105"/>
      <c r="K45" s="226" t="s">
        <v>445</v>
      </c>
      <c r="L45" s="209" t="s">
        <v>37</v>
      </c>
      <c r="M45" s="194">
        <v>6912</v>
      </c>
    </row>
    <row r="46" spans="1:13">
      <c r="A46" s="65"/>
      <c r="B46" s="67"/>
      <c r="C46" s="67"/>
      <c r="D46" s="67"/>
      <c r="E46" s="67"/>
      <c r="F46" s="592" t="s">
        <v>40</v>
      </c>
      <c r="G46" s="593"/>
      <c r="H46" s="155">
        <f>H47</f>
        <v>14400</v>
      </c>
      <c r="I46" s="74">
        <v>14400</v>
      </c>
      <c r="J46" s="156">
        <f>H46-I46</f>
        <v>0</v>
      </c>
      <c r="K46" s="157"/>
      <c r="L46" s="59"/>
      <c r="M46" s="60"/>
    </row>
    <row r="47" spans="1:13">
      <c r="A47" s="65"/>
      <c r="B47" s="67"/>
      <c r="C47" s="67"/>
      <c r="D47" s="67"/>
      <c r="E47" s="67"/>
      <c r="F47" s="112"/>
      <c r="G47" s="203" t="s">
        <v>41</v>
      </c>
      <c r="H47" s="217">
        <f>M47</f>
        <v>14400</v>
      </c>
      <c r="I47" s="78">
        <v>14400</v>
      </c>
      <c r="J47" s="206">
        <f>H47-I47</f>
        <v>0</v>
      </c>
      <c r="K47" s="36" t="s">
        <v>52</v>
      </c>
      <c r="L47" s="219"/>
      <c r="M47" s="229">
        <f>SUM(M48:M49)</f>
        <v>14400</v>
      </c>
    </row>
    <row r="48" spans="1:13">
      <c r="A48" s="65"/>
      <c r="B48" s="67"/>
      <c r="C48" s="67"/>
      <c r="D48" s="67"/>
      <c r="E48" s="67"/>
      <c r="F48" s="198"/>
      <c r="G48" s="198"/>
      <c r="H48" s="103"/>
      <c r="I48" s="103"/>
      <c r="J48" s="105"/>
      <c r="K48" s="224" t="s">
        <v>528</v>
      </c>
      <c r="L48" s="99" t="s">
        <v>0</v>
      </c>
      <c r="M48" s="194">
        <v>3840</v>
      </c>
    </row>
    <row r="49" spans="1:13">
      <c r="A49" s="65"/>
      <c r="B49" s="67"/>
      <c r="C49" s="67"/>
      <c r="D49" s="148"/>
      <c r="E49" s="193"/>
      <c r="F49" s="193"/>
      <c r="G49" s="70"/>
      <c r="H49" s="76"/>
      <c r="I49" s="76"/>
      <c r="J49" s="76"/>
      <c r="K49" s="226" t="s">
        <v>527</v>
      </c>
      <c r="L49" s="145" t="s">
        <v>0</v>
      </c>
      <c r="M49" s="194">
        <v>10560</v>
      </c>
    </row>
    <row r="50" spans="1:13">
      <c r="A50" s="65"/>
      <c r="B50" s="67"/>
      <c r="C50" s="67"/>
      <c r="D50" s="67"/>
      <c r="E50" s="67"/>
      <c r="F50" s="592" t="s">
        <v>42</v>
      </c>
      <c r="G50" s="593"/>
      <c r="H50" s="155">
        <f>H51</f>
        <v>2000</v>
      </c>
      <c r="I50" s="74">
        <v>2000</v>
      </c>
      <c r="J50" s="156">
        <f>H50-I50</f>
        <v>0</v>
      </c>
      <c r="K50" s="157"/>
      <c r="L50" s="59"/>
      <c r="M50" s="60"/>
    </row>
    <row r="51" spans="1:13">
      <c r="A51" s="56"/>
      <c r="B51" s="58"/>
      <c r="C51" s="67"/>
      <c r="D51" s="67"/>
      <c r="E51" s="67"/>
      <c r="F51" s="198"/>
      <c r="G51" s="112" t="s">
        <v>43</v>
      </c>
      <c r="H51" s="217">
        <f>M51</f>
        <v>2000</v>
      </c>
      <c r="I51" s="78">
        <v>2000</v>
      </c>
      <c r="J51" s="206">
        <f>H51-I51</f>
        <v>0</v>
      </c>
      <c r="K51" s="220" t="s">
        <v>156</v>
      </c>
      <c r="L51" s="216"/>
      <c r="M51" s="229">
        <f>M52</f>
        <v>2000</v>
      </c>
    </row>
    <row r="52" spans="1:13">
      <c r="A52" s="344"/>
      <c r="B52" s="345"/>
      <c r="C52" s="345"/>
      <c r="D52" s="345"/>
      <c r="E52" s="345"/>
      <c r="F52" s="199"/>
      <c r="G52" s="199"/>
      <c r="H52" s="106"/>
      <c r="I52" s="106"/>
      <c r="J52" s="158"/>
      <c r="K52" s="202" t="s">
        <v>633</v>
      </c>
      <c r="L52" s="218" t="s">
        <v>0</v>
      </c>
      <c r="M52" s="194">
        <v>2000</v>
      </c>
    </row>
    <row r="53" spans="1:13">
      <c r="A53" s="65"/>
      <c r="B53" s="67"/>
      <c r="C53" s="67"/>
      <c r="D53" s="67"/>
      <c r="E53" s="67"/>
      <c r="F53" s="139" t="s">
        <v>93</v>
      </c>
      <c r="G53" s="143"/>
      <c r="H53" s="74">
        <f>H54</f>
        <v>2100</v>
      </c>
      <c r="I53" s="74">
        <v>2100</v>
      </c>
      <c r="J53" s="101">
        <f>H53-I53</f>
        <v>0</v>
      </c>
      <c r="K53" s="147"/>
      <c r="L53" s="38"/>
      <c r="M53" s="249"/>
    </row>
    <row r="54" spans="1:13">
      <c r="A54" s="65"/>
      <c r="B54" s="67"/>
      <c r="C54" s="67"/>
      <c r="D54" s="67"/>
      <c r="E54" s="67"/>
      <c r="F54" s="146"/>
      <c r="G54" s="67" t="s">
        <v>97</v>
      </c>
      <c r="H54" s="78">
        <f>M54</f>
        <v>2100</v>
      </c>
      <c r="I54" s="78">
        <v>2100</v>
      </c>
      <c r="J54" s="48">
        <f>H54-I54</f>
        <v>0</v>
      </c>
      <c r="K54" s="36" t="s">
        <v>454</v>
      </c>
      <c r="L54" s="39"/>
      <c r="M54" s="229">
        <f>M55</f>
        <v>2100</v>
      </c>
    </row>
    <row r="55" spans="1:13">
      <c r="A55" s="65"/>
      <c r="B55" s="67"/>
      <c r="C55" s="67"/>
      <c r="D55" s="67"/>
      <c r="E55" s="67"/>
      <c r="F55" s="108"/>
      <c r="G55" s="199"/>
      <c r="H55" s="111"/>
      <c r="I55" s="238"/>
      <c r="J55" s="159"/>
      <c r="K55" s="226" t="s">
        <v>457</v>
      </c>
      <c r="L55" s="209" t="s">
        <v>0</v>
      </c>
      <c r="M55" s="200">
        <v>2100</v>
      </c>
    </row>
    <row r="56" spans="1:13">
      <c r="A56" s="10"/>
      <c r="B56" s="6"/>
      <c r="C56" s="182" t="s">
        <v>99</v>
      </c>
      <c r="D56" s="133"/>
      <c r="E56" s="133"/>
      <c r="F56" s="133"/>
      <c r="G56" s="134"/>
      <c r="H56" s="94">
        <f>H57</f>
        <v>145000</v>
      </c>
      <c r="I56" s="94">
        <v>145000</v>
      </c>
      <c r="J56" s="95">
        <f>H56-I56</f>
        <v>0</v>
      </c>
      <c r="K56" s="162"/>
      <c r="L56" s="152"/>
      <c r="M56" s="153"/>
    </row>
    <row r="57" spans="1:13">
      <c r="A57" s="10"/>
      <c r="B57" s="6"/>
      <c r="C57" s="150"/>
      <c r="D57" s="132" t="s">
        <v>100</v>
      </c>
      <c r="E57" s="133"/>
      <c r="F57" s="133"/>
      <c r="G57" s="134"/>
      <c r="H57" s="135">
        <f>H58</f>
        <v>145000</v>
      </c>
      <c r="I57" s="135">
        <v>145000</v>
      </c>
      <c r="J57" s="9">
        <f>H57-I57</f>
        <v>0</v>
      </c>
      <c r="K57" s="151"/>
      <c r="L57" s="152"/>
      <c r="M57" s="153"/>
    </row>
    <row r="58" spans="1:13">
      <c r="A58" s="10"/>
      <c r="B58" s="6"/>
      <c r="C58" s="137"/>
      <c r="D58" s="138"/>
      <c r="E58" s="132" t="s">
        <v>33</v>
      </c>
      <c r="F58" s="133"/>
      <c r="G58" s="134"/>
      <c r="H58" s="94">
        <f>SUM(H59,H66,H73)</f>
        <v>145000</v>
      </c>
      <c r="I58" s="94">
        <v>145000</v>
      </c>
      <c r="J58" s="95">
        <f>H58-I58</f>
        <v>0</v>
      </c>
      <c r="K58" s="87"/>
      <c r="L58" s="96"/>
      <c r="M58" s="248"/>
    </row>
    <row r="59" spans="1:13">
      <c r="A59" s="65"/>
      <c r="B59" s="67"/>
      <c r="C59" s="67"/>
      <c r="D59" s="67"/>
      <c r="E59" s="67"/>
      <c r="F59" s="139" t="s">
        <v>62</v>
      </c>
      <c r="G59" s="143"/>
      <c r="H59" s="74">
        <f>SUM(H60,H62,H64)</f>
        <v>15000</v>
      </c>
      <c r="I59" s="74">
        <v>15000</v>
      </c>
      <c r="J59" s="101">
        <f>H59-I59</f>
        <v>0</v>
      </c>
      <c r="K59" s="147"/>
      <c r="L59" s="38"/>
      <c r="M59" s="249"/>
    </row>
    <row r="60" spans="1:13">
      <c r="A60" s="56"/>
      <c r="B60" s="58"/>
      <c r="C60" s="67"/>
      <c r="D60" s="67"/>
      <c r="E60" s="67"/>
      <c r="F60" s="195"/>
      <c r="G60" s="213" t="s">
        <v>36</v>
      </c>
      <c r="H60" s="214">
        <f>M60</f>
        <v>5000</v>
      </c>
      <c r="I60" s="214">
        <v>5000</v>
      </c>
      <c r="J60" s="41">
        <f>H60-I60</f>
        <v>0</v>
      </c>
      <c r="K60" s="223" t="s">
        <v>106</v>
      </c>
      <c r="L60" s="216"/>
      <c r="M60" s="229">
        <f>M61</f>
        <v>5000</v>
      </c>
    </row>
    <row r="61" spans="1:13">
      <c r="A61" s="56"/>
      <c r="B61" s="58"/>
      <c r="C61" s="67"/>
      <c r="D61" s="67"/>
      <c r="E61" s="67"/>
      <c r="F61" s="234"/>
      <c r="G61" s="211"/>
      <c r="H61" s="106"/>
      <c r="I61" s="106"/>
      <c r="J61" s="149"/>
      <c r="K61" s="226" t="s">
        <v>104</v>
      </c>
      <c r="L61" s="209" t="s">
        <v>0</v>
      </c>
      <c r="M61" s="200">
        <v>5000</v>
      </c>
    </row>
    <row r="62" spans="1:13">
      <c r="A62" s="56"/>
      <c r="B62" s="58"/>
      <c r="C62" s="67"/>
      <c r="D62" s="67"/>
      <c r="E62" s="67"/>
      <c r="F62" s="234"/>
      <c r="G62" s="57" t="s">
        <v>7</v>
      </c>
      <c r="H62" s="103">
        <f>M62</f>
        <v>5000</v>
      </c>
      <c r="I62" s="103">
        <v>5000</v>
      </c>
      <c r="J62" s="41">
        <f t="shared" ref="J62" si="2">H62-I62</f>
        <v>0</v>
      </c>
      <c r="K62" s="256" t="s">
        <v>102</v>
      </c>
      <c r="L62" s="51"/>
      <c r="M62" s="229">
        <f>M63</f>
        <v>5000</v>
      </c>
    </row>
    <row r="63" spans="1:13">
      <c r="A63" s="56"/>
      <c r="B63" s="58"/>
      <c r="C63" s="67"/>
      <c r="D63" s="67"/>
      <c r="E63" s="67"/>
      <c r="F63" s="234"/>
      <c r="G63" s="211"/>
      <c r="H63" s="106"/>
      <c r="I63" s="106"/>
      <c r="J63" s="149"/>
      <c r="K63" s="226" t="s">
        <v>103</v>
      </c>
      <c r="L63" s="209" t="s">
        <v>0</v>
      </c>
      <c r="M63" s="200">
        <v>5000</v>
      </c>
    </row>
    <row r="64" spans="1:13">
      <c r="A64" s="56"/>
      <c r="B64" s="58"/>
      <c r="C64" s="67"/>
      <c r="D64" s="67"/>
      <c r="E64" s="67"/>
      <c r="F64" s="234"/>
      <c r="G64" s="57" t="s">
        <v>150</v>
      </c>
      <c r="H64" s="103">
        <f>M64</f>
        <v>5000</v>
      </c>
      <c r="I64" s="103">
        <v>5000</v>
      </c>
      <c r="J64" s="50">
        <f>H64-I64</f>
        <v>0</v>
      </c>
      <c r="K64" s="223" t="s">
        <v>145</v>
      </c>
      <c r="L64" s="207"/>
      <c r="M64" s="197">
        <f>M65</f>
        <v>5000</v>
      </c>
    </row>
    <row r="65" spans="1:13">
      <c r="A65" s="56"/>
      <c r="B65" s="58"/>
      <c r="C65" s="67"/>
      <c r="D65" s="67"/>
      <c r="E65" s="67"/>
      <c r="F65" s="234"/>
      <c r="G65" s="211"/>
      <c r="H65" s="106"/>
      <c r="I65" s="106"/>
      <c r="J65" s="149"/>
      <c r="K65" s="224" t="s">
        <v>109</v>
      </c>
      <c r="L65" s="207" t="s">
        <v>0</v>
      </c>
      <c r="M65" s="194">
        <v>5000</v>
      </c>
    </row>
    <row r="66" spans="1:13">
      <c r="A66" s="65"/>
      <c r="B66" s="67"/>
      <c r="C66" s="67"/>
      <c r="D66" s="67"/>
      <c r="E66" s="67"/>
      <c r="F66" s="139" t="s">
        <v>47</v>
      </c>
      <c r="G66" s="143"/>
      <c r="H66" s="74">
        <f>SUM(H67,H69)</f>
        <v>125000</v>
      </c>
      <c r="I66" s="74">
        <v>125000</v>
      </c>
      <c r="J66" s="101">
        <f>H66-I66</f>
        <v>0</v>
      </c>
      <c r="K66" s="147"/>
      <c r="L66" s="38"/>
      <c r="M66" s="249"/>
    </row>
    <row r="67" spans="1:13">
      <c r="A67" s="56"/>
      <c r="B67" s="58"/>
      <c r="C67" s="67"/>
      <c r="D67" s="67"/>
      <c r="E67" s="67"/>
      <c r="F67" s="234"/>
      <c r="G67" s="57" t="s">
        <v>41</v>
      </c>
      <c r="H67" s="103">
        <f>M67</f>
        <v>5000</v>
      </c>
      <c r="I67" s="103">
        <v>5000</v>
      </c>
      <c r="J67" s="50">
        <f>H67-I67</f>
        <v>0</v>
      </c>
      <c r="K67" s="402" t="s">
        <v>81</v>
      </c>
      <c r="L67" s="464"/>
      <c r="M67" s="465">
        <f>M68</f>
        <v>5000</v>
      </c>
    </row>
    <row r="68" spans="1:13">
      <c r="A68" s="56"/>
      <c r="B68" s="58"/>
      <c r="C68" s="67"/>
      <c r="D68" s="67"/>
      <c r="E68" s="67"/>
      <c r="F68" s="234"/>
      <c r="G68" s="211"/>
      <c r="H68" s="106"/>
      <c r="I68" s="106"/>
      <c r="J68" s="149"/>
      <c r="K68" s="466" t="s">
        <v>151</v>
      </c>
      <c r="L68" s="445" t="s">
        <v>0</v>
      </c>
      <c r="M68" s="467">
        <v>5000</v>
      </c>
    </row>
    <row r="69" spans="1:13">
      <c r="A69" s="56"/>
      <c r="B69" s="58"/>
      <c r="C69" s="67"/>
      <c r="D69" s="67"/>
      <c r="E69" s="67"/>
      <c r="F69" s="234"/>
      <c r="G69" s="57" t="s">
        <v>83</v>
      </c>
      <c r="H69" s="103">
        <f>M69</f>
        <v>120000</v>
      </c>
      <c r="I69" s="103">
        <v>120000</v>
      </c>
      <c r="J69" s="50">
        <f>H69-I69</f>
        <v>0</v>
      </c>
      <c r="K69" s="402" t="s">
        <v>82</v>
      </c>
      <c r="L69" s="464"/>
      <c r="M69" s="465">
        <f>M72</f>
        <v>120000</v>
      </c>
    </row>
    <row r="70" spans="1:13">
      <c r="A70" s="56"/>
      <c r="B70" s="58"/>
      <c r="C70" s="67"/>
      <c r="D70" s="67"/>
      <c r="E70" s="67"/>
      <c r="F70" s="234"/>
      <c r="G70" s="57"/>
      <c r="H70" s="103"/>
      <c r="I70" s="103"/>
      <c r="J70" s="50"/>
      <c r="K70" s="468" t="s">
        <v>105</v>
      </c>
      <c r="L70" s="464" t="s">
        <v>0</v>
      </c>
      <c r="M70" s="446">
        <v>20000</v>
      </c>
    </row>
    <row r="71" spans="1:13">
      <c r="A71" s="56"/>
      <c r="B71" s="58"/>
      <c r="C71" s="67"/>
      <c r="D71" s="67"/>
      <c r="E71" s="67"/>
      <c r="F71" s="234"/>
      <c r="G71" s="57"/>
      <c r="H71" s="103"/>
      <c r="I71" s="103"/>
      <c r="J71" s="50"/>
      <c r="K71" s="402" t="s">
        <v>670</v>
      </c>
      <c r="L71" s="464"/>
      <c r="M71" s="446"/>
    </row>
    <row r="72" spans="1:13">
      <c r="A72" s="56"/>
      <c r="B72" s="58"/>
      <c r="C72" s="67"/>
      <c r="D72" s="67"/>
      <c r="E72" s="67"/>
      <c r="F72" s="234"/>
      <c r="G72" s="57"/>
      <c r="H72" s="103"/>
      <c r="I72" s="103"/>
      <c r="J72" s="50"/>
      <c r="K72" s="468" t="s">
        <v>671</v>
      </c>
      <c r="L72" s="464" t="s">
        <v>0</v>
      </c>
      <c r="M72" s="446">
        <v>120000</v>
      </c>
    </row>
    <row r="73" spans="1:13">
      <c r="A73" s="65"/>
      <c r="B73" s="67"/>
      <c r="C73" s="67"/>
      <c r="D73" s="67"/>
      <c r="E73" s="67"/>
      <c r="F73" s="139" t="s">
        <v>84</v>
      </c>
      <c r="G73" s="143"/>
      <c r="H73" s="74">
        <f>H74</f>
        <v>5000</v>
      </c>
      <c r="I73" s="74">
        <v>5000</v>
      </c>
      <c r="J73" s="101">
        <f>H73-I73</f>
        <v>0</v>
      </c>
      <c r="K73" s="469"/>
      <c r="L73" s="470"/>
      <c r="M73" s="471"/>
    </row>
    <row r="74" spans="1:13">
      <c r="A74" s="56"/>
      <c r="B74" s="58"/>
      <c r="C74" s="67"/>
      <c r="D74" s="67"/>
      <c r="E74" s="67"/>
      <c r="F74" s="234"/>
      <c r="G74" s="57" t="s">
        <v>43</v>
      </c>
      <c r="H74" s="103">
        <f>M74</f>
        <v>5000</v>
      </c>
      <c r="I74" s="103">
        <v>5000</v>
      </c>
      <c r="J74" s="50">
        <f>H74-I74</f>
        <v>0</v>
      </c>
      <c r="K74" s="402" t="s">
        <v>108</v>
      </c>
      <c r="L74" s="464"/>
      <c r="M74" s="465">
        <f>M75</f>
        <v>5000</v>
      </c>
    </row>
    <row r="75" spans="1:13" ht="17.25" thickBot="1">
      <c r="A75" s="239"/>
      <c r="B75" s="240"/>
      <c r="C75" s="71"/>
      <c r="D75" s="71"/>
      <c r="E75" s="71"/>
      <c r="F75" s="241"/>
      <c r="G75" s="242"/>
      <c r="H75" s="221"/>
      <c r="I75" s="221"/>
      <c r="J75" s="243"/>
      <c r="K75" s="244" t="s">
        <v>107</v>
      </c>
      <c r="L75" s="245" t="s">
        <v>0</v>
      </c>
      <c r="M75" s="258">
        <v>5000</v>
      </c>
    </row>
  </sheetData>
  <protectedRanges>
    <protectedRange password="ECE8" sqref="N2:AB4" name="작성자만수정"/>
    <protectedRange password="ECE8" sqref="N162:AB162 N109:AB152 N56:AB106 N5:AB7 N14:AB52" name="작성자만수정_2_1"/>
    <protectedRange password="ECE8" sqref="N209:AB210 N107:AB108" name="작성자만수정_2_1_1"/>
    <protectedRange password="ECE8" sqref="N226:AB228 N215:AB219" name="작성자만수정_2_1_2"/>
  </protectedRanges>
  <autoFilter ref="A3:M75">
    <filterColumn colId="10" showButton="0"/>
    <filterColumn colId="11" showButton="0"/>
  </autoFilter>
  <mergeCells count="10">
    <mergeCell ref="F46:G46"/>
    <mergeCell ref="F50:G50"/>
    <mergeCell ref="H2:H3"/>
    <mergeCell ref="K2:M3"/>
    <mergeCell ref="A4:G4"/>
    <mergeCell ref="I2:I3"/>
    <mergeCell ref="J2:J3"/>
    <mergeCell ref="A2:A3"/>
    <mergeCell ref="B2:D2"/>
    <mergeCell ref="E2:G2"/>
  </mergeCells>
  <phoneticPr fontId="12" type="noConversion"/>
  <conditionalFormatting sqref="J51:J52">
    <cfRule type="containsText" dxfId="1241" priority="247" operator="containsText" text="허하나로">
      <formula>NOT(ISERROR(SEARCH("허하나로",H1082)))</formula>
    </cfRule>
    <cfRule type="containsText" dxfId="1240" priority="248" operator="containsText" text="한별">
      <formula>NOT(ISERROR(SEARCH("한별",H1082)))</formula>
    </cfRule>
    <cfRule type="containsText" dxfId="1239" priority="249" operator="containsText" text="정홍조">
      <formula>NOT(ISERROR(SEARCH("정홍조",H1082)))</formula>
    </cfRule>
    <cfRule type="containsText" dxfId="1238" priority="250" operator="containsText" text="김지윤">
      <formula>NOT(ISERROR(SEARCH("김지윤",H1082)))</formula>
    </cfRule>
    <cfRule type="containsText" dxfId="1237" priority="251" operator="containsText" text="전준영">
      <formula>NOT(ISERROR(SEARCH("전준영",H1082)))</formula>
    </cfRule>
    <cfRule type="containsText" dxfId="1236" priority="252" operator="containsText" text="차재성">
      <formula>NOT(ISERROR(SEARCH("차재성",H1082)))</formula>
    </cfRule>
  </conditionalFormatting>
  <conditionalFormatting sqref="J25">
    <cfRule type="containsText" dxfId="1235" priority="259" operator="containsText" text="허하나로">
      <formula>NOT(ISERROR(SEARCH("허하나로",H720)))</formula>
    </cfRule>
    <cfRule type="containsText" dxfId="1234" priority="260" operator="containsText" text="한별">
      <formula>NOT(ISERROR(SEARCH("한별",H720)))</formula>
    </cfRule>
    <cfRule type="containsText" dxfId="1233" priority="261" operator="containsText" text="정홍조">
      <formula>NOT(ISERROR(SEARCH("정홍조",H720)))</formula>
    </cfRule>
    <cfRule type="containsText" dxfId="1232" priority="262" operator="containsText" text="김지윤">
      <formula>NOT(ISERROR(SEARCH("김지윤",H720)))</formula>
    </cfRule>
    <cfRule type="containsText" dxfId="1231" priority="263" operator="containsText" text="전준영">
      <formula>NOT(ISERROR(SEARCH("전준영",H720)))</formula>
    </cfRule>
    <cfRule type="containsText" dxfId="1230" priority="264" operator="containsText" text="차재성">
      <formula>NOT(ISERROR(SEARCH("차재성",H720)))</formula>
    </cfRule>
  </conditionalFormatting>
  <conditionalFormatting sqref="J5">
    <cfRule type="containsText" dxfId="1229" priority="253" operator="containsText" text="허하나로">
      <formula>NOT(ISERROR(SEARCH("허하나로",H718)))</formula>
    </cfRule>
    <cfRule type="containsText" dxfId="1228" priority="254" operator="containsText" text="한별">
      <formula>NOT(ISERROR(SEARCH("한별",H718)))</formula>
    </cfRule>
    <cfRule type="containsText" dxfId="1227" priority="255" operator="containsText" text="정홍조">
      <formula>NOT(ISERROR(SEARCH("정홍조",H718)))</formula>
    </cfRule>
    <cfRule type="containsText" dxfId="1226" priority="256" operator="containsText" text="김지윤">
      <formula>NOT(ISERROR(SEARCH("김지윤",H718)))</formula>
    </cfRule>
    <cfRule type="containsText" dxfId="1225" priority="257" operator="containsText" text="전준영">
      <formula>NOT(ISERROR(SEARCH("전준영",H718)))</formula>
    </cfRule>
    <cfRule type="containsText" dxfId="1224" priority="258" operator="containsText" text="차재성">
      <formula>NOT(ISERROR(SEARCH("차재성",H718)))</formula>
    </cfRule>
  </conditionalFormatting>
  <conditionalFormatting sqref="J38">
    <cfRule type="containsText" dxfId="1223" priority="241" operator="containsText" text="허하나로">
      <formula>NOT(ISERROR(SEARCH("허하나로",H852)))</formula>
    </cfRule>
    <cfRule type="containsText" dxfId="1222" priority="242" operator="containsText" text="한별">
      <formula>NOT(ISERROR(SEARCH("한별",H852)))</formula>
    </cfRule>
    <cfRule type="containsText" dxfId="1221" priority="243" operator="containsText" text="정홍조">
      <formula>NOT(ISERROR(SEARCH("정홍조",H852)))</formula>
    </cfRule>
    <cfRule type="containsText" dxfId="1220" priority="244" operator="containsText" text="김지윤">
      <formula>NOT(ISERROR(SEARCH("김지윤",H852)))</formula>
    </cfRule>
    <cfRule type="containsText" dxfId="1219" priority="245" operator="containsText" text="전준영">
      <formula>NOT(ISERROR(SEARCH("전준영",H852)))</formula>
    </cfRule>
    <cfRule type="containsText" dxfId="1218" priority="246" operator="containsText" text="차재성">
      <formula>NOT(ISERROR(SEARCH("차재성",H852)))</formula>
    </cfRule>
  </conditionalFormatting>
  <conditionalFormatting sqref="J41:J42">
    <cfRule type="containsText" dxfId="1217" priority="235" operator="containsText" text="허하나로">
      <formula>NOT(ISERROR(SEARCH("허하나로",H1060)))</formula>
    </cfRule>
    <cfRule type="containsText" dxfId="1216" priority="236" operator="containsText" text="한별">
      <formula>NOT(ISERROR(SEARCH("한별",H1060)))</formula>
    </cfRule>
    <cfRule type="containsText" dxfId="1215" priority="237" operator="containsText" text="정홍조">
      <formula>NOT(ISERROR(SEARCH("정홍조",H1060)))</formula>
    </cfRule>
    <cfRule type="containsText" dxfId="1214" priority="238" operator="containsText" text="김지윤">
      <formula>NOT(ISERROR(SEARCH("김지윤",H1060)))</formula>
    </cfRule>
    <cfRule type="containsText" dxfId="1213" priority="239" operator="containsText" text="전준영">
      <formula>NOT(ISERROR(SEARCH("전준영",H1060)))</formula>
    </cfRule>
    <cfRule type="containsText" dxfId="1212" priority="240" operator="containsText" text="차재성">
      <formula>NOT(ISERROR(SEARCH("차재성",H1060)))</formula>
    </cfRule>
  </conditionalFormatting>
  <conditionalFormatting sqref="J43">
    <cfRule type="containsText" dxfId="1211" priority="229" operator="containsText" text="허하나로">
      <formula>NOT(ISERROR(SEARCH("허하나로",H1051)))</formula>
    </cfRule>
    <cfRule type="containsText" dxfId="1210" priority="230" operator="containsText" text="한별">
      <formula>NOT(ISERROR(SEARCH("한별",H1051)))</formula>
    </cfRule>
    <cfRule type="containsText" dxfId="1209" priority="231" operator="containsText" text="정홍조">
      <formula>NOT(ISERROR(SEARCH("정홍조",H1051)))</formula>
    </cfRule>
    <cfRule type="containsText" dxfId="1208" priority="232" operator="containsText" text="김지윤">
      <formula>NOT(ISERROR(SEARCH("김지윤",H1051)))</formula>
    </cfRule>
    <cfRule type="containsText" dxfId="1207" priority="233" operator="containsText" text="전준영">
      <formula>NOT(ISERROR(SEARCH("전준영",H1051)))</formula>
    </cfRule>
    <cfRule type="containsText" dxfId="1206" priority="234" operator="containsText" text="차재성">
      <formula>NOT(ISERROR(SEARCH("차재성",H1051)))</formula>
    </cfRule>
  </conditionalFormatting>
  <conditionalFormatting sqref="J40">
    <cfRule type="containsText" dxfId="1205" priority="277" operator="containsText" text="허하나로">
      <formula>NOT(ISERROR(SEARCH("허하나로",H1049)))</formula>
    </cfRule>
    <cfRule type="containsText" dxfId="1204" priority="278" operator="containsText" text="한별">
      <formula>NOT(ISERROR(SEARCH("한별",H1049)))</formula>
    </cfRule>
    <cfRule type="containsText" dxfId="1203" priority="279" operator="containsText" text="정홍조">
      <formula>NOT(ISERROR(SEARCH("정홍조",H1049)))</formula>
    </cfRule>
    <cfRule type="containsText" dxfId="1202" priority="280" operator="containsText" text="김지윤">
      <formula>NOT(ISERROR(SEARCH("김지윤",H1049)))</formula>
    </cfRule>
    <cfRule type="containsText" dxfId="1201" priority="281" operator="containsText" text="전준영">
      <formula>NOT(ISERROR(SEARCH("전준영",H1049)))</formula>
    </cfRule>
    <cfRule type="containsText" dxfId="1200" priority="282" operator="containsText" text="차재성">
      <formula>NOT(ISERROR(SEARCH("차재성",H1049)))</formula>
    </cfRule>
  </conditionalFormatting>
  <conditionalFormatting sqref="J50">
    <cfRule type="containsText" dxfId="1199" priority="223" operator="containsText" text="허하나로">
      <formula>NOT(ISERROR(SEARCH("허하나로",H1066)))</formula>
    </cfRule>
    <cfRule type="containsText" dxfId="1198" priority="224" operator="containsText" text="한별">
      <formula>NOT(ISERROR(SEARCH("한별",H1066)))</formula>
    </cfRule>
    <cfRule type="containsText" dxfId="1197" priority="225" operator="containsText" text="정홍조">
      <formula>NOT(ISERROR(SEARCH("정홍조",H1066)))</formula>
    </cfRule>
    <cfRule type="containsText" dxfId="1196" priority="226" operator="containsText" text="김지윤">
      <formula>NOT(ISERROR(SEARCH("김지윤",H1066)))</formula>
    </cfRule>
    <cfRule type="containsText" dxfId="1195" priority="227" operator="containsText" text="전준영">
      <formula>NOT(ISERROR(SEARCH("전준영",H1066)))</formula>
    </cfRule>
    <cfRule type="containsText" dxfId="1194" priority="228" operator="containsText" text="차재성">
      <formula>NOT(ISERROR(SEARCH("차재성",H1066)))</formula>
    </cfRule>
  </conditionalFormatting>
  <conditionalFormatting sqref="L47">
    <cfRule type="containsText" dxfId="1193" priority="217" operator="containsText" text="허하나로">
      <formula>NOT(ISERROR(SEARCH("허하나로",J1197)))</formula>
    </cfRule>
    <cfRule type="containsText" dxfId="1192" priority="218" operator="containsText" text="한별">
      <formula>NOT(ISERROR(SEARCH("한별",J1197)))</formula>
    </cfRule>
    <cfRule type="containsText" dxfId="1191" priority="219" operator="containsText" text="정홍조">
      <formula>NOT(ISERROR(SEARCH("정홍조",J1197)))</formula>
    </cfRule>
    <cfRule type="containsText" dxfId="1190" priority="220" operator="containsText" text="김지윤">
      <formula>NOT(ISERROR(SEARCH("김지윤",J1197)))</formula>
    </cfRule>
    <cfRule type="containsText" dxfId="1189" priority="221" operator="containsText" text="전준영">
      <formula>NOT(ISERROR(SEARCH("전준영",J1197)))</formula>
    </cfRule>
    <cfRule type="containsText" dxfId="1188" priority="222" operator="containsText" text="차재성">
      <formula>NOT(ISERROR(SEARCH("차재성",J1197)))</formula>
    </cfRule>
  </conditionalFormatting>
  <conditionalFormatting sqref="J26:J35">
    <cfRule type="containsText" dxfId="1187" priority="301" operator="containsText" text="허하나로">
      <formula>NOT(ISERROR(SEARCH("허하나로",H1046)))</formula>
    </cfRule>
    <cfRule type="containsText" dxfId="1186" priority="302" operator="containsText" text="한별">
      <formula>NOT(ISERROR(SEARCH("한별",H1046)))</formula>
    </cfRule>
    <cfRule type="containsText" dxfId="1185" priority="303" operator="containsText" text="정홍조">
      <formula>NOT(ISERROR(SEARCH("정홍조",H1046)))</formula>
    </cfRule>
    <cfRule type="containsText" dxfId="1184" priority="304" operator="containsText" text="김지윤">
      <formula>NOT(ISERROR(SEARCH("김지윤",H1046)))</formula>
    </cfRule>
    <cfRule type="containsText" dxfId="1183" priority="305" operator="containsText" text="전준영">
      <formula>NOT(ISERROR(SEARCH("전준영",H1046)))</formula>
    </cfRule>
    <cfRule type="containsText" dxfId="1182" priority="306" operator="containsText" text="차재성">
      <formula>NOT(ISERROR(SEARCH("차재성",H1046)))</formula>
    </cfRule>
  </conditionalFormatting>
  <conditionalFormatting sqref="J75">
    <cfRule type="containsText" dxfId="1181" priority="115" operator="containsText" text="허하나로">
      <formula>NOT(ISERROR(SEARCH("허하나로",H1128)))</formula>
    </cfRule>
    <cfRule type="containsText" dxfId="1180" priority="116" operator="containsText" text="한별">
      <formula>NOT(ISERROR(SEARCH("한별",H1128)))</formula>
    </cfRule>
    <cfRule type="containsText" dxfId="1179" priority="117" operator="containsText" text="정홍조">
      <formula>NOT(ISERROR(SEARCH("정홍조",H1128)))</formula>
    </cfRule>
    <cfRule type="containsText" dxfId="1178" priority="118" operator="containsText" text="김지윤">
      <formula>NOT(ISERROR(SEARCH("김지윤",H1128)))</formula>
    </cfRule>
    <cfRule type="containsText" dxfId="1177" priority="119" operator="containsText" text="전준영">
      <formula>NOT(ISERROR(SEARCH("전준영",H1128)))</formula>
    </cfRule>
    <cfRule type="containsText" dxfId="1176" priority="120" operator="containsText" text="차재성">
      <formula>NOT(ISERROR(SEARCH("차재성",H1128)))</formula>
    </cfRule>
  </conditionalFormatting>
  <conditionalFormatting sqref="J64">
    <cfRule type="containsText" dxfId="1175" priority="121" operator="containsText" text="허하나로">
      <formula>NOT(ISERROR(SEARCH("허하나로",H1123)))</formula>
    </cfRule>
    <cfRule type="containsText" dxfId="1174" priority="122" operator="containsText" text="한별">
      <formula>NOT(ISERROR(SEARCH("한별",H1123)))</formula>
    </cfRule>
    <cfRule type="containsText" dxfId="1173" priority="123" operator="containsText" text="정홍조">
      <formula>NOT(ISERROR(SEARCH("정홍조",H1123)))</formula>
    </cfRule>
    <cfRule type="containsText" dxfId="1172" priority="124" operator="containsText" text="김지윤">
      <formula>NOT(ISERROR(SEARCH("김지윤",H1123)))</formula>
    </cfRule>
    <cfRule type="containsText" dxfId="1171" priority="125" operator="containsText" text="전준영">
      <formula>NOT(ISERROR(SEARCH("전준영",H1123)))</formula>
    </cfRule>
    <cfRule type="containsText" dxfId="1170" priority="126" operator="containsText" text="차재성">
      <formula>NOT(ISERROR(SEARCH("차재성",H1123)))</formula>
    </cfRule>
  </conditionalFormatting>
  <conditionalFormatting sqref="J65">
    <cfRule type="containsText" dxfId="1169" priority="127" operator="containsText" text="허하나로">
      <formula>NOT(ISERROR(SEARCH("허하나로",H1122)))</formula>
    </cfRule>
    <cfRule type="containsText" dxfId="1168" priority="128" operator="containsText" text="한별">
      <formula>NOT(ISERROR(SEARCH("한별",H1122)))</formula>
    </cfRule>
    <cfRule type="containsText" dxfId="1167" priority="129" operator="containsText" text="정홍조">
      <formula>NOT(ISERROR(SEARCH("정홍조",H1122)))</formula>
    </cfRule>
    <cfRule type="containsText" dxfId="1166" priority="130" operator="containsText" text="김지윤">
      <formula>NOT(ISERROR(SEARCH("김지윤",H1122)))</formula>
    </cfRule>
    <cfRule type="containsText" dxfId="1165" priority="131" operator="containsText" text="전준영">
      <formula>NOT(ISERROR(SEARCH("전준영",H1122)))</formula>
    </cfRule>
    <cfRule type="containsText" dxfId="1164" priority="132" operator="containsText" text="차재성">
      <formula>NOT(ISERROR(SEARCH("차재성",H1122)))</formula>
    </cfRule>
  </conditionalFormatting>
  <conditionalFormatting sqref="J56">
    <cfRule type="containsText" dxfId="1163" priority="103" operator="containsText" text="허하나로">
      <formula>NOT(ISERROR(SEARCH("허하나로",H912)))</formula>
    </cfRule>
    <cfRule type="containsText" dxfId="1162" priority="104" operator="containsText" text="한별">
      <formula>NOT(ISERROR(SEARCH("한별",H912)))</formula>
    </cfRule>
    <cfRule type="containsText" dxfId="1161" priority="105" operator="containsText" text="정홍조">
      <formula>NOT(ISERROR(SEARCH("정홍조",H912)))</formula>
    </cfRule>
    <cfRule type="containsText" dxfId="1160" priority="106" operator="containsText" text="김지윤">
      <formula>NOT(ISERROR(SEARCH("김지윤",H912)))</formula>
    </cfRule>
    <cfRule type="containsText" dxfId="1159" priority="107" operator="containsText" text="전준영">
      <formula>NOT(ISERROR(SEARCH("전준영",H912)))</formula>
    </cfRule>
    <cfRule type="containsText" dxfId="1158" priority="108" operator="containsText" text="차재성">
      <formula>NOT(ISERROR(SEARCH("차재성",H912)))</formula>
    </cfRule>
  </conditionalFormatting>
  <conditionalFormatting sqref="J58">
    <cfRule type="containsText" dxfId="1157" priority="109" operator="containsText" text="허하나로">
      <formula>NOT(ISERROR(SEARCH("허하나로",H1109)))</formula>
    </cfRule>
    <cfRule type="containsText" dxfId="1156" priority="110" operator="containsText" text="한별">
      <formula>NOT(ISERROR(SEARCH("한별",H1109)))</formula>
    </cfRule>
    <cfRule type="containsText" dxfId="1155" priority="111" operator="containsText" text="정홍조">
      <formula>NOT(ISERROR(SEARCH("정홍조",H1109)))</formula>
    </cfRule>
    <cfRule type="containsText" dxfId="1154" priority="112" operator="containsText" text="김지윤">
      <formula>NOT(ISERROR(SEARCH("김지윤",H1109)))</formula>
    </cfRule>
    <cfRule type="containsText" dxfId="1153" priority="113" operator="containsText" text="전준영">
      <formula>NOT(ISERROR(SEARCH("전준영",H1109)))</formula>
    </cfRule>
    <cfRule type="containsText" dxfId="1152" priority="114" operator="containsText" text="차재성">
      <formula>NOT(ISERROR(SEARCH("차재성",H1109)))</formula>
    </cfRule>
  </conditionalFormatting>
  <conditionalFormatting sqref="J72">
    <cfRule type="containsText" dxfId="1151" priority="133" operator="containsText" text="허하나로">
      <formula>NOT(ISERROR(SEARCH("허하나로",H1123)))</formula>
    </cfRule>
    <cfRule type="containsText" dxfId="1150" priority="134" operator="containsText" text="한별">
      <formula>NOT(ISERROR(SEARCH("한별",H1123)))</formula>
    </cfRule>
    <cfRule type="containsText" dxfId="1149" priority="135" operator="containsText" text="정홍조">
      <formula>NOT(ISERROR(SEARCH("정홍조",H1123)))</formula>
    </cfRule>
    <cfRule type="containsText" dxfId="1148" priority="136" operator="containsText" text="김지윤">
      <formula>NOT(ISERROR(SEARCH("김지윤",H1123)))</formula>
    </cfRule>
    <cfRule type="containsText" dxfId="1147" priority="137" operator="containsText" text="전준영">
      <formula>NOT(ISERROR(SEARCH("전준영",H1123)))</formula>
    </cfRule>
    <cfRule type="containsText" dxfId="1146" priority="138" operator="containsText" text="차재성">
      <formula>NOT(ISERROR(SEARCH("차재성",H1123)))</formula>
    </cfRule>
  </conditionalFormatting>
  <conditionalFormatting sqref="J68">
    <cfRule type="containsText" dxfId="1145" priority="139" operator="containsText" text="허하나로">
      <formula>NOT(ISERROR(SEARCH("허하나로",H1123)))</formula>
    </cfRule>
    <cfRule type="containsText" dxfId="1144" priority="140" operator="containsText" text="한별">
      <formula>NOT(ISERROR(SEARCH("한별",H1123)))</formula>
    </cfRule>
    <cfRule type="containsText" dxfId="1143" priority="141" operator="containsText" text="정홍조">
      <formula>NOT(ISERROR(SEARCH("정홍조",H1123)))</formula>
    </cfRule>
    <cfRule type="containsText" dxfId="1142" priority="142" operator="containsText" text="김지윤">
      <formula>NOT(ISERROR(SEARCH("김지윤",H1123)))</formula>
    </cfRule>
    <cfRule type="containsText" dxfId="1141" priority="143" operator="containsText" text="전준영">
      <formula>NOT(ISERROR(SEARCH("전준영",H1123)))</formula>
    </cfRule>
    <cfRule type="containsText" dxfId="1140" priority="144" operator="containsText" text="차재성">
      <formula>NOT(ISERROR(SEARCH("차재성",H1123)))</formula>
    </cfRule>
  </conditionalFormatting>
  <conditionalFormatting sqref="J67">
    <cfRule type="containsText" dxfId="1139" priority="145" operator="containsText" text="허하나로">
      <formula>NOT(ISERROR(SEARCH("허하나로",H1123)))</formula>
    </cfRule>
    <cfRule type="containsText" dxfId="1138" priority="146" operator="containsText" text="한별">
      <formula>NOT(ISERROR(SEARCH("한별",H1123)))</formula>
    </cfRule>
    <cfRule type="containsText" dxfId="1137" priority="147" operator="containsText" text="정홍조">
      <formula>NOT(ISERROR(SEARCH("정홍조",H1123)))</formula>
    </cfRule>
    <cfRule type="containsText" dxfId="1136" priority="148" operator="containsText" text="김지윤">
      <formula>NOT(ISERROR(SEARCH("김지윤",H1123)))</formula>
    </cfRule>
    <cfRule type="containsText" dxfId="1135" priority="149" operator="containsText" text="전준영">
      <formula>NOT(ISERROR(SEARCH("전준영",H1123)))</formula>
    </cfRule>
    <cfRule type="containsText" dxfId="1134" priority="150" operator="containsText" text="차재성">
      <formula>NOT(ISERROR(SEARCH("차재성",H1123)))</formula>
    </cfRule>
  </conditionalFormatting>
  <conditionalFormatting sqref="J66">
    <cfRule type="containsText" dxfId="1133" priority="97" operator="containsText" text="허하나로">
      <formula>NOT(ISERROR(SEARCH("허하나로",H1125)))</formula>
    </cfRule>
    <cfRule type="containsText" dxfId="1132" priority="98" operator="containsText" text="한별">
      <formula>NOT(ISERROR(SEARCH("한별",H1125)))</formula>
    </cfRule>
    <cfRule type="containsText" dxfId="1131" priority="99" operator="containsText" text="정홍조">
      <formula>NOT(ISERROR(SEARCH("정홍조",H1125)))</formula>
    </cfRule>
    <cfRule type="containsText" dxfId="1130" priority="100" operator="containsText" text="김지윤">
      <formula>NOT(ISERROR(SEARCH("김지윤",H1125)))</formula>
    </cfRule>
    <cfRule type="containsText" dxfId="1129" priority="101" operator="containsText" text="전준영">
      <formula>NOT(ISERROR(SEARCH("전준영",H1125)))</formula>
    </cfRule>
    <cfRule type="containsText" dxfId="1128" priority="102" operator="containsText" text="차재성">
      <formula>NOT(ISERROR(SEARCH("차재성",H1125)))</formula>
    </cfRule>
  </conditionalFormatting>
  <conditionalFormatting sqref="J74">
    <cfRule type="containsText" dxfId="1127" priority="91" operator="containsText" text="허하나로">
      <formula>NOT(ISERROR(SEARCH("허하나로",H1128)))</formula>
    </cfRule>
    <cfRule type="containsText" dxfId="1126" priority="92" operator="containsText" text="한별">
      <formula>NOT(ISERROR(SEARCH("한별",H1128)))</formula>
    </cfRule>
    <cfRule type="containsText" dxfId="1125" priority="93" operator="containsText" text="정홍조">
      <formula>NOT(ISERROR(SEARCH("정홍조",H1128)))</formula>
    </cfRule>
    <cfRule type="containsText" dxfId="1124" priority="94" operator="containsText" text="김지윤">
      <formula>NOT(ISERROR(SEARCH("김지윤",H1128)))</formula>
    </cfRule>
    <cfRule type="containsText" dxfId="1123" priority="95" operator="containsText" text="전준영">
      <formula>NOT(ISERROR(SEARCH("전준영",H1128)))</formula>
    </cfRule>
    <cfRule type="containsText" dxfId="1122" priority="96" operator="containsText" text="차재성">
      <formula>NOT(ISERROR(SEARCH("차재성",H1128)))</formula>
    </cfRule>
  </conditionalFormatting>
  <conditionalFormatting sqref="J73">
    <cfRule type="containsText" dxfId="1121" priority="85" operator="containsText" text="허하나로">
      <formula>NOT(ISERROR(SEARCH("허하나로",H1130)))</formula>
    </cfRule>
    <cfRule type="containsText" dxfId="1120" priority="86" operator="containsText" text="한별">
      <formula>NOT(ISERROR(SEARCH("한별",H1130)))</formula>
    </cfRule>
    <cfRule type="containsText" dxfId="1119" priority="87" operator="containsText" text="정홍조">
      <formula>NOT(ISERROR(SEARCH("정홍조",H1130)))</formula>
    </cfRule>
    <cfRule type="containsText" dxfId="1118" priority="88" operator="containsText" text="김지윤">
      <formula>NOT(ISERROR(SEARCH("김지윤",H1130)))</formula>
    </cfRule>
    <cfRule type="containsText" dxfId="1117" priority="89" operator="containsText" text="전준영">
      <formula>NOT(ISERROR(SEARCH("전준영",H1130)))</formula>
    </cfRule>
    <cfRule type="containsText" dxfId="1116" priority="90" operator="containsText" text="차재성">
      <formula>NOT(ISERROR(SEARCH("차재성",H1130)))</formula>
    </cfRule>
  </conditionalFormatting>
  <conditionalFormatting sqref="J69:J71">
    <cfRule type="containsText" dxfId="1115" priority="151" operator="containsText" text="허하나로">
      <formula>NOT(ISERROR(SEARCH("허하나로",H1123)))</formula>
    </cfRule>
    <cfRule type="containsText" dxfId="1114" priority="152" operator="containsText" text="한별">
      <formula>NOT(ISERROR(SEARCH("한별",H1123)))</formula>
    </cfRule>
    <cfRule type="containsText" dxfId="1113" priority="153" operator="containsText" text="정홍조">
      <formula>NOT(ISERROR(SEARCH("정홍조",H1123)))</formula>
    </cfRule>
    <cfRule type="containsText" dxfId="1112" priority="154" operator="containsText" text="김지윤">
      <formula>NOT(ISERROR(SEARCH("김지윤",H1123)))</formula>
    </cfRule>
    <cfRule type="containsText" dxfId="1111" priority="155" operator="containsText" text="전준영">
      <formula>NOT(ISERROR(SEARCH("전준영",H1123)))</formula>
    </cfRule>
    <cfRule type="containsText" dxfId="1110" priority="156" operator="containsText" text="차재성">
      <formula>NOT(ISERROR(SEARCH("차재성",H1123)))</formula>
    </cfRule>
  </conditionalFormatting>
  <conditionalFormatting sqref="J59:J62">
    <cfRule type="containsText" dxfId="1109" priority="157" operator="containsText" text="허하나로">
      <formula>NOT(ISERROR(SEARCH("허하나로",H1120)))</formula>
    </cfRule>
    <cfRule type="containsText" dxfId="1108" priority="158" operator="containsText" text="한별">
      <formula>NOT(ISERROR(SEARCH("한별",H1120)))</formula>
    </cfRule>
    <cfRule type="containsText" dxfId="1107" priority="159" operator="containsText" text="정홍조">
      <formula>NOT(ISERROR(SEARCH("정홍조",H1120)))</formula>
    </cfRule>
    <cfRule type="containsText" dxfId="1106" priority="160" operator="containsText" text="김지윤">
      <formula>NOT(ISERROR(SEARCH("김지윤",H1120)))</formula>
    </cfRule>
    <cfRule type="containsText" dxfId="1105" priority="161" operator="containsText" text="전준영">
      <formula>NOT(ISERROR(SEARCH("전준영",H1120)))</formula>
    </cfRule>
    <cfRule type="containsText" dxfId="1104" priority="162" operator="containsText" text="차재성">
      <formula>NOT(ISERROR(SEARCH("차재성",H1120)))</formula>
    </cfRule>
  </conditionalFormatting>
  <conditionalFormatting sqref="J63">
    <cfRule type="containsText" dxfId="1103" priority="79" operator="containsText" text="허하나로">
      <formula>NOT(ISERROR(SEARCH("허하나로",H1118)))</formula>
    </cfRule>
    <cfRule type="containsText" dxfId="1102" priority="80" operator="containsText" text="한별">
      <formula>NOT(ISERROR(SEARCH("한별",H1118)))</formula>
    </cfRule>
    <cfRule type="containsText" dxfId="1101" priority="81" operator="containsText" text="정홍조">
      <formula>NOT(ISERROR(SEARCH("정홍조",H1118)))</formula>
    </cfRule>
    <cfRule type="containsText" dxfId="1100" priority="82" operator="containsText" text="김지윤">
      <formula>NOT(ISERROR(SEARCH("김지윤",H1118)))</formula>
    </cfRule>
    <cfRule type="containsText" dxfId="1099" priority="83" operator="containsText" text="전준영">
      <formula>NOT(ISERROR(SEARCH("전준영",H1118)))</formula>
    </cfRule>
    <cfRule type="containsText" dxfId="1098" priority="84" operator="containsText" text="차재성">
      <formula>NOT(ISERROR(SEARCH("차재성",H1118)))</formula>
    </cfRule>
  </conditionalFormatting>
  <conditionalFormatting sqref="J44">
    <cfRule type="containsText" dxfId="1097" priority="61" operator="containsText" text="허하나로">
      <formula>NOT(ISERROR(SEARCH("허하나로",H1063)))</formula>
    </cfRule>
    <cfRule type="containsText" dxfId="1096" priority="62" operator="containsText" text="한별">
      <formula>NOT(ISERROR(SEARCH("한별",H1063)))</formula>
    </cfRule>
    <cfRule type="containsText" dxfId="1095" priority="63" operator="containsText" text="정홍조">
      <formula>NOT(ISERROR(SEARCH("정홍조",H1063)))</formula>
    </cfRule>
    <cfRule type="containsText" dxfId="1094" priority="64" operator="containsText" text="김지윤">
      <formula>NOT(ISERROR(SEARCH("김지윤",H1063)))</formula>
    </cfRule>
    <cfRule type="containsText" dxfId="1093" priority="65" operator="containsText" text="전준영">
      <formula>NOT(ISERROR(SEARCH("전준영",H1063)))</formula>
    </cfRule>
    <cfRule type="containsText" dxfId="1092" priority="66" operator="containsText" text="차재성">
      <formula>NOT(ISERROR(SEARCH("차재성",H1063)))</formula>
    </cfRule>
  </conditionalFormatting>
  <conditionalFormatting sqref="J45">
    <cfRule type="containsText" dxfId="1091" priority="55" operator="containsText" text="허하나로">
      <formula>NOT(ISERROR(SEARCH("허하나로",H1053)))</formula>
    </cfRule>
    <cfRule type="containsText" dxfId="1090" priority="56" operator="containsText" text="한별">
      <formula>NOT(ISERROR(SEARCH("한별",H1053)))</formula>
    </cfRule>
    <cfRule type="containsText" dxfId="1089" priority="57" operator="containsText" text="정홍조">
      <formula>NOT(ISERROR(SEARCH("정홍조",H1053)))</formula>
    </cfRule>
    <cfRule type="containsText" dxfId="1088" priority="58" operator="containsText" text="김지윤">
      <formula>NOT(ISERROR(SEARCH("김지윤",H1053)))</formula>
    </cfRule>
    <cfRule type="containsText" dxfId="1087" priority="59" operator="containsText" text="전준영">
      <formula>NOT(ISERROR(SEARCH("전준영",H1053)))</formula>
    </cfRule>
    <cfRule type="containsText" dxfId="1086" priority="60" operator="containsText" text="차재성">
      <formula>NOT(ISERROR(SEARCH("차재성",H1053)))</formula>
    </cfRule>
  </conditionalFormatting>
  <conditionalFormatting sqref="J46:J47">
    <cfRule type="containsText" dxfId="1085" priority="3493" operator="containsText" text="허하나로">
      <formula>NOT(ISERROR(SEARCH("허하나로",H1062)))</formula>
    </cfRule>
    <cfRule type="containsText" dxfId="1084" priority="3494" operator="containsText" text="한별">
      <formula>NOT(ISERROR(SEARCH("한별",H1062)))</formula>
    </cfRule>
    <cfRule type="containsText" dxfId="1083" priority="3495" operator="containsText" text="정홍조">
      <formula>NOT(ISERROR(SEARCH("정홍조",H1062)))</formula>
    </cfRule>
    <cfRule type="containsText" dxfId="1082" priority="3496" operator="containsText" text="김지윤">
      <formula>NOT(ISERROR(SEARCH("김지윤",H1062)))</formula>
    </cfRule>
    <cfRule type="containsText" dxfId="1081" priority="3497" operator="containsText" text="전준영">
      <formula>NOT(ISERROR(SEARCH("전준영",H1062)))</formula>
    </cfRule>
    <cfRule type="containsText" dxfId="1080" priority="3498" operator="containsText" text="차재성">
      <formula>NOT(ISERROR(SEARCH("차재성",H1062)))</formula>
    </cfRule>
  </conditionalFormatting>
  <conditionalFormatting sqref="J48">
    <cfRule type="containsText" dxfId="1079" priority="49" operator="containsText" text="허하나로">
      <formula>NOT(ISERROR(SEARCH("허하나로",H1062)))</formula>
    </cfRule>
    <cfRule type="containsText" dxfId="1078" priority="50" operator="containsText" text="한별">
      <formula>NOT(ISERROR(SEARCH("한별",H1062)))</formula>
    </cfRule>
    <cfRule type="containsText" dxfId="1077" priority="51" operator="containsText" text="정홍조">
      <formula>NOT(ISERROR(SEARCH("정홍조",H1062)))</formula>
    </cfRule>
    <cfRule type="containsText" dxfId="1076" priority="52" operator="containsText" text="김지윤">
      <formula>NOT(ISERROR(SEARCH("김지윤",H1062)))</formula>
    </cfRule>
    <cfRule type="containsText" dxfId="1075" priority="53" operator="containsText" text="전준영">
      <formula>NOT(ISERROR(SEARCH("전준영",H1062)))</formula>
    </cfRule>
    <cfRule type="containsText" dxfId="1074" priority="54" operator="containsText" text="차재성">
      <formula>NOT(ISERROR(SEARCH("차재성",H1062)))</formula>
    </cfRule>
  </conditionalFormatting>
  <conditionalFormatting sqref="J2:J3">
    <cfRule type="containsText" dxfId="1073" priority="25" operator="containsText" text="허하나로">
      <formula>NOT(ISERROR(SEARCH("허하나로",H777)))</formula>
    </cfRule>
    <cfRule type="containsText" dxfId="1072" priority="26" operator="containsText" text="한별">
      <formula>NOT(ISERROR(SEARCH("한별",H777)))</formula>
    </cfRule>
    <cfRule type="containsText" dxfId="1071" priority="27" operator="containsText" text="정홍조">
      <formula>NOT(ISERROR(SEARCH("정홍조",H777)))</formula>
    </cfRule>
    <cfRule type="containsText" dxfId="1070" priority="28" operator="containsText" text="김지윤">
      <formula>NOT(ISERROR(SEARCH("김지윤",H777)))</formula>
    </cfRule>
    <cfRule type="containsText" dxfId="1069" priority="29" operator="containsText" text="전준영">
      <formula>NOT(ISERROR(SEARCH("전준영",H777)))</formula>
    </cfRule>
    <cfRule type="containsText" dxfId="1068" priority="30" operator="containsText" text="차재성">
      <formula>NOT(ISERROR(SEARCH("차재성",H777)))</formula>
    </cfRule>
  </conditionalFormatting>
  <conditionalFormatting sqref="J10:J11">
    <cfRule type="containsText" dxfId="1067" priority="13" operator="containsText" text="허하나로">
      <formula>NOT(ISERROR(SEARCH("허하나로",H929)))</formula>
    </cfRule>
    <cfRule type="containsText" dxfId="1066" priority="14" operator="containsText" text="한별">
      <formula>NOT(ISERROR(SEARCH("한별",H929)))</formula>
    </cfRule>
    <cfRule type="containsText" dxfId="1065" priority="15" operator="containsText" text="정홍조">
      <formula>NOT(ISERROR(SEARCH("정홍조",H929)))</formula>
    </cfRule>
    <cfRule type="containsText" dxfId="1064" priority="16" operator="containsText" text="김지윤">
      <formula>NOT(ISERROR(SEARCH("김지윤",H929)))</formula>
    </cfRule>
    <cfRule type="containsText" dxfId="1063" priority="17" operator="containsText" text="전준영">
      <formula>NOT(ISERROR(SEARCH("전준영",H929)))</formula>
    </cfRule>
    <cfRule type="containsText" dxfId="1062" priority="18" operator="containsText" text="차재성">
      <formula>NOT(ISERROR(SEARCH("차재성",H929)))</formula>
    </cfRule>
  </conditionalFormatting>
  <conditionalFormatting sqref="J8:J9">
    <cfRule type="containsText" dxfId="1061" priority="19" operator="containsText" text="허하나로">
      <formula>NOT(ISERROR(SEARCH("허하나로",H927)))</formula>
    </cfRule>
    <cfRule type="containsText" dxfId="1060" priority="20" operator="containsText" text="한별">
      <formula>NOT(ISERROR(SEARCH("한별",H927)))</formula>
    </cfRule>
    <cfRule type="containsText" dxfId="1059" priority="21" operator="containsText" text="정홍조">
      <formula>NOT(ISERROR(SEARCH("정홍조",H927)))</formula>
    </cfRule>
    <cfRule type="containsText" dxfId="1058" priority="22" operator="containsText" text="김지윤">
      <formula>NOT(ISERROR(SEARCH("김지윤",H927)))</formula>
    </cfRule>
    <cfRule type="containsText" dxfId="1057" priority="23" operator="containsText" text="전준영">
      <formula>NOT(ISERROR(SEARCH("전준영",H927)))</formula>
    </cfRule>
    <cfRule type="containsText" dxfId="1056" priority="24" operator="containsText" text="차재성">
      <formula>NOT(ISERROR(SEARCH("차재성",H927)))</formula>
    </cfRule>
  </conditionalFormatting>
  <conditionalFormatting sqref="J36">
    <cfRule type="containsText" dxfId="1055" priority="7" operator="containsText" text="허하나로">
      <formula>NOT(ISERROR(SEARCH("허하나로",H1055)))</formula>
    </cfRule>
    <cfRule type="containsText" dxfId="1054" priority="8" operator="containsText" text="한별">
      <formula>NOT(ISERROR(SEARCH("한별",H1055)))</formula>
    </cfRule>
    <cfRule type="containsText" dxfId="1053" priority="9" operator="containsText" text="정홍조">
      <formula>NOT(ISERROR(SEARCH("정홍조",H1055)))</formula>
    </cfRule>
    <cfRule type="containsText" dxfId="1052" priority="10" operator="containsText" text="김지윤">
      <formula>NOT(ISERROR(SEARCH("김지윤",H1055)))</formula>
    </cfRule>
    <cfRule type="containsText" dxfId="1051" priority="11" operator="containsText" text="전준영">
      <formula>NOT(ISERROR(SEARCH("전준영",H1055)))</formula>
    </cfRule>
    <cfRule type="containsText" dxfId="1050" priority="12" operator="containsText" text="차재성">
      <formula>NOT(ISERROR(SEARCH("차재성",H1055)))</formula>
    </cfRule>
  </conditionalFormatting>
  <conditionalFormatting sqref="J37">
    <cfRule type="containsText" dxfId="1049" priority="1" operator="containsText" text="허하나로">
      <formula>NOT(ISERROR(SEARCH("허하나로",H1056)))</formula>
    </cfRule>
    <cfRule type="containsText" dxfId="1048" priority="2" operator="containsText" text="한별">
      <formula>NOT(ISERROR(SEARCH("한별",H1056)))</formula>
    </cfRule>
    <cfRule type="containsText" dxfId="1047" priority="3" operator="containsText" text="정홍조">
      <formula>NOT(ISERROR(SEARCH("정홍조",H1056)))</formula>
    </cfRule>
    <cfRule type="containsText" dxfId="1046" priority="4" operator="containsText" text="김지윤">
      <formula>NOT(ISERROR(SEARCH("김지윤",H1056)))</formula>
    </cfRule>
    <cfRule type="containsText" dxfId="1045" priority="5" operator="containsText" text="전준영">
      <formula>NOT(ISERROR(SEARCH("전준영",H1056)))</formula>
    </cfRule>
    <cfRule type="containsText" dxfId="1044" priority="6" operator="containsText" text="차재성">
      <formula>NOT(ISERROR(SEARCH("차재성",H1056)))</formula>
    </cfRule>
  </conditionalFormatting>
  <pageMargins left="0.23622047244094491" right="0.23622047244094491" top="0.74803149606299213" bottom="0.74803149606299213" header="0.31496062992125984" footer="0.31496062992125984"/>
  <pageSetup paperSize="9" scale="74" fitToHeight="0" orientation="landscape" useFirstPageNumber="1" r:id="rId1"/>
  <headerFooter alignWithMargins="0">
    <oddHeader xml:space="preserve">&amp;L&amp;"돋움,굵게"
</oddHeader>
  </headerFooter>
  <rowBreaks count="1" manualBreakCount="1">
    <brk id="37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81" operator="containsText" text="허하나로" id="{24FD43E4-20DE-437E-AD59-68C9BC13BAF7}">
            <xm:f>NOT(ISERROR(SEARCH("허하나로",행정관리부!H775)))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82" operator="containsText" text="한별" id="{60F8BA74-FE42-4F1F-B322-10590855B08A}">
            <xm:f>NOT(ISERROR(SEARCH("한별",행정관리부!H775)))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83" operator="containsText" text="정홍조" id="{C6EEC022-9C16-4D2D-953D-977281EE8274}">
            <xm:f>NOT(ISERROR(SEARCH("정홍조",행정관리부!H775)))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84" operator="containsText" text="김지윤" id="{AB358A13-B26B-4E8E-AF46-CDDEDBE21BB2}">
            <xm:f>NOT(ISERROR(SEARCH("김지윤",행정관리부!H775)))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85" operator="containsText" text="전준영" id="{BC518656-669C-4B9D-BDF8-B8CED81A0E35}">
            <xm:f>NOT(ISERROR(SEARCH("전준영",행정관리부!H775)))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6" operator="containsText" text="차재성" id="{34134193-752B-443B-8DD6-E4B873E2D494}">
            <xm:f>NOT(ISERROR(SEARCH("차재성",행정관리부!H775)))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J6:J7</xm:sqref>
        </x14:conditionalFormatting>
        <x14:conditionalFormatting xmlns:xm="http://schemas.microsoft.com/office/excel/2006/main">
          <x14:cfRule type="containsText" priority="187" operator="containsText" text="허하나로" id="{1EB00C52-6782-449F-B675-F5701B702752}">
            <xm:f>NOT(ISERROR(SEARCH("허하나로",행정관리부!H1102)))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88" operator="containsText" text="한별" id="{CF2A2941-03C0-4637-B6CB-F816BB26EA32}">
            <xm:f>NOT(ISERROR(SEARCH("한별",행정관리부!H1102)))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89" operator="containsText" text="정홍조" id="{1DB369BD-79B5-49B0-95DA-7B2207AC2F37}">
            <xm:f>NOT(ISERROR(SEARCH("정홍조",행정관리부!H1102)))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90" operator="containsText" text="김지윤" id="{C2FE386E-0A07-48A5-85CC-48AD572F6029}">
            <xm:f>NOT(ISERROR(SEARCH("김지윤",행정관리부!H1102)))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91" operator="containsText" text="전준영" id="{36CDD458-810E-4539-B8EE-1637B8378362}">
            <xm:f>NOT(ISERROR(SEARCH("전준영",행정관리부!H1102)))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92" operator="containsText" text="차재성" id="{C5D09E41-1AAB-4D47-9969-73F6179D6D7E}">
            <xm:f>NOT(ISERROR(SEARCH("차재성",행정관리부!H1102)))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J14:J18 J20:J24</xm:sqref>
        </x14:conditionalFormatting>
        <x14:conditionalFormatting xmlns:xm="http://schemas.microsoft.com/office/excel/2006/main">
          <x14:cfRule type="containsText" priority="43" operator="containsText" text="허하나로" id="{C8DFF365-DAED-48F2-89EF-BF9FBA637E0A}">
            <xm:f>NOT(ISERROR(SEARCH("허하나로",행정관리부!H1103)))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77A51C8F-45A6-4C9A-A89A-9F148E12E284}">
            <xm:f>NOT(ISERROR(SEARCH("한별",행정관리부!H1103)))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B3E9070C-92EC-4C38-97B0-A19E56B49D7A}">
            <xm:f>NOT(ISERROR(SEARCH("정홍조",행정관리부!H1103)))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925272BA-11B1-47AB-97CC-EEF990D3811B}">
            <xm:f>NOT(ISERROR(SEARCH("김지윤",행정관리부!H1103)))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672FB15A-F652-47AA-B252-7B9563F34B4B}">
            <xm:f>NOT(ISERROR(SEARCH("전준영",행정관리부!H1103)))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15D30090-086C-41E9-BB68-D54731507161}">
            <xm:f>NOT(ISERROR(SEARCH("차재성",행정관리부!H1103)))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J55</xm:sqref>
        </x14:conditionalFormatting>
        <x14:conditionalFormatting xmlns:xm="http://schemas.microsoft.com/office/excel/2006/main">
          <x14:cfRule type="containsText" priority="37" operator="containsText" text="허하나로" id="{E34DF48F-6D6F-42AC-AC0D-B1642F7FC0DB}">
            <xm:f>NOT(ISERROR(SEARCH("허하나로",행정관리부!H1159)))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60EBE7BB-FB13-4A36-AAF5-259BFE896885}">
            <xm:f>NOT(ISERROR(SEARCH("한별",행정관리부!H1159)))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A45C6314-BBF4-4499-99F0-A2373DB51757}">
            <xm:f>NOT(ISERROR(SEARCH("정홍조",행정관리부!H1159)))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BC33EAB8-E47C-4841-A578-76E995917D97}">
            <xm:f>NOT(ISERROR(SEARCH("김지윤",행정관리부!H1159)))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85215C64-2EB0-452B-B013-1F3C1AF3E18F}">
            <xm:f>NOT(ISERROR(SEARCH("전준영",행정관리부!H1159)))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0ABA230F-C9FA-4850-BEA1-30945FD5DABF}">
            <xm:f>NOT(ISERROR(SEARCH("차재성",행정관리부!H1159)))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J53:J54</xm:sqref>
        </x14:conditionalFormatting>
        <x14:conditionalFormatting xmlns:xm="http://schemas.microsoft.com/office/excel/2006/main">
          <x14:cfRule type="containsText" priority="3931" operator="containsText" text="허하나로" id="{1EB00C52-6782-449F-B675-F5701B702752}">
            <xm:f>NOT(ISERROR(SEARCH("허하나로",행정관리부!H1106)))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932" operator="containsText" text="한별" id="{CF2A2941-03C0-4637-B6CB-F816BB26EA32}">
            <xm:f>NOT(ISERROR(SEARCH("한별",행정관리부!H1106)))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33" operator="containsText" text="정홍조" id="{1DB369BD-79B5-49B0-95DA-7B2207AC2F37}">
            <xm:f>NOT(ISERROR(SEARCH("정홍조",행정관리부!H1106)))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934" operator="containsText" text="김지윤" id="{C2FE386E-0A07-48A5-85CC-48AD572F6029}">
            <xm:f>NOT(ISERROR(SEARCH("김지윤",행정관리부!H1106)))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935" operator="containsText" text="전준영" id="{36CDD458-810E-4539-B8EE-1637B8378362}">
            <xm:f>NOT(ISERROR(SEARCH("전준영",행정관리부!H1106)))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936" operator="containsText" text="차재성" id="{C5D09E41-1AAB-4D47-9969-73F6179D6D7E}">
            <xm:f>NOT(ISERROR(SEARCH("차재성",행정관리부!H1106)))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AY232"/>
  <sheetViews>
    <sheetView zoomScale="85" zoomScaleNormal="85" workbookViewId="0">
      <selection activeCell="H62" sqref="H62"/>
    </sheetView>
  </sheetViews>
  <sheetFormatPr defaultRowHeight="13.5"/>
  <cols>
    <col min="1" max="6" width="3.875" style="24" customWidth="1"/>
    <col min="7" max="7" width="32.625" style="24" customWidth="1"/>
    <col min="8" max="8" width="14.625" style="80" customWidth="1"/>
    <col min="9" max="9" width="17.125" style="80" customWidth="1"/>
    <col min="10" max="10" width="14.625" style="26" customWidth="1"/>
    <col min="11" max="11" width="55.875" style="21" customWidth="1"/>
    <col min="12" max="12" width="3.875" style="22" customWidth="1"/>
    <col min="13" max="13" width="14.625" style="25" customWidth="1"/>
    <col min="14" max="14" width="57.125" style="23" hidden="1" customWidth="1"/>
    <col min="15" max="15" width="14" style="34" hidden="1" customWidth="1"/>
    <col min="16" max="16" width="16" style="35" hidden="1" customWidth="1"/>
    <col min="17" max="17" width="10" style="35" hidden="1" customWidth="1"/>
    <col min="18" max="18" width="12.75" style="35" hidden="1" customWidth="1"/>
    <col min="19" max="19" width="12.5" style="35" hidden="1" customWidth="1"/>
    <col min="20" max="20" width="11.75" style="35" hidden="1" customWidth="1"/>
    <col min="21" max="21" width="10" style="35" hidden="1" customWidth="1"/>
    <col min="22" max="24" width="9" style="35" hidden="1" customWidth="1"/>
    <col min="25" max="29" width="9" style="34" hidden="1" customWidth="1"/>
    <col min="30" max="16384" width="9" style="34"/>
  </cols>
  <sheetData>
    <row r="1" spans="1:29" ht="17.25" customHeight="1" thickBot="1">
      <c r="A1" s="91" t="s">
        <v>179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29" s="1" customFormat="1" ht="18" customHeight="1">
      <c r="A2" s="585" t="s">
        <v>21</v>
      </c>
      <c r="B2" s="587" t="s">
        <v>22</v>
      </c>
      <c r="C2" s="588"/>
      <c r="D2" s="589"/>
      <c r="E2" s="587" t="s">
        <v>23</v>
      </c>
      <c r="F2" s="588"/>
      <c r="G2" s="589"/>
      <c r="H2" s="565" t="s">
        <v>666</v>
      </c>
      <c r="I2" s="565" t="s">
        <v>731</v>
      </c>
      <c r="J2" s="590" t="s">
        <v>668</v>
      </c>
      <c r="K2" s="576" t="s">
        <v>1</v>
      </c>
      <c r="L2" s="577"/>
      <c r="M2" s="578"/>
      <c r="N2" s="13"/>
      <c r="O2" s="4"/>
      <c r="P2" s="8"/>
      <c r="Q2" s="4"/>
      <c r="R2" s="4"/>
      <c r="S2" s="4"/>
      <c r="T2" s="5"/>
      <c r="U2" s="3"/>
    </row>
    <row r="3" spans="1:29" s="1" customFormat="1" ht="18" customHeight="1" thickBot="1">
      <c r="A3" s="586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566"/>
      <c r="I3" s="566"/>
      <c r="J3" s="591"/>
      <c r="K3" s="579"/>
      <c r="L3" s="580"/>
      <c r="M3" s="581"/>
      <c r="N3" s="13"/>
      <c r="O3" s="4"/>
      <c r="P3" s="8"/>
      <c r="Q3" s="4"/>
      <c r="R3" s="4"/>
      <c r="S3" s="4"/>
      <c r="T3" s="5"/>
      <c r="U3" s="3"/>
    </row>
    <row r="4" spans="1:29" s="63" customFormat="1" ht="18" customHeight="1" thickBot="1">
      <c r="A4" s="582" t="s">
        <v>30</v>
      </c>
      <c r="B4" s="583"/>
      <c r="C4" s="583"/>
      <c r="D4" s="583"/>
      <c r="E4" s="583"/>
      <c r="F4" s="583"/>
      <c r="G4" s="584"/>
      <c r="H4" s="188">
        <f>H5</f>
        <v>119956</v>
      </c>
      <c r="I4" s="188">
        <v>91166</v>
      </c>
      <c r="J4" s="123">
        <f>H4-I4</f>
        <v>28790</v>
      </c>
      <c r="K4" s="92"/>
      <c r="L4" s="93"/>
      <c r="M4" s="124"/>
      <c r="N4" s="68"/>
      <c r="O4" s="17"/>
      <c r="P4" s="18"/>
      <c r="Q4" s="19"/>
      <c r="R4" s="20"/>
      <c r="S4" s="20"/>
      <c r="T4" s="64"/>
      <c r="X4" s="64"/>
      <c r="Y4" s="64"/>
      <c r="Z4" s="64"/>
      <c r="AA4" s="64"/>
      <c r="AB4" s="64"/>
    </row>
    <row r="5" spans="1:29" s="1" customFormat="1" ht="18" customHeight="1">
      <c r="A5" s="210" t="s">
        <v>2</v>
      </c>
      <c r="B5" s="125"/>
      <c r="C5" s="126"/>
      <c r="D5" s="126"/>
      <c r="E5" s="126"/>
      <c r="F5" s="126"/>
      <c r="G5" s="127"/>
      <c r="H5" s="97">
        <f>H6</f>
        <v>119956</v>
      </c>
      <c r="I5" s="97">
        <v>91166</v>
      </c>
      <c r="J5" s="98">
        <f>H5-I5</f>
        <v>28790</v>
      </c>
      <c r="K5" s="81"/>
      <c r="L5" s="82"/>
      <c r="M5" s="83"/>
      <c r="N5" s="128"/>
      <c r="O5" s="2"/>
      <c r="P5" s="11"/>
      <c r="Q5" s="129"/>
      <c r="R5" s="129"/>
      <c r="S5" s="129"/>
      <c r="T5" s="130"/>
      <c r="U5" s="131"/>
    </row>
    <row r="6" spans="1:29" s="1" customFormat="1" ht="18" customHeight="1">
      <c r="A6" s="10"/>
      <c r="B6" s="132" t="s">
        <v>262</v>
      </c>
      <c r="C6" s="132"/>
      <c r="D6" s="133"/>
      <c r="E6" s="133"/>
      <c r="F6" s="133"/>
      <c r="G6" s="134"/>
      <c r="H6" s="97">
        <f>SUM(H7,H52)</f>
        <v>119956</v>
      </c>
      <c r="I6" s="97">
        <v>91166</v>
      </c>
      <c r="J6" s="98">
        <f>H6-I6</f>
        <v>28790</v>
      </c>
      <c r="K6" s="81"/>
      <c r="L6" s="82"/>
      <c r="M6" s="83"/>
      <c r="N6" s="128"/>
      <c r="O6" s="2"/>
      <c r="P6" s="11"/>
      <c r="Q6" s="129"/>
      <c r="R6" s="129"/>
      <c r="S6" s="129"/>
      <c r="T6" s="130"/>
      <c r="U6" s="131"/>
    </row>
    <row r="7" spans="1:29" s="1" customFormat="1" ht="18" customHeight="1">
      <c r="A7" s="10"/>
      <c r="B7" s="6"/>
      <c r="C7" s="132" t="s">
        <v>262</v>
      </c>
      <c r="D7" s="133"/>
      <c r="E7" s="133"/>
      <c r="F7" s="133"/>
      <c r="G7" s="134"/>
      <c r="H7" s="97">
        <f>SUM(H8,H18,H24,H34,H42)</f>
        <v>87640</v>
      </c>
      <c r="I7" s="97">
        <v>58850</v>
      </c>
      <c r="J7" s="98">
        <f t="shared" ref="J7:J11" si="0">H7-I7</f>
        <v>28790</v>
      </c>
      <c r="K7" s="81"/>
      <c r="L7" s="82"/>
      <c r="M7" s="83"/>
      <c r="N7" s="594"/>
      <c r="O7" s="594"/>
      <c r="P7" s="594"/>
      <c r="Q7" s="594"/>
      <c r="R7" s="594"/>
      <c r="S7" s="594"/>
      <c r="T7" s="594"/>
      <c r="U7" s="594"/>
    </row>
    <row r="8" spans="1:29" s="1" customFormat="1" ht="18" customHeight="1">
      <c r="A8" s="10"/>
      <c r="B8" s="6"/>
      <c r="C8" s="7"/>
      <c r="D8" s="132" t="s">
        <v>586</v>
      </c>
      <c r="E8" s="133"/>
      <c r="F8" s="133"/>
      <c r="G8" s="134"/>
      <c r="H8" s="135">
        <f>H9</f>
        <v>14450</v>
      </c>
      <c r="I8" s="135">
        <v>14450</v>
      </c>
      <c r="J8" s="98">
        <f t="shared" si="0"/>
        <v>0</v>
      </c>
      <c r="K8" s="84"/>
      <c r="L8" s="136"/>
      <c r="M8" s="83"/>
      <c r="N8" s="128"/>
      <c r="O8" s="2"/>
      <c r="P8" s="11"/>
      <c r="Q8" s="129"/>
      <c r="R8" s="129"/>
      <c r="S8" s="129"/>
      <c r="T8" s="130"/>
      <c r="U8" s="131"/>
    </row>
    <row r="9" spans="1:29" s="1" customFormat="1" ht="18" customHeight="1">
      <c r="A9" s="10"/>
      <c r="B9" s="6"/>
      <c r="C9" s="137"/>
      <c r="D9" s="138"/>
      <c r="E9" s="132" t="s">
        <v>33</v>
      </c>
      <c r="F9" s="133"/>
      <c r="G9" s="134"/>
      <c r="H9" s="94">
        <f>H10</f>
        <v>14450</v>
      </c>
      <c r="I9" s="94">
        <v>14450</v>
      </c>
      <c r="J9" s="98">
        <f t="shared" si="0"/>
        <v>0</v>
      </c>
      <c r="K9" s="87"/>
      <c r="L9" s="96"/>
      <c r="M9" s="85"/>
      <c r="N9" s="128"/>
      <c r="O9" s="2"/>
      <c r="P9" s="11"/>
      <c r="Q9" s="129"/>
      <c r="R9" s="129"/>
      <c r="S9" s="129"/>
      <c r="T9" s="12"/>
      <c r="U9" s="131"/>
    </row>
    <row r="10" spans="1:29" s="63" customFormat="1" ht="18" customHeight="1">
      <c r="A10" s="65"/>
      <c r="B10" s="67"/>
      <c r="C10" s="189"/>
      <c r="D10" s="190"/>
      <c r="E10" s="191"/>
      <c r="F10" s="139" t="s">
        <v>583</v>
      </c>
      <c r="G10" s="192"/>
      <c r="H10" s="74">
        <f>H11+H16</f>
        <v>14450</v>
      </c>
      <c r="I10" s="74">
        <v>14450</v>
      </c>
      <c r="J10" s="74">
        <f t="shared" si="0"/>
        <v>0</v>
      </c>
      <c r="K10" s="53"/>
      <c r="L10" s="54"/>
      <c r="M10" s="40"/>
      <c r="N10" s="531"/>
    </row>
    <row r="11" spans="1:29" s="63" customFormat="1" ht="18" customHeight="1">
      <c r="A11" s="65"/>
      <c r="B11" s="67"/>
      <c r="C11" s="67"/>
      <c r="D11" s="148"/>
      <c r="E11" s="193"/>
      <c r="F11" s="193"/>
      <c r="G11" s="141" t="s">
        <v>587</v>
      </c>
      <c r="H11" s="75">
        <f>M11</f>
        <v>10450</v>
      </c>
      <c r="I11" s="75">
        <v>10450</v>
      </c>
      <c r="J11" s="75">
        <f t="shared" si="0"/>
        <v>0</v>
      </c>
      <c r="K11" s="36" t="s">
        <v>48</v>
      </c>
      <c r="L11" s="44"/>
      <c r="M11" s="229">
        <f>SUM(M12:M15)</f>
        <v>10450</v>
      </c>
      <c r="N11" s="532"/>
      <c r="O11" s="47"/>
    </row>
    <row r="12" spans="1:29" s="63" customFormat="1" ht="18" customHeight="1">
      <c r="A12" s="65"/>
      <c r="B12" s="67"/>
      <c r="C12" s="67"/>
      <c r="D12" s="148"/>
      <c r="E12" s="193"/>
      <c r="F12" s="193"/>
      <c r="G12" s="70"/>
      <c r="H12" s="76"/>
      <c r="I12" s="76"/>
      <c r="J12" s="76"/>
      <c r="K12" s="224" t="s">
        <v>589</v>
      </c>
      <c r="L12" s="45" t="s">
        <v>588</v>
      </c>
      <c r="M12" s="194">
        <v>5000</v>
      </c>
      <c r="N12" s="531"/>
      <c r="O12" s="47"/>
    </row>
    <row r="13" spans="1:29" s="63" customFormat="1" ht="18" customHeight="1">
      <c r="A13" s="65"/>
      <c r="B13" s="67"/>
      <c r="C13" s="67"/>
      <c r="D13" s="148"/>
      <c r="E13" s="193"/>
      <c r="F13" s="193"/>
      <c r="G13" s="70"/>
      <c r="H13" s="76"/>
      <c r="I13" s="76"/>
      <c r="J13" s="76"/>
      <c r="K13" s="224" t="s">
        <v>590</v>
      </c>
      <c r="L13" s="45" t="s">
        <v>588</v>
      </c>
      <c r="M13" s="370">
        <v>1750</v>
      </c>
      <c r="N13" s="531"/>
      <c r="O13" s="47"/>
    </row>
    <row r="14" spans="1:29" s="63" customFormat="1" ht="18" customHeight="1">
      <c r="A14" s="65"/>
      <c r="B14" s="67"/>
      <c r="C14" s="67"/>
      <c r="D14" s="148"/>
      <c r="E14" s="193"/>
      <c r="F14" s="193"/>
      <c r="G14" s="70"/>
      <c r="H14" s="76"/>
      <c r="I14" s="76"/>
      <c r="J14" s="76"/>
      <c r="K14" s="224" t="s">
        <v>614</v>
      </c>
      <c r="L14" s="45" t="s">
        <v>208</v>
      </c>
      <c r="M14" s="370">
        <v>700</v>
      </c>
      <c r="N14" s="531"/>
      <c r="O14" s="47"/>
    </row>
    <row r="15" spans="1:29" s="63" customFormat="1" ht="18" customHeight="1">
      <c r="A15" s="65"/>
      <c r="B15" s="67"/>
      <c r="C15" s="67"/>
      <c r="D15" s="148"/>
      <c r="E15" s="148"/>
      <c r="F15" s="193"/>
      <c r="G15" s="70"/>
      <c r="H15" s="76"/>
      <c r="I15" s="76"/>
      <c r="J15" s="48"/>
      <c r="K15" s="224" t="s">
        <v>591</v>
      </c>
      <c r="L15" s="145" t="s">
        <v>0</v>
      </c>
      <c r="M15" s="246">
        <v>3000</v>
      </c>
      <c r="N15" s="533" t="s">
        <v>16</v>
      </c>
      <c r="O15" s="47"/>
      <c r="P15" s="46"/>
    </row>
    <row r="16" spans="1:29" s="63" customFormat="1" ht="18" customHeight="1">
      <c r="A16" s="65"/>
      <c r="B16" s="67"/>
      <c r="C16" s="67"/>
      <c r="D16" s="148"/>
      <c r="E16" s="193"/>
      <c r="F16" s="193"/>
      <c r="G16" s="141" t="s">
        <v>46</v>
      </c>
      <c r="H16" s="75">
        <f>M16</f>
        <v>4000</v>
      </c>
      <c r="I16" s="75">
        <v>4000</v>
      </c>
      <c r="J16" s="75">
        <f t="shared" ref="J16" si="1">H16-I16</f>
        <v>0</v>
      </c>
      <c r="K16" s="36" t="s">
        <v>592</v>
      </c>
      <c r="L16" s="44"/>
      <c r="M16" s="229">
        <f>SUM(M17:M17)</f>
        <v>4000</v>
      </c>
      <c r="N16" s="532"/>
      <c r="O16" s="47"/>
    </row>
    <row r="17" spans="1:21" s="63" customFormat="1" ht="18" customHeight="1">
      <c r="A17" s="65"/>
      <c r="B17" s="67"/>
      <c r="C17" s="67"/>
      <c r="D17" s="148"/>
      <c r="E17" s="148"/>
      <c r="F17" s="193"/>
      <c r="G17" s="70"/>
      <c r="H17" s="76"/>
      <c r="I17" s="76"/>
      <c r="J17" s="76"/>
      <c r="K17" s="224" t="s">
        <v>602</v>
      </c>
      <c r="L17" s="45" t="s">
        <v>588</v>
      </c>
      <c r="M17" s="194">
        <v>4000</v>
      </c>
      <c r="N17" s="531"/>
      <c r="O17" s="47"/>
    </row>
    <row r="18" spans="1:21" s="1" customFormat="1" ht="18" customHeight="1">
      <c r="A18" s="10"/>
      <c r="B18" s="6"/>
      <c r="C18" s="150"/>
      <c r="D18" s="132" t="s">
        <v>594</v>
      </c>
      <c r="E18" s="133"/>
      <c r="F18" s="133"/>
      <c r="G18" s="134"/>
      <c r="H18" s="135">
        <f>SUM(H19)</f>
        <v>7000</v>
      </c>
      <c r="I18" s="135">
        <v>7000</v>
      </c>
      <c r="J18" s="95">
        <f t="shared" ref="J18:J21" si="2">H18-I18</f>
        <v>0</v>
      </c>
      <c r="K18" s="151"/>
      <c r="L18" s="152"/>
      <c r="M18" s="153"/>
      <c r="N18" s="128"/>
      <c r="O18" s="2"/>
      <c r="P18" s="11"/>
      <c r="Q18" s="129"/>
      <c r="R18" s="129"/>
      <c r="S18" s="129"/>
      <c r="T18" s="130"/>
      <c r="U18" s="131"/>
    </row>
    <row r="19" spans="1:21" s="1" customFormat="1" ht="18" customHeight="1">
      <c r="A19" s="10"/>
      <c r="B19" s="6"/>
      <c r="C19" s="137"/>
      <c r="D19" s="138"/>
      <c r="E19" s="132" t="s">
        <v>31</v>
      </c>
      <c r="F19" s="133"/>
      <c r="G19" s="134"/>
      <c r="H19" s="94">
        <f>H20</f>
        <v>7000</v>
      </c>
      <c r="I19" s="94">
        <v>7000</v>
      </c>
      <c r="J19" s="98">
        <f t="shared" si="2"/>
        <v>0</v>
      </c>
      <c r="K19" s="87"/>
      <c r="L19" s="96"/>
      <c r="M19" s="85"/>
      <c r="N19" s="128"/>
      <c r="O19" s="2"/>
      <c r="P19" s="11"/>
      <c r="Q19" s="129"/>
      <c r="R19" s="129"/>
      <c r="S19" s="129"/>
      <c r="T19" s="12"/>
      <c r="U19" s="131"/>
    </row>
    <row r="20" spans="1:21" s="63" customFormat="1" ht="18" customHeight="1">
      <c r="A20" s="65"/>
      <c r="B20" s="67"/>
      <c r="C20" s="189"/>
      <c r="D20" s="190"/>
      <c r="E20" s="191"/>
      <c r="F20" s="139" t="s">
        <v>583</v>
      </c>
      <c r="G20" s="192"/>
      <c r="H20" s="74">
        <f>H21</f>
        <v>7000</v>
      </c>
      <c r="I20" s="74">
        <v>7000</v>
      </c>
      <c r="J20" s="74">
        <f t="shared" si="2"/>
        <v>0</v>
      </c>
      <c r="K20" s="53"/>
      <c r="L20" s="54"/>
      <c r="M20" s="40"/>
      <c r="N20" s="531"/>
    </row>
    <row r="21" spans="1:21" s="63" customFormat="1" ht="18" customHeight="1">
      <c r="A21" s="65"/>
      <c r="B21" s="67"/>
      <c r="C21" s="67"/>
      <c r="D21" s="148"/>
      <c r="E21" s="193"/>
      <c r="F21" s="193"/>
      <c r="G21" s="141" t="s">
        <v>587</v>
      </c>
      <c r="H21" s="75">
        <f>M21</f>
        <v>7000</v>
      </c>
      <c r="I21" s="75">
        <v>7000</v>
      </c>
      <c r="J21" s="75">
        <f t="shared" si="2"/>
        <v>0</v>
      </c>
      <c r="K21" s="36" t="s">
        <v>48</v>
      </c>
      <c r="L21" s="44"/>
      <c r="M21" s="229">
        <f>SUM(M22:M23)</f>
        <v>7000</v>
      </c>
      <c r="N21" s="532"/>
      <c r="O21" s="47"/>
    </row>
    <row r="22" spans="1:21" s="63" customFormat="1" ht="18" customHeight="1">
      <c r="A22" s="65"/>
      <c r="B22" s="67"/>
      <c r="C22" s="67"/>
      <c r="D22" s="148"/>
      <c r="E22" s="193"/>
      <c r="F22" s="193"/>
      <c r="G22" s="70"/>
      <c r="H22" s="76"/>
      <c r="I22" s="76"/>
      <c r="J22" s="76"/>
      <c r="K22" s="224" t="s">
        <v>603</v>
      </c>
      <c r="L22" s="45" t="s">
        <v>588</v>
      </c>
      <c r="M22" s="194">
        <v>3000</v>
      </c>
      <c r="N22" s="531"/>
      <c r="O22" s="47"/>
    </row>
    <row r="23" spans="1:21" s="63" customFormat="1" ht="18" customHeight="1">
      <c r="A23" s="65"/>
      <c r="B23" s="67"/>
      <c r="C23" s="67"/>
      <c r="D23" s="148"/>
      <c r="E23" s="193"/>
      <c r="F23" s="193"/>
      <c r="G23" s="70"/>
      <c r="H23" s="76"/>
      <c r="I23" s="76"/>
      <c r="J23" s="76"/>
      <c r="K23" s="226" t="s">
        <v>595</v>
      </c>
      <c r="L23" s="145" t="s">
        <v>588</v>
      </c>
      <c r="M23" s="246">
        <v>4000</v>
      </c>
      <c r="N23" s="531"/>
      <c r="O23" s="47"/>
    </row>
    <row r="24" spans="1:21" s="1" customFormat="1" ht="18" customHeight="1">
      <c r="A24" s="10"/>
      <c r="B24" s="6"/>
      <c r="C24" s="150"/>
      <c r="D24" s="132" t="s">
        <v>596</v>
      </c>
      <c r="E24" s="133"/>
      <c r="F24" s="133"/>
      <c r="G24" s="134"/>
      <c r="H24" s="135">
        <f>SUM(H25,H30)</f>
        <v>32400</v>
      </c>
      <c r="I24" s="135">
        <v>32400</v>
      </c>
      <c r="J24" s="95">
        <f t="shared" ref="J24:J27" si="3">H24-I24</f>
        <v>0</v>
      </c>
      <c r="K24" s="84"/>
      <c r="L24" s="136"/>
      <c r="M24" s="83"/>
      <c r="N24" s="128"/>
      <c r="O24" s="2"/>
      <c r="P24" s="11"/>
      <c r="Q24" s="129"/>
      <c r="R24" s="129"/>
      <c r="S24" s="129"/>
      <c r="T24" s="130"/>
      <c r="U24" s="131"/>
    </row>
    <row r="25" spans="1:21" s="1" customFormat="1" ht="18" customHeight="1">
      <c r="A25" s="10"/>
      <c r="B25" s="6"/>
      <c r="C25" s="137"/>
      <c r="D25" s="138"/>
      <c r="E25" s="132" t="s">
        <v>31</v>
      </c>
      <c r="F25" s="133"/>
      <c r="G25" s="134"/>
      <c r="H25" s="94">
        <f>H26</f>
        <v>22400</v>
      </c>
      <c r="I25" s="94">
        <v>22400</v>
      </c>
      <c r="J25" s="98">
        <f t="shared" si="3"/>
        <v>0</v>
      </c>
      <c r="K25" s="87"/>
      <c r="L25" s="96"/>
      <c r="M25" s="85"/>
      <c r="N25" s="128"/>
      <c r="O25" s="2"/>
      <c r="P25" s="11"/>
      <c r="Q25" s="129"/>
      <c r="R25" s="129"/>
      <c r="S25" s="129"/>
      <c r="T25" s="12"/>
      <c r="U25" s="131"/>
    </row>
    <row r="26" spans="1:21" s="63" customFormat="1" ht="18" customHeight="1">
      <c r="A26" s="65"/>
      <c r="B26" s="67"/>
      <c r="C26" s="189"/>
      <c r="D26" s="190"/>
      <c r="E26" s="191"/>
      <c r="F26" s="139" t="s">
        <v>583</v>
      </c>
      <c r="G26" s="192"/>
      <c r="H26" s="74">
        <f>H27</f>
        <v>22400</v>
      </c>
      <c r="I26" s="74">
        <v>22400</v>
      </c>
      <c r="J26" s="74">
        <f t="shared" si="3"/>
        <v>0</v>
      </c>
      <c r="K26" s="53"/>
      <c r="L26" s="54"/>
      <c r="M26" s="40"/>
      <c r="N26" s="531"/>
    </row>
    <row r="27" spans="1:21" s="63" customFormat="1" ht="18" customHeight="1">
      <c r="A27" s="65"/>
      <c r="B27" s="67"/>
      <c r="C27" s="67"/>
      <c r="D27" s="148"/>
      <c r="E27" s="193"/>
      <c r="F27" s="193"/>
      <c r="G27" s="141" t="s">
        <v>587</v>
      </c>
      <c r="H27" s="75">
        <f>M27</f>
        <v>22400</v>
      </c>
      <c r="I27" s="75">
        <v>22400</v>
      </c>
      <c r="J27" s="75">
        <f t="shared" si="3"/>
        <v>0</v>
      </c>
      <c r="K27" s="36" t="s">
        <v>48</v>
      </c>
      <c r="L27" s="44"/>
      <c r="M27" s="229">
        <f>SUM(M28:M29)</f>
        <v>22400</v>
      </c>
      <c r="N27" s="532"/>
      <c r="O27" s="47"/>
    </row>
    <row r="28" spans="1:21" s="63" customFormat="1" ht="18" customHeight="1">
      <c r="A28" s="65"/>
      <c r="B28" s="67"/>
      <c r="C28" s="67"/>
      <c r="D28" s="148"/>
      <c r="E28" s="193"/>
      <c r="F28" s="193"/>
      <c r="G28" s="70"/>
      <c r="H28" s="76"/>
      <c r="I28" s="76"/>
      <c r="J28" s="76"/>
      <c r="K28" s="224" t="s">
        <v>597</v>
      </c>
      <c r="L28" s="45" t="s">
        <v>588</v>
      </c>
      <c r="M28" s="194">
        <v>20000</v>
      </c>
      <c r="N28" s="531"/>
      <c r="O28" s="47"/>
    </row>
    <row r="29" spans="1:21" s="63" customFormat="1" ht="18" customHeight="1">
      <c r="A29" s="65"/>
      <c r="B29" s="67"/>
      <c r="C29" s="67"/>
      <c r="D29" s="148"/>
      <c r="E29" s="193"/>
      <c r="F29" s="193"/>
      <c r="G29" s="70"/>
      <c r="H29" s="76"/>
      <c r="I29" s="76"/>
      <c r="J29" s="76"/>
      <c r="K29" s="224" t="s">
        <v>598</v>
      </c>
      <c r="L29" s="45" t="s">
        <v>588</v>
      </c>
      <c r="M29" s="370">
        <v>2400</v>
      </c>
      <c r="N29" s="531"/>
      <c r="O29" s="47"/>
    </row>
    <row r="30" spans="1:21" s="1" customFormat="1" ht="18" customHeight="1">
      <c r="A30" s="10"/>
      <c r="B30" s="6"/>
      <c r="C30" s="137"/>
      <c r="D30" s="265"/>
      <c r="E30" s="132" t="s">
        <v>60</v>
      </c>
      <c r="F30" s="133"/>
      <c r="G30" s="134"/>
      <c r="H30" s="94">
        <f>H31</f>
        <v>10000</v>
      </c>
      <c r="I30" s="94">
        <v>10000</v>
      </c>
      <c r="J30" s="95">
        <f t="shared" ref="J30:J32" si="4">H30-I30</f>
        <v>0</v>
      </c>
      <c r="K30" s="87"/>
      <c r="L30" s="96"/>
      <c r="M30" s="85"/>
      <c r="N30" s="128"/>
      <c r="O30" s="2"/>
      <c r="P30" s="11"/>
      <c r="Q30" s="129"/>
      <c r="R30" s="129"/>
      <c r="S30" s="129"/>
      <c r="T30" s="12"/>
      <c r="U30" s="131"/>
    </row>
    <row r="31" spans="1:21" s="63" customFormat="1" ht="18" customHeight="1">
      <c r="A31" s="65"/>
      <c r="B31" s="67"/>
      <c r="C31" s="189"/>
      <c r="D31" s="190"/>
      <c r="E31" s="191"/>
      <c r="F31" s="139" t="s">
        <v>61</v>
      </c>
      <c r="G31" s="192"/>
      <c r="H31" s="74">
        <f>H32</f>
        <v>10000</v>
      </c>
      <c r="I31" s="74">
        <v>10000</v>
      </c>
      <c r="J31" s="74">
        <f t="shared" si="4"/>
        <v>0</v>
      </c>
      <c r="K31" s="53"/>
      <c r="L31" s="54"/>
      <c r="M31" s="40"/>
      <c r="N31" s="531"/>
    </row>
    <row r="32" spans="1:21" s="63" customFormat="1" ht="18" customHeight="1">
      <c r="A32" s="65"/>
      <c r="B32" s="67"/>
      <c r="C32" s="67"/>
      <c r="D32" s="148"/>
      <c r="E32" s="193"/>
      <c r="F32" s="193"/>
      <c r="G32" s="141" t="s">
        <v>599</v>
      </c>
      <c r="H32" s="75">
        <f>M32</f>
        <v>10000</v>
      </c>
      <c r="I32" s="75">
        <v>10000</v>
      </c>
      <c r="J32" s="75">
        <f t="shared" si="4"/>
        <v>0</v>
      </c>
      <c r="K32" s="472" t="s">
        <v>600</v>
      </c>
      <c r="L32" s="473"/>
      <c r="M32" s="474">
        <f>M33</f>
        <v>10000</v>
      </c>
      <c r="N32" s="532"/>
      <c r="O32" s="47"/>
    </row>
    <row r="33" spans="1:21" s="63" customFormat="1" ht="18" customHeight="1">
      <c r="A33" s="65"/>
      <c r="B33" s="67"/>
      <c r="C33" s="67"/>
      <c r="D33" s="148"/>
      <c r="E33" s="193"/>
      <c r="F33" s="193"/>
      <c r="G33" s="70"/>
      <c r="H33" s="76"/>
      <c r="I33" s="76"/>
      <c r="J33" s="76"/>
      <c r="K33" s="468" t="s">
        <v>601</v>
      </c>
      <c r="L33" s="459" t="s">
        <v>588</v>
      </c>
      <c r="M33" s="446">
        <v>10000</v>
      </c>
      <c r="N33" s="531"/>
      <c r="O33" s="47"/>
    </row>
    <row r="34" spans="1:21" s="1" customFormat="1" ht="18" customHeight="1">
      <c r="A34" s="10"/>
      <c r="B34" s="6"/>
      <c r="C34" s="150"/>
      <c r="D34" s="132" t="s">
        <v>681</v>
      </c>
      <c r="E34" s="133"/>
      <c r="F34" s="133"/>
      <c r="G34" s="134"/>
      <c r="H34" s="135">
        <f>SUM(H35)</f>
        <v>27540</v>
      </c>
      <c r="I34" s="135">
        <v>5000</v>
      </c>
      <c r="J34" s="95">
        <f t="shared" ref="J34:J37" si="5">H34-I34</f>
        <v>22540</v>
      </c>
      <c r="K34" s="475"/>
      <c r="L34" s="476"/>
      <c r="M34" s="483"/>
      <c r="N34" s="128"/>
      <c r="O34" s="2"/>
      <c r="P34" s="11"/>
      <c r="Q34" s="129"/>
      <c r="R34" s="129"/>
      <c r="S34" s="129"/>
      <c r="T34" s="130"/>
      <c r="U34" s="131"/>
    </row>
    <row r="35" spans="1:21" s="1" customFormat="1" ht="18" customHeight="1">
      <c r="A35" s="10"/>
      <c r="B35" s="6"/>
      <c r="C35" s="137"/>
      <c r="D35" s="138"/>
      <c r="E35" s="132" t="s">
        <v>31</v>
      </c>
      <c r="F35" s="133"/>
      <c r="G35" s="134"/>
      <c r="H35" s="94">
        <f>H36</f>
        <v>27540</v>
      </c>
      <c r="I35" s="94">
        <v>5000</v>
      </c>
      <c r="J35" s="98">
        <f t="shared" si="5"/>
        <v>22540</v>
      </c>
      <c r="K35" s="396"/>
      <c r="L35" s="477"/>
      <c r="M35" s="478"/>
      <c r="N35" s="128"/>
      <c r="O35" s="2"/>
      <c r="P35" s="11"/>
      <c r="Q35" s="129"/>
      <c r="R35" s="129"/>
      <c r="S35" s="129"/>
      <c r="T35" s="12"/>
      <c r="U35" s="131"/>
    </row>
    <row r="36" spans="1:21" s="63" customFormat="1" ht="18" customHeight="1">
      <c r="A36" s="65"/>
      <c r="B36" s="67"/>
      <c r="C36" s="189"/>
      <c r="D36" s="190"/>
      <c r="E36" s="191"/>
      <c r="F36" s="139" t="s">
        <v>229</v>
      </c>
      <c r="G36" s="192"/>
      <c r="H36" s="74">
        <f>H37</f>
        <v>27540</v>
      </c>
      <c r="I36" s="74">
        <v>5000</v>
      </c>
      <c r="J36" s="74">
        <f t="shared" si="5"/>
        <v>22540</v>
      </c>
      <c r="K36" s="479"/>
      <c r="L36" s="397"/>
      <c r="M36" s="480"/>
      <c r="N36" s="531"/>
    </row>
    <row r="37" spans="1:21" s="63" customFormat="1" ht="18" customHeight="1">
      <c r="A37" s="65"/>
      <c r="B37" s="67"/>
      <c r="C37" s="67"/>
      <c r="D37" s="148"/>
      <c r="E37" s="193"/>
      <c r="F37" s="193"/>
      <c r="G37" s="141" t="s">
        <v>230</v>
      </c>
      <c r="H37" s="449">
        <f>M37</f>
        <v>27540</v>
      </c>
      <c r="I37" s="75">
        <v>5000</v>
      </c>
      <c r="J37" s="449">
        <f t="shared" si="5"/>
        <v>22540</v>
      </c>
      <c r="K37" s="472" t="s">
        <v>48</v>
      </c>
      <c r="L37" s="473"/>
      <c r="M37" s="474">
        <f>M41</f>
        <v>27540</v>
      </c>
      <c r="N37" s="532"/>
      <c r="O37" s="47"/>
    </row>
    <row r="38" spans="1:21" s="63" customFormat="1" ht="18" customHeight="1">
      <c r="A38" s="65"/>
      <c r="B38" s="67"/>
      <c r="C38" s="67"/>
      <c r="D38" s="148"/>
      <c r="E38" s="193"/>
      <c r="F38" s="193"/>
      <c r="G38" s="70"/>
      <c r="H38" s="76"/>
      <c r="I38" s="76"/>
      <c r="J38" s="76"/>
      <c r="K38" s="402" t="s">
        <v>682</v>
      </c>
      <c r="L38" s="459"/>
      <c r="M38" s="446"/>
      <c r="N38" s="531"/>
      <c r="O38" s="47"/>
    </row>
    <row r="39" spans="1:21" s="63" customFormat="1" ht="18" customHeight="1">
      <c r="A39" s="65"/>
      <c r="B39" s="67"/>
      <c r="C39" s="67"/>
      <c r="D39" s="148"/>
      <c r="E39" s="193"/>
      <c r="F39" s="193"/>
      <c r="G39" s="70"/>
      <c r="H39" s="76"/>
      <c r="I39" s="76"/>
      <c r="J39" s="76"/>
      <c r="K39" s="468" t="s">
        <v>685</v>
      </c>
      <c r="L39" s="459" t="s">
        <v>208</v>
      </c>
      <c r="M39" s="486">
        <v>5000</v>
      </c>
      <c r="N39" s="531"/>
      <c r="O39" s="47"/>
    </row>
    <row r="40" spans="1:21" s="63" customFormat="1" ht="18" customHeight="1">
      <c r="A40" s="65"/>
      <c r="B40" s="67"/>
      <c r="C40" s="67"/>
      <c r="D40" s="148"/>
      <c r="E40" s="193"/>
      <c r="F40" s="193"/>
      <c r="G40" s="70"/>
      <c r="H40" s="76"/>
      <c r="I40" s="76"/>
      <c r="J40" s="76"/>
      <c r="K40" s="488" t="s">
        <v>732</v>
      </c>
      <c r="L40" s="459"/>
      <c r="M40" s="446"/>
      <c r="N40" s="531"/>
      <c r="O40" s="47"/>
    </row>
    <row r="41" spans="1:21" s="63" customFormat="1" ht="18" customHeight="1">
      <c r="A41" s="65"/>
      <c r="B41" s="67"/>
      <c r="C41" s="67"/>
      <c r="D41" s="148"/>
      <c r="E41" s="193"/>
      <c r="F41" s="193"/>
      <c r="G41" s="70"/>
      <c r="H41" s="76"/>
      <c r="I41" s="76"/>
      <c r="J41" s="76"/>
      <c r="K41" s="413" t="s">
        <v>745</v>
      </c>
      <c r="L41" s="412" t="s">
        <v>208</v>
      </c>
      <c r="M41" s="487">
        <v>27540</v>
      </c>
      <c r="N41" s="531"/>
      <c r="O41" s="47"/>
    </row>
    <row r="42" spans="1:21" s="1" customFormat="1" ht="18" customHeight="1">
      <c r="A42" s="10"/>
      <c r="B42" s="6"/>
      <c r="C42" s="150"/>
      <c r="D42" s="132" t="s">
        <v>746</v>
      </c>
      <c r="E42" s="133"/>
      <c r="F42" s="133"/>
      <c r="G42" s="134"/>
      <c r="H42" s="135">
        <f>SUM(H43)</f>
        <v>6250</v>
      </c>
      <c r="I42" s="135">
        <v>0</v>
      </c>
      <c r="J42" s="95">
        <f t="shared" ref="J42:J45" si="6">H42-I42</f>
        <v>6250</v>
      </c>
      <c r="K42" s="84"/>
      <c r="L42" s="136"/>
      <c r="M42" s="83"/>
      <c r="N42" s="128"/>
      <c r="O42" s="2"/>
      <c r="P42" s="11"/>
      <c r="Q42" s="129"/>
      <c r="R42" s="129"/>
      <c r="S42" s="129"/>
      <c r="T42" s="130"/>
      <c r="U42" s="131"/>
    </row>
    <row r="43" spans="1:21" s="1" customFormat="1" ht="18" customHeight="1">
      <c r="A43" s="10"/>
      <c r="B43" s="6"/>
      <c r="C43" s="137"/>
      <c r="D43" s="138"/>
      <c r="E43" s="132" t="s">
        <v>31</v>
      </c>
      <c r="F43" s="133"/>
      <c r="G43" s="134"/>
      <c r="H43" s="94">
        <f>SUM(H44,H48)</f>
        <v>6250</v>
      </c>
      <c r="I43" s="94">
        <v>0</v>
      </c>
      <c r="J43" s="98">
        <f t="shared" si="6"/>
        <v>6250</v>
      </c>
      <c r="K43" s="87"/>
      <c r="L43" s="96"/>
      <c r="M43" s="85"/>
      <c r="N43" s="128"/>
      <c r="O43" s="2"/>
      <c r="P43" s="11"/>
      <c r="Q43" s="129"/>
      <c r="R43" s="129"/>
      <c r="S43" s="129"/>
      <c r="T43" s="12"/>
      <c r="U43" s="131"/>
    </row>
    <row r="44" spans="1:21" s="63" customFormat="1" ht="18" customHeight="1">
      <c r="A44" s="65"/>
      <c r="B44" s="67"/>
      <c r="C44" s="189"/>
      <c r="D44" s="190"/>
      <c r="E44" s="191"/>
      <c r="F44" s="139" t="s">
        <v>35</v>
      </c>
      <c r="G44" s="192"/>
      <c r="H44" s="74">
        <f>H45</f>
        <v>1750</v>
      </c>
      <c r="I44" s="74">
        <v>0</v>
      </c>
      <c r="J44" s="74">
        <f t="shared" si="6"/>
        <v>1750</v>
      </c>
      <c r="K44" s="53"/>
      <c r="L44" s="54"/>
      <c r="M44" s="40"/>
      <c r="N44" s="531"/>
    </row>
    <row r="45" spans="1:21" s="63" customFormat="1" ht="18" customHeight="1">
      <c r="A45" s="65"/>
      <c r="B45" s="67"/>
      <c r="C45" s="67"/>
      <c r="D45" s="148"/>
      <c r="E45" s="193"/>
      <c r="F45" s="193"/>
      <c r="G45" s="141" t="s">
        <v>587</v>
      </c>
      <c r="H45" s="449">
        <f>M45</f>
        <v>1750</v>
      </c>
      <c r="I45" s="75">
        <v>0</v>
      </c>
      <c r="J45" s="449">
        <f t="shared" si="6"/>
        <v>1750</v>
      </c>
      <c r="K45" s="36" t="s">
        <v>48</v>
      </c>
      <c r="L45" s="44"/>
      <c r="M45" s="229">
        <f>SUM(M46:M47)</f>
        <v>1750</v>
      </c>
      <c r="N45" s="532"/>
      <c r="O45" s="47"/>
    </row>
    <row r="46" spans="1:21" s="63" customFormat="1" ht="18" customHeight="1">
      <c r="A46" s="65"/>
      <c r="B46" s="67"/>
      <c r="C46" s="67"/>
      <c r="D46" s="148"/>
      <c r="E46" s="193"/>
      <c r="F46" s="193"/>
      <c r="G46" s="70"/>
      <c r="H46" s="76"/>
      <c r="I46" s="76"/>
      <c r="J46" s="76"/>
      <c r="K46" s="488" t="s">
        <v>732</v>
      </c>
      <c r="L46" s="45"/>
      <c r="M46" s="194"/>
      <c r="N46" s="531"/>
      <c r="O46" s="47"/>
    </row>
    <row r="47" spans="1:21" s="63" customFormat="1" ht="18" customHeight="1">
      <c r="A47" s="65"/>
      <c r="B47" s="67"/>
      <c r="C47" s="67"/>
      <c r="D47" s="148"/>
      <c r="E47" s="193"/>
      <c r="F47" s="193"/>
      <c r="G47" s="70"/>
      <c r="H47" s="76"/>
      <c r="I47" s="76"/>
      <c r="J47" s="76"/>
      <c r="K47" s="413" t="s">
        <v>747</v>
      </c>
      <c r="L47" s="414" t="s">
        <v>588</v>
      </c>
      <c r="M47" s="415">
        <v>1750</v>
      </c>
      <c r="N47" s="531"/>
      <c r="O47" s="47"/>
    </row>
    <row r="48" spans="1:21" s="63" customFormat="1" ht="18" customHeight="1">
      <c r="A48" s="65"/>
      <c r="B48" s="67"/>
      <c r="C48" s="189"/>
      <c r="D48" s="190"/>
      <c r="E48" s="191"/>
      <c r="F48" s="139" t="s">
        <v>61</v>
      </c>
      <c r="G48" s="192"/>
      <c r="H48" s="74">
        <f>H49</f>
        <v>4500</v>
      </c>
      <c r="I48" s="74">
        <v>0</v>
      </c>
      <c r="J48" s="74">
        <f t="shared" ref="J48:J49" si="7">H48-I48</f>
        <v>4500</v>
      </c>
      <c r="K48" s="53"/>
      <c r="L48" s="54"/>
      <c r="M48" s="40"/>
      <c r="N48" s="531"/>
    </row>
    <row r="49" spans="1:51" s="63" customFormat="1" ht="18" customHeight="1">
      <c r="A49" s="65"/>
      <c r="B49" s="67"/>
      <c r="C49" s="67"/>
      <c r="D49" s="148"/>
      <c r="E49" s="193"/>
      <c r="F49" s="193"/>
      <c r="G49" s="141" t="s">
        <v>599</v>
      </c>
      <c r="H49" s="449">
        <f>M49</f>
        <v>4500</v>
      </c>
      <c r="I49" s="75">
        <v>0</v>
      </c>
      <c r="J49" s="449">
        <f t="shared" si="7"/>
        <v>4500</v>
      </c>
      <c r="K49" s="472" t="s">
        <v>600</v>
      </c>
      <c r="L49" s="473"/>
      <c r="M49" s="474">
        <f>M51</f>
        <v>4500</v>
      </c>
      <c r="N49" s="532"/>
      <c r="O49" s="47"/>
    </row>
    <row r="50" spans="1:51" s="63" customFormat="1" ht="18" customHeight="1">
      <c r="A50" s="65"/>
      <c r="B50" s="67"/>
      <c r="C50" s="67"/>
      <c r="D50" s="148"/>
      <c r="E50" s="193"/>
      <c r="F50" s="193"/>
      <c r="G50" s="70"/>
      <c r="H50" s="76"/>
      <c r="I50" s="76"/>
      <c r="J50" s="76"/>
      <c r="K50" s="488" t="s">
        <v>732</v>
      </c>
      <c r="L50" s="459"/>
      <c r="M50" s="465"/>
      <c r="N50" s="531"/>
      <c r="O50" s="47"/>
    </row>
    <row r="51" spans="1:51" s="63" customFormat="1" ht="18" customHeight="1">
      <c r="A51" s="65"/>
      <c r="B51" s="67"/>
      <c r="C51" s="67"/>
      <c r="D51" s="148"/>
      <c r="E51" s="193"/>
      <c r="F51" s="193"/>
      <c r="G51" s="70"/>
      <c r="H51" s="76"/>
      <c r="I51" s="76"/>
      <c r="J51" s="76"/>
      <c r="K51" s="393" t="s">
        <v>748</v>
      </c>
      <c r="L51" s="414" t="s">
        <v>588</v>
      </c>
      <c r="M51" s="391">
        <v>4500</v>
      </c>
      <c r="N51" s="531"/>
      <c r="O51" s="47"/>
    </row>
    <row r="52" spans="1:51" s="1" customFormat="1" ht="18" customHeight="1">
      <c r="A52" s="10"/>
      <c r="B52" s="6"/>
      <c r="C52" s="182" t="s">
        <v>263</v>
      </c>
      <c r="D52" s="133"/>
      <c r="E52" s="133"/>
      <c r="F52" s="133"/>
      <c r="G52" s="134"/>
      <c r="H52" s="94">
        <f>H53</f>
        <v>32316</v>
      </c>
      <c r="I52" s="94">
        <v>32316</v>
      </c>
      <c r="J52" s="95">
        <f>H52-I52</f>
        <v>0</v>
      </c>
      <c r="K52" s="482"/>
      <c r="L52" s="476"/>
      <c r="M52" s="483"/>
      <c r="N52" s="594"/>
      <c r="O52" s="594"/>
      <c r="P52" s="594"/>
      <c r="Q52" s="594"/>
      <c r="R52" s="594"/>
      <c r="S52" s="594"/>
      <c r="T52" s="594"/>
      <c r="U52" s="594"/>
    </row>
    <row r="53" spans="1:51" s="1" customFormat="1" ht="18" customHeight="1">
      <c r="A53" s="10"/>
      <c r="B53" s="6"/>
      <c r="C53" s="150"/>
      <c r="D53" s="132" t="s">
        <v>34</v>
      </c>
      <c r="E53" s="133"/>
      <c r="F53" s="133"/>
      <c r="G53" s="134"/>
      <c r="H53" s="135">
        <f>H54</f>
        <v>32316</v>
      </c>
      <c r="I53" s="135">
        <v>32316</v>
      </c>
      <c r="J53" s="9">
        <f>H53-I53</f>
        <v>0</v>
      </c>
      <c r="K53" s="475"/>
      <c r="L53" s="476"/>
      <c r="M53" s="483"/>
      <c r="N53" s="128"/>
      <c r="O53" s="2"/>
      <c r="P53" s="11"/>
      <c r="Q53" s="129"/>
      <c r="R53" s="129"/>
      <c r="S53" s="129"/>
      <c r="T53" s="130"/>
      <c r="U53" s="131"/>
    </row>
    <row r="54" spans="1:51" s="1" customFormat="1" ht="18" customHeight="1">
      <c r="A54" s="10"/>
      <c r="B54" s="6"/>
      <c r="C54" s="137"/>
      <c r="D54" s="138"/>
      <c r="E54" s="132" t="s">
        <v>33</v>
      </c>
      <c r="F54" s="133"/>
      <c r="G54" s="134"/>
      <c r="H54" s="94">
        <f>SUM(H55,H62,H66,H69)</f>
        <v>32316</v>
      </c>
      <c r="I54" s="94">
        <v>32316</v>
      </c>
      <c r="J54" s="95">
        <f>H54-I54</f>
        <v>0</v>
      </c>
      <c r="K54" s="396"/>
      <c r="L54" s="477"/>
      <c r="M54" s="478"/>
      <c r="N54" s="128"/>
      <c r="O54" s="2"/>
      <c r="P54" s="11"/>
      <c r="Q54" s="129"/>
      <c r="R54" s="129"/>
      <c r="S54" s="129"/>
      <c r="T54" s="12"/>
      <c r="U54" s="131"/>
    </row>
    <row r="55" spans="1:51" s="144" customFormat="1" ht="18" customHeight="1">
      <c r="A55" s="65"/>
      <c r="B55" s="67"/>
      <c r="C55" s="67"/>
      <c r="D55" s="67"/>
      <c r="E55" s="67"/>
      <c r="F55" s="139" t="s">
        <v>35</v>
      </c>
      <c r="G55" s="143"/>
      <c r="H55" s="74">
        <f>SUM(H56,H58,H60)</f>
        <v>12016</v>
      </c>
      <c r="I55" s="74">
        <v>12016</v>
      </c>
      <c r="J55" s="101">
        <f>H55-I55</f>
        <v>0</v>
      </c>
      <c r="K55" s="469"/>
      <c r="L55" s="470"/>
      <c r="M55" s="484"/>
      <c r="N55" s="534"/>
      <c r="O55" s="140"/>
      <c r="P55" s="140"/>
      <c r="Q55" s="140"/>
      <c r="R55" s="140"/>
      <c r="S55" s="140"/>
      <c r="T55" s="140"/>
      <c r="U55" s="140"/>
      <c r="V55" s="140"/>
      <c r="W55" s="140"/>
      <c r="X55" s="140"/>
    </row>
    <row r="56" spans="1:51" s="140" customFormat="1" ht="18" customHeight="1">
      <c r="A56" s="56"/>
      <c r="B56" s="58"/>
      <c r="C56" s="67"/>
      <c r="D56" s="67"/>
      <c r="E56" s="67"/>
      <c r="F56" s="195"/>
      <c r="G56" s="213" t="s">
        <v>36</v>
      </c>
      <c r="H56" s="214">
        <f>M56</f>
        <v>3240</v>
      </c>
      <c r="I56" s="214">
        <v>3240</v>
      </c>
      <c r="J56" s="41">
        <f>H56-I56</f>
        <v>0</v>
      </c>
      <c r="K56" s="36" t="s">
        <v>48</v>
      </c>
      <c r="L56" s="216"/>
      <c r="M56" s="229">
        <f>SUM(M57:M57)</f>
        <v>3240</v>
      </c>
      <c r="N56" s="535"/>
      <c r="O56" s="62"/>
      <c r="P56" s="100"/>
      <c r="Q56" s="55"/>
      <c r="R56" s="55"/>
      <c r="S56" s="55"/>
      <c r="T56" s="55"/>
      <c r="U56" s="55"/>
      <c r="V56" s="55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</row>
    <row r="57" spans="1:51" s="61" customFormat="1" ht="18" customHeight="1">
      <c r="A57" s="56"/>
      <c r="B57" s="58"/>
      <c r="C57" s="67"/>
      <c r="D57" s="67"/>
      <c r="E57" s="67"/>
      <c r="F57" s="57"/>
      <c r="G57" s="57"/>
      <c r="H57" s="103"/>
      <c r="I57" s="103"/>
      <c r="J57" s="105"/>
      <c r="K57" s="196" t="s">
        <v>461</v>
      </c>
      <c r="L57" s="207" t="s">
        <v>37</v>
      </c>
      <c r="M57" s="194">
        <v>3240</v>
      </c>
      <c r="N57" s="536" t="s">
        <v>9</v>
      </c>
      <c r="P57" s="102"/>
      <c r="Q57" s="55"/>
      <c r="R57" s="55"/>
      <c r="S57" s="55"/>
      <c r="T57" s="55"/>
      <c r="U57" s="55"/>
      <c r="V57" s="55"/>
    </row>
    <row r="58" spans="1:51" s="140" customFormat="1" ht="18" customHeight="1">
      <c r="A58" s="56"/>
      <c r="B58" s="58"/>
      <c r="C58" s="67"/>
      <c r="D58" s="67"/>
      <c r="E58" s="67"/>
      <c r="F58" s="57"/>
      <c r="G58" s="213" t="s">
        <v>38</v>
      </c>
      <c r="H58" s="214">
        <f>M58</f>
        <v>1000</v>
      </c>
      <c r="I58" s="214">
        <v>1000</v>
      </c>
      <c r="J58" s="215">
        <f>H58-I58</f>
        <v>0</v>
      </c>
      <c r="K58" s="36" t="s">
        <v>49</v>
      </c>
      <c r="L58" s="51"/>
      <c r="M58" s="229">
        <f>SUM(M59)</f>
        <v>1000</v>
      </c>
      <c r="N58" s="537" t="s">
        <v>10</v>
      </c>
      <c r="O58" s="154"/>
      <c r="P58" s="142">
        <v>10380</v>
      </c>
      <c r="Q58" s="104">
        <v>0.5</v>
      </c>
      <c r="R58" s="104">
        <v>0.5</v>
      </c>
      <c r="S58" s="104">
        <v>4</v>
      </c>
      <c r="T58" s="104">
        <v>5</v>
      </c>
      <c r="U58" s="104">
        <v>52</v>
      </c>
    </row>
    <row r="59" spans="1:51" s="140" customFormat="1" ht="18" customHeight="1">
      <c r="A59" s="65"/>
      <c r="B59" s="67"/>
      <c r="C59" s="67"/>
      <c r="D59" s="67"/>
      <c r="E59" s="67"/>
      <c r="F59" s="57"/>
      <c r="G59" s="57"/>
      <c r="H59" s="103"/>
      <c r="I59" s="103"/>
      <c r="J59" s="105"/>
      <c r="K59" s="212" t="s">
        <v>593</v>
      </c>
      <c r="L59" s="209" t="s">
        <v>39</v>
      </c>
      <c r="M59" s="194">
        <v>1000</v>
      </c>
      <c r="N59" s="538" t="s">
        <v>4</v>
      </c>
      <c r="O59" s="154"/>
      <c r="P59" s="142">
        <v>10380</v>
      </c>
      <c r="Q59" s="104">
        <v>8</v>
      </c>
      <c r="R59" s="104">
        <v>4</v>
      </c>
      <c r="S59" s="104">
        <v>12</v>
      </c>
      <c r="T59" s="104"/>
      <c r="U59" s="104"/>
    </row>
    <row r="60" spans="1:51" s="140" customFormat="1" ht="18" customHeight="1">
      <c r="A60" s="56"/>
      <c r="B60" s="58"/>
      <c r="C60" s="67"/>
      <c r="D60" s="67"/>
      <c r="E60" s="67"/>
      <c r="F60" s="57"/>
      <c r="G60" s="213" t="s">
        <v>324</v>
      </c>
      <c r="H60" s="214">
        <f>M60</f>
        <v>7776</v>
      </c>
      <c r="I60" s="214">
        <v>7776</v>
      </c>
      <c r="J60" s="215">
        <f>H60-I60</f>
        <v>0</v>
      </c>
      <c r="K60" s="36" t="s">
        <v>325</v>
      </c>
      <c r="L60" s="51"/>
      <c r="M60" s="229">
        <f>SUM(M61)</f>
        <v>7776</v>
      </c>
      <c r="N60" s="537" t="s">
        <v>10</v>
      </c>
      <c r="O60" s="154"/>
      <c r="P60" s="142">
        <v>10380</v>
      </c>
      <c r="Q60" s="104">
        <v>0.5</v>
      </c>
      <c r="R60" s="104">
        <v>0.5</v>
      </c>
      <c r="S60" s="104">
        <v>4</v>
      </c>
      <c r="T60" s="104">
        <v>5</v>
      </c>
      <c r="U60" s="104">
        <v>52</v>
      </c>
    </row>
    <row r="61" spans="1:51" s="140" customFormat="1" ht="18" customHeight="1">
      <c r="A61" s="65"/>
      <c r="B61" s="67"/>
      <c r="C61" s="67"/>
      <c r="D61" s="67"/>
      <c r="E61" s="67"/>
      <c r="F61" s="57"/>
      <c r="G61" s="57"/>
      <c r="H61" s="103"/>
      <c r="I61" s="103"/>
      <c r="J61" s="105"/>
      <c r="K61" s="226" t="s">
        <v>468</v>
      </c>
      <c r="L61" s="209" t="s">
        <v>37</v>
      </c>
      <c r="M61" s="194">
        <v>7776</v>
      </c>
      <c r="N61" s="538" t="s">
        <v>4</v>
      </c>
      <c r="O61" s="154"/>
      <c r="P61" s="142">
        <v>10380</v>
      </c>
      <c r="Q61" s="104">
        <v>8</v>
      </c>
      <c r="R61" s="104">
        <v>4</v>
      </c>
      <c r="S61" s="104">
        <v>12</v>
      </c>
      <c r="T61" s="104"/>
      <c r="U61" s="104"/>
    </row>
    <row r="62" spans="1:51" s="140" customFormat="1" ht="18" customHeight="1">
      <c r="A62" s="65"/>
      <c r="B62" s="67"/>
      <c r="C62" s="67"/>
      <c r="D62" s="67"/>
      <c r="E62" s="67"/>
      <c r="F62" s="592" t="s">
        <v>40</v>
      </c>
      <c r="G62" s="593"/>
      <c r="H62" s="155">
        <f>H63</f>
        <v>16200</v>
      </c>
      <c r="I62" s="155">
        <v>16200</v>
      </c>
      <c r="J62" s="156">
        <f>H62-I62</f>
        <v>0</v>
      </c>
      <c r="K62" s="157"/>
      <c r="L62" s="59"/>
      <c r="M62" s="60"/>
      <c r="N62" s="539"/>
      <c r="P62" s="144"/>
      <c r="V62" s="55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</row>
    <row r="63" spans="1:51" s="140" customFormat="1" ht="18" customHeight="1">
      <c r="A63" s="65"/>
      <c r="B63" s="67"/>
      <c r="C63" s="67"/>
      <c r="D63" s="67"/>
      <c r="E63" s="67"/>
      <c r="F63" s="112"/>
      <c r="G63" s="203" t="s">
        <v>41</v>
      </c>
      <c r="H63" s="217">
        <f>M63</f>
        <v>16200</v>
      </c>
      <c r="I63" s="214">
        <v>16200</v>
      </c>
      <c r="J63" s="206">
        <f>H63-I63</f>
        <v>0</v>
      </c>
      <c r="K63" s="36" t="s">
        <v>50</v>
      </c>
      <c r="L63" s="219"/>
      <c r="M63" s="229">
        <f>SUM(M64:M65)</f>
        <v>16200</v>
      </c>
      <c r="N63" s="540"/>
      <c r="O63" s="154"/>
      <c r="P63" s="142"/>
      <c r="Q63" s="104"/>
      <c r="R63" s="104"/>
      <c r="S63" s="104"/>
      <c r="V63" s="55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</row>
    <row r="64" spans="1:51" s="140" customFormat="1" ht="18" customHeight="1">
      <c r="A64" s="65"/>
      <c r="B64" s="67"/>
      <c r="C64" s="67"/>
      <c r="D64" s="67"/>
      <c r="E64" s="67"/>
      <c r="F64" s="198"/>
      <c r="G64" s="198"/>
      <c r="H64" s="103"/>
      <c r="I64" s="107"/>
      <c r="J64" s="105"/>
      <c r="K64" s="224" t="s">
        <v>526</v>
      </c>
      <c r="L64" s="99" t="s">
        <v>0</v>
      </c>
      <c r="M64" s="194">
        <v>4320</v>
      </c>
      <c r="N64" s="541" t="s">
        <v>17</v>
      </c>
      <c r="O64" s="154"/>
      <c r="P64" s="142">
        <v>670000</v>
      </c>
      <c r="Q64" s="104">
        <v>1</v>
      </c>
      <c r="R64" s="104">
        <v>1</v>
      </c>
      <c r="S64" s="104"/>
      <c r="V64" s="55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</row>
    <row r="65" spans="1:51" s="140" customFormat="1" ht="18" customHeight="1">
      <c r="A65" s="65"/>
      <c r="B65" s="67"/>
      <c r="C65" s="67"/>
      <c r="D65" s="67"/>
      <c r="E65" s="67"/>
      <c r="F65" s="199"/>
      <c r="G65" s="199"/>
      <c r="H65" s="106"/>
      <c r="I65" s="551"/>
      <c r="J65" s="158"/>
      <c r="K65" s="226" t="s">
        <v>650</v>
      </c>
      <c r="L65" s="218" t="s">
        <v>0</v>
      </c>
      <c r="M65" s="200">
        <v>11880</v>
      </c>
      <c r="N65" s="541" t="s">
        <v>18</v>
      </c>
      <c r="O65" s="154"/>
      <c r="P65" s="142">
        <v>26000</v>
      </c>
      <c r="Q65" s="104">
        <v>16</v>
      </c>
      <c r="R65" s="104"/>
      <c r="S65" s="104"/>
    </row>
    <row r="66" spans="1:51" s="140" customFormat="1" ht="18" customHeight="1">
      <c r="A66" s="65"/>
      <c r="B66" s="67"/>
      <c r="C66" s="67"/>
      <c r="D66" s="67"/>
      <c r="E66" s="67"/>
      <c r="F66" s="592" t="s">
        <v>42</v>
      </c>
      <c r="G66" s="593"/>
      <c r="H66" s="155">
        <f>H67</f>
        <v>2000</v>
      </c>
      <c r="I66" s="155">
        <v>2000</v>
      </c>
      <c r="J66" s="156">
        <f>H66-I66</f>
        <v>0</v>
      </c>
      <c r="K66" s="157"/>
      <c r="L66" s="59"/>
      <c r="M66" s="60"/>
      <c r="N66" s="539"/>
      <c r="P66" s="144"/>
      <c r="V66" s="55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</row>
    <row r="67" spans="1:51" s="140" customFormat="1" ht="18" customHeight="1">
      <c r="A67" s="65"/>
      <c r="B67" s="67"/>
      <c r="C67" s="67"/>
      <c r="D67" s="67"/>
      <c r="E67" s="67"/>
      <c r="F67" s="198"/>
      <c r="G67" s="112" t="s">
        <v>43</v>
      </c>
      <c r="H67" s="217">
        <f>M67</f>
        <v>2000</v>
      </c>
      <c r="I67" s="217">
        <v>2000</v>
      </c>
      <c r="J67" s="206">
        <f>H67-I67</f>
        <v>0</v>
      </c>
      <c r="K67" s="36" t="s">
        <v>51</v>
      </c>
      <c r="L67" s="216"/>
      <c r="M67" s="229">
        <f>SUM(M68)</f>
        <v>2000</v>
      </c>
      <c r="N67" s="542"/>
      <c r="O67" s="154"/>
      <c r="P67" s="142"/>
      <c r="Q67" s="104"/>
      <c r="R67" s="104"/>
      <c r="S67" s="104"/>
    </row>
    <row r="68" spans="1:51" s="140" customFormat="1" ht="18" customHeight="1">
      <c r="A68" s="344"/>
      <c r="B68" s="345"/>
      <c r="C68" s="345"/>
      <c r="D68" s="345"/>
      <c r="E68" s="345"/>
      <c r="F68" s="199"/>
      <c r="G68" s="199"/>
      <c r="H68" s="106"/>
      <c r="I68" s="158"/>
      <c r="J68" s="158"/>
      <c r="K68" s="202" t="s">
        <v>634</v>
      </c>
      <c r="L68" s="218" t="s">
        <v>0</v>
      </c>
      <c r="M68" s="200">
        <v>2000</v>
      </c>
      <c r="N68" s="543" t="s">
        <v>11</v>
      </c>
      <c r="O68" s="154"/>
      <c r="P68" s="142">
        <v>130000</v>
      </c>
      <c r="Q68" s="104">
        <v>1</v>
      </c>
      <c r="R68" s="104"/>
      <c r="S68" s="104"/>
    </row>
    <row r="69" spans="1:51" customFormat="1" ht="16.5">
      <c r="A69" s="65"/>
      <c r="B69" s="67"/>
      <c r="C69" s="67"/>
      <c r="D69" s="67"/>
      <c r="E69" s="67"/>
      <c r="F69" s="362" t="s">
        <v>93</v>
      </c>
      <c r="G69" s="72"/>
      <c r="H69" s="73">
        <f>H70</f>
        <v>2100</v>
      </c>
      <c r="I69" s="73">
        <v>2100</v>
      </c>
      <c r="J69" s="149">
        <f>H69-I69</f>
        <v>0</v>
      </c>
      <c r="K69" s="297"/>
      <c r="L69" s="298"/>
      <c r="M69" s="363"/>
    </row>
    <row r="70" spans="1:51" customFormat="1" ht="16.5">
      <c r="A70" s="65"/>
      <c r="B70" s="67"/>
      <c r="C70" s="67"/>
      <c r="D70" s="67"/>
      <c r="E70" s="67"/>
      <c r="F70" s="146"/>
      <c r="G70" s="67" t="s">
        <v>97</v>
      </c>
      <c r="H70" s="78">
        <f>M70</f>
        <v>2100</v>
      </c>
      <c r="I70" s="78">
        <v>2100</v>
      </c>
      <c r="J70" s="48">
        <f>H70-I70</f>
        <v>0</v>
      </c>
      <c r="K70" s="36" t="s">
        <v>454</v>
      </c>
      <c r="L70" s="39"/>
      <c r="M70" s="229">
        <f>M71</f>
        <v>2100</v>
      </c>
    </row>
    <row r="71" spans="1:51" customFormat="1" ht="17.25" thickBot="1">
      <c r="A71" s="313"/>
      <c r="B71" s="71"/>
      <c r="C71" s="71"/>
      <c r="D71" s="71"/>
      <c r="E71" s="71"/>
      <c r="F71" s="364"/>
      <c r="G71" s="204"/>
      <c r="H71" s="365"/>
      <c r="I71" s="366"/>
      <c r="J71" s="367"/>
      <c r="K71" s="244" t="s">
        <v>475</v>
      </c>
      <c r="L71" s="245" t="s">
        <v>0</v>
      </c>
      <c r="M71" s="258">
        <v>2100</v>
      </c>
      <c r="N71">
        <v>8</v>
      </c>
    </row>
    <row r="72" spans="1:51" s="140" customFormat="1" ht="18" customHeight="1"/>
    <row r="73" spans="1:51" s="140" customFormat="1" ht="18" customHeight="1"/>
    <row r="74" spans="1:51" s="140" customFormat="1" ht="18" customHeight="1"/>
    <row r="75" spans="1:51" s="140" customFormat="1" ht="18" customHeight="1"/>
    <row r="76" spans="1:51" s="140" customFormat="1" ht="18" customHeight="1"/>
    <row r="77" spans="1:51" s="140" customFormat="1" ht="18" customHeight="1"/>
    <row r="78" spans="1:51" s="140" customFormat="1" ht="18" customHeight="1"/>
    <row r="79" spans="1:51" s="140" customFormat="1" ht="18" customHeight="1"/>
    <row r="80" spans="1:51" s="140" customFormat="1" ht="18" customHeight="1"/>
    <row r="81" spans="1:8" s="140" customFormat="1" ht="18" customHeight="1"/>
    <row r="82" spans="1:8" s="140" customFormat="1" ht="18" customHeight="1"/>
    <row r="83" spans="1:8" s="140" customFormat="1" ht="18" customHeight="1">
      <c r="A83" s="1"/>
    </row>
    <row r="84" spans="1:8" s="140" customFormat="1" ht="18" customHeight="1">
      <c r="A84" s="1"/>
    </row>
    <row r="85" spans="1:8" s="140" customFormat="1" ht="18" customHeight="1">
      <c r="A85" s="1"/>
    </row>
    <row r="86" spans="1:8" s="140" customFormat="1" ht="18" customHeight="1">
      <c r="A86" s="1"/>
    </row>
    <row r="87" spans="1:8" s="140" customFormat="1" ht="18" customHeight="1">
      <c r="A87" s="1"/>
    </row>
    <row r="88" spans="1:8" s="140" customFormat="1" ht="18" customHeight="1">
      <c r="A88" s="161"/>
    </row>
    <row r="89" spans="1:8" s="140" customFormat="1" ht="18" customHeight="1">
      <c r="A89" s="161"/>
    </row>
    <row r="90" spans="1:8" s="140" customFormat="1" ht="18" customHeight="1"/>
    <row r="91" spans="1:8" s="140" customFormat="1" ht="18" customHeight="1"/>
    <row r="92" spans="1:8" s="140" customFormat="1" ht="18" customHeight="1"/>
    <row r="93" spans="1:8" s="140" customFormat="1" ht="18" customHeight="1">
      <c r="A93" s="1"/>
      <c r="B93" s="1"/>
      <c r="C93" s="1"/>
      <c r="D93" s="1"/>
      <c r="E93" s="1"/>
      <c r="F93" s="1"/>
      <c r="G93" s="1"/>
      <c r="H93" s="1"/>
    </row>
    <row r="94" spans="1:8" s="140" customFormat="1" ht="18" customHeight="1">
      <c r="A94" s="1"/>
      <c r="B94" s="1"/>
      <c r="C94" s="1"/>
      <c r="D94" s="1"/>
      <c r="E94" s="1"/>
      <c r="F94" s="1"/>
      <c r="G94" s="1"/>
      <c r="H94" s="1"/>
    </row>
    <row r="95" spans="1:8" s="1" customFormat="1" ht="18" customHeight="1"/>
    <row r="96" spans="1:8" s="1" customFormat="1" ht="18" customHeight="1"/>
    <row r="97" spans="1:8" s="140" customFormat="1" ht="18" customHeight="1">
      <c r="A97" s="1"/>
      <c r="B97" s="1"/>
      <c r="C97" s="1"/>
      <c r="D97" s="1"/>
      <c r="E97" s="1"/>
      <c r="F97" s="1"/>
      <c r="G97" s="1"/>
      <c r="H97" s="1"/>
    </row>
    <row r="98" spans="1:8" s="140" customFormat="1" ht="18" customHeight="1">
      <c r="A98" s="160"/>
      <c r="B98" s="161"/>
      <c r="C98" s="161"/>
      <c r="D98" s="161"/>
      <c r="E98" s="161"/>
      <c r="F98" s="161"/>
      <c r="G98" s="161"/>
      <c r="H98" s="161"/>
    </row>
    <row r="99" spans="1:8" s="140" customFormat="1" ht="18" customHeight="1">
      <c r="A99" s="24"/>
      <c r="B99" s="24"/>
      <c r="C99" s="24"/>
      <c r="D99" s="24"/>
      <c r="E99" s="24"/>
      <c r="F99" s="24"/>
      <c r="G99" s="24"/>
      <c r="H99" s="80"/>
    </row>
    <row r="100" spans="1:8" s="140" customFormat="1" ht="18" customHeight="1">
      <c r="A100" s="24"/>
      <c r="B100" s="24"/>
      <c r="C100" s="24"/>
      <c r="D100" s="24"/>
      <c r="E100" s="24"/>
      <c r="F100" s="24"/>
      <c r="G100" s="24"/>
      <c r="H100" s="80"/>
    </row>
    <row r="101" spans="1:8" s="140" customFormat="1" ht="18" customHeight="1">
      <c r="A101" s="24"/>
      <c r="B101" s="24"/>
      <c r="C101" s="24"/>
      <c r="D101" s="24"/>
      <c r="E101" s="24"/>
      <c r="F101" s="24"/>
      <c r="G101" s="24"/>
      <c r="H101" s="80"/>
    </row>
    <row r="102" spans="1:8" s="140" customFormat="1" ht="18" customHeight="1">
      <c r="A102" s="24"/>
      <c r="B102" s="24"/>
      <c r="C102" s="24"/>
      <c r="D102" s="24"/>
      <c r="E102" s="24"/>
      <c r="F102" s="24"/>
      <c r="G102" s="24"/>
      <c r="H102" s="80"/>
    </row>
    <row r="103" spans="1:8" s="140" customFormat="1" ht="18" customHeight="1">
      <c r="A103" s="24"/>
      <c r="B103" s="24"/>
      <c r="C103" s="24"/>
      <c r="D103" s="24"/>
      <c r="E103" s="24"/>
      <c r="F103" s="24"/>
      <c r="G103" s="24"/>
      <c r="H103" s="80"/>
    </row>
    <row r="104" spans="1:8" s="140" customFormat="1" ht="18" customHeight="1">
      <c r="A104" s="24"/>
      <c r="B104" s="24"/>
      <c r="C104" s="24"/>
      <c r="D104" s="24"/>
      <c r="E104" s="24"/>
      <c r="F104" s="24"/>
      <c r="G104" s="24"/>
      <c r="H104" s="80"/>
    </row>
    <row r="105" spans="1:8" s="140" customFormat="1" ht="18" customHeight="1">
      <c r="A105" s="24"/>
      <c r="B105" s="24"/>
      <c r="C105" s="24"/>
      <c r="D105" s="24"/>
      <c r="E105" s="24"/>
      <c r="F105" s="24"/>
      <c r="G105" s="24"/>
      <c r="H105" s="80"/>
    </row>
    <row r="106" spans="1:8" s="140" customFormat="1" ht="18" customHeight="1">
      <c r="A106" s="24"/>
      <c r="B106" s="24"/>
      <c r="C106" s="24"/>
      <c r="D106" s="24"/>
      <c r="E106" s="24"/>
      <c r="F106" s="24"/>
      <c r="G106" s="24"/>
      <c r="H106" s="80"/>
    </row>
    <row r="107" spans="1:8" s="140" customFormat="1" ht="18" customHeight="1">
      <c r="A107" s="24"/>
      <c r="B107" s="24"/>
      <c r="C107" s="24"/>
      <c r="D107" s="24"/>
      <c r="E107" s="24"/>
      <c r="F107" s="24"/>
      <c r="G107" s="24"/>
      <c r="H107" s="80"/>
    </row>
    <row r="108" spans="1:8" s="140" customFormat="1" ht="18" customHeight="1">
      <c r="A108" s="24"/>
      <c r="B108" s="24"/>
      <c r="C108" s="24"/>
      <c r="D108" s="24"/>
      <c r="E108" s="24"/>
      <c r="F108" s="24"/>
      <c r="G108" s="24"/>
      <c r="H108" s="80"/>
    </row>
    <row r="109" spans="1:8" s="140" customFormat="1" ht="18" customHeight="1">
      <c r="A109" s="24"/>
      <c r="B109" s="24"/>
      <c r="C109" s="24"/>
      <c r="D109" s="24"/>
      <c r="E109" s="24"/>
      <c r="F109" s="24"/>
      <c r="G109" s="24"/>
      <c r="H109" s="80"/>
    </row>
    <row r="110" spans="1:8" s="140" customFormat="1" ht="18" customHeight="1">
      <c r="A110" s="24"/>
      <c r="B110" s="24"/>
      <c r="C110" s="24"/>
      <c r="D110" s="24"/>
      <c r="E110" s="24"/>
      <c r="F110" s="24"/>
      <c r="G110" s="24"/>
      <c r="H110" s="80"/>
    </row>
    <row r="111" spans="1:8" s="140" customFormat="1" ht="18" customHeight="1">
      <c r="A111" s="24"/>
      <c r="B111" s="24"/>
      <c r="C111" s="24"/>
      <c r="D111" s="24"/>
      <c r="E111" s="24"/>
      <c r="F111" s="24"/>
      <c r="G111" s="24"/>
      <c r="H111" s="80"/>
    </row>
    <row r="112" spans="1:8" s="140" customFormat="1" ht="18" customHeight="1">
      <c r="A112" s="24"/>
      <c r="B112" s="24"/>
      <c r="C112" s="24"/>
      <c r="D112" s="24"/>
      <c r="E112" s="24"/>
      <c r="F112" s="24"/>
      <c r="G112" s="24"/>
      <c r="H112" s="80"/>
    </row>
    <row r="113" spans="1:38" s="140" customFormat="1" ht="18" customHeight="1">
      <c r="A113" s="24"/>
      <c r="B113" s="24"/>
      <c r="C113" s="24"/>
      <c r="D113" s="24"/>
      <c r="E113" s="24"/>
      <c r="F113" s="24"/>
      <c r="G113" s="24"/>
      <c r="H113" s="80"/>
    </row>
    <row r="114" spans="1:38" s="140" customFormat="1" ht="18" customHeight="1">
      <c r="A114" s="24"/>
      <c r="B114" s="24"/>
      <c r="C114" s="24"/>
      <c r="D114" s="24"/>
      <c r="E114" s="24"/>
      <c r="F114" s="24"/>
      <c r="G114" s="24"/>
      <c r="H114" s="80"/>
    </row>
    <row r="115" spans="1:38" s="140" customFormat="1" ht="18" customHeight="1">
      <c r="A115" s="24"/>
      <c r="B115" s="24"/>
      <c r="C115" s="24"/>
      <c r="D115" s="24"/>
      <c r="E115" s="24"/>
      <c r="F115" s="24"/>
      <c r="G115" s="24"/>
      <c r="H115" s="80"/>
    </row>
    <row r="116" spans="1:38" s="140" customFormat="1" ht="18" customHeight="1">
      <c r="A116" s="24"/>
      <c r="B116" s="24"/>
      <c r="C116" s="24"/>
      <c r="D116" s="24"/>
      <c r="E116" s="24"/>
      <c r="F116" s="24"/>
      <c r="G116" s="24"/>
      <c r="H116" s="80"/>
    </row>
    <row r="117" spans="1:38" s="140" customFormat="1" ht="18" customHeight="1">
      <c r="A117" s="24"/>
      <c r="B117" s="24"/>
      <c r="C117" s="24"/>
      <c r="D117" s="24"/>
      <c r="E117" s="24"/>
      <c r="F117" s="24"/>
      <c r="G117" s="24"/>
      <c r="H117" s="80"/>
    </row>
    <row r="118" spans="1:38" s="140" customFormat="1" ht="18" customHeight="1">
      <c r="A118" s="24"/>
      <c r="B118" s="24"/>
      <c r="C118" s="24"/>
      <c r="D118" s="24"/>
      <c r="E118" s="24"/>
      <c r="F118" s="24"/>
      <c r="G118" s="24"/>
      <c r="H118" s="80"/>
    </row>
    <row r="119" spans="1:38" s="140" customFormat="1" ht="18" customHeight="1">
      <c r="A119" s="24"/>
      <c r="B119" s="24"/>
      <c r="C119" s="24"/>
      <c r="D119" s="24"/>
      <c r="E119" s="24"/>
      <c r="F119" s="24"/>
      <c r="G119" s="24"/>
      <c r="H119" s="80"/>
    </row>
    <row r="120" spans="1:38" s="140" customFormat="1" ht="18" customHeight="1">
      <c r="A120" s="24"/>
      <c r="B120" s="24"/>
      <c r="C120" s="24"/>
      <c r="D120" s="24"/>
      <c r="E120" s="24"/>
      <c r="F120" s="24"/>
      <c r="G120" s="24"/>
      <c r="H120" s="80"/>
    </row>
    <row r="121" spans="1:38" s="140" customFormat="1" ht="18" customHeight="1">
      <c r="A121" s="24"/>
      <c r="B121" s="24"/>
      <c r="C121" s="24"/>
      <c r="D121" s="24"/>
      <c r="E121" s="24"/>
      <c r="F121" s="24"/>
      <c r="G121" s="24"/>
      <c r="H121" s="80"/>
    </row>
    <row r="122" spans="1:38" s="140" customFormat="1" ht="18" customHeight="1">
      <c r="A122" s="24"/>
      <c r="B122" s="24"/>
      <c r="C122" s="24"/>
      <c r="D122" s="24"/>
      <c r="E122" s="24"/>
      <c r="F122" s="24"/>
      <c r="G122" s="24"/>
      <c r="H122" s="80"/>
    </row>
    <row r="123" spans="1:38" s="140" customFormat="1" ht="18" customHeight="1">
      <c r="A123" s="24"/>
      <c r="B123" s="24"/>
      <c r="C123" s="24"/>
      <c r="D123" s="24"/>
      <c r="E123" s="24"/>
      <c r="F123" s="24"/>
      <c r="G123" s="24"/>
      <c r="H123" s="80"/>
    </row>
    <row r="124" spans="1:38" s="140" customFormat="1" ht="18" customHeight="1">
      <c r="A124" s="24"/>
      <c r="B124" s="24"/>
      <c r="C124" s="24"/>
      <c r="D124" s="24"/>
      <c r="E124" s="24"/>
      <c r="F124" s="24"/>
      <c r="G124" s="24"/>
      <c r="H124" s="80"/>
    </row>
    <row r="125" spans="1:38" s="140" customFormat="1" ht="18" customHeight="1">
      <c r="A125" s="24"/>
      <c r="B125" s="24"/>
      <c r="C125" s="24"/>
      <c r="D125" s="24"/>
      <c r="E125" s="24"/>
      <c r="F125" s="24"/>
      <c r="G125" s="24"/>
      <c r="H125" s="80"/>
    </row>
    <row r="126" spans="1:38" s="140" customFormat="1" ht="18" customHeight="1">
      <c r="A126" s="24"/>
      <c r="B126" s="24"/>
      <c r="C126" s="24"/>
      <c r="D126" s="24"/>
      <c r="E126" s="24"/>
      <c r="F126" s="24"/>
      <c r="G126" s="24"/>
      <c r="H126" s="80"/>
    </row>
    <row r="127" spans="1:38" s="140" customFormat="1" ht="18" customHeight="1">
      <c r="A127" s="24"/>
      <c r="B127" s="24"/>
      <c r="C127" s="24"/>
      <c r="D127" s="24"/>
      <c r="E127" s="24"/>
      <c r="F127" s="24"/>
      <c r="G127" s="24"/>
      <c r="H127" s="80"/>
      <c r="I127" s="55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</row>
    <row r="128" spans="1:38" s="140" customFormat="1" ht="18" customHeight="1">
      <c r="A128" s="24"/>
      <c r="B128" s="24"/>
      <c r="C128" s="24"/>
      <c r="D128" s="24"/>
      <c r="E128" s="24"/>
      <c r="F128" s="24"/>
      <c r="G128" s="24"/>
      <c r="H128" s="80"/>
      <c r="I128" s="55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</row>
    <row r="129" spans="1:38" s="1" customFormat="1" ht="18" customHeight="1">
      <c r="A129" s="24"/>
      <c r="B129" s="24"/>
      <c r="C129" s="24"/>
      <c r="D129" s="24"/>
      <c r="E129" s="24"/>
      <c r="F129" s="24"/>
      <c r="G129" s="24"/>
      <c r="H129" s="80"/>
    </row>
    <row r="130" spans="1:38" s="1" customFormat="1" ht="18" customHeight="1">
      <c r="A130" s="24"/>
      <c r="B130" s="24"/>
      <c r="C130" s="24"/>
      <c r="D130" s="24"/>
      <c r="E130" s="24"/>
      <c r="F130" s="24"/>
      <c r="G130" s="24"/>
      <c r="H130" s="80"/>
    </row>
    <row r="131" spans="1:38" s="1" customFormat="1" ht="18" customHeight="1">
      <c r="A131" s="24"/>
      <c r="B131" s="24"/>
      <c r="C131" s="24"/>
      <c r="D131" s="24"/>
      <c r="E131" s="24"/>
      <c r="F131" s="24"/>
      <c r="G131" s="24"/>
      <c r="H131" s="80"/>
    </row>
    <row r="132" spans="1:38" s="140" customFormat="1" ht="18" customHeight="1">
      <c r="A132" s="24"/>
      <c r="B132" s="24"/>
      <c r="C132" s="24"/>
      <c r="D132" s="24"/>
      <c r="E132" s="24"/>
      <c r="F132" s="24"/>
      <c r="G132" s="24"/>
      <c r="H132" s="80"/>
    </row>
    <row r="133" spans="1:38" s="140" customFormat="1" ht="18" customHeight="1">
      <c r="A133" s="24"/>
      <c r="B133" s="24"/>
      <c r="C133" s="24"/>
      <c r="D133" s="24"/>
      <c r="E133" s="24"/>
      <c r="F133" s="24"/>
      <c r="G133" s="24"/>
      <c r="H133" s="80"/>
      <c r="I133" s="55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</row>
    <row r="134" spans="1:38" s="140" customFormat="1" ht="18" customHeight="1">
      <c r="A134" s="24"/>
      <c r="B134" s="24"/>
      <c r="C134" s="24"/>
      <c r="D134" s="24"/>
      <c r="E134" s="24"/>
      <c r="F134" s="24"/>
      <c r="G134" s="24"/>
      <c r="H134" s="80"/>
      <c r="I134" s="55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</row>
    <row r="135" spans="1:38" s="140" customFormat="1" ht="18" customHeight="1">
      <c r="A135" s="24"/>
      <c r="B135" s="24"/>
      <c r="C135" s="24"/>
      <c r="D135" s="24"/>
      <c r="E135" s="24"/>
      <c r="F135" s="24"/>
      <c r="G135" s="24"/>
      <c r="H135" s="80"/>
      <c r="I135" s="55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</row>
    <row r="136" spans="1:38" s="140" customFormat="1" ht="18" customHeight="1">
      <c r="A136" s="24"/>
      <c r="B136" s="24"/>
      <c r="C136" s="24"/>
      <c r="D136" s="24"/>
      <c r="E136" s="24"/>
      <c r="F136" s="24"/>
      <c r="G136" s="24"/>
      <c r="H136" s="80"/>
      <c r="I136" s="55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</row>
    <row r="137" spans="1:38" s="140" customFormat="1" ht="18" customHeight="1">
      <c r="A137" s="24"/>
      <c r="B137" s="24"/>
      <c r="C137" s="24"/>
      <c r="D137" s="24"/>
      <c r="E137" s="24"/>
      <c r="F137" s="24"/>
      <c r="G137" s="24"/>
      <c r="H137" s="80"/>
      <c r="I137" s="55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</row>
    <row r="138" spans="1:38" s="140" customFormat="1" ht="18" customHeight="1">
      <c r="A138" s="24"/>
      <c r="B138" s="24"/>
      <c r="C138" s="24"/>
      <c r="D138" s="24"/>
      <c r="E138" s="24"/>
      <c r="F138" s="24"/>
      <c r="G138" s="24"/>
      <c r="H138" s="80"/>
      <c r="I138" s="55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</row>
    <row r="139" spans="1:38" s="140" customFormat="1" ht="18" customHeight="1">
      <c r="A139" s="24"/>
      <c r="B139" s="24"/>
      <c r="C139" s="24"/>
      <c r="D139" s="24"/>
      <c r="E139" s="24"/>
      <c r="F139" s="24"/>
      <c r="G139" s="24"/>
      <c r="H139" s="80"/>
      <c r="I139" s="55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</row>
    <row r="140" spans="1:38" s="140" customFormat="1" ht="18" customHeight="1">
      <c r="A140" s="24"/>
      <c r="B140" s="24"/>
      <c r="C140" s="24"/>
      <c r="D140" s="24"/>
      <c r="E140" s="24"/>
      <c r="F140" s="24"/>
      <c r="G140" s="24"/>
      <c r="H140" s="80"/>
      <c r="I140" s="55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</row>
    <row r="141" spans="1:38" s="140" customFormat="1" ht="18" customHeight="1">
      <c r="A141" s="24"/>
      <c r="B141" s="24"/>
      <c r="C141" s="24"/>
      <c r="D141" s="24"/>
      <c r="E141" s="24"/>
      <c r="F141" s="24"/>
      <c r="G141" s="24"/>
      <c r="H141" s="80"/>
      <c r="I141" s="55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</row>
    <row r="142" spans="1:38" s="140" customFormat="1" ht="18" customHeight="1">
      <c r="A142" s="24"/>
      <c r="B142" s="24"/>
      <c r="C142" s="24"/>
      <c r="D142" s="24"/>
      <c r="E142" s="24"/>
      <c r="F142" s="24"/>
      <c r="G142" s="24"/>
      <c r="H142" s="80"/>
      <c r="I142" s="55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</row>
    <row r="143" spans="1:38" s="140" customFormat="1" ht="18" customHeight="1">
      <c r="A143" s="24"/>
      <c r="B143" s="24"/>
      <c r="C143" s="24"/>
      <c r="D143" s="24"/>
      <c r="E143" s="24"/>
      <c r="F143" s="24"/>
      <c r="G143" s="24"/>
      <c r="H143" s="80"/>
      <c r="I143" s="55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</row>
    <row r="144" spans="1:38" s="140" customFormat="1" ht="18" customHeight="1">
      <c r="A144" s="24"/>
      <c r="B144" s="24"/>
      <c r="C144" s="24"/>
      <c r="D144" s="24"/>
      <c r="E144" s="24"/>
      <c r="F144" s="24"/>
      <c r="G144" s="24"/>
      <c r="H144" s="80"/>
      <c r="I144" s="55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</row>
    <row r="145" spans="1:38" s="140" customFormat="1" ht="18" customHeight="1">
      <c r="A145" s="24"/>
      <c r="B145" s="24"/>
      <c r="C145" s="24"/>
      <c r="D145" s="24"/>
      <c r="E145" s="24"/>
      <c r="F145" s="24"/>
      <c r="G145" s="24"/>
      <c r="H145" s="80"/>
      <c r="I145" s="55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</row>
    <row r="146" spans="1:38" s="140" customFormat="1" ht="18" customHeight="1">
      <c r="A146" s="24"/>
      <c r="B146" s="24"/>
      <c r="C146" s="24"/>
      <c r="D146" s="24"/>
      <c r="E146" s="24"/>
      <c r="F146" s="24"/>
      <c r="G146" s="24"/>
      <c r="H146" s="80"/>
      <c r="I146" s="55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</row>
    <row r="147" spans="1:38" s="140" customFormat="1" ht="18" customHeight="1">
      <c r="A147" s="24"/>
      <c r="B147" s="24"/>
      <c r="C147" s="24"/>
      <c r="D147" s="24"/>
      <c r="E147" s="24"/>
      <c r="F147" s="24"/>
      <c r="G147" s="24"/>
      <c r="H147" s="80"/>
      <c r="I147" s="55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</row>
    <row r="148" spans="1:38" s="140" customFormat="1" ht="18" customHeight="1">
      <c r="A148" s="24"/>
      <c r="B148" s="24"/>
      <c r="C148" s="24"/>
      <c r="D148" s="24"/>
      <c r="E148" s="24"/>
      <c r="F148" s="24"/>
      <c r="G148" s="24"/>
      <c r="H148" s="80"/>
      <c r="I148" s="55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</row>
    <row r="149" spans="1:38" s="140" customFormat="1" ht="18" customHeight="1">
      <c r="A149" s="24"/>
      <c r="B149" s="24"/>
      <c r="C149" s="24"/>
      <c r="D149" s="24"/>
      <c r="E149" s="24"/>
      <c r="F149" s="24"/>
      <c r="G149" s="24"/>
      <c r="H149" s="80"/>
      <c r="I149" s="55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</row>
    <row r="150" spans="1:38" s="140" customFormat="1" ht="18" customHeight="1">
      <c r="A150" s="24"/>
      <c r="B150" s="24"/>
      <c r="C150" s="24"/>
      <c r="D150" s="24"/>
      <c r="E150" s="24"/>
      <c r="F150" s="24"/>
      <c r="G150" s="24"/>
      <c r="H150" s="80"/>
      <c r="I150" s="55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</row>
    <row r="151" spans="1:38" s="140" customFormat="1" ht="18" customHeight="1">
      <c r="A151" s="24"/>
      <c r="B151" s="24"/>
      <c r="C151" s="24"/>
      <c r="D151" s="24"/>
      <c r="E151" s="24"/>
      <c r="F151" s="24"/>
      <c r="G151" s="24"/>
      <c r="H151" s="80"/>
      <c r="I151" s="55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</row>
    <row r="152" spans="1:38" s="140" customFormat="1" ht="18" customHeight="1">
      <c r="A152" s="24"/>
      <c r="B152" s="24"/>
      <c r="C152" s="24"/>
      <c r="D152" s="24"/>
      <c r="E152" s="24"/>
      <c r="F152" s="24"/>
      <c r="G152" s="24"/>
      <c r="H152" s="80"/>
      <c r="I152" s="55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</row>
    <row r="153" spans="1:38" s="140" customFormat="1" ht="18" customHeight="1">
      <c r="A153" s="24"/>
      <c r="B153" s="24"/>
      <c r="C153" s="24"/>
      <c r="D153" s="24"/>
      <c r="E153" s="24"/>
      <c r="F153" s="24"/>
      <c r="G153" s="24"/>
      <c r="H153" s="80"/>
      <c r="I153" s="55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</row>
    <row r="154" spans="1:38" s="140" customFormat="1" ht="18" customHeight="1">
      <c r="A154" s="24"/>
      <c r="B154" s="24"/>
      <c r="C154" s="24"/>
      <c r="D154" s="24"/>
      <c r="E154" s="24"/>
      <c r="F154" s="24"/>
      <c r="G154" s="24"/>
      <c r="H154" s="80"/>
      <c r="I154" s="55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</row>
    <row r="155" spans="1:38" s="140" customFormat="1" ht="18" customHeight="1">
      <c r="A155" s="24"/>
      <c r="B155" s="24"/>
      <c r="C155" s="24"/>
      <c r="D155" s="24"/>
      <c r="E155" s="24"/>
      <c r="F155" s="24"/>
      <c r="G155" s="24"/>
      <c r="H155" s="80"/>
      <c r="I155" s="55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</row>
    <row r="156" spans="1:38" s="140" customFormat="1" ht="18" customHeight="1">
      <c r="A156" s="24"/>
      <c r="B156" s="24"/>
      <c r="C156" s="24"/>
      <c r="D156" s="24"/>
      <c r="E156" s="24"/>
      <c r="F156" s="24"/>
      <c r="G156" s="24"/>
      <c r="H156" s="80"/>
      <c r="I156" s="55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</row>
    <row r="157" spans="1:38" s="140" customFormat="1" ht="18" customHeight="1">
      <c r="A157" s="24"/>
      <c r="B157" s="24"/>
      <c r="C157" s="24"/>
      <c r="D157" s="24"/>
      <c r="E157" s="24"/>
      <c r="F157" s="24"/>
      <c r="G157" s="24"/>
      <c r="H157" s="80"/>
      <c r="I157" s="55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</row>
    <row r="158" spans="1:38" s="140" customFormat="1" ht="18" customHeight="1">
      <c r="A158" s="24"/>
      <c r="B158" s="24"/>
      <c r="C158" s="24"/>
      <c r="D158" s="24"/>
      <c r="E158" s="24"/>
      <c r="F158" s="24"/>
      <c r="G158" s="24"/>
      <c r="H158" s="80"/>
      <c r="I158" s="55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</row>
    <row r="159" spans="1:38" s="140" customFormat="1" ht="18" customHeight="1">
      <c r="A159" s="24"/>
      <c r="B159" s="24"/>
      <c r="C159" s="24"/>
      <c r="D159" s="24"/>
      <c r="E159" s="24"/>
      <c r="F159" s="24"/>
      <c r="G159" s="24"/>
      <c r="H159" s="80"/>
      <c r="I159" s="55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</row>
    <row r="160" spans="1:38" s="140" customFormat="1" ht="18" customHeight="1">
      <c r="A160" s="24"/>
      <c r="B160" s="24"/>
      <c r="C160" s="24"/>
      <c r="D160" s="24"/>
      <c r="E160" s="24"/>
      <c r="F160" s="24"/>
      <c r="G160" s="24"/>
      <c r="H160" s="80"/>
      <c r="I160" s="55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</row>
    <row r="161" spans="1:38" s="140" customFormat="1" ht="18" customHeight="1">
      <c r="A161" s="24"/>
      <c r="B161" s="24"/>
      <c r="C161" s="24"/>
      <c r="D161" s="24"/>
      <c r="E161" s="24"/>
      <c r="F161" s="24"/>
      <c r="G161" s="24"/>
      <c r="H161" s="80"/>
      <c r="I161" s="55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</row>
    <row r="162" spans="1:38" s="140" customFormat="1" ht="18" customHeight="1">
      <c r="A162" s="24"/>
      <c r="B162" s="24"/>
      <c r="C162" s="24"/>
      <c r="D162" s="24"/>
      <c r="E162" s="24"/>
      <c r="F162" s="24"/>
      <c r="G162" s="24"/>
      <c r="H162" s="80"/>
      <c r="I162" s="55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</row>
    <row r="163" spans="1:38" s="140" customFormat="1" ht="18" customHeight="1">
      <c r="A163" s="24"/>
      <c r="B163" s="24"/>
      <c r="C163" s="24"/>
      <c r="D163" s="24"/>
      <c r="E163" s="24"/>
      <c r="F163" s="24"/>
      <c r="G163" s="24"/>
      <c r="H163" s="80"/>
      <c r="I163" s="55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</row>
    <row r="164" spans="1:38" s="140" customFormat="1" ht="18" customHeight="1">
      <c r="A164" s="24"/>
      <c r="B164" s="24"/>
      <c r="C164" s="24"/>
      <c r="D164" s="24"/>
      <c r="E164" s="24"/>
      <c r="F164" s="24"/>
      <c r="G164" s="24"/>
      <c r="H164" s="80"/>
      <c r="I164" s="55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</row>
    <row r="165" spans="1:38" s="140" customFormat="1" ht="18" customHeight="1">
      <c r="A165" s="24"/>
      <c r="B165" s="24"/>
      <c r="C165" s="24"/>
      <c r="D165" s="24"/>
      <c r="E165" s="24"/>
      <c r="F165" s="24"/>
      <c r="G165" s="24"/>
      <c r="H165" s="80"/>
      <c r="I165" s="55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</row>
    <row r="166" spans="1:38" s="140" customFormat="1" ht="18" customHeight="1">
      <c r="A166" s="24"/>
      <c r="B166" s="24"/>
      <c r="C166" s="24"/>
      <c r="D166" s="24"/>
      <c r="E166" s="24"/>
      <c r="F166" s="24"/>
      <c r="G166" s="24"/>
      <c r="H166" s="80"/>
      <c r="I166" s="55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</row>
    <row r="167" spans="1:38" s="140" customFormat="1" ht="18" customHeight="1">
      <c r="A167" s="24"/>
      <c r="B167" s="24"/>
      <c r="C167" s="24"/>
      <c r="D167" s="24"/>
      <c r="E167" s="24"/>
      <c r="F167" s="24"/>
      <c r="G167" s="24"/>
      <c r="H167" s="80"/>
      <c r="I167" s="55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</row>
    <row r="168" spans="1:38" s="140" customFormat="1" ht="18" customHeight="1">
      <c r="A168" s="24"/>
      <c r="B168" s="24"/>
      <c r="C168" s="24"/>
      <c r="D168" s="24"/>
      <c r="E168" s="24"/>
      <c r="F168" s="24"/>
      <c r="G168" s="24"/>
      <c r="H168" s="80"/>
      <c r="I168" s="55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</row>
    <row r="169" spans="1:38" s="140" customFormat="1" ht="18" customHeight="1">
      <c r="A169" s="24"/>
      <c r="B169" s="24"/>
      <c r="C169" s="24"/>
      <c r="D169" s="24"/>
      <c r="E169" s="24"/>
      <c r="F169" s="24"/>
      <c r="G169" s="24"/>
      <c r="H169" s="80"/>
      <c r="I169" s="55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</row>
    <row r="170" spans="1:38" s="140" customFormat="1" ht="18" customHeight="1">
      <c r="A170" s="24"/>
      <c r="B170" s="24"/>
      <c r="C170" s="24"/>
      <c r="D170" s="24"/>
      <c r="E170" s="24"/>
      <c r="F170" s="24"/>
      <c r="G170" s="24"/>
      <c r="H170" s="80"/>
      <c r="I170" s="55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</row>
    <row r="171" spans="1:38" s="140" customFormat="1" ht="18" customHeight="1">
      <c r="A171" s="24"/>
      <c r="B171" s="24"/>
      <c r="C171" s="24"/>
      <c r="D171" s="24"/>
      <c r="E171" s="24"/>
      <c r="F171" s="24"/>
      <c r="G171" s="24"/>
      <c r="H171" s="80"/>
      <c r="I171" s="55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</row>
    <row r="172" spans="1:38" s="140" customFormat="1" ht="18" customHeight="1">
      <c r="A172" s="24"/>
      <c r="B172" s="24"/>
      <c r="C172" s="24"/>
      <c r="D172" s="24"/>
      <c r="E172" s="24"/>
      <c r="F172" s="24"/>
      <c r="G172" s="24"/>
      <c r="H172" s="80"/>
      <c r="I172" s="55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</row>
    <row r="173" spans="1:38" s="140" customFormat="1" ht="18" customHeight="1">
      <c r="A173" s="24"/>
      <c r="B173" s="24"/>
      <c r="C173" s="24"/>
      <c r="D173" s="24"/>
      <c r="E173" s="24"/>
      <c r="F173" s="24"/>
      <c r="G173" s="24"/>
      <c r="H173" s="80"/>
      <c r="I173" s="55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</row>
    <row r="174" spans="1:38" s="140" customFormat="1" ht="18" customHeight="1">
      <c r="A174" s="24"/>
      <c r="B174" s="24"/>
      <c r="C174" s="24"/>
      <c r="D174" s="24"/>
      <c r="E174" s="24"/>
      <c r="F174" s="24"/>
      <c r="G174" s="24"/>
      <c r="H174" s="80"/>
      <c r="I174" s="55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</row>
    <row r="175" spans="1:38" s="140" customFormat="1" ht="18" customHeight="1">
      <c r="A175" s="24"/>
      <c r="B175" s="24"/>
      <c r="C175" s="24"/>
      <c r="D175" s="24"/>
      <c r="E175" s="24"/>
      <c r="F175" s="24"/>
      <c r="G175" s="24"/>
      <c r="H175" s="80"/>
      <c r="I175" s="55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</row>
    <row r="176" spans="1:38" s="140" customFormat="1" ht="18" customHeight="1">
      <c r="A176" s="24"/>
      <c r="B176" s="24"/>
      <c r="C176" s="24"/>
      <c r="D176" s="24"/>
      <c r="E176" s="24"/>
      <c r="F176" s="24"/>
      <c r="G176" s="24"/>
      <c r="H176" s="80"/>
      <c r="I176" s="55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</row>
    <row r="177" spans="1:38" s="140" customFormat="1" ht="18" customHeight="1">
      <c r="A177" s="24"/>
      <c r="B177" s="24"/>
      <c r="C177" s="24"/>
      <c r="D177" s="24"/>
      <c r="E177" s="24"/>
      <c r="F177" s="24"/>
      <c r="G177" s="24"/>
      <c r="H177" s="80"/>
      <c r="I177" s="55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</row>
    <row r="178" spans="1:38" s="140" customFormat="1" ht="18" customHeight="1">
      <c r="A178" s="24"/>
      <c r="B178" s="24"/>
      <c r="C178" s="24"/>
      <c r="D178" s="24"/>
      <c r="E178" s="24"/>
      <c r="F178" s="24"/>
      <c r="G178" s="24"/>
      <c r="H178" s="80"/>
      <c r="I178" s="55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</row>
    <row r="179" spans="1:38" s="140" customFormat="1" ht="18" customHeight="1">
      <c r="A179" s="24"/>
      <c r="B179" s="24"/>
      <c r="C179" s="24"/>
      <c r="D179" s="24"/>
      <c r="E179" s="24"/>
      <c r="F179" s="24"/>
      <c r="G179" s="24"/>
      <c r="H179" s="80"/>
      <c r="I179" s="55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</row>
    <row r="180" spans="1:38" s="140" customFormat="1" ht="18" customHeight="1">
      <c r="A180" s="24"/>
      <c r="B180" s="24"/>
      <c r="C180" s="24"/>
      <c r="D180" s="24"/>
      <c r="E180" s="24"/>
      <c r="F180" s="24"/>
      <c r="G180" s="24"/>
      <c r="H180" s="80"/>
      <c r="I180" s="55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</row>
    <row r="181" spans="1:38" s="140" customFormat="1" ht="18" customHeight="1">
      <c r="A181" s="24"/>
      <c r="B181" s="24"/>
      <c r="C181" s="24"/>
      <c r="D181" s="24"/>
      <c r="E181" s="24"/>
      <c r="F181" s="24"/>
      <c r="G181" s="24"/>
      <c r="H181" s="80"/>
      <c r="I181" s="55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</row>
    <row r="182" spans="1:38" s="140" customFormat="1" ht="18" customHeight="1">
      <c r="A182" s="24"/>
      <c r="B182" s="24"/>
      <c r="C182" s="24"/>
      <c r="D182" s="24"/>
      <c r="E182" s="24"/>
      <c r="F182" s="24"/>
      <c r="G182" s="24"/>
      <c r="H182" s="80"/>
      <c r="I182" s="55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</row>
    <row r="183" spans="1:38" s="1" customFormat="1" ht="18" customHeight="1">
      <c r="A183" s="24"/>
      <c r="B183" s="24"/>
      <c r="C183" s="24"/>
      <c r="D183" s="24"/>
      <c r="E183" s="24"/>
      <c r="F183" s="24"/>
      <c r="G183" s="24"/>
      <c r="H183" s="80"/>
    </row>
    <row r="184" spans="1:38" s="1" customFormat="1" ht="18" customHeight="1">
      <c r="A184" s="24"/>
      <c r="B184" s="24"/>
      <c r="C184" s="24"/>
      <c r="D184" s="24"/>
      <c r="E184" s="24"/>
      <c r="F184" s="24"/>
      <c r="G184" s="24"/>
      <c r="H184" s="80"/>
    </row>
    <row r="185" spans="1:38" s="140" customFormat="1" ht="18" customHeight="1">
      <c r="A185" s="24"/>
      <c r="B185" s="24"/>
      <c r="C185" s="24"/>
      <c r="D185" s="24"/>
      <c r="E185" s="24"/>
      <c r="F185" s="24"/>
      <c r="G185" s="24"/>
      <c r="H185" s="80"/>
      <c r="I185" s="55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</row>
    <row r="186" spans="1:38" s="140" customFormat="1" ht="18" customHeight="1">
      <c r="A186" s="24"/>
      <c r="B186" s="24"/>
      <c r="C186" s="24"/>
      <c r="D186" s="24"/>
      <c r="E186" s="24"/>
      <c r="F186" s="24"/>
      <c r="G186" s="24"/>
      <c r="H186" s="80"/>
      <c r="I186" s="55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</row>
    <row r="187" spans="1:38" s="140" customFormat="1" ht="18" customHeight="1">
      <c r="A187" s="24"/>
      <c r="B187" s="24"/>
      <c r="C187" s="24"/>
      <c r="D187" s="24"/>
      <c r="E187" s="24"/>
      <c r="F187" s="24"/>
      <c r="G187" s="24"/>
      <c r="H187" s="80"/>
      <c r="I187" s="55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</row>
    <row r="188" spans="1:38" s="140" customFormat="1" ht="18" customHeight="1">
      <c r="A188" s="24"/>
      <c r="B188" s="24"/>
      <c r="C188" s="24"/>
      <c r="D188" s="24"/>
      <c r="E188" s="24"/>
      <c r="F188" s="24"/>
      <c r="G188" s="24"/>
      <c r="H188" s="80"/>
      <c r="I188" s="55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</row>
    <row r="189" spans="1:38" s="140" customFormat="1" ht="18" customHeight="1">
      <c r="A189" s="24"/>
      <c r="B189" s="24"/>
      <c r="C189" s="24"/>
      <c r="D189" s="24"/>
      <c r="E189" s="24"/>
      <c r="F189" s="24"/>
      <c r="G189" s="24"/>
      <c r="H189" s="80"/>
      <c r="I189" s="55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</row>
    <row r="190" spans="1:38" s="140" customFormat="1" ht="18" customHeight="1">
      <c r="A190" s="24"/>
      <c r="B190" s="24"/>
      <c r="C190" s="24"/>
      <c r="D190" s="24"/>
      <c r="E190" s="24"/>
      <c r="F190" s="24"/>
      <c r="G190" s="24"/>
      <c r="H190" s="80"/>
      <c r="I190" s="55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</row>
    <row r="191" spans="1:38" s="140" customFormat="1" ht="18" customHeight="1">
      <c r="A191" s="24"/>
      <c r="B191" s="24"/>
      <c r="C191" s="24"/>
      <c r="D191" s="24"/>
      <c r="E191" s="24"/>
      <c r="F191" s="24"/>
      <c r="G191" s="24"/>
      <c r="H191" s="80"/>
      <c r="I191" s="55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</row>
    <row r="192" spans="1:38" s="140" customFormat="1" ht="18" customHeight="1">
      <c r="A192" s="24"/>
      <c r="B192" s="24"/>
      <c r="C192" s="24"/>
      <c r="D192" s="24"/>
      <c r="E192" s="24"/>
      <c r="F192" s="24"/>
      <c r="G192" s="24"/>
      <c r="H192" s="80"/>
      <c r="I192" s="55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</row>
    <row r="193" spans="1:38" s="140" customFormat="1" ht="18" customHeight="1">
      <c r="A193" s="24"/>
      <c r="B193" s="24"/>
      <c r="C193" s="24"/>
      <c r="D193" s="24"/>
      <c r="E193" s="24"/>
      <c r="F193" s="24"/>
      <c r="G193" s="24"/>
      <c r="H193" s="80"/>
      <c r="I193" s="55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</row>
    <row r="194" spans="1:38" s="140" customFormat="1" ht="18" customHeight="1">
      <c r="A194" s="24"/>
      <c r="B194" s="24"/>
      <c r="C194" s="24"/>
      <c r="D194" s="24"/>
      <c r="E194" s="24"/>
      <c r="F194" s="24"/>
      <c r="G194" s="24"/>
      <c r="H194" s="80"/>
      <c r="I194" s="55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</row>
    <row r="195" spans="1:38" s="140" customFormat="1" ht="18" customHeight="1">
      <c r="A195" s="24"/>
      <c r="B195" s="24"/>
      <c r="C195" s="24"/>
      <c r="D195" s="24"/>
      <c r="E195" s="24"/>
      <c r="F195" s="24"/>
      <c r="G195" s="24"/>
      <c r="H195" s="80"/>
      <c r="I195" s="55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</row>
    <row r="196" spans="1:38" s="140" customFormat="1" ht="18" customHeight="1">
      <c r="A196" s="24"/>
      <c r="B196" s="24"/>
      <c r="C196" s="24"/>
      <c r="D196" s="24"/>
      <c r="E196" s="24"/>
      <c r="F196" s="24"/>
      <c r="G196" s="24"/>
      <c r="H196" s="80"/>
      <c r="I196" s="55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</row>
    <row r="197" spans="1:38" s="140" customFormat="1" ht="18" customHeight="1">
      <c r="A197" s="24"/>
      <c r="B197" s="24"/>
      <c r="C197" s="24"/>
      <c r="D197" s="24"/>
      <c r="E197" s="24"/>
      <c r="F197" s="24"/>
      <c r="G197" s="24"/>
      <c r="H197" s="80"/>
      <c r="I197" s="55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</row>
    <row r="198" spans="1:38" s="140" customFormat="1" ht="18" customHeight="1">
      <c r="A198" s="24"/>
      <c r="B198" s="24"/>
      <c r="C198" s="24"/>
      <c r="D198" s="24"/>
      <c r="E198" s="24"/>
      <c r="F198" s="24"/>
      <c r="G198" s="24"/>
      <c r="H198" s="80"/>
      <c r="I198" s="55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</row>
    <row r="199" spans="1:38" s="140" customFormat="1" ht="18" customHeight="1">
      <c r="A199" s="24"/>
      <c r="B199" s="24"/>
      <c r="C199" s="24"/>
      <c r="D199" s="24"/>
      <c r="E199" s="24"/>
      <c r="F199" s="24"/>
      <c r="G199" s="24"/>
      <c r="H199" s="80"/>
      <c r="I199" s="55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</row>
    <row r="200" spans="1:38" s="140" customFormat="1" ht="18" customHeight="1">
      <c r="A200" s="24"/>
      <c r="B200" s="24"/>
      <c r="C200" s="24"/>
      <c r="D200" s="24"/>
      <c r="E200" s="24"/>
      <c r="F200" s="24"/>
      <c r="G200" s="24"/>
      <c r="H200" s="80"/>
      <c r="I200" s="55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</row>
    <row r="201" spans="1:38" s="140" customFormat="1" ht="18" customHeight="1">
      <c r="A201" s="24"/>
      <c r="B201" s="24"/>
      <c r="C201" s="24"/>
      <c r="D201" s="24"/>
      <c r="E201" s="24"/>
      <c r="F201" s="24"/>
      <c r="G201" s="24"/>
      <c r="H201" s="80"/>
      <c r="I201" s="55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</row>
    <row r="202" spans="1:38" s="140" customFormat="1" ht="18" customHeight="1">
      <c r="A202" s="24"/>
      <c r="B202" s="24"/>
      <c r="C202" s="24"/>
      <c r="D202" s="24"/>
      <c r="E202" s="24"/>
      <c r="F202" s="24"/>
      <c r="G202" s="24"/>
      <c r="H202" s="80"/>
      <c r="I202" s="55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</row>
    <row r="203" spans="1:38" s="140" customFormat="1" ht="18" customHeight="1">
      <c r="A203" s="24"/>
      <c r="B203" s="24"/>
      <c r="C203" s="24"/>
      <c r="D203" s="24"/>
      <c r="E203" s="24"/>
      <c r="F203" s="24"/>
      <c r="G203" s="24"/>
      <c r="H203" s="80"/>
      <c r="I203" s="55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</row>
    <row r="204" spans="1:38" s="140" customFormat="1" ht="18" customHeight="1">
      <c r="A204" s="24"/>
      <c r="B204" s="24"/>
      <c r="C204" s="24"/>
      <c r="D204" s="24"/>
      <c r="E204" s="24"/>
      <c r="F204" s="24"/>
      <c r="G204" s="24"/>
      <c r="H204" s="80"/>
      <c r="I204" s="55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</row>
    <row r="205" spans="1:38" s="140" customFormat="1" ht="18" customHeight="1">
      <c r="A205" s="24"/>
      <c r="B205" s="24"/>
      <c r="C205" s="24"/>
      <c r="D205" s="24"/>
      <c r="E205" s="24"/>
      <c r="F205" s="24"/>
      <c r="G205" s="24"/>
      <c r="H205" s="80"/>
      <c r="I205" s="55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</row>
    <row r="206" spans="1:38" s="140" customFormat="1" ht="18" customHeight="1">
      <c r="A206" s="24"/>
      <c r="B206" s="24"/>
      <c r="C206" s="24"/>
      <c r="D206" s="24"/>
      <c r="E206" s="24"/>
      <c r="F206" s="24"/>
      <c r="G206" s="24"/>
      <c r="H206" s="80"/>
      <c r="I206" s="55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</row>
    <row r="207" spans="1:38" s="140" customFormat="1" ht="18" customHeight="1">
      <c r="A207" s="24"/>
      <c r="B207" s="24"/>
      <c r="C207" s="24"/>
      <c r="D207" s="24"/>
      <c r="E207" s="24"/>
      <c r="F207" s="24"/>
      <c r="G207" s="24"/>
      <c r="H207" s="80"/>
      <c r="I207" s="55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</row>
    <row r="208" spans="1:38" s="1" customFormat="1" ht="18" customHeight="1">
      <c r="A208" s="24"/>
      <c r="B208" s="24"/>
      <c r="C208" s="24"/>
      <c r="D208" s="24"/>
      <c r="E208" s="24"/>
      <c r="F208" s="24"/>
      <c r="G208" s="24"/>
      <c r="H208" s="80"/>
    </row>
    <row r="209" spans="1:30" s="1" customFormat="1" ht="18" customHeight="1">
      <c r="A209" s="24"/>
      <c r="B209" s="24"/>
      <c r="C209" s="24"/>
      <c r="D209" s="24"/>
      <c r="E209" s="24"/>
      <c r="F209" s="24"/>
      <c r="G209" s="24"/>
      <c r="H209" s="80"/>
    </row>
    <row r="210" spans="1:30" s="1" customFormat="1" ht="18" customHeight="1">
      <c r="A210" s="24"/>
      <c r="B210" s="24"/>
      <c r="C210" s="24"/>
      <c r="D210" s="24"/>
      <c r="E210" s="24"/>
      <c r="F210" s="24"/>
      <c r="G210" s="24"/>
      <c r="H210" s="80"/>
    </row>
    <row r="211" spans="1:30" s="1" customFormat="1" ht="18" customHeight="1">
      <c r="A211" s="24"/>
      <c r="B211" s="24"/>
      <c r="C211" s="24"/>
      <c r="D211" s="24"/>
      <c r="E211" s="24"/>
      <c r="F211" s="24"/>
      <c r="G211" s="24"/>
      <c r="H211" s="80"/>
    </row>
    <row r="212" spans="1:30" s="1" customFormat="1" ht="18" customHeight="1">
      <c r="A212" s="24"/>
      <c r="B212" s="24"/>
      <c r="C212" s="24"/>
      <c r="D212" s="24"/>
      <c r="E212" s="24"/>
      <c r="F212" s="24"/>
      <c r="G212" s="24"/>
      <c r="H212" s="80"/>
    </row>
    <row r="213" spans="1:30" s="1" customFormat="1" ht="18" customHeight="1">
      <c r="A213" s="24"/>
      <c r="B213" s="24"/>
      <c r="C213" s="24"/>
      <c r="D213" s="24"/>
      <c r="E213" s="24"/>
      <c r="F213" s="24"/>
      <c r="G213" s="24"/>
      <c r="H213" s="80"/>
    </row>
    <row r="214" spans="1:30" s="1" customFormat="1" ht="18" customHeight="1">
      <c r="A214" s="24"/>
      <c r="B214" s="24"/>
      <c r="C214" s="24"/>
      <c r="D214" s="24"/>
      <c r="E214" s="24"/>
      <c r="F214" s="24"/>
      <c r="G214" s="24"/>
      <c r="H214" s="80"/>
    </row>
    <row r="215" spans="1:30" s="140" customFormat="1" ht="18" customHeight="1">
      <c r="A215" s="24"/>
      <c r="B215" s="24"/>
      <c r="C215" s="24"/>
      <c r="D215" s="24"/>
      <c r="E215" s="24"/>
      <c r="F215" s="24"/>
      <c r="G215" s="24"/>
      <c r="H215" s="80"/>
      <c r="I215" s="63"/>
      <c r="J215" s="63"/>
      <c r="K215" s="63"/>
    </row>
    <row r="216" spans="1:30" s="140" customFormat="1" ht="18" customHeight="1">
      <c r="A216" s="24"/>
      <c r="B216" s="24"/>
      <c r="C216" s="24"/>
      <c r="D216" s="24"/>
      <c r="E216" s="24"/>
      <c r="F216" s="24"/>
      <c r="G216" s="24"/>
      <c r="H216" s="80"/>
      <c r="I216" s="63"/>
      <c r="J216" s="63"/>
      <c r="K216" s="63"/>
    </row>
    <row r="217" spans="1:30" s="1" customFormat="1" ht="18" customHeight="1">
      <c r="A217" s="24"/>
      <c r="B217" s="24"/>
      <c r="C217" s="24"/>
      <c r="D217" s="24"/>
      <c r="E217" s="24"/>
      <c r="F217" s="24"/>
      <c r="G217" s="24"/>
      <c r="H217" s="80"/>
    </row>
    <row r="218" spans="1:30" s="1" customFormat="1" ht="18" customHeight="1">
      <c r="A218" s="24"/>
      <c r="B218" s="24"/>
      <c r="C218" s="24"/>
      <c r="D218" s="24"/>
      <c r="E218" s="24"/>
      <c r="F218" s="24"/>
      <c r="G218" s="24"/>
      <c r="H218" s="80"/>
    </row>
    <row r="219" spans="1:30" s="1" customFormat="1" ht="18" customHeight="1">
      <c r="A219" s="24"/>
      <c r="B219" s="24"/>
      <c r="C219" s="24"/>
      <c r="D219" s="24"/>
      <c r="E219" s="24"/>
      <c r="F219" s="24"/>
      <c r="G219" s="24"/>
      <c r="H219" s="80"/>
    </row>
    <row r="220" spans="1:30" s="1" customFormat="1" ht="18" customHeight="1">
      <c r="A220" s="24"/>
      <c r="B220" s="24"/>
      <c r="C220" s="24"/>
      <c r="D220" s="24"/>
      <c r="E220" s="24"/>
      <c r="F220" s="24"/>
      <c r="G220" s="24"/>
      <c r="H220" s="80"/>
    </row>
    <row r="221" spans="1:30" s="1" customFormat="1" ht="18" customHeight="1">
      <c r="A221" s="24"/>
      <c r="B221" s="24"/>
      <c r="C221" s="24"/>
      <c r="D221" s="24"/>
      <c r="E221" s="24"/>
      <c r="F221" s="24"/>
      <c r="G221" s="24"/>
      <c r="H221" s="80"/>
    </row>
    <row r="222" spans="1:30" s="140" customFormat="1" ht="18" customHeight="1">
      <c r="A222" s="24"/>
      <c r="B222" s="24"/>
      <c r="C222" s="24"/>
      <c r="D222" s="24"/>
      <c r="E222" s="24"/>
      <c r="F222" s="24"/>
      <c r="G222" s="24"/>
      <c r="H222" s="80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</row>
    <row r="223" spans="1:30" s="140" customFormat="1" ht="18" customHeight="1">
      <c r="A223" s="24"/>
      <c r="B223" s="24"/>
      <c r="C223" s="24"/>
      <c r="D223" s="24"/>
      <c r="E223" s="24"/>
      <c r="F223" s="24"/>
      <c r="G223" s="24"/>
      <c r="H223" s="80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</row>
    <row r="224" spans="1:30" s="140" customFormat="1" ht="18" customHeight="1">
      <c r="A224" s="24"/>
      <c r="B224" s="24"/>
      <c r="C224" s="24"/>
      <c r="D224" s="24"/>
      <c r="E224" s="24"/>
      <c r="F224" s="24"/>
      <c r="G224" s="24"/>
      <c r="H224" s="80"/>
    </row>
    <row r="225" spans="1:30" s="140" customFormat="1" ht="18" customHeight="1">
      <c r="A225" s="24"/>
      <c r="B225" s="24"/>
      <c r="C225" s="24"/>
      <c r="D225" s="24"/>
      <c r="E225" s="24"/>
      <c r="F225" s="24"/>
      <c r="G225" s="24"/>
      <c r="H225" s="80"/>
    </row>
    <row r="226" spans="1:30" s="140" customFormat="1" ht="18" customHeight="1">
      <c r="A226" s="24"/>
      <c r="B226" s="24"/>
      <c r="C226" s="24"/>
      <c r="D226" s="24"/>
      <c r="E226" s="24"/>
      <c r="F226" s="24"/>
      <c r="G226" s="24"/>
      <c r="H226" s="80"/>
    </row>
    <row r="227" spans="1:30" s="1" customFormat="1" ht="18" customHeight="1">
      <c r="A227" s="24"/>
      <c r="B227" s="24"/>
      <c r="C227" s="24"/>
      <c r="D227" s="24"/>
      <c r="E227" s="24"/>
      <c r="F227" s="24"/>
      <c r="G227" s="24"/>
      <c r="H227" s="80"/>
    </row>
    <row r="228" spans="1:30" s="1" customFormat="1" ht="18" customHeight="1">
      <c r="A228" s="24"/>
      <c r="B228" s="24"/>
      <c r="C228" s="24"/>
      <c r="D228" s="24"/>
      <c r="E228" s="24"/>
      <c r="F228" s="24"/>
      <c r="G228" s="24"/>
      <c r="H228" s="80"/>
    </row>
    <row r="229" spans="1:30" s="1" customFormat="1" ht="18" customHeight="1">
      <c r="A229" s="24"/>
      <c r="B229" s="24"/>
      <c r="C229" s="24"/>
      <c r="D229" s="24"/>
      <c r="E229" s="24"/>
      <c r="F229" s="24"/>
      <c r="G229" s="24"/>
      <c r="H229" s="80"/>
    </row>
    <row r="230" spans="1:30" s="1" customFormat="1" ht="18" customHeight="1">
      <c r="A230" s="24"/>
      <c r="B230" s="24"/>
      <c r="C230" s="24"/>
      <c r="D230" s="24"/>
      <c r="E230" s="24"/>
      <c r="F230" s="24"/>
      <c r="G230" s="24"/>
      <c r="H230" s="80"/>
    </row>
    <row r="231" spans="1:30" s="1" customFormat="1" ht="18" customHeight="1">
      <c r="A231" s="24"/>
      <c r="B231" s="24"/>
      <c r="C231" s="24"/>
      <c r="D231" s="24"/>
      <c r="E231" s="24"/>
      <c r="F231" s="24"/>
      <c r="G231" s="24"/>
      <c r="H231" s="80"/>
    </row>
    <row r="232" spans="1:30" s="140" customFormat="1" ht="18" customHeight="1">
      <c r="A232" s="24"/>
      <c r="B232" s="24"/>
      <c r="C232" s="24"/>
      <c r="D232" s="24"/>
      <c r="E232" s="24"/>
      <c r="F232" s="24"/>
      <c r="G232" s="24"/>
      <c r="H232" s="80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</row>
  </sheetData>
  <sheetProtection selectLockedCells="1" selectUnlockedCells="1"/>
  <protectedRanges>
    <protectedRange password="ECE8" sqref="O2:AC4" name="작성자만수정_1"/>
    <protectedRange password="ECE8" sqref="O5:AC9 A93:H97 I92:S214 B72:L91 A72:A87 I227:K231 I217:K221 O56:AC68 O18:AC19 O24:AC25 O30:AC30 O52:AC54 O34:AC35 O42:AC43" name="작성자만수정_2_1_1"/>
  </protectedRanges>
  <autoFilter ref="A3:AY71">
    <filterColumn colId="10" showButton="0"/>
    <filterColumn colId="11" showButton="0"/>
  </autoFilter>
  <mergeCells count="12">
    <mergeCell ref="J2:J3"/>
    <mergeCell ref="K2:M3"/>
    <mergeCell ref="A2:A3"/>
    <mergeCell ref="B2:D2"/>
    <mergeCell ref="E2:G2"/>
    <mergeCell ref="H2:H3"/>
    <mergeCell ref="I2:I3"/>
    <mergeCell ref="N52:U52"/>
    <mergeCell ref="A4:G4"/>
    <mergeCell ref="N7:U7"/>
    <mergeCell ref="F62:G62"/>
    <mergeCell ref="F66:G66"/>
  </mergeCells>
  <phoneticPr fontId="12" type="noConversion"/>
  <conditionalFormatting sqref="J67:J68">
    <cfRule type="containsText" dxfId="1013" priority="199" operator="containsText" text="허하나로">
      <formula>NOT(ISERROR(SEARCH("허하나로",H1093)))</formula>
    </cfRule>
    <cfRule type="containsText" dxfId="1012" priority="200" operator="containsText" text="한별">
      <formula>NOT(ISERROR(SEARCH("한별",H1093)))</formula>
    </cfRule>
    <cfRule type="containsText" dxfId="1011" priority="201" operator="containsText" text="정홍조">
      <formula>NOT(ISERROR(SEARCH("정홍조",H1093)))</formula>
    </cfRule>
    <cfRule type="containsText" dxfId="1010" priority="202" operator="containsText" text="김지윤">
      <formula>NOT(ISERROR(SEARCH("김지윤",H1093)))</formula>
    </cfRule>
    <cfRule type="containsText" dxfId="1009" priority="203" operator="containsText" text="전준영">
      <formula>NOT(ISERROR(SEARCH("전준영",H1093)))</formula>
    </cfRule>
    <cfRule type="containsText" dxfId="1008" priority="204" operator="containsText" text="차재성">
      <formula>NOT(ISERROR(SEARCH("차재성",H1093)))</formula>
    </cfRule>
  </conditionalFormatting>
  <conditionalFormatting sqref="J6:J9">
    <cfRule type="containsText" dxfId="1007" priority="211" operator="containsText" text="허하나로">
      <formula>NOT(ISERROR(SEARCH("허하나로",H730)))</formula>
    </cfRule>
    <cfRule type="containsText" dxfId="1006" priority="212" operator="containsText" text="한별">
      <formula>NOT(ISERROR(SEARCH("한별",H730)))</formula>
    </cfRule>
    <cfRule type="containsText" dxfId="1005" priority="213" operator="containsText" text="정홍조">
      <formula>NOT(ISERROR(SEARCH("정홍조",H730)))</formula>
    </cfRule>
    <cfRule type="containsText" dxfId="1004" priority="214" operator="containsText" text="김지윤">
      <formula>NOT(ISERROR(SEARCH("김지윤",H730)))</formula>
    </cfRule>
    <cfRule type="containsText" dxfId="1003" priority="215" operator="containsText" text="전준영">
      <formula>NOT(ISERROR(SEARCH("전준영",H730)))</formula>
    </cfRule>
    <cfRule type="containsText" dxfId="1002" priority="216" operator="containsText" text="차재성">
      <formula>NOT(ISERROR(SEARCH("차재성",H730)))</formula>
    </cfRule>
  </conditionalFormatting>
  <conditionalFormatting sqref="J5">
    <cfRule type="containsText" dxfId="1001" priority="205" operator="containsText" text="허하나로">
      <formula>NOT(ISERROR(SEARCH("허하나로",H729)))</formula>
    </cfRule>
    <cfRule type="containsText" dxfId="1000" priority="206" operator="containsText" text="한별">
      <formula>NOT(ISERROR(SEARCH("한별",H729)))</formula>
    </cfRule>
    <cfRule type="containsText" dxfId="999" priority="207" operator="containsText" text="정홍조">
      <formula>NOT(ISERROR(SEARCH("정홍조",H729)))</formula>
    </cfRule>
    <cfRule type="containsText" dxfId="998" priority="208" operator="containsText" text="김지윤">
      <formula>NOT(ISERROR(SEARCH("김지윤",H729)))</formula>
    </cfRule>
    <cfRule type="containsText" dxfId="997" priority="209" operator="containsText" text="전준영">
      <formula>NOT(ISERROR(SEARCH("전준영",H729)))</formula>
    </cfRule>
    <cfRule type="containsText" dxfId="996" priority="210" operator="containsText" text="차재성">
      <formula>NOT(ISERROR(SEARCH("차재성",H729)))</formula>
    </cfRule>
  </conditionalFormatting>
  <conditionalFormatting sqref="J52">
    <cfRule type="containsText" dxfId="995" priority="121" operator="containsText" text="허하나로">
      <formula>NOT(ISERROR(SEARCH("허하나로",H863)))</formula>
    </cfRule>
    <cfRule type="containsText" dxfId="994" priority="122" operator="containsText" text="한별">
      <formula>NOT(ISERROR(SEARCH("한별",H863)))</formula>
    </cfRule>
    <cfRule type="containsText" dxfId="993" priority="123" operator="containsText" text="정홍조">
      <formula>NOT(ISERROR(SEARCH("정홍조",H863)))</formula>
    </cfRule>
    <cfRule type="containsText" dxfId="992" priority="124" operator="containsText" text="김지윤">
      <formula>NOT(ISERROR(SEARCH("김지윤",H863)))</formula>
    </cfRule>
    <cfRule type="containsText" dxfId="991" priority="125" operator="containsText" text="전준영">
      <formula>NOT(ISERROR(SEARCH("전준영",H863)))</formula>
    </cfRule>
    <cfRule type="containsText" dxfId="990" priority="126" operator="containsText" text="차재성">
      <formula>NOT(ISERROR(SEARCH("차재성",H863)))</formula>
    </cfRule>
  </conditionalFormatting>
  <conditionalFormatting sqref="J55:J56">
    <cfRule type="containsText" dxfId="989" priority="97" operator="containsText" text="허하나로">
      <formula>NOT(ISERROR(SEARCH("허하나로",H1071)))</formula>
    </cfRule>
    <cfRule type="containsText" dxfId="988" priority="98" operator="containsText" text="한별">
      <formula>NOT(ISERROR(SEARCH("한별",H1071)))</formula>
    </cfRule>
    <cfRule type="containsText" dxfId="987" priority="99" operator="containsText" text="정홍조">
      <formula>NOT(ISERROR(SEARCH("정홍조",H1071)))</formula>
    </cfRule>
    <cfRule type="containsText" dxfId="986" priority="100" operator="containsText" text="김지윤">
      <formula>NOT(ISERROR(SEARCH("김지윤",H1071)))</formula>
    </cfRule>
    <cfRule type="containsText" dxfId="985" priority="101" operator="containsText" text="전준영">
      <formula>NOT(ISERROR(SEARCH("전준영",H1071)))</formula>
    </cfRule>
    <cfRule type="containsText" dxfId="984" priority="102" operator="containsText" text="차재성">
      <formula>NOT(ISERROR(SEARCH("차재성",H1071)))</formula>
    </cfRule>
  </conditionalFormatting>
  <conditionalFormatting sqref="J58:J59">
    <cfRule type="containsText" dxfId="983" priority="91" operator="containsText" text="허하나로">
      <formula>NOT(ISERROR(SEARCH("허하나로",H1067)))</formula>
    </cfRule>
    <cfRule type="containsText" dxfId="982" priority="92" operator="containsText" text="한별">
      <formula>NOT(ISERROR(SEARCH("한별",H1067)))</formula>
    </cfRule>
    <cfRule type="containsText" dxfId="981" priority="93" operator="containsText" text="정홍조">
      <formula>NOT(ISERROR(SEARCH("정홍조",H1067)))</formula>
    </cfRule>
    <cfRule type="containsText" dxfId="980" priority="94" operator="containsText" text="김지윤">
      <formula>NOT(ISERROR(SEARCH("김지윤",H1067)))</formula>
    </cfRule>
    <cfRule type="containsText" dxfId="979" priority="95" operator="containsText" text="전준영">
      <formula>NOT(ISERROR(SEARCH("전준영",H1067)))</formula>
    </cfRule>
    <cfRule type="containsText" dxfId="978" priority="96" operator="containsText" text="차재성">
      <formula>NOT(ISERROR(SEARCH("차재성",H1067)))</formula>
    </cfRule>
  </conditionalFormatting>
  <conditionalFormatting sqref="J54">
    <cfRule type="containsText" dxfId="977" priority="1177" operator="containsText" text="허하나로">
      <formula>NOT(ISERROR(SEARCH("허하나로",H1060)))</formula>
    </cfRule>
    <cfRule type="containsText" dxfId="976" priority="1178" operator="containsText" text="한별">
      <formula>NOT(ISERROR(SEARCH("한별",H1060)))</formula>
    </cfRule>
    <cfRule type="containsText" dxfId="975" priority="1179" operator="containsText" text="정홍조">
      <formula>NOT(ISERROR(SEARCH("정홍조",H1060)))</formula>
    </cfRule>
    <cfRule type="containsText" dxfId="974" priority="1180" operator="containsText" text="김지윤">
      <formula>NOT(ISERROR(SEARCH("김지윤",H1060)))</formula>
    </cfRule>
    <cfRule type="containsText" dxfId="973" priority="1181" operator="containsText" text="전준영">
      <formula>NOT(ISERROR(SEARCH("전준영",H1060)))</formula>
    </cfRule>
    <cfRule type="containsText" dxfId="972" priority="1182" operator="containsText" text="차재성">
      <formula>NOT(ISERROR(SEARCH("차재성",H1060)))</formula>
    </cfRule>
  </conditionalFormatting>
  <conditionalFormatting sqref="J62:J65">
    <cfRule type="containsText" dxfId="971" priority="1189" operator="containsText" text="허하나로">
      <formula>NOT(ISERROR(SEARCH("허하나로",H1073)))</formula>
    </cfRule>
    <cfRule type="containsText" dxfId="970" priority="1190" operator="containsText" text="한별">
      <formula>NOT(ISERROR(SEARCH("한별",H1073)))</formula>
    </cfRule>
    <cfRule type="containsText" dxfId="969" priority="1191" operator="containsText" text="정홍조">
      <formula>NOT(ISERROR(SEARCH("정홍조",H1073)))</formula>
    </cfRule>
    <cfRule type="containsText" dxfId="968" priority="1192" operator="containsText" text="김지윤">
      <formula>NOT(ISERROR(SEARCH("김지윤",H1073)))</formula>
    </cfRule>
    <cfRule type="containsText" dxfId="967" priority="1193" operator="containsText" text="전준영">
      <formula>NOT(ISERROR(SEARCH("전준영",H1073)))</formula>
    </cfRule>
    <cfRule type="containsText" dxfId="966" priority="1194" operator="containsText" text="차재성">
      <formula>NOT(ISERROR(SEARCH("차재성",H1073)))</formula>
    </cfRule>
  </conditionalFormatting>
  <conditionalFormatting sqref="J66">
    <cfRule type="containsText" dxfId="965" priority="79" operator="containsText" text="허하나로">
      <formula>NOT(ISERROR(SEARCH("허하나로",H1077)))</formula>
    </cfRule>
    <cfRule type="containsText" dxfId="964" priority="80" operator="containsText" text="한별">
      <formula>NOT(ISERROR(SEARCH("한별",H1077)))</formula>
    </cfRule>
    <cfRule type="containsText" dxfId="963" priority="81" operator="containsText" text="정홍조">
      <formula>NOT(ISERROR(SEARCH("정홍조",H1077)))</formula>
    </cfRule>
    <cfRule type="containsText" dxfId="962" priority="82" operator="containsText" text="김지윤">
      <formula>NOT(ISERROR(SEARCH("김지윤",H1077)))</formula>
    </cfRule>
    <cfRule type="containsText" dxfId="961" priority="83" operator="containsText" text="전준영">
      <formula>NOT(ISERROR(SEARCH("전준영",H1077)))</formula>
    </cfRule>
    <cfRule type="containsText" dxfId="960" priority="84" operator="containsText" text="차재성">
      <formula>NOT(ISERROR(SEARCH("차재성",H1077)))</formula>
    </cfRule>
  </conditionalFormatting>
  <conditionalFormatting sqref="L63">
    <cfRule type="containsText" dxfId="959" priority="73" operator="containsText" text="허하나로">
      <formula>NOT(ISERROR(SEARCH("허하나로",J1208)))</formula>
    </cfRule>
    <cfRule type="containsText" dxfId="958" priority="74" operator="containsText" text="한별">
      <formula>NOT(ISERROR(SEARCH("한별",J1208)))</formula>
    </cfRule>
    <cfRule type="containsText" dxfId="957" priority="75" operator="containsText" text="정홍조">
      <formula>NOT(ISERROR(SEARCH("정홍조",J1208)))</formula>
    </cfRule>
    <cfRule type="containsText" dxfId="956" priority="76" operator="containsText" text="김지윤">
      <formula>NOT(ISERROR(SEARCH("김지윤",J1208)))</formula>
    </cfRule>
    <cfRule type="containsText" dxfId="955" priority="77" operator="containsText" text="전준영">
      <formula>NOT(ISERROR(SEARCH("전준영",J1208)))</formula>
    </cfRule>
    <cfRule type="containsText" dxfId="954" priority="78" operator="containsText" text="차재성">
      <formula>NOT(ISERROR(SEARCH("차재성",J1208)))</formula>
    </cfRule>
  </conditionalFormatting>
  <conditionalFormatting sqref="I68">
    <cfRule type="containsText" dxfId="953" priority="67" operator="containsText" text="허하나로">
      <formula>NOT(ISERROR(SEARCH("허하나로",G1094)))</formula>
    </cfRule>
    <cfRule type="containsText" dxfId="952" priority="68" operator="containsText" text="한별">
      <formula>NOT(ISERROR(SEARCH("한별",G1094)))</formula>
    </cfRule>
    <cfRule type="containsText" dxfId="951" priority="69" operator="containsText" text="정홍조">
      <formula>NOT(ISERROR(SEARCH("정홍조",G1094)))</formula>
    </cfRule>
    <cfRule type="containsText" dxfId="950" priority="70" operator="containsText" text="김지윤">
      <formula>NOT(ISERROR(SEARCH("김지윤",G1094)))</formula>
    </cfRule>
    <cfRule type="containsText" dxfId="949" priority="71" operator="containsText" text="전준영">
      <formula>NOT(ISERROR(SEARCH("전준영",G1094)))</formula>
    </cfRule>
    <cfRule type="containsText" dxfId="948" priority="72" operator="containsText" text="차재성">
      <formula>NOT(ISERROR(SEARCH("차재성",G1094)))</formula>
    </cfRule>
  </conditionalFormatting>
  <conditionalFormatting sqref="J60:J61">
    <cfRule type="containsText" dxfId="947" priority="61" operator="containsText" text="허하나로">
      <formula>NOT(ISERROR(SEARCH("허하나로",H1069)))</formula>
    </cfRule>
    <cfRule type="containsText" dxfId="946" priority="62" operator="containsText" text="한별">
      <formula>NOT(ISERROR(SEARCH("한별",H1069)))</formula>
    </cfRule>
    <cfRule type="containsText" dxfId="945" priority="63" operator="containsText" text="정홍조">
      <formula>NOT(ISERROR(SEARCH("정홍조",H1069)))</formula>
    </cfRule>
    <cfRule type="containsText" dxfId="944" priority="64" operator="containsText" text="김지윤">
      <formula>NOT(ISERROR(SEARCH("김지윤",H1069)))</formula>
    </cfRule>
    <cfRule type="containsText" dxfId="943" priority="65" operator="containsText" text="전준영">
      <formula>NOT(ISERROR(SEARCH("전준영",H1069)))</formula>
    </cfRule>
    <cfRule type="containsText" dxfId="942" priority="66" operator="containsText" text="차재성">
      <formula>NOT(ISERROR(SEARCH("차재성",H1069)))</formula>
    </cfRule>
  </conditionalFormatting>
  <conditionalFormatting sqref="J57">
    <cfRule type="containsText" dxfId="941" priority="3655" operator="containsText" text="허하나로">
      <formula>NOT(ISERROR(SEARCH("허하나로",H1062)))</formula>
    </cfRule>
    <cfRule type="containsText" dxfId="940" priority="3656" operator="containsText" text="한별">
      <formula>NOT(ISERROR(SEARCH("한별",H1062)))</formula>
    </cfRule>
    <cfRule type="containsText" dxfId="939" priority="3657" operator="containsText" text="정홍조">
      <formula>NOT(ISERROR(SEARCH("정홍조",H1062)))</formula>
    </cfRule>
    <cfRule type="containsText" dxfId="938" priority="3658" operator="containsText" text="김지윤">
      <formula>NOT(ISERROR(SEARCH("김지윤",H1062)))</formula>
    </cfRule>
    <cfRule type="containsText" dxfId="937" priority="3659" operator="containsText" text="전준영">
      <formula>NOT(ISERROR(SEARCH("전준영",H1062)))</formula>
    </cfRule>
    <cfRule type="containsText" dxfId="936" priority="3660" operator="containsText" text="차재성">
      <formula>NOT(ISERROR(SEARCH("차재성",H1062)))</formula>
    </cfRule>
  </conditionalFormatting>
  <conditionalFormatting sqref="J18:J19">
    <cfRule type="containsText" dxfId="935" priority="31" operator="containsText" text="허하나로">
      <formula>NOT(ISERROR(SEARCH("허하나로",H748)))</formula>
    </cfRule>
    <cfRule type="containsText" dxfId="934" priority="32" operator="containsText" text="한별">
      <formula>NOT(ISERROR(SEARCH("한별",H748)))</formula>
    </cfRule>
    <cfRule type="containsText" dxfId="933" priority="33" operator="containsText" text="정홍조">
      <formula>NOT(ISERROR(SEARCH("정홍조",H748)))</formula>
    </cfRule>
    <cfRule type="containsText" dxfId="932" priority="34" operator="containsText" text="김지윤">
      <formula>NOT(ISERROR(SEARCH("김지윤",H748)))</formula>
    </cfRule>
    <cfRule type="containsText" dxfId="931" priority="35" operator="containsText" text="전준영">
      <formula>NOT(ISERROR(SEARCH("전준영",H748)))</formula>
    </cfRule>
    <cfRule type="containsText" dxfId="930" priority="36" operator="containsText" text="차재성">
      <formula>NOT(ISERROR(SEARCH("차재성",H748)))</formula>
    </cfRule>
  </conditionalFormatting>
  <conditionalFormatting sqref="J24:J25">
    <cfRule type="containsText" dxfId="929" priority="25" operator="containsText" text="허하나로">
      <formula>NOT(ISERROR(SEARCH("허하나로",H754)))</formula>
    </cfRule>
    <cfRule type="containsText" dxfId="928" priority="26" operator="containsText" text="한별">
      <formula>NOT(ISERROR(SEARCH("한별",H754)))</formula>
    </cfRule>
    <cfRule type="containsText" dxfId="927" priority="27" operator="containsText" text="정홍조">
      <formula>NOT(ISERROR(SEARCH("정홍조",H754)))</formula>
    </cfRule>
    <cfRule type="containsText" dxfId="926" priority="28" operator="containsText" text="김지윤">
      <formula>NOT(ISERROR(SEARCH("김지윤",H754)))</formula>
    </cfRule>
    <cfRule type="containsText" dxfId="925" priority="29" operator="containsText" text="전준영">
      <formula>NOT(ISERROR(SEARCH("전준영",H754)))</formula>
    </cfRule>
    <cfRule type="containsText" dxfId="924" priority="30" operator="containsText" text="차재성">
      <formula>NOT(ISERROR(SEARCH("차재성",H754)))</formula>
    </cfRule>
  </conditionalFormatting>
  <conditionalFormatting sqref="J30">
    <cfRule type="containsText" dxfId="923" priority="19" operator="containsText" text="허하나로">
      <formula>NOT(ISERROR(SEARCH("허하나로",H760)))</formula>
    </cfRule>
    <cfRule type="containsText" dxfId="922" priority="20" operator="containsText" text="한별">
      <formula>NOT(ISERROR(SEARCH("한별",H760)))</formula>
    </cfRule>
    <cfRule type="containsText" dxfId="921" priority="21" operator="containsText" text="정홍조">
      <formula>NOT(ISERROR(SEARCH("정홍조",H760)))</formula>
    </cfRule>
    <cfRule type="containsText" dxfId="920" priority="22" operator="containsText" text="김지윤">
      <formula>NOT(ISERROR(SEARCH("김지윤",H760)))</formula>
    </cfRule>
    <cfRule type="containsText" dxfId="919" priority="23" operator="containsText" text="전준영">
      <formula>NOT(ISERROR(SEARCH("전준영",H760)))</formula>
    </cfRule>
    <cfRule type="containsText" dxfId="918" priority="24" operator="containsText" text="차재성">
      <formula>NOT(ISERROR(SEARCH("차재성",H760)))</formula>
    </cfRule>
  </conditionalFormatting>
  <conditionalFormatting sqref="J2:J3">
    <cfRule type="containsText" dxfId="917" priority="13" operator="containsText" text="허하나로">
      <formula>NOT(ISERROR(SEARCH("허하나로",H780)))</formula>
    </cfRule>
    <cfRule type="containsText" dxfId="916" priority="14" operator="containsText" text="한별">
      <formula>NOT(ISERROR(SEARCH("한별",H780)))</formula>
    </cfRule>
    <cfRule type="containsText" dxfId="915" priority="15" operator="containsText" text="정홍조">
      <formula>NOT(ISERROR(SEARCH("정홍조",H780)))</formula>
    </cfRule>
    <cfRule type="containsText" dxfId="914" priority="16" operator="containsText" text="김지윤">
      <formula>NOT(ISERROR(SEARCH("김지윤",H780)))</formula>
    </cfRule>
    <cfRule type="containsText" dxfId="913" priority="17" operator="containsText" text="전준영">
      <formula>NOT(ISERROR(SEARCH("전준영",H780)))</formula>
    </cfRule>
    <cfRule type="containsText" dxfId="912" priority="18" operator="containsText" text="차재성">
      <formula>NOT(ISERROR(SEARCH("차재성",H780)))</formula>
    </cfRule>
  </conditionalFormatting>
  <conditionalFormatting sqref="J34:J35">
    <cfRule type="containsText" dxfId="911" priority="7" operator="containsText" text="허하나로">
      <formula>NOT(ISERROR(SEARCH("허하나로",H764)))</formula>
    </cfRule>
    <cfRule type="containsText" dxfId="910" priority="8" operator="containsText" text="한별">
      <formula>NOT(ISERROR(SEARCH("한별",H764)))</formula>
    </cfRule>
    <cfRule type="containsText" dxfId="909" priority="9" operator="containsText" text="정홍조">
      <formula>NOT(ISERROR(SEARCH("정홍조",H764)))</formula>
    </cfRule>
    <cfRule type="containsText" dxfId="908" priority="10" operator="containsText" text="김지윤">
      <formula>NOT(ISERROR(SEARCH("김지윤",H764)))</formula>
    </cfRule>
    <cfRule type="containsText" dxfId="907" priority="11" operator="containsText" text="전준영">
      <formula>NOT(ISERROR(SEARCH("전준영",H764)))</formula>
    </cfRule>
    <cfRule type="containsText" dxfId="906" priority="12" operator="containsText" text="차재성">
      <formula>NOT(ISERROR(SEARCH("차재성",H764)))</formula>
    </cfRule>
  </conditionalFormatting>
  <conditionalFormatting sqref="J42:J43">
    <cfRule type="containsText" dxfId="905" priority="1" operator="containsText" text="허하나로">
      <formula>NOT(ISERROR(SEARCH("허하나로",H772)))</formula>
    </cfRule>
    <cfRule type="containsText" dxfId="904" priority="2" operator="containsText" text="한별">
      <formula>NOT(ISERROR(SEARCH("한별",H772)))</formula>
    </cfRule>
    <cfRule type="containsText" dxfId="903" priority="3" operator="containsText" text="정홍조">
      <formula>NOT(ISERROR(SEARCH("정홍조",H772)))</formula>
    </cfRule>
    <cfRule type="containsText" dxfId="902" priority="4" operator="containsText" text="김지윤">
      <formula>NOT(ISERROR(SEARCH("김지윤",H772)))</formula>
    </cfRule>
    <cfRule type="containsText" dxfId="901" priority="5" operator="containsText" text="전준영">
      <formula>NOT(ISERROR(SEARCH("전준영",H772)))</formula>
    </cfRule>
    <cfRule type="containsText" dxfId="900" priority="6" operator="containsText" text="차재성">
      <formula>NOT(ISERROR(SEARCH("차재성",H772)))</formula>
    </cfRule>
  </conditionalFormatting>
  <pageMargins left="0.25" right="0.25" top="0.75" bottom="0.75" header="0.3" footer="0.3"/>
  <pageSetup paperSize="9" scale="74" firstPageNumber="0" fitToHeight="0" orientation="landscape" useFirstPageNumber="1" r:id="rId1"/>
  <headerFooter alignWithMargins="0">
    <oddHeader xml:space="preserve">&amp;L&amp;"돋움,굵게"
</oddHeader>
  </headerFooter>
  <rowBreaks count="1" manualBreakCount="1">
    <brk id="33" max="12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5" operator="containsText" text="허하나로" id="{79B152C1-B2E1-40E0-9E75-D7A9F76B9003}">
            <xm:f>NOT(ISERROR(SEARCH("허하나로",행정관리부!H1067)))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8FC6B557-ADFF-4EC7-A5F4-009BA2774F2C}">
            <xm:f>NOT(ISERROR(SEARCH("한별",행정관리부!H1067)))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4B8F03B6-AC04-4287-AD6B-88A50042BCD2}">
            <xm:f>NOT(ISERROR(SEARCH("정홍조",행정관리부!H1067)))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53B9FC3C-3C67-43D0-98A7-5EFFBE6CC4EC}">
            <xm:f>NOT(ISERROR(SEARCH("김지윤",행정관리부!H1067)))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CFBEE776-6AA4-4748-BCCC-D10B4A572B13}">
            <xm:f>NOT(ISERROR(SEARCH("전준영",행정관리부!H1067)))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FC84453E-808D-4BA6-AE79-F755C1A55E4A}">
            <xm:f>NOT(ISERROR(SEARCH("차재성",행정관리부!H1067)))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J71</xm:sqref>
        </x14:conditionalFormatting>
        <x14:conditionalFormatting xmlns:xm="http://schemas.microsoft.com/office/excel/2006/main">
          <x14:cfRule type="containsText" priority="49" operator="containsText" text="허하나로" id="{876F91CA-E610-40FE-81A7-44CDC5489935}">
            <xm:f>NOT(ISERROR(SEARCH("허하나로",행정관리부!H1123)))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5B556011-188D-4A3F-B13D-DC561B03F89B}">
            <xm:f>NOT(ISERROR(SEARCH("한별",행정관리부!H1123)))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ACAB305B-1D7C-4461-83B8-74D3DD016EA6}">
            <xm:f>NOT(ISERROR(SEARCH("정홍조",행정관리부!H1123)))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66FACC27-5BF4-415B-A45F-20971346D5CE}">
            <xm:f>NOT(ISERROR(SEARCH("김지윤",행정관리부!H1123)))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5FB2FFF1-D507-4E64-9BA9-BB6EF899BCB4}">
            <xm:f>NOT(ISERROR(SEARCH("전준영",행정관리부!H1123)))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89227B41-3E6A-4530-A8A2-E80A0BDFEB6D}">
            <xm:f>NOT(ISERROR(SEARCH("차재성",행정관리부!H1123)))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J69:J70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BP31"/>
  <sheetViews>
    <sheetView zoomScale="85" zoomScaleNormal="85" workbookViewId="0">
      <selection activeCell="K30" sqref="K30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" customWidth="1"/>
    <col min="10" max="10" width="14.625" customWidth="1"/>
    <col min="11" max="11" width="62.375" customWidth="1"/>
    <col min="12" max="12" width="3.875" customWidth="1"/>
    <col min="13" max="13" width="14.625" customWidth="1"/>
  </cols>
  <sheetData>
    <row r="1" spans="1:14" ht="17.25" thickBot="1">
      <c r="A1" s="91" t="s">
        <v>154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</row>
    <row r="2" spans="1:14" ht="16.5" customHeight="1">
      <c r="A2" s="585" t="s">
        <v>21</v>
      </c>
      <c r="B2" s="587" t="s">
        <v>22</v>
      </c>
      <c r="C2" s="588"/>
      <c r="D2" s="589"/>
      <c r="E2" s="587" t="s">
        <v>23</v>
      </c>
      <c r="F2" s="588"/>
      <c r="G2" s="589"/>
      <c r="H2" s="565" t="s">
        <v>666</v>
      </c>
      <c r="I2" s="565" t="s">
        <v>731</v>
      </c>
      <c r="J2" s="590" t="s">
        <v>668</v>
      </c>
      <c r="K2" s="576" t="s">
        <v>1</v>
      </c>
      <c r="L2" s="577"/>
      <c r="M2" s="578"/>
    </row>
    <row r="3" spans="1:14" ht="17.25" thickBot="1">
      <c r="A3" s="586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566"/>
      <c r="I3" s="566"/>
      <c r="J3" s="591"/>
      <c r="K3" s="579"/>
      <c r="L3" s="580"/>
      <c r="M3" s="581"/>
    </row>
    <row r="4" spans="1:14" ht="17.25" thickBot="1">
      <c r="A4" s="582" t="s">
        <v>30</v>
      </c>
      <c r="B4" s="583"/>
      <c r="C4" s="583"/>
      <c r="D4" s="583"/>
      <c r="E4" s="583"/>
      <c r="F4" s="583"/>
      <c r="G4" s="584"/>
      <c r="H4" s="188">
        <f>H5</f>
        <v>62518</v>
      </c>
      <c r="I4" s="188">
        <v>62518</v>
      </c>
      <c r="J4" s="123">
        <f>H4-I4</f>
        <v>0</v>
      </c>
      <c r="K4" s="92"/>
      <c r="L4" s="93"/>
      <c r="M4" s="124"/>
    </row>
    <row r="5" spans="1:14">
      <c r="A5" s="210" t="s">
        <v>2</v>
      </c>
      <c r="B5" s="125"/>
      <c r="C5" s="126"/>
      <c r="D5" s="126"/>
      <c r="E5" s="126"/>
      <c r="F5" s="126"/>
      <c r="G5" s="127"/>
      <c r="H5" s="97">
        <f>H6</f>
        <v>62518</v>
      </c>
      <c r="I5" s="97">
        <v>62518</v>
      </c>
      <c r="J5" s="98">
        <f t="shared" ref="J5:J11" si="0">H5-I5</f>
        <v>0</v>
      </c>
      <c r="K5" s="81"/>
      <c r="L5" s="82"/>
      <c r="M5" s="83"/>
    </row>
    <row r="6" spans="1:14">
      <c r="A6" s="10"/>
      <c r="B6" s="132" t="s">
        <v>261</v>
      </c>
      <c r="C6" s="132"/>
      <c r="D6" s="133"/>
      <c r="E6" s="133"/>
      <c r="F6" s="133"/>
      <c r="G6" s="134"/>
      <c r="H6" s="97">
        <f>H7</f>
        <v>62518</v>
      </c>
      <c r="I6" s="97">
        <v>62518</v>
      </c>
      <c r="J6" s="98">
        <f t="shared" si="0"/>
        <v>0</v>
      </c>
      <c r="K6" s="81"/>
      <c r="L6" s="82"/>
      <c r="M6" s="83"/>
    </row>
    <row r="7" spans="1:14">
      <c r="A7" s="10"/>
      <c r="B7" s="6"/>
      <c r="C7" s="182" t="s">
        <v>308</v>
      </c>
      <c r="D7" s="133"/>
      <c r="E7" s="133"/>
      <c r="F7" s="133"/>
      <c r="G7" s="134"/>
      <c r="H7" s="94">
        <f>H8</f>
        <v>62518</v>
      </c>
      <c r="I7" s="94">
        <v>62518</v>
      </c>
      <c r="J7" s="95">
        <f t="shared" si="0"/>
        <v>0</v>
      </c>
      <c r="K7" s="162"/>
      <c r="L7" s="152"/>
      <c r="M7" s="153"/>
    </row>
    <row r="8" spans="1:14">
      <c r="A8" s="10"/>
      <c r="B8" s="6"/>
      <c r="C8" s="150"/>
      <c r="D8" s="132" t="s">
        <v>34</v>
      </c>
      <c r="E8" s="133"/>
      <c r="F8" s="133"/>
      <c r="G8" s="134"/>
      <c r="H8" s="135">
        <f>H9</f>
        <v>62518</v>
      </c>
      <c r="I8" s="135">
        <v>62518</v>
      </c>
      <c r="J8" s="9">
        <f t="shared" si="0"/>
        <v>0</v>
      </c>
      <c r="K8" s="151"/>
      <c r="L8" s="152"/>
      <c r="M8" s="153"/>
    </row>
    <row r="9" spans="1:14">
      <c r="A9" s="10"/>
      <c r="B9" s="6"/>
      <c r="C9" s="137"/>
      <c r="D9" s="138"/>
      <c r="E9" s="132" t="s">
        <v>33</v>
      </c>
      <c r="F9" s="133"/>
      <c r="G9" s="134"/>
      <c r="H9" s="94">
        <f>SUM(H10,H19,H25,H29)</f>
        <v>62518</v>
      </c>
      <c r="I9" s="94">
        <v>62518</v>
      </c>
      <c r="J9" s="95">
        <f t="shared" si="0"/>
        <v>0</v>
      </c>
      <c r="K9" s="87"/>
      <c r="L9" s="96"/>
      <c r="M9" s="85"/>
    </row>
    <row r="10" spans="1:14">
      <c r="A10" s="65"/>
      <c r="B10" s="67"/>
      <c r="C10" s="67"/>
      <c r="D10" s="67"/>
      <c r="E10" s="67"/>
      <c r="F10" s="139" t="s">
        <v>35</v>
      </c>
      <c r="G10" s="143"/>
      <c r="H10" s="74">
        <f>SUM(H11,H15,H17)</f>
        <v>19818</v>
      </c>
      <c r="I10" s="74">
        <v>19818</v>
      </c>
      <c r="J10" s="101">
        <f t="shared" si="0"/>
        <v>0</v>
      </c>
      <c r="K10" s="147"/>
      <c r="L10" s="38"/>
      <c r="M10" s="37"/>
    </row>
    <row r="11" spans="1:14">
      <c r="A11" s="56"/>
      <c r="B11" s="58"/>
      <c r="C11" s="67"/>
      <c r="D11" s="67"/>
      <c r="E11" s="67"/>
      <c r="F11" s="195"/>
      <c r="G11" s="213" t="s">
        <v>36</v>
      </c>
      <c r="H11" s="214">
        <f>M11</f>
        <v>5770</v>
      </c>
      <c r="I11" s="214">
        <v>5770</v>
      </c>
      <c r="J11" s="41">
        <f t="shared" si="0"/>
        <v>0</v>
      </c>
      <c r="K11" s="36" t="s">
        <v>54</v>
      </c>
      <c r="L11" s="216"/>
      <c r="M11" s="229">
        <f>SUM(M12:M14)</f>
        <v>5770</v>
      </c>
    </row>
    <row r="12" spans="1:14">
      <c r="A12" s="56"/>
      <c r="B12" s="58"/>
      <c r="C12" s="67"/>
      <c r="D12" s="67"/>
      <c r="E12" s="67"/>
      <c r="F12" s="57"/>
      <c r="G12" s="57"/>
      <c r="H12" s="103"/>
      <c r="I12" s="103"/>
      <c r="J12" s="105"/>
      <c r="K12" s="196" t="s">
        <v>459</v>
      </c>
      <c r="L12" s="207" t="s">
        <v>37</v>
      </c>
      <c r="M12" s="194">
        <v>2520</v>
      </c>
    </row>
    <row r="13" spans="1:14" s="63" customFormat="1" ht="18" customHeight="1">
      <c r="A13" s="65"/>
      <c r="B13" s="67"/>
      <c r="C13" s="67"/>
      <c r="D13" s="148"/>
      <c r="E13" s="193"/>
      <c r="F13" s="193"/>
      <c r="G13" s="70"/>
      <c r="H13" s="76"/>
      <c r="I13" s="76"/>
      <c r="J13" s="76"/>
      <c r="K13" s="224" t="s">
        <v>656</v>
      </c>
      <c r="L13" s="45" t="s">
        <v>37</v>
      </c>
      <c r="M13" s="370">
        <v>2250</v>
      </c>
      <c r="N13" s="64"/>
    </row>
    <row r="14" spans="1:14" s="63" customFormat="1" ht="18" customHeight="1">
      <c r="A14" s="65"/>
      <c r="B14" s="67"/>
      <c r="C14" s="67"/>
      <c r="D14" s="148"/>
      <c r="E14" s="193"/>
      <c r="F14" s="193"/>
      <c r="G14" s="70"/>
      <c r="H14" s="76"/>
      <c r="I14" s="76"/>
      <c r="J14" s="76"/>
      <c r="K14" s="224" t="s">
        <v>657</v>
      </c>
      <c r="L14" s="45" t="s">
        <v>37</v>
      </c>
      <c r="M14" s="370">
        <v>1000</v>
      </c>
      <c r="N14" s="64"/>
    </row>
    <row r="15" spans="1:14">
      <c r="A15" s="65"/>
      <c r="B15" s="67"/>
      <c r="C15" s="67"/>
      <c r="D15" s="148"/>
      <c r="E15" s="193"/>
      <c r="F15" s="193"/>
      <c r="G15" s="66" t="s">
        <v>7</v>
      </c>
      <c r="H15" s="75">
        <f>M15</f>
        <v>8000</v>
      </c>
      <c r="I15" s="75">
        <v>8000</v>
      </c>
      <c r="J15" s="75">
        <f>H15-I15</f>
        <v>0</v>
      </c>
      <c r="K15" s="253" t="s">
        <v>44</v>
      </c>
      <c r="L15" s="44"/>
      <c r="M15" s="229">
        <f>SUM(M16)</f>
        <v>8000</v>
      </c>
    </row>
    <row r="16" spans="1:14">
      <c r="A16" s="65"/>
      <c r="B16" s="67"/>
      <c r="C16" s="67"/>
      <c r="D16" s="148"/>
      <c r="E16" s="193"/>
      <c r="F16" s="193"/>
      <c r="G16" s="69"/>
      <c r="H16" s="73"/>
      <c r="I16" s="73"/>
      <c r="J16" s="73"/>
      <c r="K16" s="226" t="s">
        <v>558</v>
      </c>
      <c r="L16" s="209" t="s">
        <v>0</v>
      </c>
      <c r="M16" s="200">
        <v>8000</v>
      </c>
    </row>
    <row r="17" spans="1:68" s="140" customFormat="1" ht="18" customHeight="1">
      <c r="A17" s="56"/>
      <c r="B17" s="58"/>
      <c r="C17" s="67"/>
      <c r="D17" s="67"/>
      <c r="E17" s="67"/>
      <c r="F17" s="57"/>
      <c r="G17" s="213" t="s">
        <v>324</v>
      </c>
      <c r="H17" s="214">
        <f>M17</f>
        <v>6048</v>
      </c>
      <c r="I17" s="214">
        <v>6048</v>
      </c>
      <c r="J17" s="215">
        <f>H17-I17</f>
        <v>0</v>
      </c>
      <c r="K17" s="36" t="s">
        <v>325</v>
      </c>
      <c r="L17" s="51"/>
      <c r="M17" s="229">
        <f>SUM(M18)</f>
        <v>6048</v>
      </c>
    </row>
    <row r="18" spans="1:68" s="140" customFormat="1" ht="18" customHeight="1">
      <c r="A18" s="65"/>
      <c r="B18" s="67"/>
      <c r="C18" s="67"/>
      <c r="D18" s="67"/>
      <c r="E18" s="67"/>
      <c r="F18" s="57"/>
      <c r="G18" s="57"/>
      <c r="H18" s="103"/>
      <c r="I18" s="103"/>
      <c r="J18" s="105"/>
      <c r="K18" s="226" t="s">
        <v>469</v>
      </c>
      <c r="L18" s="209" t="s">
        <v>37</v>
      </c>
      <c r="M18" s="194">
        <v>6048</v>
      </c>
    </row>
    <row r="19" spans="1:68">
      <c r="A19" s="65"/>
      <c r="B19" s="67"/>
      <c r="C19" s="67"/>
      <c r="D19" s="67"/>
      <c r="E19" s="67"/>
      <c r="F19" s="592" t="s">
        <v>40</v>
      </c>
      <c r="G19" s="593"/>
      <c r="H19" s="155">
        <f>H20+H23</f>
        <v>36600</v>
      </c>
      <c r="I19" s="155">
        <v>36600</v>
      </c>
      <c r="J19" s="156">
        <f>H19-I19</f>
        <v>0</v>
      </c>
      <c r="K19" s="157"/>
      <c r="L19" s="59"/>
      <c r="M19" s="60"/>
    </row>
    <row r="20" spans="1:68">
      <c r="A20" s="65"/>
      <c r="B20" s="67"/>
      <c r="C20" s="67"/>
      <c r="D20" s="67"/>
      <c r="E20" s="67"/>
      <c r="F20" s="112"/>
      <c r="G20" s="203" t="s">
        <v>41</v>
      </c>
      <c r="H20" s="217">
        <f>M20</f>
        <v>12600</v>
      </c>
      <c r="I20" s="214">
        <v>12600</v>
      </c>
      <c r="J20" s="206">
        <f>H20-I20</f>
        <v>0</v>
      </c>
      <c r="K20" s="36" t="s">
        <v>52</v>
      </c>
      <c r="L20" s="219"/>
      <c r="M20" s="229">
        <f>SUM(M21:M22)</f>
        <v>12600</v>
      </c>
    </row>
    <row r="21" spans="1:68" s="140" customFormat="1" ht="18" customHeight="1">
      <c r="A21" s="65"/>
      <c r="B21" s="67"/>
      <c r="C21" s="67"/>
      <c r="D21" s="67"/>
      <c r="E21" s="67"/>
      <c r="F21" s="198"/>
      <c r="G21" s="198"/>
      <c r="H21" s="103"/>
      <c r="I21" s="107"/>
      <c r="J21" s="105"/>
      <c r="K21" s="224" t="s">
        <v>524</v>
      </c>
      <c r="L21" s="99" t="s">
        <v>0</v>
      </c>
      <c r="M21" s="194">
        <v>3360</v>
      </c>
      <c r="N21"/>
      <c r="O21"/>
      <c r="P21"/>
      <c r="Q21"/>
      <c r="R21" s="104"/>
      <c r="U21" s="55"/>
      <c r="V21" s="61"/>
      <c r="W21" s="61"/>
      <c r="X21" s="61"/>
      <c r="Y21" s="61"/>
      <c r="Z21" s="61"/>
      <c r="AA21" s="61"/>
      <c r="AB21" s="61"/>
      <c r="AC21" s="61">
        <v>9</v>
      </c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</row>
    <row r="22" spans="1:68" s="140" customFormat="1" ht="18" customHeight="1">
      <c r="A22" s="65"/>
      <c r="B22" s="67"/>
      <c r="C22" s="67"/>
      <c r="D22" s="67"/>
      <c r="E22" s="67"/>
      <c r="F22" s="198"/>
      <c r="G22" s="198"/>
      <c r="H22" s="103"/>
      <c r="I22" s="107"/>
      <c r="J22" s="105"/>
      <c r="K22" s="226" t="s">
        <v>525</v>
      </c>
      <c r="L22" s="218" t="s">
        <v>0</v>
      </c>
      <c r="M22" s="194">
        <v>9240</v>
      </c>
      <c r="N22"/>
      <c r="O22"/>
      <c r="P22"/>
      <c r="Q22"/>
      <c r="R22" s="104"/>
    </row>
    <row r="23" spans="1:68">
      <c r="A23" s="65"/>
      <c r="B23" s="67"/>
      <c r="C23" s="67"/>
      <c r="D23" s="67"/>
      <c r="E23" s="67"/>
      <c r="F23" s="108"/>
      <c r="G23" s="203" t="s">
        <v>559</v>
      </c>
      <c r="H23" s="217">
        <f>M23</f>
        <v>24000</v>
      </c>
      <c r="I23" s="214">
        <v>24000</v>
      </c>
      <c r="J23" s="206">
        <f>H23-I23</f>
        <v>0</v>
      </c>
      <c r="K23" s="36" t="s">
        <v>53</v>
      </c>
      <c r="L23" s="219"/>
      <c r="M23" s="229">
        <f>SUM(M24:M25)</f>
        <v>24000</v>
      </c>
    </row>
    <row r="24" spans="1:68" s="140" customFormat="1" ht="18" customHeight="1">
      <c r="A24" s="65"/>
      <c r="B24" s="67"/>
      <c r="C24" s="67"/>
      <c r="D24" s="67"/>
      <c r="E24" s="67"/>
      <c r="F24" s="198"/>
      <c r="G24" s="198"/>
      <c r="H24" s="103"/>
      <c r="I24" s="107"/>
      <c r="J24" s="105"/>
      <c r="K24" s="224" t="s">
        <v>560</v>
      </c>
      <c r="L24" s="218" t="s">
        <v>0</v>
      </c>
      <c r="M24" s="194">
        <v>24000</v>
      </c>
      <c r="N24"/>
      <c r="O24"/>
      <c r="P24"/>
      <c r="Q24"/>
      <c r="R24" s="104"/>
      <c r="U24" s="55"/>
      <c r="V24" s="61"/>
      <c r="W24" s="61"/>
      <c r="X24" s="61"/>
      <c r="Y24" s="61"/>
      <c r="Z24" s="61"/>
      <c r="AA24" s="61"/>
      <c r="AB24" s="61"/>
      <c r="AC24" s="61">
        <v>9</v>
      </c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</row>
    <row r="25" spans="1:68">
      <c r="A25" s="65"/>
      <c r="B25" s="67"/>
      <c r="C25" s="67"/>
      <c r="D25" s="67"/>
      <c r="E25" s="67"/>
      <c r="F25" s="592" t="s">
        <v>42</v>
      </c>
      <c r="G25" s="593"/>
      <c r="H25" s="155">
        <f>H26</f>
        <v>4000</v>
      </c>
      <c r="I25" s="155">
        <v>4000</v>
      </c>
      <c r="J25" s="156">
        <f>H25-I25</f>
        <v>0</v>
      </c>
      <c r="K25" s="382"/>
      <c r="L25" s="59"/>
      <c r="M25" s="60"/>
    </row>
    <row r="26" spans="1:68">
      <c r="A26" s="65"/>
      <c r="B26" s="67"/>
      <c r="C26" s="67"/>
      <c r="D26" s="67"/>
      <c r="E26" s="67"/>
      <c r="F26" s="198"/>
      <c r="G26" s="112" t="s">
        <v>43</v>
      </c>
      <c r="H26" s="217">
        <f>M26</f>
        <v>4000</v>
      </c>
      <c r="I26" s="217">
        <v>4000</v>
      </c>
      <c r="J26" s="206">
        <f>H26-I26</f>
        <v>0</v>
      </c>
      <c r="K26" s="220" t="s">
        <v>156</v>
      </c>
      <c r="L26" s="216"/>
      <c r="M26" s="229">
        <f>SUM(M27:M28)</f>
        <v>4000</v>
      </c>
    </row>
    <row r="27" spans="1:68">
      <c r="A27" s="65"/>
      <c r="B27" s="67"/>
      <c r="C27" s="67"/>
      <c r="D27" s="67"/>
      <c r="E27" s="67"/>
      <c r="F27" s="198"/>
      <c r="G27" s="108"/>
      <c r="H27" s="109"/>
      <c r="I27" s="109"/>
      <c r="J27" s="110"/>
      <c r="K27" s="386" t="s">
        <v>635</v>
      </c>
      <c r="L27" s="99" t="s">
        <v>0</v>
      </c>
      <c r="M27" s="194">
        <v>2000</v>
      </c>
    </row>
    <row r="28" spans="1:68">
      <c r="A28" s="344"/>
      <c r="B28" s="345"/>
      <c r="C28" s="345"/>
      <c r="D28" s="345"/>
      <c r="E28" s="345"/>
      <c r="F28" s="199"/>
      <c r="G28" s="199"/>
      <c r="H28" s="106"/>
      <c r="I28" s="158"/>
      <c r="J28" s="158"/>
      <c r="K28" s="202" t="s">
        <v>636</v>
      </c>
      <c r="L28" s="218" t="s">
        <v>0</v>
      </c>
      <c r="M28" s="200">
        <v>2000</v>
      </c>
    </row>
    <row r="29" spans="1:68">
      <c r="A29" s="65"/>
      <c r="B29" s="67"/>
      <c r="C29" s="67"/>
      <c r="D29" s="67"/>
      <c r="E29" s="67"/>
      <c r="F29" s="362" t="s">
        <v>93</v>
      </c>
      <c r="G29" s="72"/>
      <c r="H29" s="73">
        <f>H30</f>
        <v>2100</v>
      </c>
      <c r="I29" s="73">
        <v>2100</v>
      </c>
      <c r="J29" s="149">
        <f>H29-I29</f>
        <v>0</v>
      </c>
      <c r="K29" s="297"/>
      <c r="L29" s="298"/>
      <c r="M29" s="363"/>
    </row>
    <row r="30" spans="1:68">
      <c r="A30" s="65"/>
      <c r="B30" s="67"/>
      <c r="C30" s="67"/>
      <c r="D30" s="67"/>
      <c r="E30" s="67"/>
      <c r="F30" s="146"/>
      <c r="G30" s="67" t="s">
        <v>97</v>
      </c>
      <c r="H30" s="78">
        <f>M30</f>
        <v>2100</v>
      </c>
      <c r="I30" s="78">
        <v>2100</v>
      </c>
      <c r="J30" s="48">
        <f>H30-I30</f>
        <v>0</v>
      </c>
      <c r="K30" s="36" t="s">
        <v>454</v>
      </c>
      <c r="L30" s="39"/>
      <c r="M30" s="229">
        <f>M31</f>
        <v>2100</v>
      </c>
    </row>
    <row r="31" spans="1:68" ht="17.25" thickBot="1">
      <c r="A31" s="313"/>
      <c r="B31" s="71"/>
      <c r="C31" s="71"/>
      <c r="D31" s="71"/>
      <c r="E31" s="71"/>
      <c r="F31" s="364"/>
      <c r="G31" s="204"/>
      <c r="H31" s="365"/>
      <c r="I31" s="366"/>
      <c r="J31" s="367"/>
      <c r="K31" s="244" t="s">
        <v>458</v>
      </c>
      <c r="L31" s="245" t="s">
        <v>0</v>
      </c>
      <c r="M31" s="258">
        <v>2100</v>
      </c>
    </row>
  </sheetData>
  <protectedRanges>
    <protectedRange password="ECE8" sqref="N17:U18" name="작성자만수정_2_1_1"/>
    <protectedRange password="ECE8" sqref="R21:AD22 R24:AD24" name="작성자만수정_2_1_1_1"/>
  </protectedRanges>
  <autoFilter ref="A3:BP31">
    <filterColumn colId="10" showButton="0"/>
    <filterColumn colId="11" showButton="0"/>
  </autoFilter>
  <mergeCells count="10">
    <mergeCell ref="K2:M3"/>
    <mergeCell ref="A4:G4"/>
    <mergeCell ref="F19:G19"/>
    <mergeCell ref="F25:G25"/>
    <mergeCell ref="A2:A3"/>
    <mergeCell ref="B2:D2"/>
    <mergeCell ref="E2:G2"/>
    <mergeCell ref="H2:H3"/>
    <mergeCell ref="I2:I3"/>
    <mergeCell ref="J2:J3"/>
  </mergeCells>
  <phoneticPr fontId="12" type="noConversion"/>
  <conditionalFormatting sqref="J28">
    <cfRule type="containsText" dxfId="887" priority="193" operator="containsText" text="허하나로">
      <formula>NOT(ISERROR(SEARCH("허하나로",H1054)))</formula>
    </cfRule>
    <cfRule type="containsText" dxfId="886" priority="194" operator="containsText" text="한별">
      <formula>NOT(ISERROR(SEARCH("한별",H1054)))</formula>
    </cfRule>
    <cfRule type="containsText" dxfId="885" priority="195" operator="containsText" text="정홍조">
      <formula>NOT(ISERROR(SEARCH("정홍조",H1054)))</formula>
    </cfRule>
    <cfRule type="containsText" dxfId="884" priority="196" operator="containsText" text="김지윤">
      <formula>NOT(ISERROR(SEARCH("김지윤",H1054)))</formula>
    </cfRule>
    <cfRule type="containsText" dxfId="883" priority="197" operator="containsText" text="전준영">
      <formula>NOT(ISERROR(SEARCH("전준영",H1054)))</formula>
    </cfRule>
    <cfRule type="containsText" dxfId="882" priority="198" operator="containsText" text="차재성">
      <formula>NOT(ISERROR(SEARCH("차재성",H1054)))</formula>
    </cfRule>
  </conditionalFormatting>
  <conditionalFormatting sqref="J6">
    <cfRule type="containsText" dxfId="881" priority="205" operator="containsText" text="허하나로">
      <formula>NOT(ISERROR(SEARCH("허하나로",H690)))</formula>
    </cfRule>
    <cfRule type="containsText" dxfId="880" priority="206" operator="containsText" text="한별">
      <formula>NOT(ISERROR(SEARCH("한별",H690)))</formula>
    </cfRule>
    <cfRule type="containsText" dxfId="879" priority="207" operator="containsText" text="정홍조">
      <formula>NOT(ISERROR(SEARCH("정홍조",H690)))</formula>
    </cfRule>
    <cfRule type="containsText" dxfId="878" priority="208" operator="containsText" text="김지윤">
      <formula>NOT(ISERROR(SEARCH("김지윤",H690)))</formula>
    </cfRule>
    <cfRule type="containsText" dxfId="877" priority="209" operator="containsText" text="전준영">
      <formula>NOT(ISERROR(SEARCH("전준영",H690)))</formula>
    </cfRule>
    <cfRule type="containsText" dxfId="876" priority="210" operator="containsText" text="차재성">
      <formula>NOT(ISERROR(SEARCH("차재성",H690)))</formula>
    </cfRule>
  </conditionalFormatting>
  <conditionalFormatting sqref="J5">
    <cfRule type="containsText" dxfId="875" priority="199" operator="containsText" text="허하나로">
      <formula>NOT(ISERROR(SEARCH("허하나로",H689)))</formula>
    </cfRule>
    <cfRule type="containsText" dxfId="874" priority="200" operator="containsText" text="한별">
      <formula>NOT(ISERROR(SEARCH("한별",H689)))</formula>
    </cfRule>
    <cfRule type="containsText" dxfId="873" priority="201" operator="containsText" text="정홍조">
      <formula>NOT(ISERROR(SEARCH("정홍조",H689)))</formula>
    </cfRule>
    <cfRule type="containsText" dxfId="872" priority="202" operator="containsText" text="김지윤">
      <formula>NOT(ISERROR(SEARCH("김지윤",H689)))</formula>
    </cfRule>
    <cfRule type="containsText" dxfId="871" priority="203" operator="containsText" text="전준영">
      <formula>NOT(ISERROR(SEARCH("전준영",H689)))</formula>
    </cfRule>
    <cfRule type="containsText" dxfId="870" priority="204" operator="containsText" text="차재성">
      <formula>NOT(ISERROR(SEARCH("차재성",H689)))</formula>
    </cfRule>
  </conditionalFormatting>
  <conditionalFormatting sqref="J7">
    <cfRule type="containsText" dxfId="869" priority="187" operator="containsText" text="허하나로">
      <formula>NOT(ISERROR(SEARCH("허하나로",H823)))</formula>
    </cfRule>
    <cfRule type="containsText" dxfId="868" priority="188" operator="containsText" text="한별">
      <formula>NOT(ISERROR(SEARCH("한별",H823)))</formula>
    </cfRule>
    <cfRule type="containsText" dxfId="867" priority="189" operator="containsText" text="정홍조">
      <formula>NOT(ISERROR(SEARCH("정홍조",H823)))</formula>
    </cfRule>
    <cfRule type="containsText" dxfId="866" priority="190" operator="containsText" text="김지윤">
      <formula>NOT(ISERROR(SEARCH("김지윤",H823)))</formula>
    </cfRule>
    <cfRule type="containsText" dxfId="865" priority="191" operator="containsText" text="전준영">
      <formula>NOT(ISERROR(SEARCH("전준영",H823)))</formula>
    </cfRule>
    <cfRule type="containsText" dxfId="864" priority="192" operator="containsText" text="차재성">
      <formula>NOT(ISERROR(SEARCH("차재성",H823)))</formula>
    </cfRule>
  </conditionalFormatting>
  <conditionalFormatting sqref="J10:J11">
    <cfRule type="containsText" dxfId="863" priority="181" operator="containsText" text="허하나로">
      <formula>NOT(ISERROR(SEARCH("허하나로",H1031)))</formula>
    </cfRule>
    <cfRule type="containsText" dxfId="862" priority="182" operator="containsText" text="한별">
      <formula>NOT(ISERROR(SEARCH("한별",H1031)))</formula>
    </cfRule>
    <cfRule type="containsText" dxfId="861" priority="183" operator="containsText" text="정홍조">
      <formula>NOT(ISERROR(SEARCH("정홍조",H1031)))</formula>
    </cfRule>
    <cfRule type="containsText" dxfId="860" priority="184" operator="containsText" text="김지윤">
      <formula>NOT(ISERROR(SEARCH("김지윤",H1031)))</formula>
    </cfRule>
    <cfRule type="containsText" dxfId="859" priority="185" operator="containsText" text="전준영">
      <formula>NOT(ISERROR(SEARCH("전준영",H1031)))</formula>
    </cfRule>
    <cfRule type="containsText" dxfId="858" priority="186" operator="containsText" text="차재성">
      <formula>NOT(ISERROR(SEARCH("차재성",H1031)))</formula>
    </cfRule>
  </conditionalFormatting>
  <conditionalFormatting sqref="J12">
    <cfRule type="containsText" dxfId="857" priority="175" operator="containsText" text="허하나로">
      <formula>NOT(ISERROR(SEARCH("허하나로",H1022)))</formula>
    </cfRule>
    <cfRule type="containsText" dxfId="856" priority="176" operator="containsText" text="한별">
      <formula>NOT(ISERROR(SEARCH("한별",H1022)))</formula>
    </cfRule>
    <cfRule type="containsText" dxfId="855" priority="177" operator="containsText" text="정홍조">
      <formula>NOT(ISERROR(SEARCH("정홍조",H1022)))</formula>
    </cfRule>
    <cfRule type="containsText" dxfId="854" priority="178" operator="containsText" text="김지윤">
      <formula>NOT(ISERROR(SEARCH("김지윤",H1022)))</formula>
    </cfRule>
    <cfRule type="containsText" dxfId="853" priority="179" operator="containsText" text="전준영">
      <formula>NOT(ISERROR(SEARCH("전준영",H1022)))</formula>
    </cfRule>
    <cfRule type="containsText" dxfId="852" priority="180" operator="containsText" text="차재성">
      <formula>NOT(ISERROR(SEARCH("차재성",H1022)))</formula>
    </cfRule>
  </conditionalFormatting>
  <conditionalFormatting sqref="J9">
    <cfRule type="containsText" dxfId="851" priority="229" operator="containsText" text="허하나로">
      <formula>NOT(ISERROR(SEARCH("허하나로",H1020)))</formula>
    </cfRule>
    <cfRule type="containsText" dxfId="850" priority="230" operator="containsText" text="한별">
      <formula>NOT(ISERROR(SEARCH("한별",H1020)))</formula>
    </cfRule>
    <cfRule type="containsText" dxfId="849" priority="231" operator="containsText" text="정홍조">
      <formula>NOT(ISERROR(SEARCH("정홍조",H1020)))</formula>
    </cfRule>
    <cfRule type="containsText" dxfId="848" priority="232" operator="containsText" text="김지윤">
      <formula>NOT(ISERROR(SEARCH("김지윤",H1020)))</formula>
    </cfRule>
    <cfRule type="containsText" dxfId="847" priority="233" operator="containsText" text="전준영">
      <formula>NOT(ISERROR(SEARCH("전준영",H1020)))</formula>
    </cfRule>
    <cfRule type="containsText" dxfId="846" priority="234" operator="containsText" text="차재성">
      <formula>NOT(ISERROR(SEARCH("차재성",H1020)))</formula>
    </cfRule>
  </conditionalFormatting>
  <conditionalFormatting sqref="J25">
    <cfRule type="containsText" dxfId="845" priority="169" operator="containsText" text="허하나로">
      <formula>NOT(ISERROR(SEARCH("허하나로",H1037)))</formula>
    </cfRule>
    <cfRule type="containsText" dxfId="844" priority="170" operator="containsText" text="한별">
      <formula>NOT(ISERROR(SEARCH("한별",H1037)))</formula>
    </cfRule>
    <cfRule type="containsText" dxfId="843" priority="171" operator="containsText" text="정홍조">
      <formula>NOT(ISERROR(SEARCH("정홍조",H1037)))</formula>
    </cfRule>
    <cfRule type="containsText" dxfId="842" priority="172" operator="containsText" text="김지윤">
      <formula>NOT(ISERROR(SEARCH("김지윤",H1037)))</formula>
    </cfRule>
    <cfRule type="containsText" dxfId="841" priority="173" operator="containsText" text="전준영">
      <formula>NOT(ISERROR(SEARCH("전준영",H1037)))</formula>
    </cfRule>
    <cfRule type="containsText" dxfId="840" priority="174" operator="containsText" text="차재성">
      <formula>NOT(ISERROR(SEARCH("차재성",H1037)))</formula>
    </cfRule>
  </conditionalFormatting>
  <conditionalFormatting sqref="L20">
    <cfRule type="containsText" dxfId="839" priority="163" operator="containsText" text="허하나로">
      <formula>NOT(ISERROR(SEARCH("허하나로",J1168)))</formula>
    </cfRule>
    <cfRule type="containsText" dxfId="838" priority="164" operator="containsText" text="한별">
      <formula>NOT(ISERROR(SEARCH("한별",J1168)))</formula>
    </cfRule>
    <cfRule type="containsText" dxfId="837" priority="165" operator="containsText" text="정홍조">
      <formula>NOT(ISERROR(SEARCH("정홍조",J1168)))</formula>
    </cfRule>
    <cfRule type="containsText" dxfId="836" priority="166" operator="containsText" text="김지윤">
      <formula>NOT(ISERROR(SEARCH("김지윤",J1168)))</formula>
    </cfRule>
    <cfRule type="containsText" dxfId="835" priority="167" operator="containsText" text="전준영">
      <formula>NOT(ISERROR(SEARCH("전준영",J1168)))</formula>
    </cfRule>
    <cfRule type="containsText" dxfId="834" priority="168" operator="containsText" text="차재성">
      <formula>NOT(ISERROR(SEARCH("차재성",J1168)))</formula>
    </cfRule>
  </conditionalFormatting>
  <conditionalFormatting sqref="I28">
    <cfRule type="containsText" dxfId="833" priority="157" operator="containsText" text="허하나로">
      <formula>NOT(ISERROR(SEARCH("허하나로",G1054)))</formula>
    </cfRule>
    <cfRule type="containsText" dxfId="832" priority="158" operator="containsText" text="한별">
      <formula>NOT(ISERROR(SEARCH("한별",G1054)))</formula>
    </cfRule>
    <cfRule type="containsText" dxfId="831" priority="159" operator="containsText" text="정홍조">
      <formula>NOT(ISERROR(SEARCH("정홍조",G1054)))</formula>
    </cfRule>
    <cfRule type="containsText" dxfId="830" priority="160" operator="containsText" text="김지윤">
      <formula>NOT(ISERROR(SEARCH("김지윤",G1054)))</formula>
    </cfRule>
    <cfRule type="containsText" dxfId="829" priority="161" operator="containsText" text="전준영">
      <formula>NOT(ISERROR(SEARCH("전준영",G1054)))</formula>
    </cfRule>
    <cfRule type="containsText" dxfId="828" priority="162" operator="containsText" text="차재성">
      <formula>NOT(ISERROR(SEARCH("차재성",G1054)))</formula>
    </cfRule>
  </conditionalFormatting>
  <conditionalFormatting sqref="J19:J20">
    <cfRule type="containsText" dxfId="827" priority="1339" operator="containsText" text="허하나로">
      <formula>NOT(ISERROR(SEARCH("허하나로",H1033)))</formula>
    </cfRule>
    <cfRule type="containsText" dxfId="826" priority="1340" operator="containsText" text="한별">
      <formula>NOT(ISERROR(SEARCH("한별",H1033)))</formula>
    </cfRule>
    <cfRule type="containsText" dxfId="825" priority="1341" operator="containsText" text="정홍조">
      <formula>NOT(ISERROR(SEARCH("정홍조",H1033)))</formula>
    </cfRule>
    <cfRule type="containsText" dxfId="824" priority="1342" operator="containsText" text="김지윤">
      <formula>NOT(ISERROR(SEARCH("김지윤",H1033)))</formula>
    </cfRule>
    <cfRule type="containsText" dxfId="823" priority="1343" operator="containsText" text="전준영">
      <formula>NOT(ISERROR(SEARCH("전준영",H1033)))</formula>
    </cfRule>
    <cfRule type="containsText" dxfId="822" priority="1344" operator="containsText" text="차재성">
      <formula>NOT(ISERROR(SEARCH("차재성",H1033)))</formula>
    </cfRule>
  </conditionalFormatting>
  <conditionalFormatting sqref="L23">
    <cfRule type="containsText" dxfId="821" priority="13" operator="containsText" text="허하나로">
      <formula>NOT(ISERROR(SEARCH("허하나로",J1171)))</formula>
    </cfRule>
    <cfRule type="containsText" dxfId="820" priority="14" operator="containsText" text="한별">
      <formula>NOT(ISERROR(SEARCH("한별",J1171)))</formula>
    </cfRule>
    <cfRule type="containsText" dxfId="819" priority="15" operator="containsText" text="정홍조">
      <formula>NOT(ISERROR(SEARCH("정홍조",J1171)))</formula>
    </cfRule>
    <cfRule type="containsText" dxfId="818" priority="16" operator="containsText" text="김지윤">
      <formula>NOT(ISERROR(SEARCH("김지윤",J1171)))</formula>
    </cfRule>
    <cfRule type="containsText" dxfId="817" priority="17" operator="containsText" text="전준영">
      <formula>NOT(ISERROR(SEARCH("전준영",J1171)))</formula>
    </cfRule>
    <cfRule type="containsText" dxfId="816" priority="18" operator="containsText" text="차재성">
      <formula>NOT(ISERROR(SEARCH("차재성",J1171)))</formula>
    </cfRule>
  </conditionalFormatting>
  <conditionalFormatting sqref="J23">
    <cfRule type="containsText" dxfId="815" priority="19" operator="containsText" text="허하나로">
      <formula>NOT(ISERROR(SEARCH("허하나로",H1037)))</formula>
    </cfRule>
    <cfRule type="containsText" dxfId="814" priority="20" operator="containsText" text="한별">
      <formula>NOT(ISERROR(SEARCH("한별",H1037)))</formula>
    </cfRule>
    <cfRule type="containsText" dxfId="813" priority="21" operator="containsText" text="정홍조">
      <formula>NOT(ISERROR(SEARCH("정홍조",H1037)))</formula>
    </cfRule>
    <cfRule type="containsText" dxfId="812" priority="22" operator="containsText" text="김지윤">
      <formula>NOT(ISERROR(SEARCH("김지윤",H1037)))</formula>
    </cfRule>
    <cfRule type="containsText" dxfId="811" priority="23" operator="containsText" text="전준영">
      <formula>NOT(ISERROR(SEARCH("전준영",H1037)))</formula>
    </cfRule>
    <cfRule type="containsText" dxfId="810" priority="24" operator="containsText" text="차재성">
      <formula>NOT(ISERROR(SEARCH("차재성",H1037)))</formula>
    </cfRule>
  </conditionalFormatting>
  <conditionalFormatting sqref="J26:J27">
    <cfRule type="containsText" dxfId="809" priority="3961" operator="containsText" text="허하나로">
      <formula>NOT(ISERROR(SEARCH("허하나로",H1053)))</formula>
    </cfRule>
    <cfRule type="containsText" dxfId="808" priority="3962" operator="containsText" text="한별">
      <formula>NOT(ISERROR(SEARCH("한별",H1053)))</formula>
    </cfRule>
    <cfRule type="containsText" dxfId="807" priority="3963" operator="containsText" text="정홍조">
      <formula>NOT(ISERROR(SEARCH("정홍조",H1053)))</formula>
    </cfRule>
    <cfRule type="containsText" dxfId="806" priority="3964" operator="containsText" text="김지윤">
      <formula>NOT(ISERROR(SEARCH("김지윤",H1053)))</formula>
    </cfRule>
    <cfRule type="containsText" dxfId="805" priority="3965" operator="containsText" text="전준영">
      <formula>NOT(ISERROR(SEARCH("전준영",H1053)))</formula>
    </cfRule>
    <cfRule type="containsText" dxfId="804" priority="3966" operator="containsText" text="차재성">
      <formula>NOT(ISERROR(SEARCH("차재성",H1053)))</formula>
    </cfRule>
  </conditionalFormatting>
  <conditionalFormatting sqref="J2:J3">
    <cfRule type="containsText" dxfId="803" priority="1" operator="containsText" text="허하나로">
      <formula>NOT(ISERROR(SEARCH("허하나로",H762)))</formula>
    </cfRule>
    <cfRule type="containsText" dxfId="802" priority="2" operator="containsText" text="한별">
      <formula>NOT(ISERROR(SEARCH("한별",H762)))</formula>
    </cfRule>
    <cfRule type="containsText" dxfId="801" priority="3" operator="containsText" text="정홍조">
      <formula>NOT(ISERROR(SEARCH("정홍조",H762)))</formula>
    </cfRule>
    <cfRule type="containsText" dxfId="800" priority="4" operator="containsText" text="김지윤">
      <formula>NOT(ISERROR(SEARCH("김지윤",H762)))</formula>
    </cfRule>
    <cfRule type="containsText" dxfId="799" priority="5" operator="containsText" text="전준영">
      <formula>NOT(ISERROR(SEARCH("전준영",H762)))</formula>
    </cfRule>
    <cfRule type="containsText" dxfId="798" priority="6" operator="containsText" text="차재성">
      <formula>NOT(ISERROR(SEARCH("차재성",H762)))</formula>
    </cfRule>
  </conditionalFormatting>
  <pageMargins left="0.25" right="0.25" top="0.75" bottom="0.75" header="0.3" footer="0.3"/>
  <pageSetup paperSize="9" scale="7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9" operator="containsText" text="허하나로" id="{1494A34C-D8A3-4A8C-912C-87C4FAE6F4D6}">
            <xm:f>NOT(ISERROR(SEARCH("허하나로",수익사업부!H1074)))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9A05B581-3CB0-40FA-A3D0-8C32539C02F3}">
            <xm:f>NOT(ISERROR(SEARCH("한별",수익사업부!H1074)))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5CB65F46-528F-4FA5-9C17-1E1ECFAA8C5D}">
            <xm:f>NOT(ISERROR(SEARCH("정홍조",수익사업부!H1074)))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37AD3EC3-7B9F-49D6-8946-4D398A5481FD}">
            <xm:f>NOT(ISERROR(SEARCH("김지윤",수익사업부!H1074)))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5BB14AEF-6986-4F7A-A602-93F94736D366}">
            <xm:f>NOT(ISERROR(SEARCH("전준영",수익사업부!H1074)))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6C58C232-8A4D-477E-A03B-63ABFEA63310}">
            <xm:f>NOT(ISERROR(SEARCH("차재성",수익사업부!H1074)))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J17:J18</xm:sqref>
        </x14:conditionalFormatting>
        <x14:conditionalFormatting xmlns:xm="http://schemas.microsoft.com/office/excel/2006/main">
          <x14:cfRule type="containsText" priority="43" operator="containsText" text="허하나로" id="{45A443E8-C4D8-4C0E-B9C6-937C0ABE67BC}">
            <xm:f>NOT(ISERROR(SEARCH("허하나로",행정관리부!H1079)))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6B29D7AA-BD7B-404B-B384-4E108E74B95E}">
            <xm:f>NOT(ISERROR(SEARCH("한별",행정관리부!H1079)))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E8F7FE3E-F176-4BB0-B382-DEB0465BE734}">
            <xm:f>NOT(ISERROR(SEARCH("정홍조",행정관리부!H1079)))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CA469AEE-8E90-4132-9921-9DF657DF5252}">
            <xm:f>NOT(ISERROR(SEARCH("김지윤",행정관리부!H1079)))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1334EC84-C5B8-47A1-AC4E-426C4FED141E}">
            <xm:f>NOT(ISERROR(SEARCH("전준영",행정관리부!H1079)))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F502BF71-523A-4F2B-A23D-5E33A84B616B}">
            <xm:f>NOT(ISERROR(SEARCH("차재성",행정관리부!H1079)))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J31</xm:sqref>
        </x14:conditionalFormatting>
        <x14:conditionalFormatting xmlns:xm="http://schemas.microsoft.com/office/excel/2006/main">
          <x14:cfRule type="containsText" priority="37" operator="containsText" text="허하나로" id="{683107EB-0B48-410E-BE87-36193006F129}">
            <xm:f>NOT(ISERROR(SEARCH("허하나로",행정관리부!H1135)))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FF49DDE7-374E-488B-AA43-A31F7AECA83B}">
            <xm:f>NOT(ISERROR(SEARCH("한별",행정관리부!H1135)))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4E23FB7A-C7E6-4FC1-BE14-6D722D9FA143}">
            <xm:f>NOT(ISERROR(SEARCH("정홍조",행정관리부!H1135)))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DE2B97C3-6AAE-4706-A105-7CEAFC0529CB}">
            <xm:f>NOT(ISERROR(SEARCH("김지윤",행정관리부!H1135)))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CC69DB47-5128-4DC0-932E-29D124CDF9A6}">
            <xm:f>NOT(ISERROR(SEARCH("전준영",행정관리부!H1135)))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AE3ACC82-37D8-41F2-8D5E-53099CE05503}">
            <xm:f>NOT(ISERROR(SEARCH("차재성",행정관리부!H1135)))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J29:J30</xm:sqref>
        </x14:conditionalFormatting>
        <x14:conditionalFormatting xmlns:xm="http://schemas.microsoft.com/office/excel/2006/main">
          <x14:cfRule type="containsText" priority="25" operator="containsText" text="허하나로" id="{5F8876F6-6D44-4F20-9C56-05284E2F0DA9}">
            <xm:f>NOT(ISERROR(SEARCH("허하나로",수익사업부!H1085)))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28E3B3F1-39ED-4490-BD5E-795907F76909}">
            <xm:f>NOT(ISERROR(SEARCH("한별",수익사업부!H1085)))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F2B1C16F-AC01-47A8-B3A3-25918990979B}">
            <xm:f>NOT(ISERROR(SEARCH("정홍조",수익사업부!H1085)))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3C9F8655-497D-436E-9A66-1092FDFD16A7}">
            <xm:f>NOT(ISERROR(SEARCH("김지윤",수익사업부!H1085)))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8C357196-AB86-4B1B-9B9B-EB10841D3BE8}">
            <xm:f>NOT(ISERROR(SEARCH("전준영",수익사업부!H1085)))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1F84DB7C-7797-4DF7-B703-0DACB1D12B0E}">
            <xm:f>NOT(ISERROR(SEARCH("차재성",수익사업부!H1085)))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J21:J22 J24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M45"/>
  <sheetViews>
    <sheetView zoomScale="85" zoomScaleNormal="85" workbookViewId="0">
      <selection activeCell="I12" sqref="I12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9.125" customWidth="1"/>
    <col min="10" max="10" width="14.625" customWidth="1"/>
    <col min="11" max="11" width="60.625" customWidth="1"/>
    <col min="12" max="12" width="3.875" customWidth="1"/>
    <col min="13" max="13" width="10.25" bestFit="1" customWidth="1"/>
  </cols>
  <sheetData>
    <row r="1" spans="1:13" ht="17.25" thickBot="1">
      <c r="A1" s="91" t="s">
        <v>394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395</v>
      </c>
    </row>
    <row r="2" spans="1:13" ht="17.25" customHeight="1">
      <c r="A2" s="585" t="s">
        <v>396</v>
      </c>
      <c r="B2" s="587" t="s">
        <v>397</v>
      </c>
      <c r="C2" s="588"/>
      <c r="D2" s="589"/>
      <c r="E2" s="587" t="s">
        <v>398</v>
      </c>
      <c r="F2" s="588"/>
      <c r="G2" s="589"/>
      <c r="H2" s="565" t="s">
        <v>666</v>
      </c>
      <c r="I2" s="565" t="s">
        <v>731</v>
      </c>
      <c r="J2" s="590" t="s">
        <v>668</v>
      </c>
      <c r="K2" s="576" t="s">
        <v>1</v>
      </c>
      <c r="L2" s="577"/>
      <c r="M2" s="578"/>
    </row>
    <row r="3" spans="1:13" ht="17.25" thickBot="1">
      <c r="A3" s="586"/>
      <c r="B3" s="122" t="s">
        <v>617</v>
      </c>
      <c r="C3" s="122" t="s">
        <v>399</v>
      </c>
      <c r="D3" s="122" t="s">
        <v>400</v>
      </c>
      <c r="E3" s="122" t="s">
        <v>401</v>
      </c>
      <c r="F3" s="122" t="s">
        <v>402</v>
      </c>
      <c r="G3" s="122" t="s">
        <v>403</v>
      </c>
      <c r="H3" s="566"/>
      <c r="I3" s="566"/>
      <c r="J3" s="591"/>
      <c r="K3" s="579"/>
      <c r="L3" s="580"/>
      <c r="M3" s="581"/>
    </row>
    <row r="4" spans="1:13" ht="17.25" thickBot="1">
      <c r="A4" s="582" t="s">
        <v>404</v>
      </c>
      <c r="B4" s="583"/>
      <c r="C4" s="583"/>
      <c r="D4" s="583"/>
      <c r="E4" s="583"/>
      <c r="F4" s="583"/>
      <c r="G4" s="584"/>
      <c r="H4" s="188">
        <f>H5</f>
        <v>360632</v>
      </c>
      <c r="I4" s="188">
        <v>360632</v>
      </c>
      <c r="J4" s="123">
        <f>H4-I4</f>
        <v>0</v>
      </c>
      <c r="K4" s="92"/>
      <c r="L4" s="93"/>
      <c r="M4" s="124"/>
    </row>
    <row r="5" spans="1:13">
      <c r="A5" s="210" t="s">
        <v>405</v>
      </c>
      <c r="B5" s="125"/>
      <c r="C5" s="126"/>
      <c r="D5" s="126"/>
      <c r="E5" s="126"/>
      <c r="F5" s="126"/>
      <c r="G5" s="127"/>
      <c r="H5" s="97">
        <f>H6</f>
        <v>360632</v>
      </c>
      <c r="I5" s="97">
        <v>360632</v>
      </c>
      <c r="J5" s="98">
        <f>H5-I5</f>
        <v>0</v>
      </c>
      <c r="K5" s="81"/>
      <c r="L5" s="82"/>
      <c r="M5" s="83"/>
    </row>
    <row r="6" spans="1:13">
      <c r="A6" s="10"/>
      <c r="B6" s="132" t="s">
        <v>268</v>
      </c>
      <c r="C6" s="132"/>
      <c r="D6" s="133"/>
      <c r="E6" s="133"/>
      <c r="F6" s="133"/>
      <c r="G6" s="134"/>
      <c r="H6" s="97">
        <f>SUM(H7,H21)</f>
        <v>360632</v>
      </c>
      <c r="I6" s="97">
        <v>360632</v>
      </c>
      <c r="J6" s="98">
        <f>H6-I6</f>
        <v>0</v>
      </c>
      <c r="K6" s="81"/>
      <c r="L6" s="82"/>
      <c r="M6" s="83"/>
    </row>
    <row r="7" spans="1:13">
      <c r="A7" s="10"/>
      <c r="B7" s="6"/>
      <c r="C7" s="182" t="s">
        <v>406</v>
      </c>
      <c r="D7" s="133"/>
      <c r="E7" s="133"/>
      <c r="F7" s="133"/>
      <c r="G7" s="134"/>
      <c r="H7" s="97">
        <f>SUM(H8)</f>
        <v>308500</v>
      </c>
      <c r="I7" s="97">
        <v>308500</v>
      </c>
      <c r="J7" s="98">
        <f t="shared" ref="J7:J11" si="0">H7-I7</f>
        <v>0</v>
      </c>
      <c r="K7" s="81"/>
      <c r="L7" s="82"/>
      <c r="M7" s="83"/>
    </row>
    <row r="8" spans="1:13">
      <c r="A8" s="10"/>
      <c r="B8" s="6"/>
      <c r="C8" s="7"/>
      <c r="D8" s="132" t="s">
        <v>407</v>
      </c>
      <c r="E8" s="133"/>
      <c r="F8" s="133"/>
      <c r="G8" s="134"/>
      <c r="H8" s="135">
        <f>SUM(H9)</f>
        <v>308500</v>
      </c>
      <c r="I8" s="135">
        <v>308500</v>
      </c>
      <c r="J8" s="98">
        <f t="shared" si="0"/>
        <v>0</v>
      </c>
      <c r="K8" s="84"/>
      <c r="L8" s="136"/>
      <c r="M8" s="83"/>
    </row>
    <row r="9" spans="1:13">
      <c r="A9" s="10"/>
      <c r="B9" s="6"/>
      <c r="C9" s="137"/>
      <c r="D9" s="138"/>
      <c r="E9" s="132" t="s">
        <v>408</v>
      </c>
      <c r="F9" s="133"/>
      <c r="G9" s="134"/>
      <c r="H9" s="94">
        <f>H10</f>
        <v>308500</v>
      </c>
      <c r="I9" s="94">
        <v>308500</v>
      </c>
      <c r="J9" s="98">
        <f t="shared" si="0"/>
        <v>0</v>
      </c>
      <c r="K9" s="87"/>
      <c r="L9" s="96"/>
      <c r="M9" s="85"/>
    </row>
    <row r="10" spans="1:13">
      <c r="A10" s="65"/>
      <c r="B10" s="67"/>
      <c r="C10" s="189"/>
      <c r="D10" s="190"/>
      <c r="E10" s="191"/>
      <c r="F10" s="139" t="s">
        <v>62</v>
      </c>
      <c r="G10" s="192"/>
      <c r="H10" s="74">
        <f>SUM(M11,M14,M17,M19)</f>
        <v>308500</v>
      </c>
      <c r="I10" s="74">
        <v>308500</v>
      </c>
      <c r="J10" s="74">
        <f t="shared" si="0"/>
        <v>0</v>
      </c>
      <c r="K10" s="53"/>
      <c r="L10" s="54"/>
      <c r="M10" s="40"/>
    </row>
    <row r="11" spans="1:13">
      <c r="A11" s="65"/>
      <c r="B11" s="67"/>
      <c r="C11" s="67"/>
      <c r="D11" s="148"/>
      <c r="E11" s="193"/>
      <c r="F11" s="193"/>
      <c r="G11" s="141" t="s">
        <v>409</v>
      </c>
      <c r="H11" s="75">
        <f>M11+M14</f>
        <v>8000</v>
      </c>
      <c r="I11" s="75">
        <v>8000</v>
      </c>
      <c r="J11" s="75">
        <f t="shared" si="0"/>
        <v>0</v>
      </c>
      <c r="K11" s="36" t="s">
        <v>76</v>
      </c>
      <c r="L11" s="44"/>
      <c r="M11" s="369">
        <f>SUM(M12:M13)</f>
        <v>2000</v>
      </c>
    </row>
    <row r="12" spans="1:13">
      <c r="A12" s="65"/>
      <c r="B12" s="67"/>
      <c r="C12" s="67"/>
      <c r="D12" s="148"/>
      <c r="E12" s="193"/>
      <c r="F12" s="193"/>
      <c r="G12" s="70"/>
      <c r="H12" s="76"/>
      <c r="I12" s="76"/>
      <c r="J12" s="76"/>
      <c r="K12" s="402" t="s">
        <v>677</v>
      </c>
      <c r="L12" s="459"/>
      <c r="M12" s="486"/>
    </row>
    <row r="13" spans="1:13">
      <c r="A13" s="65"/>
      <c r="B13" s="67"/>
      <c r="C13" s="67"/>
      <c r="D13" s="148"/>
      <c r="E13" s="193"/>
      <c r="F13" s="193"/>
      <c r="G13" s="70"/>
      <c r="H13" s="76"/>
      <c r="I13" s="76"/>
      <c r="J13" s="76"/>
      <c r="K13" s="468" t="s">
        <v>684</v>
      </c>
      <c r="L13" s="459" t="s">
        <v>208</v>
      </c>
      <c r="M13" s="486">
        <v>2000</v>
      </c>
    </row>
    <row r="14" spans="1:13">
      <c r="A14" s="65"/>
      <c r="B14" s="67"/>
      <c r="C14" s="67"/>
      <c r="D14" s="148"/>
      <c r="E14" s="193"/>
      <c r="F14" s="193"/>
      <c r="G14" s="70"/>
      <c r="H14" s="76"/>
      <c r="I14" s="76"/>
      <c r="J14" s="76"/>
      <c r="K14" s="402" t="s">
        <v>64</v>
      </c>
      <c r="L14" s="459"/>
      <c r="M14" s="501">
        <f>SUM(M15:M16)</f>
        <v>6000</v>
      </c>
    </row>
    <row r="15" spans="1:13">
      <c r="A15" s="65"/>
      <c r="B15" s="67"/>
      <c r="C15" s="67"/>
      <c r="D15" s="148"/>
      <c r="E15" s="193"/>
      <c r="F15" s="193"/>
      <c r="G15" s="70"/>
      <c r="H15" s="76"/>
      <c r="I15" s="76"/>
      <c r="J15" s="76"/>
      <c r="K15" s="468" t="s">
        <v>410</v>
      </c>
      <c r="L15" s="459" t="s">
        <v>208</v>
      </c>
      <c r="M15" s="486">
        <v>5000</v>
      </c>
    </row>
    <row r="16" spans="1:13">
      <c r="A16" s="65"/>
      <c r="B16" s="67"/>
      <c r="C16" s="67"/>
      <c r="D16" s="148"/>
      <c r="E16" s="193"/>
      <c r="F16" s="193"/>
      <c r="G16" s="69"/>
      <c r="H16" s="73"/>
      <c r="I16" s="73"/>
      <c r="J16" s="73"/>
      <c r="K16" s="466" t="s">
        <v>411</v>
      </c>
      <c r="L16" s="462" t="s">
        <v>208</v>
      </c>
      <c r="M16" s="481">
        <v>1000</v>
      </c>
    </row>
    <row r="17" spans="1:13">
      <c r="A17" s="65"/>
      <c r="B17" s="67"/>
      <c r="C17" s="67"/>
      <c r="D17" s="67"/>
      <c r="E17" s="67"/>
      <c r="F17" s="146"/>
      <c r="G17" s="67" t="s">
        <v>65</v>
      </c>
      <c r="H17" s="78">
        <f>M17</f>
        <v>300000</v>
      </c>
      <c r="I17" s="78">
        <v>300000</v>
      </c>
      <c r="J17" s="48">
        <f>H17-I17</f>
        <v>0</v>
      </c>
      <c r="K17" s="402" t="s">
        <v>499</v>
      </c>
      <c r="L17" s="502"/>
      <c r="M17" s="465">
        <v>300000</v>
      </c>
    </row>
    <row r="18" spans="1:13">
      <c r="A18" s="65"/>
      <c r="B18" s="67"/>
      <c r="C18" s="67"/>
      <c r="D18" s="67"/>
      <c r="E18" s="67"/>
      <c r="F18" s="146"/>
      <c r="G18" s="69"/>
      <c r="H18" s="79"/>
      <c r="I18" s="79"/>
      <c r="J18" s="49"/>
      <c r="K18" s="466" t="s">
        <v>413</v>
      </c>
      <c r="L18" s="445" t="s">
        <v>0</v>
      </c>
      <c r="M18" s="467">
        <v>300000</v>
      </c>
    </row>
    <row r="19" spans="1:13">
      <c r="A19" s="65"/>
      <c r="B19" s="67"/>
      <c r="C19" s="67"/>
      <c r="D19" s="67"/>
      <c r="E19" s="67"/>
      <c r="F19" s="146"/>
      <c r="G19" s="67" t="s">
        <v>414</v>
      </c>
      <c r="H19" s="78">
        <f>M19</f>
        <v>500</v>
      </c>
      <c r="I19" s="78">
        <v>500</v>
      </c>
      <c r="J19" s="48">
        <f>H19-I19</f>
        <v>0</v>
      </c>
      <c r="K19" s="402" t="s">
        <v>415</v>
      </c>
      <c r="L19" s="503"/>
      <c r="M19" s="465">
        <f>M20</f>
        <v>500</v>
      </c>
    </row>
    <row r="20" spans="1:13">
      <c r="A20" s="65"/>
      <c r="B20" s="67"/>
      <c r="C20" s="67"/>
      <c r="D20" s="67"/>
      <c r="E20" s="67"/>
      <c r="F20" s="146"/>
      <c r="G20" s="69"/>
      <c r="H20" s="79"/>
      <c r="I20" s="79"/>
      <c r="J20" s="49"/>
      <c r="K20" s="466" t="s">
        <v>416</v>
      </c>
      <c r="L20" s="445" t="s">
        <v>0</v>
      </c>
      <c r="M20" s="446">
        <v>500</v>
      </c>
    </row>
    <row r="21" spans="1:13">
      <c r="A21" s="10"/>
      <c r="B21" s="6"/>
      <c r="C21" s="182" t="s">
        <v>417</v>
      </c>
      <c r="D21" s="133"/>
      <c r="E21" s="133"/>
      <c r="F21" s="133"/>
      <c r="G21" s="134"/>
      <c r="H21" s="94">
        <f>H22</f>
        <v>52132</v>
      </c>
      <c r="I21" s="94">
        <v>52132</v>
      </c>
      <c r="J21" s="95">
        <f t="shared" ref="J21:J25" si="1">H21-I21</f>
        <v>0</v>
      </c>
      <c r="K21" s="482"/>
      <c r="L21" s="476"/>
      <c r="M21" s="483"/>
    </row>
    <row r="22" spans="1:13">
      <c r="A22" s="10"/>
      <c r="B22" s="6"/>
      <c r="C22" s="150"/>
      <c r="D22" s="132" t="s">
        <v>418</v>
      </c>
      <c r="E22" s="133"/>
      <c r="F22" s="133"/>
      <c r="G22" s="134"/>
      <c r="H22" s="135">
        <f>H23</f>
        <v>52132</v>
      </c>
      <c r="I22" s="135">
        <v>52132</v>
      </c>
      <c r="J22" s="9">
        <f t="shared" si="1"/>
        <v>0</v>
      </c>
      <c r="K22" s="475"/>
      <c r="L22" s="476"/>
      <c r="M22" s="483"/>
    </row>
    <row r="23" spans="1:13" s="140" customFormat="1" ht="18" customHeight="1">
      <c r="A23" s="10"/>
      <c r="B23" s="6"/>
      <c r="C23" s="137"/>
      <c r="D23" s="138"/>
      <c r="E23" s="132" t="s">
        <v>408</v>
      </c>
      <c r="F23" s="133"/>
      <c r="G23" s="134"/>
      <c r="H23" s="94">
        <f>SUM(H24,H31,H35,H41)</f>
        <v>52132</v>
      </c>
      <c r="I23" s="94">
        <v>52132</v>
      </c>
      <c r="J23" s="95">
        <f t="shared" si="1"/>
        <v>0</v>
      </c>
      <c r="K23" s="396"/>
      <c r="L23" s="477"/>
      <c r="M23" s="478"/>
    </row>
    <row r="24" spans="1:13" s="140" customFormat="1" ht="18" customHeight="1">
      <c r="A24" s="65"/>
      <c r="B24" s="67"/>
      <c r="C24" s="67"/>
      <c r="D24" s="67"/>
      <c r="E24" s="67"/>
      <c r="F24" s="139" t="s">
        <v>419</v>
      </c>
      <c r="G24" s="143"/>
      <c r="H24" s="74">
        <f>SUM(H25,H29)</f>
        <v>19912</v>
      </c>
      <c r="I24" s="74">
        <v>19912</v>
      </c>
      <c r="J24" s="101">
        <f t="shared" si="1"/>
        <v>0</v>
      </c>
      <c r="K24" s="469"/>
      <c r="L24" s="470"/>
      <c r="M24" s="484"/>
    </row>
    <row r="25" spans="1:13">
      <c r="A25" s="56"/>
      <c r="B25" s="58"/>
      <c r="C25" s="67"/>
      <c r="D25" s="67"/>
      <c r="E25" s="67"/>
      <c r="F25" s="195"/>
      <c r="G25" s="213" t="s">
        <v>409</v>
      </c>
      <c r="H25" s="214">
        <f>M25</f>
        <v>13000</v>
      </c>
      <c r="I25" s="75">
        <v>13000</v>
      </c>
      <c r="J25" s="41">
        <f t="shared" si="1"/>
        <v>0</v>
      </c>
      <c r="K25" s="472" t="s">
        <v>76</v>
      </c>
      <c r="L25" s="504"/>
      <c r="M25" s="474">
        <f>SUM(M26:M28)</f>
        <v>13000</v>
      </c>
    </row>
    <row r="26" spans="1:13">
      <c r="A26" s="56"/>
      <c r="B26" s="58"/>
      <c r="C26" s="67"/>
      <c r="D26" s="67"/>
      <c r="E26" s="67"/>
      <c r="F26" s="234"/>
      <c r="G26" s="57"/>
      <c r="H26" s="103"/>
      <c r="I26" s="103"/>
      <c r="J26" s="50"/>
      <c r="K26" s="468" t="s">
        <v>515</v>
      </c>
      <c r="L26" s="464" t="s">
        <v>0</v>
      </c>
      <c r="M26" s="446">
        <v>5000</v>
      </c>
    </row>
    <row r="27" spans="1:13">
      <c r="A27" s="56"/>
      <c r="B27" s="58"/>
      <c r="C27" s="67"/>
      <c r="D27" s="67"/>
      <c r="E27" s="67"/>
      <c r="F27" s="234"/>
      <c r="G27" s="57"/>
      <c r="H27" s="103"/>
      <c r="I27" s="103"/>
      <c r="J27" s="50"/>
      <c r="K27" s="468" t="s">
        <v>420</v>
      </c>
      <c r="L27" s="464" t="s">
        <v>0</v>
      </c>
      <c r="M27" s="446">
        <v>3000</v>
      </c>
    </row>
    <row r="28" spans="1:13">
      <c r="A28" s="56"/>
      <c r="B28" s="58"/>
      <c r="C28" s="67"/>
      <c r="D28" s="67"/>
      <c r="E28" s="67"/>
      <c r="F28" s="234"/>
      <c r="G28" s="211"/>
      <c r="H28" s="106"/>
      <c r="I28" s="106"/>
      <c r="J28" s="149"/>
      <c r="K28" s="466" t="s">
        <v>421</v>
      </c>
      <c r="L28" s="445" t="s">
        <v>0</v>
      </c>
      <c r="M28" s="467">
        <v>5000</v>
      </c>
    </row>
    <row r="29" spans="1:13">
      <c r="A29" s="65"/>
      <c r="B29" s="67"/>
      <c r="C29" s="67"/>
      <c r="D29" s="67"/>
      <c r="E29" s="67"/>
      <c r="F29" s="108"/>
      <c r="G29" s="361" t="s">
        <v>422</v>
      </c>
      <c r="H29" s="109">
        <f>M30</f>
        <v>6912</v>
      </c>
      <c r="I29" s="235">
        <v>6912</v>
      </c>
      <c r="J29" s="110">
        <f>H29-I29</f>
        <v>0</v>
      </c>
      <c r="K29" s="505" t="s">
        <v>423</v>
      </c>
      <c r="L29" s="464"/>
      <c r="M29" s="465">
        <f>M30</f>
        <v>6912</v>
      </c>
    </row>
    <row r="30" spans="1:13">
      <c r="A30" s="65"/>
      <c r="B30" s="67"/>
      <c r="C30" s="67"/>
      <c r="D30" s="67"/>
      <c r="E30" s="67"/>
      <c r="F30" s="237"/>
      <c r="G30" s="201"/>
      <c r="H30" s="109"/>
      <c r="I30" s="235"/>
      <c r="J30" s="110"/>
      <c r="K30" s="466" t="s">
        <v>465</v>
      </c>
      <c r="L30" s="445" t="s">
        <v>0</v>
      </c>
      <c r="M30" s="446">
        <v>6912</v>
      </c>
    </row>
    <row r="31" spans="1:13">
      <c r="A31" s="65"/>
      <c r="B31" s="67"/>
      <c r="C31" s="67"/>
      <c r="D31" s="67"/>
      <c r="E31" s="67"/>
      <c r="F31" s="592" t="s">
        <v>55</v>
      </c>
      <c r="G31" s="593"/>
      <c r="H31" s="155">
        <f>H32</f>
        <v>14400</v>
      </c>
      <c r="I31" s="155">
        <v>14400</v>
      </c>
      <c r="J31" s="156">
        <f>H31-I31</f>
        <v>0</v>
      </c>
      <c r="K31" s="506"/>
      <c r="L31" s="507"/>
      <c r="M31" s="508"/>
    </row>
    <row r="32" spans="1:13">
      <c r="A32" s="65"/>
      <c r="B32" s="67"/>
      <c r="C32" s="67"/>
      <c r="D32" s="67"/>
      <c r="E32" s="67"/>
      <c r="F32" s="112"/>
      <c r="G32" s="203" t="s">
        <v>424</v>
      </c>
      <c r="H32" s="217">
        <f>M32</f>
        <v>14400</v>
      </c>
      <c r="I32" s="75">
        <v>14400</v>
      </c>
      <c r="J32" s="206">
        <f>H32-I32</f>
        <v>0</v>
      </c>
      <c r="K32" s="472" t="s">
        <v>425</v>
      </c>
      <c r="L32" s="509"/>
      <c r="M32" s="474">
        <f>SUM(M33:M34)</f>
        <v>14400</v>
      </c>
    </row>
    <row r="33" spans="1:13">
      <c r="A33" s="65"/>
      <c r="B33" s="67"/>
      <c r="C33" s="67"/>
      <c r="D33" s="67"/>
      <c r="E33" s="67"/>
      <c r="F33" s="108"/>
      <c r="G33" s="198"/>
      <c r="H33" s="109"/>
      <c r="I33" s="103"/>
      <c r="J33" s="110"/>
      <c r="K33" s="468" t="s">
        <v>518</v>
      </c>
      <c r="L33" s="510" t="s">
        <v>0</v>
      </c>
      <c r="M33" s="446">
        <v>3840</v>
      </c>
    </row>
    <row r="34" spans="1:13">
      <c r="A34" s="65"/>
      <c r="B34" s="67"/>
      <c r="C34" s="67"/>
      <c r="D34" s="67"/>
      <c r="E34" s="67"/>
      <c r="F34" s="198"/>
      <c r="G34" s="198"/>
      <c r="H34" s="103"/>
      <c r="I34" s="107"/>
      <c r="J34" s="105"/>
      <c r="K34" s="468" t="s">
        <v>500</v>
      </c>
      <c r="L34" s="510" t="s">
        <v>0</v>
      </c>
      <c r="M34" s="446">
        <v>10560</v>
      </c>
    </row>
    <row r="35" spans="1:13">
      <c r="A35" s="65"/>
      <c r="B35" s="67"/>
      <c r="C35" s="67"/>
      <c r="D35" s="67"/>
      <c r="E35" s="67"/>
      <c r="F35" s="139" t="s">
        <v>426</v>
      </c>
      <c r="G35" s="143"/>
      <c r="H35" s="74">
        <f>H36</f>
        <v>13400</v>
      </c>
      <c r="I35" s="74">
        <v>13400</v>
      </c>
      <c r="J35" s="101">
        <f>H35-I35</f>
        <v>0</v>
      </c>
      <c r="K35" s="469"/>
      <c r="L35" s="470"/>
      <c r="M35" s="471"/>
    </row>
    <row r="36" spans="1:13">
      <c r="A36" s="65"/>
      <c r="B36" s="67"/>
      <c r="C36" s="67"/>
      <c r="D36" s="67"/>
      <c r="E36" s="67"/>
      <c r="F36" s="146"/>
      <c r="G36" s="67" t="s">
        <v>427</v>
      </c>
      <c r="H36" s="78">
        <f>SUM(M36,M38)</f>
        <v>13400</v>
      </c>
      <c r="I36" s="78">
        <v>13400</v>
      </c>
      <c r="J36" s="48">
        <f>H36-I36</f>
        <v>0</v>
      </c>
      <c r="K36" s="472" t="s">
        <v>428</v>
      </c>
      <c r="L36" s="503"/>
      <c r="M36" s="474">
        <f>SUM(M37:M37)</f>
        <v>6600</v>
      </c>
    </row>
    <row r="37" spans="1:13">
      <c r="A37" s="65"/>
      <c r="B37" s="67"/>
      <c r="C37" s="67"/>
      <c r="D37" s="67"/>
      <c r="E37" s="67"/>
      <c r="F37" s="108"/>
      <c r="G37" s="201"/>
      <c r="H37" s="109"/>
      <c r="I37" s="235"/>
      <c r="J37" s="110"/>
      <c r="K37" s="468" t="s">
        <v>429</v>
      </c>
      <c r="L37" s="464" t="s">
        <v>0</v>
      </c>
      <c r="M37" s="446">
        <v>6600</v>
      </c>
    </row>
    <row r="38" spans="1:13">
      <c r="A38" s="65"/>
      <c r="B38" s="67"/>
      <c r="C38" s="67"/>
      <c r="D38" s="67"/>
      <c r="E38" s="67"/>
      <c r="F38" s="108"/>
      <c r="G38" s="201"/>
      <c r="H38" s="109"/>
      <c r="I38" s="235"/>
      <c r="J38" s="110"/>
      <c r="K38" s="402" t="s">
        <v>87</v>
      </c>
      <c r="L38" s="490"/>
      <c r="M38" s="465">
        <f>SUM(M39:M40)</f>
        <v>6800</v>
      </c>
    </row>
    <row r="39" spans="1:13">
      <c r="A39" s="65"/>
      <c r="B39" s="67"/>
      <c r="C39" s="67"/>
      <c r="D39" s="67"/>
      <c r="E39" s="67"/>
      <c r="F39" s="108"/>
      <c r="G39" s="201"/>
      <c r="H39" s="109"/>
      <c r="I39" s="235"/>
      <c r="J39" s="110"/>
      <c r="K39" s="468" t="s">
        <v>476</v>
      </c>
      <c r="L39" s="464" t="s">
        <v>0</v>
      </c>
      <c r="M39" s="446">
        <v>4800</v>
      </c>
    </row>
    <row r="40" spans="1:13">
      <c r="A40" s="65"/>
      <c r="B40" s="67"/>
      <c r="C40" s="189"/>
      <c r="D40" s="190"/>
      <c r="E40" s="230"/>
      <c r="F40" s="148"/>
      <c r="G40" s="233"/>
      <c r="H40" s="76"/>
      <c r="I40" s="76"/>
      <c r="J40" s="76"/>
      <c r="K40" s="468" t="s">
        <v>637</v>
      </c>
      <c r="L40" s="459" t="s">
        <v>0</v>
      </c>
      <c r="M40" s="446">
        <v>2000</v>
      </c>
    </row>
    <row r="41" spans="1:13">
      <c r="A41" s="65"/>
      <c r="B41" s="67"/>
      <c r="C41" s="67"/>
      <c r="D41" s="67"/>
      <c r="E41" s="67"/>
      <c r="F41" s="139" t="s">
        <v>430</v>
      </c>
      <c r="G41" s="143"/>
      <c r="H41" s="74">
        <f>SUM(M42,M44)</f>
        <v>4420</v>
      </c>
      <c r="I41" s="74">
        <v>4420</v>
      </c>
      <c r="J41" s="101">
        <f>H41-I41</f>
        <v>0</v>
      </c>
      <c r="K41" s="469"/>
      <c r="L41" s="470"/>
      <c r="M41" s="471"/>
    </row>
    <row r="42" spans="1:13">
      <c r="A42" s="65"/>
      <c r="B42" s="67"/>
      <c r="C42" s="67"/>
      <c r="D42" s="67"/>
      <c r="E42" s="67"/>
      <c r="F42" s="146"/>
      <c r="G42" s="67" t="s">
        <v>94</v>
      </c>
      <c r="H42" s="78">
        <f>M42</f>
        <v>2320</v>
      </c>
      <c r="I42" s="78">
        <v>2320</v>
      </c>
      <c r="J42" s="48">
        <f>H42-I42</f>
        <v>0</v>
      </c>
      <c r="K42" s="472" t="s">
        <v>431</v>
      </c>
      <c r="L42" s="503"/>
      <c r="M42" s="474">
        <f>M43</f>
        <v>2320</v>
      </c>
    </row>
    <row r="43" spans="1:13">
      <c r="A43" s="65"/>
      <c r="B43" s="67"/>
      <c r="C43" s="67"/>
      <c r="D43" s="67"/>
      <c r="E43" s="67"/>
      <c r="F43" s="108"/>
      <c r="G43" s="199"/>
      <c r="H43" s="111"/>
      <c r="I43" s="238"/>
      <c r="J43" s="159"/>
      <c r="K43" s="466" t="s">
        <v>466</v>
      </c>
      <c r="L43" s="445" t="s">
        <v>0</v>
      </c>
      <c r="M43" s="467">
        <v>2320</v>
      </c>
    </row>
    <row r="44" spans="1:13">
      <c r="A44" s="65"/>
      <c r="B44" s="67"/>
      <c r="C44" s="67"/>
      <c r="D44" s="67"/>
      <c r="E44" s="67"/>
      <c r="F44" s="108"/>
      <c r="G44" s="361" t="s">
        <v>432</v>
      </c>
      <c r="H44" s="109">
        <f>M44</f>
        <v>2100</v>
      </c>
      <c r="I44" s="75">
        <v>2100</v>
      </c>
      <c r="J44" s="110">
        <f>H44-I44</f>
        <v>0</v>
      </c>
      <c r="K44" s="223" t="s">
        <v>98</v>
      </c>
      <c r="L44" s="228"/>
      <c r="M44" s="197">
        <f>M45</f>
        <v>2100</v>
      </c>
    </row>
    <row r="45" spans="1:13" ht="17.25" thickBot="1">
      <c r="A45" s="313"/>
      <c r="B45" s="71"/>
      <c r="C45" s="71"/>
      <c r="D45" s="71"/>
      <c r="E45" s="71"/>
      <c r="F45" s="364"/>
      <c r="G45" s="368"/>
      <c r="H45" s="365"/>
      <c r="I45" s="366"/>
      <c r="J45" s="367"/>
      <c r="K45" s="244" t="s">
        <v>467</v>
      </c>
      <c r="L45" s="245" t="s">
        <v>0</v>
      </c>
      <c r="M45" s="258">
        <v>2100</v>
      </c>
    </row>
  </sheetData>
  <autoFilter ref="A3:M45">
    <filterColumn colId="10" showButton="0"/>
    <filterColumn colId="11" showButton="0"/>
  </autoFilter>
  <mergeCells count="9">
    <mergeCell ref="F31:G31"/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6:J9">
    <cfRule type="containsText" dxfId="773" priority="139" operator="containsText" text="허하나로">
      <formula>NOT(ISERROR(SEARCH("허하나로",H701)))</formula>
    </cfRule>
    <cfRule type="containsText" dxfId="772" priority="140" operator="containsText" text="한별">
      <formula>NOT(ISERROR(SEARCH("한별",H701)))</formula>
    </cfRule>
    <cfRule type="containsText" dxfId="771" priority="141" operator="containsText" text="정홍조">
      <formula>NOT(ISERROR(SEARCH("정홍조",H701)))</formula>
    </cfRule>
    <cfRule type="containsText" dxfId="770" priority="142" operator="containsText" text="김지윤">
      <formula>NOT(ISERROR(SEARCH("김지윤",H701)))</formula>
    </cfRule>
    <cfRule type="containsText" dxfId="769" priority="143" operator="containsText" text="전준영">
      <formula>NOT(ISERROR(SEARCH("전준영",H701)))</formula>
    </cfRule>
    <cfRule type="containsText" dxfId="768" priority="144" operator="containsText" text="차재성">
      <formula>NOT(ISERROR(SEARCH("차재성",H701)))</formula>
    </cfRule>
  </conditionalFormatting>
  <conditionalFormatting sqref="J5">
    <cfRule type="containsText" dxfId="767" priority="133" operator="containsText" text="허하나로">
      <formula>NOT(ISERROR(SEARCH("허하나로",H700)))</formula>
    </cfRule>
    <cfRule type="containsText" dxfId="766" priority="134" operator="containsText" text="한별">
      <formula>NOT(ISERROR(SEARCH("한별",H700)))</formula>
    </cfRule>
    <cfRule type="containsText" dxfId="765" priority="135" operator="containsText" text="정홍조">
      <formula>NOT(ISERROR(SEARCH("정홍조",H700)))</formula>
    </cfRule>
    <cfRule type="containsText" dxfId="764" priority="136" operator="containsText" text="김지윤">
      <formula>NOT(ISERROR(SEARCH("김지윤",H700)))</formula>
    </cfRule>
    <cfRule type="containsText" dxfId="763" priority="137" operator="containsText" text="전준영">
      <formula>NOT(ISERROR(SEARCH("전준영",H700)))</formula>
    </cfRule>
    <cfRule type="containsText" dxfId="762" priority="138" operator="containsText" text="차재성">
      <formula>NOT(ISERROR(SEARCH("차재성",H700)))</formula>
    </cfRule>
  </conditionalFormatting>
  <conditionalFormatting sqref="J21">
    <cfRule type="containsText" dxfId="761" priority="127" operator="containsText" text="허하나로">
      <formula>NOT(ISERROR(SEARCH("허하나로",H834)))</formula>
    </cfRule>
    <cfRule type="containsText" dxfId="760" priority="128" operator="containsText" text="한별">
      <formula>NOT(ISERROR(SEARCH("한별",H834)))</formula>
    </cfRule>
    <cfRule type="containsText" dxfId="759" priority="129" operator="containsText" text="정홍조">
      <formula>NOT(ISERROR(SEARCH("정홍조",H834)))</formula>
    </cfRule>
    <cfRule type="containsText" dxfId="758" priority="130" operator="containsText" text="김지윤">
      <formula>NOT(ISERROR(SEARCH("김지윤",H834)))</formula>
    </cfRule>
    <cfRule type="containsText" dxfId="757" priority="131" operator="containsText" text="전준영">
      <formula>NOT(ISERROR(SEARCH("전준영",H834)))</formula>
    </cfRule>
    <cfRule type="containsText" dxfId="756" priority="132" operator="containsText" text="차재성">
      <formula>NOT(ISERROR(SEARCH("차재성",H834)))</formula>
    </cfRule>
  </conditionalFormatting>
  <conditionalFormatting sqref="J23">
    <cfRule type="containsText" dxfId="755" priority="151" operator="containsText" text="허하나로">
      <formula>NOT(ISERROR(SEARCH("허하나로",H1031)))</formula>
    </cfRule>
    <cfRule type="containsText" dxfId="754" priority="152" operator="containsText" text="한별">
      <formula>NOT(ISERROR(SEARCH("한별",H1031)))</formula>
    </cfRule>
    <cfRule type="containsText" dxfId="753" priority="153" operator="containsText" text="정홍조">
      <formula>NOT(ISERROR(SEARCH("정홍조",H1031)))</formula>
    </cfRule>
    <cfRule type="containsText" dxfId="752" priority="154" operator="containsText" text="김지윤">
      <formula>NOT(ISERROR(SEARCH("김지윤",H1031)))</formula>
    </cfRule>
    <cfRule type="containsText" dxfId="751" priority="155" operator="containsText" text="전준영">
      <formula>NOT(ISERROR(SEARCH("전준영",H1031)))</formula>
    </cfRule>
    <cfRule type="containsText" dxfId="750" priority="156" operator="containsText" text="차재성">
      <formula>NOT(ISERROR(SEARCH("차재성",H1031)))</formula>
    </cfRule>
  </conditionalFormatting>
  <conditionalFormatting sqref="J34">
    <cfRule type="containsText" dxfId="749" priority="157" operator="containsText" text="허하나로">
      <formula>NOT(ISERROR(SEARCH("허하나로",H1046)))</formula>
    </cfRule>
    <cfRule type="containsText" dxfId="748" priority="158" operator="containsText" text="한별">
      <formula>NOT(ISERROR(SEARCH("한별",H1046)))</formula>
    </cfRule>
    <cfRule type="containsText" dxfId="747" priority="159" operator="containsText" text="정홍조">
      <formula>NOT(ISERROR(SEARCH("정홍조",H1046)))</formula>
    </cfRule>
    <cfRule type="containsText" dxfId="746" priority="160" operator="containsText" text="김지윤">
      <formula>NOT(ISERROR(SEARCH("김지윤",H1046)))</formula>
    </cfRule>
    <cfRule type="containsText" dxfId="745" priority="161" operator="containsText" text="전준영">
      <formula>NOT(ISERROR(SEARCH("전준영",H1046)))</formula>
    </cfRule>
    <cfRule type="containsText" dxfId="744" priority="162" operator="containsText" text="차재성">
      <formula>NOT(ISERROR(SEARCH("차재성",H1046)))</formula>
    </cfRule>
  </conditionalFormatting>
  <conditionalFormatting sqref="L32">
    <cfRule type="containsText" dxfId="743" priority="121" operator="containsText" text="허하나로">
      <formula>NOT(ISERROR(SEARCH("허하나로",J1179)))</formula>
    </cfRule>
    <cfRule type="containsText" dxfId="742" priority="122" operator="containsText" text="한별">
      <formula>NOT(ISERROR(SEARCH("한별",J1179)))</formula>
    </cfRule>
    <cfRule type="containsText" dxfId="741" priority="123" operator="containsText" text="정홍조">
      <formula>NOT(ISERROR(SEARCH("정홍조",J1179)))</formula>
    </cfRule>
    <cfRule type="containsText" dxfId="740" priority="124" operator="containsText" text="김지윤">
      <formula>NOT(ISERROR(SEARCH("김지윤",J1179)))</formula>
    </cfRule>
    <cfRule type="containsText" dxfId="739" priority="125" operator="containsText" text="전준영">
      <formula>NOT(ISERROR(SEARCH("전준영",J1179)))</formula>
    </cfRule>
    <cfRule type="containsText" dxfId="738" priority="126" operator="containsText" text="차재성">
      <formula>NOT(ISERROR(SEARCH("차재성",J1179)))</formula>
    </cfRule>
  </conditionalFormatting>
  <conditionalFormatting sqref="J24:J25">
    <cfRule type="containsText" dxfId="737" priority="115" operator="containsText" text="허하나로">
      <formula>NOT(ISERROR(SEARCH("허하나로",H1038)))</formula>
    </cfRule>
    <cfRule type="containsText" dxfId="736" priority="116" operator="containsText" text="한별">
      <formula>NOT(ISERROR(SEARCH("한별",H1038)))</formula>
    </cfRule>
    <cfRule type="containsText" dxfId="735" priority="117" operator="containsText" text="정홍조">
      <formula>NOT(ISERROR(SEARCH("정홍조",H1038)))</formula>
    </cfRule>
    <cfRule type="containsText" dxfId="734" priority="118" operator="containsText" text="김지윤">
      <formula>NOT(ISERROR(SEARCH("김지윤",H1038)))</formula>
    </cfRule>
    <cfRule type="containsText" dxfId="733" priority="119" operator="containsText" text="전준영">
      <formula>NOT(ISERROR(SEARCH("전준영",H1038)))</formula>
    </cfRule>
    <cfRule type="containsText" dxfId="732" priority="120" operator="containsText" text="차재성">
      <formula>NOT(ISERROR(SEARCH("차재성",H1038)))</formula>
    </cfRule>
  </conditionalFormatting>
  <conditionalFormatting sqref="J19">
    <cfRule type="containsText" dxfId="731" priority="103" operator="containsText" text="허하나로">
      <formula>NOT(ISERROR(SEARCH("허하나로",H1104)))</formula>
    </cfRule>
    <cfRule type="containsText" dxfId="730" priority="104" operator="containsText" text="한별">
      <formula>NOT(ISERROR(SEARCH("한별",H1104)))</formula>
    </cfRule>
    <cfRule type="containsText" dxfId="729" priority="105" operator="containsText" text="정홍조">
      <formula>NOT(ISERROR(SEARCH("정홍조",H1104)))</formula>
    </cfRule>
    <cfRule type="containsText" dxfId="728" priority="106" operator="containsText" text="김지윤">
      <formula>NOT(ISERROR(SEARCH("김지윤",H1104)))</formula>
    </cfRule>
    <cfRule type="containsText" dxfId="727" priority="107" operator="containsText" text="전준영">
      <formula>NOT(ISERROR(SEARCH("전준영",H1104)))</formula>
    </cfRule>
    <cfRule type="containsText" dxfId="726" priority="108" operator="containsText" text="차재성">
      <formula>NOT(ISERROR(SEARCH("차재성",H1104)))</formula>
    </cfRule>
  </conditionalFormatting>
  <conditionalFormatting sqref="J20">
    <cfRule type="containsText" dxfId="725" priority="109" operator="containsText" text="허하나로">
      <formula>NOT(ISERROR(SEARCH("허하나로",H1104)))</formula>
    </cfRule>
    <cfRule type="containsText" dxfId="724" priority="110" operator="containsText" text="한별">
      <formula>NOT(ISERROR(SEARCH("한별",H1104)))</formula>
    </cfRule>
    <cfRule type="containsText" dxfId="723" priority="111" operator="containsText" text="정홍조">
      <formula>NOT(ISERROR(SEARCH("정홍조",H1104)))</formula>
    </cfRule>
    <cfRule type="containsText" dxfId="722" priority="112" operator="containsText" text="김지윤">
      <formula>NOT(ISERROR(SEARCH("김지윤",H1104)))</formula>
    </cfRule>
    <cfRule type="containsText" dxfId="721" priority="113" operator="containsText" text="전준영">
      <formula>NOT(ISERROR(SEARCH("전준영",H1104)))</formula>
    </cfRule>
    <cfRule type="containsText" dxfId="720" priority="114" operator="containsText" text="차재성">
      <formula>NOT(ISERROR(SEARCH("차재성",H1104)))</formula>
    </cfRule>
  </conditionalFormatting>
  <conditionalFormatting sqref="J17">
    <cfRule type="containsText" dxfId="719" priority="91" operator="containsText" text="허하나로">
      <formula>NOT(ISERROR(SEARCH("허하나로",H1102)))</formula>
    </cfRule>
    <cfRule type="containsText" dxfId="718" priority="92" operator="containsText" text="한별">
      <formula>NOT(ISERROR(SEARCH("한별",H1102)))</formula>
    </cfRule>
    <cfRule type="containsText" dxfId="717" priority="93" operator="containsText" text="정홍조">
      <formula>NOT(ISERROR(SEARCH("정홍조",H1102)))</formula>
    </cfRule>
    <cfRule type="containsText" dxfId="716" priority="94" operator="containsText" text="김지윤">
      <formula>NOT(ISERROR(SEARCH("김지윤",H1102)))</formula>
    </cfRule>
    <cfRule type="containsText" dxfId="715" priority="95" operator="containsText" text="전준영">
      <formula>NOT(ISERROR(SEARCH("전준영",H1102)))</formula>
    </cfRule>
    <cfRule type="containsText" dxfId="714" priority="96" operator="containsText" text="차재성">
      <formula>NOT(ISERROR(SEARCH("차재성",H1102)))</formula>
    </cfRule>
  </conditionalFormatting>
  <conditionalFormatting sqref="J18">
    <cfRule type="containsText" dxfId="713" priority="97" operator="containsText" text="허하나로">
      <formula>NOT(ISERROR(SEARCH("허하나로",H1102)))</formula>
    </cfRule>
    <cfRule type="containsText" dxfId="712" priority="98" operator="containsText" text="한별">
      <formula>NOT(ISERROR(SEARCH("한별",H1102)))</formula>
    </cfRule>
    <cfRule type="containsText" dxfId="711" priority="99" operator="containsText" text="정홍조">
      <formula>NOT(ISERROR(SEARCH("정홍조",H1102)))</formula>
    </cfRule>
    <cfRule type="containsText" dxfId="710" priority="100" operator="containsText" text="김지윤">
      <formula>NOT(ISERROR(SEARCH("김지윤",H1102)))</formula>
    </cfRule>
    <cfRule type="containsText" dxfId="709" priority="101" operator="containsText" text="전준영">
      <formula>NOT(ISERROR(SEARCH("전준영",H1102)))</formula>
    </cfRule>
    <cfRule type="containsText" dxfId="708" priority="102" operator="containsText" text="차재성">
      <formula>NOT(ISERROR(SEARCH("차재성",H1102)))</formula>
    </cfRule>
  </conditionalFormatting>
  <conditionalFormatting sqref="J37">
    <cfRule type="containsText" dxfId="707" priority="73" operator="containsText" text="허하나로">
      <formula>NOT(ISERROR(SEARCH("허하나로",H1071)))</formula>
    </cfRule>
    <cfRule type="containsText" dxfId="706" priority="74" operator="containsText" text="한별">
      <formula>NOT(ISERROR(SEARCH("한별",H1071)))</formula>
    </cfRule>
    <cfRule type="containsText" dxfId="705" priority="75" operator="containsText" text="정홍조">
      <formula>NOT(ISERROR(SEARCH("정홍조",H1071)))</formula>
    </cfRule>
    <cfRule type="containsText" dxfId="704" priority="76" operator="containsText" text="김지윤">
      <formula>NOT(ISERROR(SEARCH("김지윤",H1071)))</formula>
    </cfRule>
    <cfRule type="containsText" dxfId="703" priority="77" operator="containsText" text="전준영">
      <formula>NOT(ISERROR(SEARCH("전준영",H1071)))</formula>
    </cfRule>
    <cfRule type="containsText" dxfId="702" priority="78" operator="containsText" text="차재성">
      <formula>NOT(ISERROR(SEARCH("차재성",H1071)))</formula>
    </cfRule>
  </conditionalFormatting>
  <conditionalFormatting sqref="J35">
    <cfRule type="containsText" dxfId="701" priority="67" operator="containsText" text="허하나로">
      <formula>NOT(ISERROR(SEARCH("허하나로",H1117)))</formula>
    </cfRule>
    <cfRule type="containsText" dxfId="700" priority="68" operator="containsText" text="한별">
      <formula>NOT(ISERROR(SEARCH("한별",H1117)))</formula>
    </cfRule>
    <cfRule type="containsText" dxfId="699" priority="69" operator="containsText" text="정홍조">
      <formula>NOT(ISERROR(SEARCH("정홍조",H1117)))</formula>
    </cfRule>
    <cfRule type="containsText" dxfId="698" priority="70" operator="containsText" text="김지윤">
      <formula>NOT(ISERROR(SEARCH("김지윤",H1117)))</formula>
    </cfRule>
    <cfRule type="containsText" dxfId="697" priority="71" operator="containsText" text="전준영">
      <formula>NOT(ISERROR(SEARCH("전준영",H1117)))</formula>
    </cfRule>
    <cfRule type="containsText" dxfId="696" priority="72" operator="containsText" text="차재성">
      <formula>NOT(ISERROR(SEARCH("차재성",H1117)))</formula>
    </cfRule>
  </conditionalFormatting>
  <conditionalFormatting sqref="J36">
    <cfRule type="containsText" dxfId="695" priority="61" operator="containsText" text="허하나로">
      <formula>NOT(ISERROR(SEARCH("허하나로",H1118)))</formula>
    </cfRule>
    <cfRule type="containsText" dxfId="694" priority="62" operator="containsText" text="한별">
      <formula>NOT(ISERROR(SEARCH("한별",H1118)))</formula>
    </cfRule>
    <cfRule type="containsText" dxfId="693" priority="63" operator="containsText" text="정홍조">
      <formula>NOT(ISERROR(SEARCH("정홍조",H1118)))</formula>
    </cfRule>
    <cfRule type="containsText" dxfId="692" priority="64" operator="containsText" text="김지윤">
      <formula>NOT(ISERROR(SEARCH("김지윤",H1118)))</formula>
    </cfRule>
    <cfRule type="containsText" dxfId="691" priority="65" operator="containsText" text="전준영">
      <formula>NOT(ISERROR(SEARCH("전준영",H1118)))</formula>
    </cfRule>
    <cfRule type="containsText" dxfId="690" priority="66" operator="containsText" text="차재성">
      <formula>NOT(ISERROR(SEARCH("차재성",H1118)))</formula>
    </cfRule>
  </conditionalFormatting>
  <conditionalFormatting sqref="J30">
    <cfRule type="containsText" dxfId="689" priority="49" operator="containsText" text="허하나로">
      <formula>NOT(ISERROR(SEARCH("허하나로",H1072)))</formula>
    </cfRule>
    <cfRule type="containsText" dxfId="688" priority="50" operator="containsText" text="한별">
      <formula>NOT(ISERROR(SEARCH("한별",H1072)))</formula>
    </cfRule>
    <cfRule type="containsText" dxfId="687" priority="51" operator="containsText" text="정홍조">
      <formula>NOT(ISERROR(SEARCH("정홍조",H1072)))</formula>
    </cfRule>
    <cfRule type="containsText" dxfId="686" priority="52" operator="containsText" text="김지윤">
      <formula>NOT(ISERROR(SEARCH("김지윤",H1072)))</formula>
    </cfRule>
    <cfRule type="containsText" dxfId="685" priority="53" operator="containsText" text="전준영">
      <formula>NOT(ISERROR(SEARCH("전준영",H1072)))</formula>
    </cfRule>
    <cfRule type="containsText" dxfId="684" priority="54" operator="containsText" text="차재성">
      <formula>NOT(ISERROR(SEARCH("차재성",H1072)))</formula>
    </cfRule>
  </conditionalFormatting>
  <conditionalFormatting sqref="J29">
    <cfRule type="containsText" dxfId="683" priority="55" operator="containsText" text="허하나로">
      <formula>NOT(ISERROR(SEARCH("허하나로",H1072)))</formula>
    </cfRule>
    <cfRule type="containsText" dxfId="682" priority="56" operator="containsText" text="한별">
      <formula>NOT(ISERROR(SEARCH("한별",H1072)))</formula>
    </cfRule>
    <cfRule type="containsText" dxfId="681" priority="57" operator="containsText" text="정홍조">
      <formula>NOT(ISERROR(SEARCH("정홍조",H1072)))</formula>
    </cfRule>
    <cfRule type="containsText" dxfId="680" priority="58" operator="containsText" text="김지윤">
      <formula>NOT(ISERROR(SEARCH("김지윤",H1072)))</formula>
    </cfRule>
    <cfRule type="containsText" dxfId="679" priority="59" operator="containsText" text="전준영">
      <formula>NOT(ISERROR(SEARCH("전준영",H1072)))</formula>
    </cfRule>
    <cfRule type="containsText" dxfId="678" priority="60" operator="containsText" text="차재성">
      <formula>NOT(ISERROR(SEARCH("차재성",H1072)))</formula>
    </cfRule>
  </conditionalFormatting>
  <conditionalFormatting sqref="J45">
    <cfRule type="containsText" dxfId="677" priority="37" operator="containsText" text="허하나로">
      <formula>NOT(ISERROR(SEARCH("허하나로",H1060)))</formula>
    </cfRule>
    <cfRule type="containsText" dxfId="676" priority="38" operator="containsText" text="한별">
      <formula>NOT(ISERROR(SEARCH("한별",H1060)))</formula>
    </cfRule>
    <cfRule type="containsText" dxfId="675" priority="39" operator="containsText" text="정홍조">
      <formula>NOT(ISERROR(SEARCH("정홍조",H1060)))</formula>
    </cfRule>
    <cfRule type="containsText" dxfId="674" priority="40" operator="containsText" text="김지윤">
      <formula>NOT(ISERROR(SEARCH("김지윤",H1060)))</formula>
    </cfRule>
    <cfRule type="containsText" dxfId="673" priority="41" operator="containsText" text="전준영">
      <formula>NOT(ISERROR(SEARCH("전준영",H1060)))</formula>
    </cfRule>
    <cfRule type="containsText" dxfId="672" priority="42" operator="containsText" text="차재성">
      <formula>NOT(ISERROR(SEARCH("차재성",H1060)))</formula>
    </cfRule>
  </conditionalFormatting>
  <conditionalFormatting sqref="J44">
    <cfRule type="containsText" dxfId="671" priority="43" operator="containsText" text="허하나로">
      <formula>NOT(ISERROR(SEARCH("허하나로",H1060)))</formula>
    </cfRule>
    <cfRule type="containsText" dxfId="670" priority="44" operator="containsText" text="한별">
      <formula>NOT(ISERROR(SEARCH("한별",H1060)))</formula>
    </cfRule>
    <cfRule type="containsText" dxfId="669" priority="45" operator="containsText" text="정홍조">
      <formula>NOT(ISERROR(SEARCH("정홍조",H1060)))</formula>
    </cfRule>
    <cfRule type="containsText" dxfId="668" priority="46" operator="containsText" text="김지윤">
      <formula>NOT(ISERROR(SEARCH("김지윤",H1060)))</formula>
    </cfRule>
    <cfRule type="containsText" dxfId="667" priority="47" operator="containsText" text="전준영">
      <formula>NOT(ISERROR(SEARCH("전준영",H1060)))</formula>
    </cfRule>
    <cfRule type="containsText" dxfId="666" priority="48" operator="containsText" text="차재성">
      <formula>NOT(ISERROR(SEARCH("차재성",H1060)))</formula>
    </cfRule>
  </conditionalFormatting>
  <conditionalFormatting sqref="J43">
    <cfRule type="containsText" dxfId="665" priority="31" operator="containsText" text="허하나로">
      <formula>NOT(ISERROR(SEARCH("허하나로",H1066)))</formula>
    </cfRule>
    <cfRule type="containsText" dxfId="664" priority="32" operator="containsText" text="한별">
      <formula>NOT(ISERROR(SEARCH("한별",H1066)))</formula>
    </cfRule>
    <cfRule type="containsText" dxfId="663" priority="33" operator="containsText" text="정홍조">
      <formula>NOT(ISERROR(SEARCH("정홍조",H1066)))</formula>
    </cfRule>
    <cfRule type="containsText" dxfId="662" priority="34" operator="containsText" text="김지윤">
      <formula>NOT(ISERROR(SEARCH("김지윤",H1066)))</formula>
    </cfRule>
    <cfRule type="containsText" dxfId="661" priority="35" operator="containsText" text="전준영">
      <formula>NOT(ISERROR(SEARCH("전준영",H1066)))</formula>
    </cfRule>
    <cfRule type="containsText" dxfId="660" priority="36" operator="containsText" text="차재성">
      <formula>NOT(ISERROR(SEARCH("차재성",H1066)))</formula>
    </cfRule>
  </conditionalFormatting>
  <conditionalFormatting sqref="J41">
    <cfRule type="containsText" dxfId="659" priority="25" operator="containsText" text="허하나로">
      <formula>NOT(ISERROR(SEARCH("허하나로",H1122)))</formula>
    </cfRule>
    <cfRule type="containsText" dxfId="658" priority="26" operator="containsText" text="한별">
      <formula>NOT(ISERROR(SEARCH("한별",H1122)))</formula>
    </cfRule>
    <cfRule type="containsText" dxfId="657" priority="27" operator="containsText" text="정홍조">
      <formula>NOT(ISERROR(SEARCH("정홍조",H1122)))</formula>
    </cfRule>
    <cfRule type="containsText" dxfId="656" priority="28" operator="containsText" text="김지윤">
      <formula>NOT(ISERROR(SEARCH("김지윤",H1122)))</formula>
    </cfRule>
    <cfRule type="containsText" dxfId="655" priority="29" operator="containsText" text="전준영">
      <formula>NOT(ISERROR(SEARCH("전준영",H1122)))</formula>
    </cfRule>
    <cfRule type="containsText" dxfId="654" priority="30" operator="containsText" text="차재성">
      <formula>NOT(ISERROR(SEARCH("차재성",H1122)))</formula>
    </cfRule>
  </conditionalFormatting>
  <conditionalFormatting sqref="J42">
    <cfRule type="containsText" dxfId="653" priority="19" operator="containsText" text="허하나로">
      <formula>NOT(ISERROR(SEARCH("허하나로",H1123)))</formula>
    </cfRule>
    <cfRule type="containsText" dxfId="652" priority="20" operator="containsText" text="한별">
      <formula>NOT(ISERROR(SEARCH("한별",H1123)))</formula>
    </cfRule>
    <cfRule type="containsText" dxfId="651" priority="21" operator="containsText" text="정홍조">
      <formula>NOT(ISERROR(SEARCH("정홍조",H1123)))</formula>
    </cfRule>
    <cfRule type="containsText" dxfId="650" priority="22" operator="containsText" text="김지윤">
      <formula>NOT(ISERROR(SEARCH("김지윤",H1123)))</formula>
    </cfRule>
    <cfRule type="containsText" dxfId="649" priority="23" operator="containsText" text="전준영">
      <formula>NOT(ISERROR(SEARCH("전준영",H1123)))</formula>
    </cfRule>
    <cfRule type="containsText" dxfId="648" priority="24" operator="containsText" text="차재성">
      <formula>NOT(ISERROR(SEARCH("차재성",H1123)))</formula>
    </cfRule>
  </conditionalFormatting>
  <conditionalFormatting sqref="J31:J33">
    <cfRule type="containsText" dxfId="647" priority="3541" operator="containsText" text="허하나로">
      <formula>NOT(ISERROR(SEARCH("허하나로",H1044)))</formula>
    </cfRule>
    <cfRule type="containsText" dxfId="646" priority="3542" operator="containsText" text="한별">
      <formula>NOT(ISERROR(SEARCH("한별",H1044)))</formula>
    </cfRule>
    <cfRule type="containsText" dxfId="645" priority="3543" operator="containsText" text="정홍조">
      <formula>NOT(ISERROR(SEARCH("정홍조",H1044)))</formula>
    </cfRule>
    <cfRule type="containsText" dxfId="644" priority="3544" operator="containsText" text="김지윤">
      <formula>NOT(ISERROR(SEARCH("김지윤",H1044)))</formula>
    </cfRule>
    <cfRule type="containsText" dxfId="643" priority="3545" operator="containsText" text="전준영">
      <formula>NOT(ISERROR(SEARCH("전준영",H1044)))</formula>
    </cfRule>
    <cfRule type="containsText" dxfId="642" priority="3546" operator="containsText" text="차재성">
      <formula>NOT(ISERROR(SEARCH("차재성",H1044)))</formula>
    </cfRule>
  </conditionalFormatting>
  <conditionalFormatting sqref="J2:J3">
    <cfRule type="containsText" dxfId="641" priority="1" operator="containsText" text="허하나로">
      <formula>NOT(ISERROR(SEARCH("허하나로",H765)))</formula>
    </cfRule>
    <cfRule type="containsText" dxfId="640" priority="2" operator="containsText" text="한별">
      <formula>NOT(ISERROR(SEARCH("한별",H765)))</formula>
    </cfRule>
    <cfRule type="containsText" dxfId="639" priority="3" operator="containsText" text="정홍조">
      <formula>NOT(ISERROR(SEARCH("정홍조",H765)))</formula>
    </cfRule>
    <cfRule type="containsText" dxfId="638" priority="4" operator="containsText" text="김지윤">
      <formula>NOT(ISERROR(SEARCH("김지윤",H765)))</formula>
    </cfRule>
    <cfRule type="containsText" dxfId="637" priority="5" operator="containsText" text="전준영">
      <formula>NOT(ISERROR(SEARCH("전준영",H765)))</formula>
    </cfRule>
    <cfRule type="containsText" dxfId="636" priority="6" operator="containsText" text="차재성">
      <formula>NOT(ISERROR(SEARCH("차재성",H765)))</formula>
    </cfRule>
  </conditionalFormatting>
  <pageMargins left="0.25" right="0.25" top="0.75" bottom="0.75" header="0.3" footer="0.3"/>
  <pageSetup paperSize="9" scale="73" fitToHeight="0" orientation="landscape" r:id="rId1"/>
  <rowBreaks count="1" manualBreakCount="1">
    <brk id="37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9" operator="containsText" text="허하나로" id="{C294F580-39A9-4097-98FA-8F17556D2A41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E7D6554B-9C46-4666-A85D-C58AD45BA43E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7C07EAAA-F9A7-4E58-83CC-2C49472B8520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1AF6A9A8-B2DD-42B6-81DF-A708F725FAEE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2DC022A8-EE30-4726-8784-39BFC158A152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F9BAE3D1-2C60-4D14-9EA3-DA93C37C3B12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J28</xm:sqref>
        </x14:conditionalFormatting>
        <x14:conditionalFormatting xmlns:xm="http://schemas.microsoft.com/office/excel/2006/main">
          <x14:cfRule type="containsText" priority="85" operator="containsText" text="허하나로" id="{D420B4E7-1BEB-4CD1-A9C9-65CC61F04197}">
            <xm:f>NOT(ISERROR(SEARCH("허하나로",'\Users\섬 박람회 조직위원회\Desktop\[2025년 본예산1.xlsx]행정관리부'!#REF!)))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90F099D4-7C37-4BDB-901B-04D78DC2D524}">
            <xm:f>NOT(ISERROR(SEARCH("한별",'\Users\섬 박람회 조직위원회\Desktop\[2025년 본예산1.xlsx]행정관리부'!#REF!)))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21538F85-3204-4525-8782-CBF07A523A8D}">
            <xm:f>NOT(ISERROR(SEARCH("정홍조",'\Users\섬 박람회 조직위원회\Desktop\[2025년 본예산1.xlsx]행정관리부'!#REF!)))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8529A7A3-9362-4706-81B8-C7F4319C3C58}">
            <xm:f>NOT(ISERROR(SEARCH("김지윤",'\Users\섬 박람회 조직위원회\Desktop\[2025년 본예산1.xlsx]행정관리부'!#REF!)))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800EB218-3CD1-4F18-A482-DB1E0FE67E65}">
            <xm:f>NOT(ISERROR(SEARCH("전준영",'\Users\섬 박람회 조직위원회\Desktop\[2025년 본예산1.xlsx]행정관리부'!#REF!)))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101D2B35-E144-4998-A601-0B57C844CF62}">
            <xm:f>NOT(ISERROR(SEARCH("차재성",'\Users\섬 박람회 조직위원회\Desktop\[2025년 본예산1.xlsx]행정관리부'!#REF!)))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J26:J27</xm:sqref>
        </x14:conditionalFormatting>
        <x14:conditionalFormatting xmlns:xm="http://schemas.microsoft.com/office/excel/2006/main">
          <x14:cfRule type="containsText" priority="13" operator="containsText" text="허하나로" id="{D43E79B1-EE6A-4EA3-B52C-6BD7978B8DEE}">
            <xm:f>NOT(ISERROR(SEARCH("허하나로",행정관리부!H1074)))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9A4F73E9-1D7E-4266-B557-5ACD8AA5E762}">
            <xm:f>NOT(ISERROR(SEARCH("한별",행정관리부!H1074)))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32804C67-EC96-4BA9-ACCB-ECCFBC9E3A3A}">
            <xm:f>NOT(ISERROR(SEARCH("정홍조",행정관리부!H1074)))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C38D4C6C-F422-410A-8EBD-B53F54AD5EEC}">
            <xm:f>NOT(ISERROR(SEARCH("김지윤",행정관리부!H1074)))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C76CB348-C024-4FC3-907D-DF0066147DB2}">
            <xm:f>NOT(ISERROR(SEARCH("전준영",행정관리부!H1074)))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8B876EBE-049B-4999-A9C7-262844F64215}">
            <xm:f>NOT(ISERROR(SEARCH("차재성",행정관리부!H1074)))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J38</xm:sqref>
        </x14:conditionalFormatting>
        <x14:conditionalFormatting xmlns:xm="http://schemas.microsoft.com/office/excel/2006/main">
          <x14:cfRule type="containsText" priority="7" operator="containsText" text="허하나로" id="{08CD5C75-19D4-4A24-ADA7-CFB6DC3C4BA0}">
            <xm:f>NOT(ISERROR(SEARCH("허하나로",행정관리부!H1073)))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99960472-C61B-40D2-A3BC-3BA232C4FDED}">
            <xm:f>NOT(ISERROR(SEARCH("한별",행정관리부!H1073)))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20CEEC82-27B8-4AD0-B37E-2F4091C6F9BD}">
            <xm:f>NOT(ISERROR(SEARCH("정홍조",행정관리부!H1073)))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5D7B9C1E-0A64-49F9-A95C-24667468298A}">
            <xm:f>NOT(ISERROR(SEARCH("김지윤",행정관리부!H1073)))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E193CF20-FF69-48C7-84C2-19442BB48DEB}">
            <xm:f>NOT(ISERROR(SEARCH("전준영",행정관리부!H1073)))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515AFE08-532C-4B52-BA37-2D16F4065E65}">
            <xm:f>NOT(ISERROR(SEARCH("차재성",행정관리부!H1073)))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M24"/>
  <sheetViews>
    <sheetView zoomScale="85" zoomScaleNormal="85" workbookViewId="0">
      <selection activeCell="H11" sqref="H11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375" customWidth="1"/>
    <col min="10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91" t="s">
        <v>182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</row>
    <row r="2" spans="1:13" ht="16.5" customHeight="1">
      <c r="A2" s="585" t="s">
        <v>21</v>
      </c>
      <c r="B2" s="587" t="s">
        <v>22</v>
      </c>
      <c r="C2" s="588"/>
      <c r="D2" s="589"/>
      <c r="E2" s="587" t="s">
        <v>23</v>
      </c>
      <c r="F2" s="588"/>
      <c r="G2" s="589"/>
      <c r="H2" s="565" t="s">
        <v>666</v>
      </c>
      <c r="I2" s="565" t="s">
        <v>731</v>
      </c>
      <c r="J2" s="590" t="s">
        <v>668</v>
      </c>
      <c r="K2" s="576" t="s">
        <v>1</v>
      </c>
      <c r="L2" s="577"/>
      <c r="M2" s="578"/>
    </row>
    <row r="3" spans="1:13" ht="17.25" thickBot="1">
      <c r="A3" s="586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566"/>
      <c r="I3" s="566"/>
      <c r="J3" s="591"/>
      <c r="K3" s="579"/>
      <c r="L3" s="580"/>
      <c r="M3" s="581"/>
    </row>
    <row r="4" spans="1:13" ht="17.25" thickBot="1">
      <c r="A4" s="582" t="s">
        <v>30</v>
      </c>
      <c r="B4" s="583"/>
      <c r="C4" s="583"/>
      <c r="D4" s="583"/>
      <c r="E4" s="583"/>
      <c r="F4" s="583"/>
      <c r="G4" s="584"/>
      <c r="H4" s="188">
        <f>H5</f>
        <v>25268</v>
      </c>
      <c r="I4" s="188">
        <v>25268</v>
      </c>
      <c r="J4" s="123">
        <f t="shared" ref="J4:J11" si="0">H4-I4</f>
        <v>0</v>
      </c>
      <c r="K4" s="92"/>
      <c r="L4" s="93"/>
      <c r="M4" s="124"/>
    </row>
    <row r="5" spans="1:13">
      <c r="A5" s="210" t="s">
        <v>2</v>
      </c>
      <c r="B5" s="125"/>
      <c r="C5" s="126"/>
      <c r="D5" s="126"/>
      <c r="E5" s="126"/>
      <c r="F5" s="126"/>
      <c r="G5" s="127"/>
      <c r="H5" s="97">
        <f>H6</f>
        <v>25268</v>
      </c>
      <c r="I5" s="97">
        <v>25268</v>
      </c>
      <c r="J5" s="98">
        <f t="shared" si="0"/>
        <v>0</v>
      </c>
      <c r="K5" s="81"/>
      <c r="L5" s="82"/>
      <c r="M5" s="83"/>
    </row>
    <row r="6" spans="1:13">
      <c r="A6" s="10"/>
      <c r="B6" s="132" t="s">
        <v>303</v>
      </c>
      <c r="C6" s="132"/>
      <c r="D6" s="133"/>
      <c r="E6" s="133"/>
      <c r="F6" s="133"/>
      <c r="G6" s="134"/>
      <c r="H6" s="97">
        <f>H7</f>
        <v>25268</v>
      </c>
      <c r="I6" s="97">
        <v>25268</v>
      </c>
      <c r="J6" s="98">
        <f t="shared" si="0"/>
        <v>0</v>
      </c>
      <c r="K6" s="81"/>
      <c r="L6" s="82"/>
      <c r="M6" s="83"/>
    </row>
    <row r="7" spans="1:13">
      <c r="A7" s="10"/>
      <c r="B7" s="6"/>
      <c r="C7" s="182" t="s">
        <v>251</v>
      </c>
      <c r="D7" s="133"/>
      <c r="E7" s="133"/>
      <c r="F7" s="133"/>
      <c r="G7" s="134"/>
      <c r="H7" s="94">
        <f>H8</f>
        <v>25268</v>
      </c>
      <c r="I7" s="94">
        <v>25268</v>
      </c>
      <c r="J7" s="95">
        <f t="shared" si="0"/>
        <v>0</v>
      </c>
      <c r="K7" s="162"/>
      <c r="L7" s="152"/>
      <c r="M7" s="153"/>
    </row>
    <row r="8" spans="1:13">
      <c r="A8" s="10"/>
      <c r="B8" s="6"/>
      <c r="C8" s="150"/>
      <c r="D8" s="132" t="s">
        <v>34</v>
      </c>
      <c r="E8" s="133"/>
      <c r="F8" s="133"/>
      <c r="G8" s="134"/>
      <c r="H8" s="135">
        <f>H9</f>
        <v>25268</v>
      </c>
      <c r="I8" s="135">
        <v>25268</v>
      </c>
      <c r="J8" s="9">
        <f t="shared" si="0"/>
        <v>0</v>
      </c>
      <c r="K8" s="151"/>
      <c r="L8" s="152"/>
      <c r="M8" s="153"/>
    </row>
    <row r="9" spans="1:13">
      <c r="A9" s="10"/>
      <c r="B9" s="6"/>
      <c r="C9" s="137"/>
      <c r="D9" s="138"/>
      <c r="E9" s="132" t="s">
        <v>31</v>
      </c>
      <c r="F9" s="133"/>
      <c r="G9" s="134"/>
      <c r="H9" s="94">
        <f>SUM(H10,H15,H19,H22)</f>
        <v>25268</v>
      </c>
      <c r="I9" s="94">
        <v>25268</v>
      </c>
      <c r="J9" s="95">
        <f t="shared" si="0"/>
        <v>0</v>
      </c>
      <c r="K9" s="87"/>
      <c r="L9" s="96"/>
      <c r="M9" s="85"/>
    </row>
    <row r="10" spans="1:13">
      <c r="A10" s="65"/>
      <c r="B10" s="67"/>
      <c r="C10" s="67"/>
      <c r="D10" s="67"/>
      <c r="E10" s="67"/>
      <c r="F10" s="139" t="s">
        <v>35</v>
      </c>
      <c r="G10" s="143"/>
      <c r="H10" s="74">
        <f>SUM(H11,H13)</f>
        <v>8568</v>
      </c>
      <c r="I10" s="74">
        <v>8568</v>
      </c>
      <c r="J10" s="101">
        <f t="shared" si="0"/>
        <v>0</v>
      </c>
      <c r="K10" s="147"/>
      <c r="L10" s="38"/>
      <c r="M10" s="37"/>
    </row>
    <row r="11" spans="1:13">
      <c r="A11" s="56"/>
      <c r="B11" s="58"/>
      <c r="C11" s="67"/>
      <c r="D11" s="67"/>
      <c r="E11" s="67"/>
      <c r="F11" s="195"/>
      <c r="G11" s="213" t="s">
        <v>36</v>
      </c>
      <c r="H11" s="214">
        <f>M11</f>
        <v>2520</v>
      </c>
      <c r="I11" s="214">
        <v>2520</v>
      </c>
      <c r="J11" s="41">
        <f t="shared" si="0"/>
        <v>0</v>
      </c>
      <c r="K11" s="36" t="s">
        <v>48</v>
      </c>
      <c r="L11" s="216"/>
      <c r="M11" s="229">
        <f>SUM(M12:M12)</f>
        <v>2520</v>
      </c>
    </row>
    <row r="12" spans="1:13">
      <c r="A12" s="56"/>
      <c r="B12" s="58"/>
      <c r="C12" s="67"/>
      <c r="D12" s="67"/>
      <c r="E12" s="67"/>
      <c r="F12" s="57"/>
      <c r="G12" s="57"/>
      <c r="H12" s="103"/>
      <c r="I12" s="103"/>
      <c r="J12" s="105"/>
      <c r="K12" s="196" t="s">
        <v>446</v>
      </c>
      <c r="L12" s="207" t="s">
        <v>37</v>
      </c>
      <c r="M12" s="194">
        <v>2520</v>
      </c>
    </row>
    <row r="13" spans="1:13">
      <c r="A13" s="56"/>
      <c r="B13" s="58"/>
      <c r="C13" s="67"/>
      <c r="D13" s="67"/>
      <c r="E13" s="67"/>
      <c r="F13" s="57"/>
      <c r="G13" s="213" t="s">
        <v>327</v>
      </c>
      <c r="H13" s="214">
        <f>M13</f>
        <v>6048</v>
      </c>
      <c r="I13" s="214">
        <v>6048</v>
      </c>
      <c r="J13" s="215">
        <f>H13-I13</f>
        <v>0</v>
      </c>
      <c r="K13" s="36" t="s">
        <v>328</v>
      </c>
      <c r="L13" s="51"/>
      <c r="M13" s="229">
        <f>SUM(M14)</f>
        <v>6048</v>
      </c>
    </row>
    <row r="14" spans="1:13">
      <c r="A14" s="65"/>
      <c r="B14" s="67"/>
      <c r="C14" s="67"/>
      <c r="D14" s="67"/>
      <c r="E14" s="67"/>
      <c r="F14" s="57"/>
      <c r="G14" s="57"/>
      <c r="H14" s="103"/>
      <c r="I14" s="103"/>
      <c r="J14" s="105"/>
      <c r="K14" s="226" t="s">
        <v>444</v>
      </c>
      <c r="L14" s="209" t="s">
        <v>37</v>
      </c>
      <c r="M14" s="194">
        <v>6048</v>
      </c>
    </row>
    <row r="15" spans="1:13">
      <c r="A15" s="65"/>
      <c r="B15" s="67"/>
      <c r="C15" s="67"/>
      <c r="D15" s="67"/>
      <c r="E15" s="67"/>
      <c r="F15" s="592" t="s">
        <v>40</v>
      </c>
      <c r="G15" s="593"/>
      <c r="H15" s="155">
        <f>H16</f>
        <v>12600</v>
      </c>
      <c r="I15" s="155">
        <v>12600</v>
      </c>
      <c r="J15" s="156">
        <f>H15-I15</f>
        <v>0</v>
      </c>
      <c r="K15" s="157"/>
      <c r="L15" s="59"/>
      <c r="M15" s="60"/>
    </row>
    <row r="16" spans="1:13">
      <c r="A16" s="65"/>
      <c r="B16" s="67"/>
      <c r="C16" s="67"/>
      <c r="D16" s="67"/>
      <c r="E16" s="67"/>
      <c r="F16" s="112"/>
      <c r="G16" s="203" t="s">
        <v>41</v>
      </c>
      <c r="H16" s="217">
        <f>M16</f>
        <v>12600</v>
      </c>
      <c r="I16" s="214">
        <v>12600</v>
      </c>
      <c r="J16" s="206">
        <f>H16-I16</f>
        <v>0</v>
      </c>
      <c r="K16" s="36" t="s">
        <v>50</v>
      </c>
      <c r="L16" s="219"/>
      <c r="M16" s="229">
        <f>SUM(M17:M18)</f>
        <v>12600</v>
      </c>
    </row>
    <row r="17" spans="1:13">
      <c r="A17" s="65"/>
      <c r="B17" s="67"/>
      <c r="C17" s="67"/>
      <c r="D17" s="67"/>
      <c r="E17" s="67"/>
      <c r="F17" s="198"/>
      <c r="G17" s="198"/>
      <c r="H17" s="103"/>
      <c r="I17" s="107"/>
      <c r="J17" s="105"/>
      <c r="K17" s="224" t="s">
        <v>519</v>
      </c>
      <c r="L17" s="99" t="s">
        <v>0</v>
      </c>
      <c r="M17" s="194">
        <v>3360</v>
      </c>
    </row>
    <row r="18" spans="1:13">
      <c r="A18" s="65"/>
      <c r="B18" s="67"/>
      <c r="C18" s="67"/>
      <c r="D18" s="67"/>
      <c r="E18" s="67"/>
      <c r="F18" s="198"/>
      <c r="G18" s="198"/>
      <c r="H18" s="103"/>
      <c r="I18" s="107"/>
      <c r="J18" s="105"/>
      <c r="K18" s="226" t="s">
        <v>516</v>
      </c>
      <c r="L18" s="218" t="s">
        <v>0</v>
      </c>
      <c r="M18" s="194">
        <v>9240</v>
      </c>
    </row>
    <row r="19" spans="1:13">
      <c r="A19" s="65"/>
      <c r="B19" s="67"/>
      <c r="C19" s="67"/>
      <c r="D19" s="67"/>
      <c r="E19" s="67"/>
      <c r="F19" s="592" t="s">
        <v>42</v>
      </c>
      <c r="G19" s="593"/>
      <c r="H19" s="155">
        <f>H20</f>
        <v>2000</v>
      </c>
      <c r="I19" s="155">
        <v>2000</v>
      </c>
      <c r="J19" s="156">
        <f>H19-I19</f>
        <v>0</v>
      </c>
      <c r="K19" s="157"/>
      <c r="L19" s="59"/>
      <c r="M19" s="60"/>
    </row>
    <row r="20" spans="1:13">
      <c r="A20" s="65"/>
      <c r="B20" s="67"/>
      <c r="C20" s="67"/>
      <c r="D20" s="67"/>
      <c r="E20" s="67"/>
      <c r="F20" s="198"/>
      <c r="G20" s="112" t="s">
        <v>43</v>
      </c>
      <c r="H20" s="217">
        <f>M20</f>
        <v>2000</v>
      </c>
      <c r="I20" s="217">
        <v>2000</v>
      </c>
      <c r="J20" s="206">
        <f>H20-I20</f>
        <v>0</v>
      </c>
      <c r="K20" s="36" t="s">
        <v>51</v>
      </c>
      <c r="L20" s="216"/>
      <c r="M20" s="229">
        <f>SUM(M21)</f>
        <v>2000</v>
      </c>
    </row>
    <row r="21" spans="1:13">
      <c r="A21" s="344"/>
      <c r="B21" s="345"/>
      <c r="C21" s="345"/>
      <c r="D21" s="345"/>
      <c r="E21" s="345"/>
      <c r="F21" s="199"/>
      <c r="G21" s="199"/>
      <c r="H21" s="106"/>
      <c r="I21" s="158"/>
      <c r="J21" s="158"/>
      <c r="K21" s="202" t="s">
        <v>638</v>
      </c>
      <c r="L21" s="218" t="s">
        <v>0</v>
      </c>
      <c r="M21" s="194">
        <v>2000</v>
      </c>
    </row>
    <row r="22" spans="1:13">
      <c r="A22" s="65"/>
      <c r="B22" s="67"/>
      <c r="C22" s="67"/>
      <c r="D22" s="67"/>
      <c r="E22" s="67"/>
      <c r="F22" s="362" t="s">
        <v>93</v>
      </c>
      <c r="G22" s="72"/>
      <c r="H22" s="73">
        <f>H23</f>
        <v>2100</v>
      </c>
      <c r="I22" s="73">
        <v>2100</v>
      </c>
      <c r="J22" s="149">
        <f>H22-I22</f>
        <v>0</v>
      </c>
      <c r="K22" s="297"/>
      <c r="L22" s="298"/>
      <c r="M22" s="249"/>
    </row>
    <row r="23" spans="1:13">
      <c r="A23" s="65"/>
      <c r="B23" s="67"/>
      <c r="C23" s="67"/>
      <c r="D23" s="67"/>
      <c r="E23" s="67"/>
      <c r="F23" s="146"/>
      <c r="G23" s="67" t="s">
        <v>97</v>
      </c>
      <c r="H23" s="78">
        <f>M23</f>
        <v>2100</v>
      </c>
      <c r="I23" s="78">
        <v>2100</v>
      </c>
      <c r="J23" s="48">
        <f>H23-I23</f>
        <v>0</v>
      </c>
      <c r="K23" s="36" t="s">
        <v>454</v>
      </c>
      <c r="L23" s="39"/>
      <c r="M23" s="229">
        <f>M24</f>
        <v>2100</v>
      </c>
    </row>
    <row r="24" spans="1:13" ht="17.25" thickBot="1">
      <c r="A24" s="313"/>
      <c r="B24" s="71"/>
      <c r="C24" s="71"/>
      <c r="D24" s="71"/>
      <c r="E24" s="71"/>
      <c r="F24" s="364"/>
      <c r="G24" s="204"/>
      <c r="H24" s="365"/>
      <c r="I24" s="366"/>
      <c r="J24" s="367"/>
      <c r="K24" s="244" t="s">
        <v>462</v>
      </c>
      <c r="L24" s="245" t="s">
        <v>0</v>
      </c>
      <c r="M24" s="258">
        <v>2100</v>
      </c>
    </row>
  </sheetData>
  <autoFilter ref="A3:M24">
    <filterColumn colId="10" showButton="0"/>
    <filterColumn colId="11" showButton="0"/>
  </autoFilter>
  <mergeCells count="10"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611" priority="61" operator="containsText" text="허하나로">
      <formula>NOT(ISERROR(SEARCH("허하나로",H1046)))</formula>
    </cfRule>
    <cfRule type="containsText" dxfId="610" priority="62" operator="containsText" text="한별">
      <formula>NOT(ISERROR(SEARCH("한별",H1046)))</formula>
    </cfRule>
    <cfRule type="containsText" dxfId="609" priority="63" operator="containsText" text="정홍조">
      <formula>NOT(ISERROR(SEARCH("정홍조",H1046)))</formula>
    </cfRule>
    <cfRule type="containsText" dxfId="608" priority="64" operator="containsText" text="김지윤">
      <formula>NOT(ISERROR(SEARCH("김지윤",H1046)))</formula>
    </cfRule>
    <cfRule type="containsText" dxfId="607" priority="65" operator="containsText" text="전준영">
      <formula>NOT(ISERROR(SEARCH("전준영",H1046)))</formula>
    </cfRule>
    <cfRule type="containsText" dxfId="606" priority="66" operator="containsText" text="차재성">
      <formula>NOT(ISERROR(SEARCH("차재성",H1046)))</formula>
    </cfRule>
  </conditionalFormatting>
  <conditionalFormatting sqref="J6">
    <cfRule type="containsText" dxfId="605" priority="73" operator="containsText" text="허하나로">
      <formula>NOT(ISERROR(SEARCH("허하나로",H683)))</formula>
    </cfRule>
    <cfRule type="containsText" dxfId="604" priority="74" operator="containsText" text="한별">
      <formula>NOT(ISERROR(SEARCH("한별",H683)))</formula>
    </cfRule>
    <cfRule type="containsText" dxfId="603" priority="75" operator="containsText" text="정홍조">
      <formula>NOT(ISERROR(SEARCH("정홍조",H683)))</formula>
    </cfRule>
    <cfRule type="containsText" dxfId="602" priority="76" operator="containsText" text="김지윤">
      <formula>NOT(ISERROR(SEARCH("김지윤",H683)))</formula>
    </cfRule>
    <cfRule type="containsText" dxfId="601" priority="77" operator="containsText" text="전준영">
      <formula>NOT(ISERROR(SEARCH("전준영",H683)))</formula>
    </cfRule>
    <cfRule type="containsText" dxfId="600" priority="78" operator="containsText" text="차재성">
      <formula>NOT(ISERROR(SEARCH("차재성",H683)))</formula>
    </cfRule>
  </conditionalFormatting>
  <conditionalFormatting sqref="J5">
    <cfRule type="containsText" dxfId="599" priority="67" operator="containsText" text="허하나로">
      <formula>NOT(ISERROR(SEARCH("허하나로",H682)))</formula>
    </cfRule>
    <cfRule type="containsText" dxfId="598" priority="68" operator="containsText" text="한별">
      <formula>NOT(ISERROR(SEARCH("한별",H682)))</formula>
    </cfRule>
    <cfRule type="containsText" dxfId="597" priority="69" operator="containsText" text="정홍조">
      <formula>NOT(ISERROR(SEARCH("정홍조",H682)))</formula>
    </cfRule>
    <cfRule type="containsText" dxfId="596" priority="70" operator="containsText" text="김지윤">
      <formula>NOT(ISERROR(SEARCH("김지윤",H682)))</formula>
    </cfRule>
    <cfRule type="containsText" dxfId="595" priority="71" operator="containsText" text="전준영">
      <formula>NOT(ISERROR(SEARCH("전준영",H682)))</formula>
    </cfRule>
    <cfRule type="containsText" dxfId="594" priority="72" operator="containsText" text="차재성">
      <formula>NOT(ISERROR(SEARCH("차재성",H682)))</formula>
    </cfRule>
  </conditionalFormatting>
  <conditionalFormatting sqref="J7">
    <cfRule type="containsText" dxfId="593" priority="55" operator="containsText" text="허하나로">
      <formula>NOT(ISERROR(SEARCH("허하나로",H816)))</formula>
    </cfRule>
    <cfRule type="containsText" dxfId="592" priority="56" operator="containsText" text="한별">
      <formula>NOT(ISERROR(SEARCH("한별",H816)))</formula>
    </cfRule>
    <cfRule type="containsText" dxfId="591" priority="57" operator="containsText" text="정홍조">
      <formula>NOT(ISERROR(SEARCH("정홍조",H816)))</formula>
    </cfRule>
    <cfRule type="containsText" dxfId="590" priority="58" operator="containsText" text="김지윤">
      <formula>NOT(ISERROR(SEARCH("김지윤",H816)))</formula>
    </cfRule>
    <cfRule type="containsText" dxfId="589" priority="59" operator="containsText" text="전준영">
      <formula>NOT(ISERROR(SEARCH("전준영",H816)))</formula>
    </cfRule>
    <cfRule type="containsText" dxfId="588" priority="60" operator="containsText" text="차재성">
      <formula>NOT(ISERROR(SEARCH("차재성",H816)))</formula>
    </cfRule>
  </conditionalFormatting>
  <conditionalFormatting sqref="J10:J11">
    <cfRule type="containsText" dxfId="587" priority="49" operator="containsText" text="허하나로">
      <formula>NOT(ISERROR(SEARCH("허하나로",H1024)))</formula>
    </cfRule>
    <cfRule type="containsText" dxfId="586" priority="50" operator="containsText" text="한별">
      <formula>NOT(ISERROR(SEARCH("한별",H1024)))</formula>
    </cfRule>
    <cfRule type="containsText" dxfId="585" priority="51" operator="containsText" text="정홍조">
      <formula>NOT(ISERROR(SEARCH("정홍조",H1024)))</formula>
    </cfRule>
    <cfRule type="containsText" dxfId="584" priority="52" operator="containsText" text="김지윤">
      <formula>NOT(ISERROR(SEARCH("김지윤",H1024)))</formula>
    </cfRule>
    <cfRule type="containsText" dxfId="583" priority="53" operator="containsText" text="전준영">
      <formula>NOT(ISERROR(SEARCH("전준영",H1024)))</formula>
    </cfRule>
    <cfRule type="containsText" dxfId="582" priority="54" operator="containsText" text="차재성">
      <formula>NOT(ISERROR(SEARCH("차재성",H1024)))</formula>
    </cfRule>
  </conditionalFormatting>
  <conditionalFormatting sqref="J9">
    <cfRule type="containsText" dxfId="581" priority="91" operator="containsText" text="허하나로">
      <formula>NOT(ISERROR(SEARCH("허하나로",H1013)))</formula>
    </cfRule>
    <cfRule type="containsText" dxfId="580" priority="92" operator="containsText" text="한별">
      <formula>NOT(ISERROR(SEARCH("한별",H1013)))</formula>
    </cfRule>
    <cfRule type="containsText" dxfId="579" priority="93" operator="containsText" text="정홍조">
      <formula>NOT(ISERROR(SEARCH("정홍조",H1013)))</formula>
    </cfRule>
    <cfRule type="containsText" dxfId="578" priority="94" operator="containsText" text="김지윤">
      <formula>NOT(ISERROR(SEARCH("김지윤",H1013)))</formula>
    </cfRule>
    <cfRule type="containsText" dxfId="577" priority="95" operator="containsText" text="전준영">
      <formula>NOT(ISERROR(SEARCH("전준영",H1013)))</formula>
    </cfRule>
    <cfRule type="containsText" dxfId="576" priority="96" operator="containsText" text="차재성">
      <formula>NOT(ISERROR(SEARCH("차재성",H1013)))</formula>
    </cfRule>
  </conditionalFormatting>
  <conditionalFormatting sqref="J15:J18">
    <cfRule type="containsText" dxfId="575" priority="97" operator="containsText" text="허하나로">
      <formula>NOT(ISERROR(SEARCH("허하나로",H1026)))</formula>
    </cfRule>
    <cfRule type="containsText" dxfId="574" priority="98" operator="containsText" text="한별">
      <formula>NOT(ISERROR(SEARCH("한별",H1026)))</formula>
    </cfRule>
    <cfRule type="containsText" dxfId="573" priority="99" operator="containsText" text="정홍조">
      <formula>NOT(ISERROR(SEARCH("정홍조",H1026)))</formula>
    </cfRule>
    <cfRule type="containsText" dxfId="572" priority="100" operator="containsText" text="김지윤">
      <formula>NOT(ISERROR(SEARCH("김지윤",H1026)))</formula>
    </cfRule>
    <cfRule type="containsText" dxfId="571" priority="101" operator="containsText" text="전준영">
      <formula>NOT(ISERROR(SEARCH("전준영",H1026)))</formula>
    </cfRule>
    <cfRule type="containsText" dxfId="570" priority="102" operator="containsText" text="차재성">
      <formula>NOT(ISERROR(SEARCH("차재성",H1026)))</formula>
    </cfRule>
  </conditionalFormatting>
  <conditionalFormatting sqref="J19">
    <cfRule type="containsText" dxfId="569" priority="37" operator="containsText" text="허하나로">
      <formula>NOT(ISERROR(SEARCH("허하나로",H1030)))</formula>
    </cfRule>
    <cfRule type="containsText" dxfId="568" priority="38" operator="containsText" text="한별">
      <formula>NOT(ISERROR(SEARCH("한별",H1030)))</formula>
    </cfRule>
    <cfRule type="containsText" dxfId="567" priority="39" operator="containsText" text="정홍조">
      <formula>NOT(ISERROR(SEARCH("정홍조",H1030)))</formula>
    </cfRule>
    <cfRule type="containsText" dxfId="566" priority="40" operator="containsText" text="김지윤">
      <formula>NOT(ISERROR(SEARCH("김지윤",H1030)))</formula>
    </cfRule>
    <cfRule type="containsText" dxfId="565" priority="41" operator="containsText" text="전준영">
      <formula>NOT(ISERROR(SEARCH("전준영",H1030)))</formula>
    </cfRule>
    <cfRule type="containsText" dxfId="564" priority="42" operator="containsText" text="차재성">
      <formula>NOT(ISERROR(SEARCH("차재성",H1030)))</formula>
    </cfRule>
  </conditionalFormatting>
  <conditionalFormatting sqref="L16">
    <cfRule type="containsText" dxfId="563" priority="31" operator="containsText" text="허하나로">
      <formula>NOT(ISERROR(SEARCH("허하나로",J1161)))</formula>
    </cfRule>
    <cfRule type="containsText" dxfId="562" priority="32" operator="containsText" text="한별">
      <formula>NOT(ISERROR(SEARCH("한별",J1161)))</formula>
    </cfRule>
    <cfRule type="containsText" dxfId="561" priority="33" operator="containsText" text="정홍조">
      <formula>NOT(ISERROR(SEARCH("정홍조",J1161)))</formula>
    </cfRule>
    <cfRule type="containsText" dxfId="560" priority="34" operator="containsText" text="김지윤">
      <formula>NOT(ISERROR(SEARCH("김지윤",J1161)))</formula>
    </cfRule>
    <cfRule type="containsText" dxfId="559" priority="35" operator="containsText" text="전준영">
      <formula>NOT(ISERROR(SEARCH("전준영",J1161)))</formula>
    </cfRule>
    <cfRule type="containsText" dxfId="558" priority="36" operator="containsText" text="차재성">
      <formula>NOT(ISERROR(SEARCH("차재성",J1161)))</formula>
    </cfRule>
  </conditionalFormatting>
  <conditionalFormatting sqref="I21">
    <cfRule type="containsText" dxfId="557" priority="25" operator="containsText" text="허하나로">
      <formula>NOT(ISERROR(SEARCH("허하나로",G1047)))</formula>
    </cfRule>
    <cfRule type="containsText" dxfId="556" priority="26" operator="containsText" text="한별">
      <formula>NOT(ISERROR(SEARCH("한별",G1047)))</formula>
    </cfRule>
    <cfRule type="containsText" dxfId="555" priority="27" operator="containsText" text="정홍조">
      <formula>NOT(ISERROR(SEARCH("정홍조",G1047)))</formula>
    </cfRule>
    <cfRule type="containsText" dxfId="554" priority="28" operator="containsText" text="김지윤">
      <formula>NOT(ISERROR(SEARCH("김지윤",G1047)))</formula>
    </cfRule>
    <cfRule type="containsText" dxfId="553" priority="29" operator="containsText" text="전준영">
      <formula>NOT(ISERROR(SEARCH("전준영",G1047)))</formula>
    </cfRule>
    <cfRule type="containsText" dxfId="552" priority="30" operator="containsText" text="차재성">
      <formula>NOT(ISERROR(SEARCH("차재성",G1047)))</formula>
    </cfRule>
  </conditionalFormatting>
  <conditionalFormatting sqref="J13:J14">
    <cfRule type="containsText" dxfId="551" priority="19" operator="containsText" text="허하나로">
      <formula>NOT(ISERROR(SEARCH("허하나로",H1022)))</formula>
    </cfRule>
    <cfRule type="containsText" dxfId="550" priority="20" operator="containsText" text="한별">
      <formula>NOT(ISERROR(SEARCH("한별",H1022)))</formula>
    </cfRule>
    <cfRule type="containsText" dxfId="549" priority="21" operator="containsText" text="정홍조">
      <formula>NOT(ISERROR(SEARCH("정홍조",H1022)))</formula>
    </cfRule>
    <cfRule type="containsText" dxfId="548" priority="22" operator="containsText" text="김지윤">
      <formula>NOT(ISERROR(SEARCH("김지윤",H1022)))</formula>
    </cfRule>
    <cfRule type="containsText" dxfId="547" priority="23" operator="containsText" text="전준영">
      <formula>NOT(ISERROR(SEARCH("전준영",H1022)))</formula>
    </cfRule>
    <cfRule type="containsText" dxfId="546" priority="24" operator="containsText" text="차재성">
      <formula>NOT(ISERROR(SEARCH("차재성",H1022)))</formula>
    </cfRule>
  </conditionalFormatting>
  <conditionalFormatting sqref="J12">
    <cfRule type="containsText" dxfId="545" priority="3451" operator="containsText" text="허하나로">
      <formula>NOT(ISERROR(SEARCH("허하나로",H1015)))</formula>
    </cfRule>
    <cfRule type="containsText" dxfId="544" priority="3452" operator="containsText" text="한별">
      <formula>NOT(ISERROR(SEARCH("한별",H1015)))</formula>
    </cfRule>
    <cfRule type="containsText" dxfId="543" priority="3453" operator="containsText" text="정홍조">
      <formula>NOT(ISERROR(SEARCH("정홍조",H1015)))</formula>
    </cfRule>
    <cfRule type="containsText" dxfId="542" priority="3454" operator="containsText" text="김지윤">
      <formula>NOT(ISERROR(SEARCH("김지윤",H1015)))</formula>
    </cfRule>
    <cfRule type="containsText" dxfId="541" priority="3455" operator="containsText" text="전준영">
      <formula>NOT(ISERROR(SEARCH("전준영",H1015)))</formula>
    </cfRule>
    <cfRule type="containsText" dxfId="540" priority="3456" operator="containsText" text="차재성">
      <formula>NOT(ISERROR(SEARCH("차재성",H1015)))</formula>
    </cfRule>
  </conditionalFormatting>
  <conditionalFormatting sqref="J2:J3">
    <cfRule type="containsText" dxfId="539" priority="1" operator="containsText" text="허하나로">
      <formula>NOT(ISERROR(SEARCH("허하나로",H762)))</formula>
    </cfRule>
    <cfRule type="containsText" dxfId="538" priority="2" operator="containsText" text="한별">
      <formula>NOT(ISERROR(SEARCH("한별",H762)))</formula>
    </cfRule>
    <cfRule type="containsText" dxfId="537" priority="3" operator="containsText" text="정홍조">
      <formula>NOT(ISERROR(SEARCH("정홍조",H762)))</formula>
    </cfRule>
    <cfRule type="containsText" dxfId="536" priority="4" operator="containsText" text="김지윤">
      <formula>NOT(ISERROR(SEARCH("김지윤",H762)))</formula>
    </cfRule>
    <cfRule type="containsText" dxfId="535" priority="5" operator="containsText" text="전준영">
      <formula>NOT(ISERROR(SEARCH("전준영",H762)))</formula>
    </cfRule>
    <cfRule type="containsText" dxfId="534" priority="6" operator="containsText" text="차재성">
      <formula>NOT(ISERROR(SEARCH("차재성",H762)))</formula>
    </cfRule>
  </conditionalFormatting>
  <pageMargins left="0.25" right="0.25" top="0.75" bottom="0.75" header="0.3" footer="0.3"/>
  <pageSetup paperSize="9" scale="72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" operator="containsText" text="허하나로" id="{774F1957-6F7E-47F0-83F6-DDCC9E32F87C}">
            <xm:f>NOT(ISERROR(SEARCH("허하나로",행정관리부!H1052)))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5BA179BA-92F8-4DA7-8572-8DD8D06767D6}">
            <xm:f>NOT(ISERROR(SEARCH("한별",행정관리부!H1052)))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C9A7CB98-1908-4097-B954-21561F3ED660}">
            <xm:f>NOT(ISERROR(SEARCH("정홍조",행정관리부!H1052)))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F42696BF-6191-453B-91F0-A4C50C1E5F51}">
            <xm:f>NOT(ISERROR(SEARCH("김지윤",행정관리부!H1052)))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F6BE78ED-6A1A-4876-B007-2C5A7559D9E8}">
            <xm:f>NOT(ISERROR(SEARCH("전준영",행정관리부!H1052)))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DC424755-C126-42D9-900C-CDA0AA09D931}">
            <xm:f>NOT(ISERROR(SEARCH("차재성",행정관리부!H1052)))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7" operator="containsText" text="허하나로" id="{D86B4523-9939-4486-9282-D4DDFE713595}">
            <xm:f>NOT(ISERROR(SEARCH("허하나로",행정관리부!H1108)))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0C3EB3C8-FCE3-46D8-9153-BE59AF7908E1}">
            <xm:f>NOT(ISERROR(SEARCH("한별",행정관리부!H1108)))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F55C4DC4-1262-47FA-8412-8512C9DB54EC}">
            <xm:f>NOT(ISERROR(SEARCH("정홍조",행정관리부!H1108)))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E5306826-E6C4-4F06-8750-02736BA2C452}">
            <xm:f>NOT(ISERROR(SEARCH("김지윤",행정관리부!H1108)))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980CAFB1-FB54-401A-ABE4-71AF55BB55BA}">
            <xm:f>NOT(ISERROR(SEARCH("전준영",행정관리부!H1108)))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483E4931-8C71-4D92-A93D-6BB4D2EF8801}">
            <xm:f>NOT(ISERROR(SEARCH("차재성",행정관리부!H1108)))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R36"/>
  <sheetViews>
    <sheetView zoomScale="85" zoomScaleNormal="85" workbookViewId="0">
      <selection activeCell="D28" sqref="D28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625" customWidth="1"/>
    <col min="10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91" t="s">
        <v>183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</row>
    <row r="2" spans="1:13" ht="16.5" customHeight="1">
      <c r="A2" s="585" t="s">
        <v>21</v>
      </c>
      <c r="B2" s="587" t="s">
        <v>22</v>
      </c>
      <c r="C2" s="588"/>
      <c r="D2" s="589"/>
      <c r="E2" s="587" t="s">
        <v>23</v>
      </c>
      <c r="F2" s="588"/>
      <c r="G2" s="589"/>
      <c r="H2" s="565" t="s">
        <v>666</v>
      </c>
      <c r="I2" s="565" t="s">
        <v>731</v>
      </c>
      <c r="J2" s="590" t="s">
        <v>668</v>
      </c>
      <c r="K2" s="576" t="s">
        <v>1</v>
      </c>
      <c r="L2" s="577"/>
      <c r="M2" s="578"/>
    </row>
    <row r="3" spans="1:13" ht="17.25" thickBot="1">
      <c r="A3" s="586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566"/>
      <c r="I3" s="566"/>
      <c r="J3" s="591"/>
      <c r="K3" s="579"/>
      <c r="L3" s="580"/>
      <c r="M3" s="581"/>
    </row>
    <row r="4" spans="1:13" ht="17.25" thickBot="1">
      <c r="A4" s="582" t="s">
        <v>30</v>
      </c>
      <c r="B4" s="583"/>
      <c r="C4" s="583"/>
      <c r="D4" s="583"/>
      <c r="E4" s="583"/>
      <c r="F4" s="583"/>
      <c r="G4" s="584"/>
      <c r="H4" s="188">
        <f>H5+H25</f>
        <v>2805268</v>
      </c>
      <c r="I4" s="188">
        <v>25268</v>
      </c>
      <c r="J4" s="123">
        <f t="shared" ref="J4:J11" si="0">H4-I4</f>
        <v>2780000</v>
      </c>
      <c r="K4" s="92"/>
      <c r="L4" s="93"/>
      <c r="M4" s="124"/>
    </row>
    <row r="5" spans="1:13">
      <c r="A5" s="210" t="s">
        <v>2</v>
      </c>
      <c r="B5" s="125"/>
      <c r="C5" s="126"/>
      <c r="D5" s="126"/>
      <c r="E5" s="126"/>
      <c r="F5" s="126"/>
      <c r="G5" s="127"/>
      <c r="H5" s="97">
        <f>H6</f>
        <v>25268</v>
      </c>
      <c r="I5" s="97">
        <v>25268</v>
      </c>
      <c r="J5" s="98">
        <f t="shared" si="0"/>
        <v>0</v>
      </c>
      <c r="K5" s="81"/>
      <c r="L5" s="82"/>
      <c r="M5" s="83"/>
    </row>
    <row r="6" spans="1:13">
      <c r="A6" s="10"/>
      <c r="B6" s="132" t="s">
        <v>302</v>
      </c>
      <c r="C6" s="132"/>
      <c r="D6" s="133"/>
      <c r="E6" s="133"/>
      <c r="F6" s="133"/>
      <c r="G6" s="134"/>
      <c r="H6" s="97">
        <f>H7</f>
        <v>25268</v>
      </c>
      <c r="I6" s="97">
        <v>25268</v>
      </c>
      <c r="J6" s="98">
        <f t="shared" si="0"/>
        <v>0</v>
      </c>
      <c r="K6" s="81"/>
      <c r="L6" s="82"/>
      <c r="M6" s="83"/>
    </row>
    <row r="7" spans="1:13">
      <c r="A7" s="10"/>
      <c r="B7" s="6"/>
      <c r="C7" s="182" t="s">
        <v>252</v>
      </c>
      <c r="D7" s="133"/>
      <c r="E7" s="133"/>
      <c r="F7" s="133"/>
      <c r="G7" s="134"/>
      <c r="H7" s="94">
        <f>H8</f>
        <v>25268</v>
      </c>
      <c r="I7" s="94">
        <v>25268</v>
      </c>
      <c r="J7" s="95">
        <f t="shared" si="0"/>
        <v>0</v>
      </c>
      <c r="K7" s="162"/>
      <c r="L7" s="152"/>
      <c r="M7" s="153"/>
    </row>
    <row r="8" spans="1:13">
      <c r="A8" s="10"/>
      <c r="B8" s="6"/>
      <c r="C8" s="150"/>
      <c r="D8" s="132" t="s">
        <v>34</v>
      </c>
      <c r="E8" s="133"/>
      <c r="F8" s="133"/>
      <c r="G8" s="134"/>
      <c r="H8" s="135">
        <f>H9</f>
        <v>25268</v>
      </c>
      <c r="I8" s="135">
        <v>25268</v>
      </c>
      <c r="J8" s="9">
        <f t="shared" si="0"/>
        <v>0</v>
      </c>
      <c r="K8" s="151"/>
      <c r="L8" s="152"/>
      <c r="M8" s="153"/>
    </row>
    <row r="9" spans="1:13">
      <c r="A9" s="10"/>
      <c r="B9" s="6"/>
      <c r="C9" s="137"/>
      <c r="D9" s="138"/>
      <c r="E9" s="132" t="s">
        <v>31</v>
      </c>
      <c r="F9" s="133"/>
      <c r="G9" s="134"/>
      <c r="H9" s="94">
        <f>SUM(H10,H15,H19,H22)</f>
        <v>25268</v>
      </c>
      <c r="I9" s="94">
        <v>25268</v>
      </c>
      <c r="J9" s="95">
        <f t="shared" si="0"/>
        <v>0</v>
      </c>
      <c r="K9" s="87"/>
      <c r="L9" s="96"/>
      <c r="M9" s="85"/>
    </row>
    <row r="10" spans="1:13">
      <c r="A10" s="65"/>
      <c r="B10" s="67"/>
      <c r="C10" s="67"/>
      <c r="D10" s="67"/>
      <c r="E10" s="67"/>
      <c r="F10" s="139" t="s">
        <v>35</v>
      </c>
      <c r="G10" s="143"/>
      <c r="H10" s="74">
        <f>SUM(H11,H13)</f>
        <v>8568</v>
      </c>
      <c r="I10" s="74">
        <v>8568</v>
      </c>
      <c r="J10" s="101">
        <f t="shared" si="0"/>
        <v>0</v>
      </c>
      <c r="K10" s="147"/>
      <c r="L10" s="38"/>
      <c r="M10" s="37"/>
    </row>
    <row r="11" spans="1:13">
      <c r="A11" s="56"/>
      <c r="B11" s="58"/>
      <c r="C11" s="67"/>
      <c r="D11" s="67"/>
      <c r="E11" s="67"/>
      <c r="F11" s="195"/>
      <c r="G11" s="213" t="s">
        <v>36</v>
      </c>
      <c r="H11" s="214">
        <f>M11</f>
        <v>2520</v>
      </c>
      <c r="I11" s="214">
        <v>2520</v>
      </c>
      <c r="J11" s="41">
        <f t="shared" si="0"/>
        <v>0</v>
      </c>
      <c r="K11" s="36" t="s">
        <v>48</v>
      </c>
      <c r="L11" s="216"/>
      <c r="M11" s="229">
        <f>SUM(M12:M12)</f>
        <v>2520</v>
      </c>
    </row>
    <row r="12" spans="1:13">
      <c r="A12" s="56"/>
      <c r="B12" s="58"/>
      <c r="C12" s="67"/>
      <c r="D12" s="67"/>
      <c r="E12" s="67"/>
      <c r="F12" s="57"/>
      <c r="G12" s="57"/>
      <c r="H12" s="103"/>
      <c r="I12" s="103"/>
      <c r="J12" s="105"/>
      <c r="K12" s="196" t="s">
        <v>446</v>
      </c>
      <c r="L12" s="207" t="s">
        <v>37</v>
      </c>
      <c r="M12" s="194">
        <v>2520</v>
      </c>
    </row>
    <row r="13" spans="1:13">
      <c r="A13" s="56"/>
      <c r="B13" s="58"/>
      <c r="C13" s="67"/>
      <c r="D13" s="67"/>
      <c r="E13" s="67"/>
      <c r="F13" s="57"/>
      <c r="G13" s="213" t="s">
        <v>327</v>
      </c>
      <c r="H13" s="214">
        <f>M13</f>
        <v>6048</v>
      </c>
      <c r="I13" s="214">
        <v>6048</v>
      </c>
      <c r="J13" s="215">
        <f>H13-I13</f>
        <v>0</v>
      </c>
      <c r="K13" s="36" t="s">
        <v>328</v>
      </c>
      <c r="L13" s="51"/>
      <c r="M13" s="229">
        <f>M14</f>
        <v>6048</v>
      </c>
    </row>
    <row r="14" spans="1:13">
      <c r="A14" s="65"/>
      <c r="B14" s="67"/>
      <c r="C14" s="67"/>
      <c r="D14" s="67"/>
      <c r="E14" s="67"/>
      <c r="F14" s="57"/>
      <c r="G14" s="57"/>
      <c r="H14" s="103"/>
      <c r="I14" s="103"/>
      <c r="J14" s="105"/>
      <c r="K14" s="226" t="s">
        <v>444</v>
      </c>
      <c r="L14" s="209" t="s">
        <v>37</v>
      </c>
      <c r="M14" s="194">
        <v>6048</v>
      </c>
    </row>
    <row r="15" spans="1:13">
      <c r="A15" s="65"/>
      <c r="B15" s="67"/>
      <c r="C15" s="67"/>
      <c r="D15" s="67"/>
      <c r="E15" s="67"/>
      <c r="F15" s="592" t="s">
        <v>40</v>
      </c>
      <c r="G15" s="593"/>
      <c r="H15" s="155">
        <f>H16</f>
        <v>12600</v>
      </c>
      <c r="I15" s="155">
        <v>12600</v>
      </c>
      <c r="J15" s="156">
        <f>H15-I15</f>
        <v>0</v>
      </c>
      <c r="K15" s="157"/>
      <c r="L15" s="59"/>
      <c r="M15" s="60"/>
    </row>
    <row r="16" spans="1:13">
      <c r="A16" s="65"/>
      <c r="B16" s="67"/>
      <c r="C16" s="67"/>
      <c r="D16" s="67"/>
      <c r="E16" s="67"/>
      <c r="F16" s="112"/>
      <c r="G16" s="203" t="s">
        <v>41</v>
      </c>
      <c r="H16" s="217">
        <f>M16</f>
        <v>12600</v>
      </c>
      <c r="I16" s="214">
        <v>12600</v>
      </c>
      <c r="J16" s="206">
        <f>H16-I16</f>
        <v>0</v>
      </c>
      <c r="K16" s="36" t="s">
        <v>50</v>
      </c>
      <c r="L16" s="219"/>
      <c r="M16" s="229">
        <f>SUM(M17:M18)</f>
        <v>12600</v>
      </c>
    </row>
    <row r="17" spans="1:18">
      <c r="A17" s="65"/>
      <c r="B17" s="67"/>
      <c r="C17" s="67"/>
      <c r="D17" s="67"/>
      <c r="E17" s="67"/>
      <c r="F17" s="198"/>
      <c r="G17" s="198"/>
      <c r="H17" s="103"/>
      <c r="I17" s="107"/>
      <c r="J17" s="105"/>
      <c r="K17" s="224" t="s">
        <v>520</v>
      </c>
      <c r="L17" s="99" t="s">
        <v>0</v>
      </c>
      <c r="M17" s="194">
        <v>3360</v>
      </c>
    </row>
    <row r="18" spans="1:18">
      <c r="A18" s="65"/>
      <c r="B18" s="67"/>
      <c r="C18" s="67"/>
      <c r="D18" s="67"/>
      <c r="E18" s="67"/>
      <c r="F18" s="198"/>
      <c r="G18" s="198"/>
      <c r="H18" s="103"/>
      <c r="I18" s="107"/>
      <c r="J18" s="105"/>
      <c r="K18" s="202" t="s">
        <v>521</v>
      </c>
      <c r="L18" s="218" t="s">
        <v>0</v>
      </c>
      <c r="M18" s="194">
        <v>9240</v>
      </c>
    </row>
    <row r="19" spans="1:18">
      <c r="A19" s="65"/>
      <c r="B19" s="67"/>
      <c r="C19" s="67"/>
      <c r="D19" s="67"/>
      <c r="E19" s="67"/>
      <c r="F19" s="592" t="s">
        <v>42</v>
      </c>
      <c r="G19" s="593"/>
      <c r="H19" s="155">
        <f>H20</f>
        <v>2000</v>
      </c>
      <c r="I19" s="155">
        <v>2000</v>
      </c>
      <c r="J19" s="156">
        <f>H19-I19</f>
        <v>0</v>
      </c>
      <c r="K19" s="157"/>
      <c r="L19" s="59"/>
      <c r="M19" s="60"/>
    </row>
    <row r="20" spans="1:18">
      <c r="A20" s="65"/>
      <c r="B20" s="67"/>
      <c r="C20" s="67"/>
      <c r="D20" s="67"/>
      <c r="E20" s="67"/>
      <c r="F20" s="198"/>
      <c r="G20" s="112" t="s">
        <v>43</v>
      </c>
      <c r="H20" s="217">
        <f>M20</f>
        <v>2000</v>
      </c>
      <c r="I20" s="217">
        <v>2000</v>
      </c>
      <c r="J20" s="206">
        <f>H20-I20</f>
        <v>0</v>
      </c>
      <c r="K20" s="36" t="s">
        <v>51</v>
      </c>
      <c r="L20" s="216"/>
      <c r="M20" s="229">
        <f>SUM(M21)</f>
        <v>2000</v>
      </c>
    </row>
    <row r="21" spans="1:18">
      <c r="A21" s="344"/>
      <c r="B21" s="345"/>
      <c r="C21" s="345"/>
      <c r="D21" s="345"/>
      <c r="E21" s="345"/>
      <c r="F21" s="199"/>
      <c r="G21" s="199"/>
      <c r="H21" s="106"/>
      <c r="I21" s="158"/>
      <c r="J21" s="158"/>
      <c r="K21" s="202" t="s">
        <v>639</v>
      </c>
      <c r="L21" s="218" t="s">
        <v>0</v>
      </c>
      <c r="M21" s="200">
        <v>2000</v>
      </c>
    </row>
    <row r="22" spans="1:18">
      <c r="A22" s="65"/>
      <c r="B22" s="67"/>
      <c r="C22" s="67"/>
      <c r="D22" s="67"/>
      <c r="E22" s="67"/>
      <c r="F22" s="362" t="s">
        <v>93</v>
      </c>
      <c r="G22" s="72"/>
      <c r="H22" s="73">
        <f>H23</f>
        <v>2100</v>
      </c>
      <c r="I22" s="73">
        <v>2100</v>
      </c>
      <c r="J22" s="149">
        <f>H22-I22</f>
        <v>0</v>
      </c>
      <c r="K22" s="297"/>
      <c r="L22" s="298"/>
      <c r="M22" s="363"/>
    </row>
    <row r="23" spans="1:18">
      <c r="A23" s="65"/>
      <c r="B23" s="67"/>
      <c r="C23" s="67"/>
      <c r="D23" s="67"/>
      <c r="E23" s="67"/>
      <c r="F23" s="146"/>
      <c r="G23" s="67" t="s">
        <v>97</v>
      </c>
      <c r="H23" s="78">
        <f>M23</f>
        <v>2100</v>
      </c>
      <c r="I23" s="78">
        <v>2100</v>
      </c>
      <c r="J23" s="48">
        <f>H23-I23</f>
        <v>0</v>
      </c>
      <c r="K23" s="36" t="s">
        <v>454</v>
      </c>
      <c r="L23" s="39"/>
      <c r="M23" s="229">
        <f>M24</f>
        <v>2100</v>
      </c>
    </row>
    <row r="24" spans="1:18" ht="17.25" thickBot="1">
      <c r="A24" s="313"/>
      <c r="B24" s="71"/>
      <c r="C24" s="71"/>
      <c r="D24" s="71"/>
      <c r="E24" s="71"/>
      <c r="F24" s="364"/>
      <c r="G24" s="204"/>
      <c r="H24" s="365"/>
      <c r="I24" s="366"/>
      <c r="J24" s="367"/>
      <c r="K24" s="244" t="s">
        <v>463</v>
      </c>
      <c r="L24" s="245" t="s">
        <v>0</v>
      </c>
      <c r="M24" s="258">
        <v>2100</v>
      </c>
    </row>
    <row r="25" spans="1:18">
      <c r="A25" s="210" t="s">
        <v>759</v>
      </c>
      <c r="B25" s="125"/>
      <c r="C25" s="126"/>
      <c r="D25" s="126"/>
      <c r="E25" s="126"/>
      <c r="F25" s="126"/>
      <c r="G25" s="127"/>
      <c r="H25" s="97">
        <f>H26</f>
        <v>2780000</v>
      </c>
      <c r="I25" s="97">
        <v>0</v>
      </c>
      <c r="J25" s="98">
        <f t="shared" ref="J25" si="1">H25-I25</f>
        <v>2780000</v>
      </c>
      <c r="K25" s="81"/>
      <c r="L25" s="82"/>
      <c r="M25" s="83"/>
    </row>
    <row r="26" spans="1:18" s="1" customFormat="1" ht="18" customHeight="1">
      <c r="A26" s="10"/>
      <c r="B26" s="132" t="s">
        <v>786</v>
      </c>
      <c r="C26" s="132"/>
      <c r="D26" s="133"/>
      <c r="E26" s="133"/>
      <c r="F26" s="133"/>
      <c r="G26" s="134"/>
      <c r="H26" s="97">
        <f>SUM(H27,H37)</f>
        <v>2780000</v>
      </c>
      <c r="I26" s="97">
        <v>0</v>
      </c>
      <c r="J26" s="98">
        <f>H26-I26</f>
        <v>2780000</v>
      </c>
      <c r="K26" s="491"/>
      <c r="L26" s="492"/>
      <c r="M26" s="493"/>
      <c r="N26" s="129"/>
      <c r="O26" s="129"/>
      <c r="P26" s="129"/>
      <c r="Q26" s="130"/>
      <c r="R26" s="131"/>
    </row>
    <row r="27" spans="1:18" s="1" customFormat="1" ht="18" customHeight="1">
      <c r="A27" s="10"/>
      <c r="B27" s="6"/>
      <c r="C27" s="182" t="s">
        <v>751</v>
      </c>
      <c r="D27" s="133"/>
      <c r="E27" s="133"/>
      <c r="F27" s="133"/>
      <c r="G27" s="134"/>
      <c r="H27" s="97">
        <f>SUM(H28)</f>
        <v>2780000</v>
      </c>
      <c r="I27" s="97">
        <v>0</v>
      </c>
      <c r="J27" s="98">
        <f t="shared" ref="J27" si="2">H27-I27</f>
        <v>2780000</v>
      </c>
      <c r="K27" s="491"/>
      <c r="L27" s="492"/>
      <c r="M27" s="493"/>
      <c r="N27" s="594"/>
      <c r="O27" s="594"/>
      <c r="P27" s="594"/>
      <c r="Q27" s="594"/>
      <c r="R27" s="594"/>
    </row>
    <row r="28" spans="1:18" s="1" customFormat="1" ht="18" customHeight="1">
      <c r="A28" s="10"/>
      <c r="B28" s="6"/>
      <c r="C28" s="6"/>
      <c r="D28" s="132" t="s">
        <v>752</v>
      </c>
      <c r="E28" s="133"/>
      <c r="F28" s="133"/>
      <c r="G28" s="134"/>
      <c r="H28" s="135">
        <f>H29</f>
        <v>2780000</v>
      </c>
      <c r="I28" s="135">
        <v>0</v>
      </c>
      <c r="J28" s="95">
        <f>H28-I28</f>
        <v>2780000</v>
      </c>
      <c r="K28" s="395"/>
      <c r="L28" s="494"/>
      <c r="M28" s="493"/>
      <c r="N28" s="129"/>
      <c r="O28" s="129"/>
      <c r="P28" s="129"/>
      <c r="Q28" s="130"/>
      <c r="R28" s="131"/>
    </row>
    <row r="29" spans="1:18" s="1" customFormat="1" ht="18" customHeight="1">
      <c r="A29" s="10"/>
      <c r="B29" s="6"/>
      <c r="C29" s="137"/>
      <c r="D29" s="138"/>
      <c r="E29" s="132" t="s">
        <v>753</v>
      </c>
      <c r="F29" s="133"/>
      <c r="G29" s="134"/>
      <c r="H29" s="94">
        <f>H30</f>
        <v>2780000</v>
      </c>
      <c r="I29" s="94">
        <v>0</v>
      </c>
      <c r="J29" s="95">
        <f>H29-I29</f>
        <v>2780000</v>
      </c>
      <c r="K29" s="396"/>
      <c r="L29" s="477"/>
      <c r="M29" s="495"/>
      <c r="N29" s="129"/>
      <c r="O29" s="129"/>
      <c r="P29" s="129"/>
      <c r="Q29" s="12"/>
      <c r="R29" s="131"/>
    </row>
    <row r="30" spans="1:18" s="63" customFormat="1" ht="18" customHeight="1">
      <c r="A30" s="65"/>
      <c r="B30" s="67"/>
      <c r="C30" s="189"/>
      <c r="D30" s="190"/>
      <c r="E30" s="191"/>
      <c r="F30" s="139" t="s">
        <v>754</v>
      </c>
      <c r="G30" s="192"/>
      <c r="H30" s="74">
        <f>SUM(H31,H34)</f>
        <v>2780000</v>
      </c>
      <c r="I30" s="74">
        <v>0</v>
      </c>
      <c r="J30" s="74">
        <f t="shared" ref="J30:J34" si="3">H30-I30</f>
        <v>2780000</v>
      </c>
      <c r="K30" s="479"/>
      <c r="L30" s="397"/>
      <c r="M30" s="496"/>
    </row>
    <row r="31" spans="1:18" s="63" customFormat="1" ht="18" customHeight="1">
      <c r="A31" s="65"/>
      <c r="B31" s="67"/>
      <c r="C31" s="67"/>
      <c r="D31" s="148"/>
      <c r="E31" s="193"/>
      <c r="F31" s="193"/>
      <c r="G31" s="141" t="s">
        <v>755</v>
      </c>
      <c r="H31" s="449">
        <f>M31</f>
        <v>2769992</v>
      </c>
      <c r="I31" s="75">
        <v>0</v>
      </c>
      <c r="J31" s="449">
        <f t="shared" si="3"/>
        <v>2769992</v>
      </c>
      <c r="K31" s="472" t="s">
        <v>756</v>
      </c>
      <c r="L31" s="473"/>
      <c r="M31" s="497">
        <f>M33</f>
        <v>2769992</v>
      </c>
    </row>
    <row r="32" spans="1:18" s="63" customFormat="1" ht="18" customHeight="1">
      <c r="A32" s="65"/>
      <c r="B32" s="67"/>
      <c r="C32" s="67"/>
      <c r="D32" s="148"/>
      <c r="E32" s="193"/>
      <c r="F32" s="193"/>
      <c r="G32" s="70"/>
      <c r="H32" s="76"/>
      <c r="I32" s="76"/>
      <c r="J32" s="76"/>
      <c r="K32" s="488" t="s">
        <v>760</v>
      </c>
      <c r="L32" s="459"/>
      <c r="M32" s="498"/>
    </row>
    <row r="33" spans="1:13" s="63" customFormat="1" ht="18" customHeight="1">
      <c r="A33" s="65"/>
      <c r="B33" s="67"/>
      <c r="C33" s="67"/>
      <c r="D33" s="148"/>
      <c r="E33" s="193"/>
      <c r="F33" s="193"/>
      <c r="G33" s="70"/>
      <c r="H33" s="76"/>
      <c r="I33" s="76"/>
      <c r="J33" s="48"/>
      <c r="K33" s="393" t="s">
        <v>787</v>
      </c>
      <c r="L33" s="412" t="s">
        <v>0</v>
      </c>
      <c r="M33" s="521">
        <v>2769992</v>
      </c>
    </row>
    <row r="34" spans="1:13" s="63" customFormat="1" ht="18" customHeight="1">
      <c r="A34" s="65"/>
      <c r="B34" s="67"/>
      <c r="C34" s="67"/>
      <c r="D34" s="148"/>
      <c r="E34" s="193"/>
      <c r="F34" s="193"/>
      <c r="G34" s="141" t="s">
        <v>757</v>
      </c>
      <c r="H34" s="449">
        <f>M34</f>
        <v>10008</v>
      </c>
      <c r="I34" s="75">
        <v>0</v>
      </c>
      <c r="J34" s="449">
        <f t="shared" si="3"/>
        <v>10008</v>
      </c>
      <c r="K34" s="472" t="s">
        <v>758</v>
      </c>
      <c r="L34" s="473"/>
      <c r="M34" s="497">
        <f>M36</f>
        <v>10008</v>
      </c>
    </row>
    <row r="35" spans="1:13" s="63" customFormat="1" ht="18" customHeight="1">
      <c r="A35" s="65"/>
      <c r="B35" s="67"/>
      <c r="C35" s="67"/>
      <c r="D35" s="148"/>
      <c r="E35" s="193"/>
      <c r="F35" s="193"/>
      <c r="G35" s="70"/>
      <c r="H35" s="76"/>
      <c r="I35" s="76"/>
      <c r="J35" s="76"/>
      <c r="K35" s="488" t="s">
        <v>760</v>
      </c>
      <c r="L35" s="414"/>
      <c r="M35" s="522"/>
    </row>
    <row r="36" spans="1:13" s="63" customFormat="1" ht="18" customHeight="1" thickBot="1">
      <c r="A36" s="313"/>
      <c r="B36" s="71"/>
      <c r="C36" s="71"/>
      <c r="D36" s="314"/>
      <c r="E36" s="315"/>
      <c r="F36" s="315"/>
      <c r="G36" s="385"/>
      <c r="H36" s="316"/>
      <c r="I36" s="316"/>
      <c r="J36" s="499"/>
      <c r="K36" s="416" t="s">
        <v>761</v>
      </c>
      <c r="L36" s="523" t="s">
        <v>0</v>
      </c>
      <c r="M36" s="524">
        <v>10008</v>
      </c>
    </row>
  </sheetData>
  <protectedRanges>
    <protectedRange password="ECE8" sqref="N26:Z29" name="작성자만수정_2_1_1"/>
  </protectedRanges>
  <autoFilter ref="A3:M24">
    <filterColumn colId="10" showButton="0"/>
    <filterColumn colId="11" showButton="0"/>
  </autoFilter>
  <mergeCells count="11">
    <mergeCell ref="N27:R27"/>
    <mergeCell ref="K2:M3"/>
    <mergeCell ref="A4:G4"/>
    <mergeCell ref="F15:G15"/>
    <mergeCell ref="F19:G19"/>
    <mergeCell ref="A2:A3"/>
    <mergeCell ref="B2:D2"/>
    <mergeCell ref="E2:G2"/>
    <mergeCell ref="H2:H3"/>
    <mergeCell ref="I2:I3"/>
    <mergeCell ref="J2:J3"/>
  </mergeCells>
  <phoneticPr fontId="12" type="noConversion"/>
  <conditionalFormatting sqref="J20:J21">
    <cfRule type="containsText" dxfId="521" priority="91" operator="containsText" text="허하나로">
      <formula>NOT(ISERROR(SEARCH("허하나로",H1050)))</formula>
    </cfRule>
    <cfRule type="containsText" dxfId="520" priority="92" operator="containsText" text="한별">
      <formula>NOT(ISERROR(SEARCH("한별",H1050)))</formula>
    </cfRule>
    <cfRule type="containsText" dxfId="519" priority="93" operator="containsText" text="정홍조">
      <formula>NOT(ISERROR(SEARCH("정홍조",H1050)))</formula>
    </cfRule>
    <cfRule type="containsText" dxfId="518" priority="94" operator="containsText" text="김지윤">
      <formula>NOT(ISERROR(SEARCH("김지윤",H1050)))</formula>
    </cfRule>
    <cfRule type="containsText" dxfId="517" priority="95" operator="containsText" text="전준영">
      <formula>NOT(ISERROR(SEARCH("전준영",H1050)))</formula>
    </cfRule>
    <cfRule type="containsText" dxfId="516" priority="96" operator="containsText" text="차재성">
      <formula>NOT(ISERROR(SEARCH("차재성",H1050)))</formula>
    </cfRule>
  </conditionalFormatting>
  <conditionalFormatting sqref="J6">
    <cfRule type="containsText" dxfId="515" priority="103" operator="containsText" text="허하나로">
      <formula>NOT(ISERROR(SEARCH("허하나로",H687)))</formula>
    </cfRule>
    <cfRule type="containsText" dxfId="514" priority="104" operator="containsText" text="한별">
      <formula>NOT(ISERROR(SEARCH("한별",H687)))</formula>
    </cfRule>
    <cfRule type="containsText" dxfId="513" priority="105" operator="containsText" text="정홍조">
      <formula>NOT(ISERROR(SEARCH("정홍조",H687)))</formula>
    </cfRule>
    <cfRule type="containsText" dxfId="512" priority="106" operator="containsText" text="김지윤">
      <formula>NOT(ISERROR(SEARCH("김지윤",H687)))</formula>
    </cfRule>
    <cfRule type="containsText" dxfId="511" priority="107" operator="containsText" text="전준영">
      <formula>NOT(ISERROR(SEARCH("전준영",H687)))</formula>
    </cfRule>
    <cfRule type="containsText" dxfId="510" priority="108" operator="containsText" text="차재성">
      <formula>NOT(ISERROR(SEARCH("차재성",H687)))</formula>
    </cfRule>
  </conditionalFormatting>
  <conditionalFormatting sqref="J5">
    <cfRule type="containsText" dxfId="509" priority="97" operator="containsText" text="허하나로">
      <formula>NOT(ISERROR(SEARCH("허하나로",H686)))</formula>
    </cfRule>
    <cfRule type="containsText" dxfId="508" priority="98" operator="containsText" text="한별">
      <formula>NOT(ISERROR(SEARCH("한별",H686)))</formula>
    </cfRule>
    <cfRule type="containsText" dxfId="507" priority="99" operator="containsText" text="정홍조">
      <formula>NOT(ISERROR(SEARCH("정홍조",H686)))</formula>
    </cfRule>
    <cfRule type="containsText" dxfId="506" priority="100" operator="containsText" text="김지윤">
      <formula>NOT(ISERROR(SEARCH("김지윤",H686)))</formula>
    </cfRule>
    <cfRule type="containsText" dxfId="505" priority="101" operator="containsText" text="전준영">
      <formula>NOT(ISERROR(SEARCH("전준영",H686)))</formula>
    </cfRule>
    <cfRule type="containsText" dxfId="504" priority="102" operator="containsText" text="차재성">
      <formula>NOT(ISERROR(SEARCH("차재성",H686)))</formula>
    </cfRule>
  </conditionalFormatting>
  <conditionalFormatting sqref="J7">
    <cfRule type="containsText" dxfId="503" priority="85" operator="containsText" text="허하나로">
      <formula>NOT(ISERROR(SEARCH("허하나로",H820)))</formula>
    </cfRule>
    <cfRule type="containsText" dxfId="502" priority="86" operator="containsText" text="한별">
      <formula>NOT(ISERROR(SEARCH("한별",H820)))</formula>
    </cfRule>
    <cfRule type="containsText" dxfId="501" priority="87" operator="containsText" text="정홍조">
      <formula>NOT(ISERROR(SEARCH("정홍조",H820)))</formula>
    </cfRule>
    <cfRule type="containsText" dxfId="500" priority="88" operator="containsText" text="김지윤">
      <formula>NOT(ISERROR(SEARCH("김지윤",H820)))</formula>
    </cfRule>
    <cfRule type="containsText" dxfId="499" priority="89" operator="containsText" text="전준영">
      <formula>NOT(ISERROR(SEARCH("전준영",H820)))</formula>
    </cfRule>
    <cfRule type="containsText" dxfId="498" priority="90" operator="containsText" text="차재성">
      <formula>NOT(ISERROR(SEARCH("차재성",H820)))</formula>
    </cfRule>
  </conditionalFormatting>
  <conditionalFormatting sqref="J10:J11">
    <cfRule type="containsText" dxfId="497" priority="79" operator="containsText" text="허하나로">
      <formula>NOT(ISERROR(SEARCH("허하나로",H1028)))</formula>
    </cfRule>
    <cfRule type="containsText" dxfId="496" priority="80" operator="containsText" text="한별">
      <formula>NOT(ISERROR(SEARCH("한별",H1028)))</formula>
    </cfRule>
    <cfRule type="containsText" dxfId="495" priority="81" operator="containsText" text="정홍조">
      <formula>NOT(ISERROR(SEARCH("정홍조",H1028)))</formula>
    </cfRule>
    <cfRule type="containsText" dxfId="494" priority="82" operator="containsText" text="김지윤">
      <formula>NOT(ISERROR(SEARCH("김지윤",H1028)))</formula>
    </cfRule>
    <cfRule type="containsText" dxfId="493" priority="83" operator="containsText" text="전준영">
      <formula>NOT(ISERROR(SEARCH("전준영",H1028)))</formula>
    </cfRule>
    <cfRule type="containsText" dxfId="492" priority="84" operator="containsText" text="차재성">
      <formula>NOT(ISERROR(SEARCH("차재성",H1028)))</formula>
    </cfRule>
  </conditionalFormatting>
  <conditionalFormatting sqref="J9">
    <cfRule type="containsText" dxfId="491" priority="121" operator="containsText" text="허하나로">
      <formula>NOT(ISERROR(SEARCH("허하나로",H1017)))</formula>
    </cfRule>
    <cfRule type="containsText" dxfId="490" priority="122" operator="containsText" text="한별">
      <formula>NOT(ISERROR(SEARCH("한별",H1017)))</formula>
    </cfRule>
    <cfRule type="containsText" dxfId="489" priority="123" operator="containsText" text="정홍조">
      <formula>NOT(ISERROR(SEARCH("정홍조",H1017)))</formula>
    </cfRule>
    <cfRule type="containsText" dxfId="488" priority="124" operator="containsText" text="김지윤">
      <formula>NOT(ISERROR(SEARCH("김지윤",H1017)))</formula>
    </cfRule>
    <cfRule type="containsText" dxfId="487" priority="125" operator="containsText" text="전준영">
      <formula>NOT(ISERROR(SEARCH("전준영",H1017)))</formula>
    </cfRule>
    <cfRule type="containsText" dxfId="486" priority="126" operator="containsText" text="차재성">
      <formula>NOT(ISERROR(SEARCH("차재성",H1017)))</formula>
    </cfRule>
  </conditionalFormatting>
  <conditionalFormatting sqref="J15:J18">
    <cfRule type="containsText" dxfId="485" priority="127" operator="containsText" text="허하나로">
      <formula>NOT(ISERROR(SEARCH("허하나로",H1030)))</formula>
    </cfRule>
    <cfRule type="containsText" dxfId="484" priority="128" operator="containsText" text="한별">
      <formula>NOT(ISERROR(SEARCH("한별",H1030)))</formula>
    </cfRule>
    <cfRule type="containsText" dxfId="483" priority="129" operator="containsText" text="정홍조">
      <formula>NOT(ISERROR(SEARCH("정홍조",H1030)))</formula>
    </cfRule>
    <cfRule type="containsText" dxfId="482" priority="130" operator="containsText" text="김지윤">
      <formula>NOT(ISERROR(SEARCH("김지윤",H1030)))</formula>
    </cfRule>
    <cfRule type="containsText" dxfId="481" priority="131" operator="containsText" text="전준영">
      <formula>NOT(ISERROR(SEARCH("전준영",H1030)))</formula>
    </cfRule>
    <cfRule type="containsText" dxfId="480" priority="132" operator="containsText" text="차재성">
      <formula>NOT(ISERROR(SEARCH("차재성",H1030)))</formula>
    </cfRule>
  </conditionalFormatting>
  <conditionalFormatting sqref="J19">
    <cfRule type="containsText" dxfId="479" priority="67" operator="containsText" text="허하나로">
      <formula>NOT(ISERROR(SEARCH("허하나로",H1034)))</formula>
    </cfRule>
    <cfRule type="containsText" dxfId="478" priority="68" operator="containsText" text="한별">
      <formula>NOT(ISERROR(SEARCH("한별",H1034)))</formula>
    </cfRule>
    <cfRule type="containsText" dxfId="477" priority="69" operator="containsText" text="정홍조">
      <formula>NOT(ISERROR(SEARCH("정홍조",H1034)))</formula>
    </cfRule>
    <cfRule type="containsText" dxfId="476" priority="70" operator="containsText" text="김지윤">
      <formula>NOT(ISERROR(SEARCH("김지윤",H1034)))</formula>
    </cfRule>
    <cfRule type="containsText" dxfId="475" priority="71" operator="containsText" text="전준영">
      <formula>NOT(ISERROR(SEARCH("전준영",H1034)))</formula>
    </cfRule>
    <cfRule type="containsText" dxfId="474" priority="72" operator="containsText" text="차재성">
      <formula>NOT(ISERROR(SEARCH("차재성",H1034)))</formula>
    </cfRule>
  </conditionalFormatting>
  <conditionalFormatting sqref="L16">
    <cfRule type="containsText" dxfId="473" priority="61" operator="containsText" text="허하나로">
      <formula>NOT(ISERROR(SEARCH("허하나로",J1165)))</formula>
    </cfRule>
    <cfRule type="containsText" dxfId="472" priority="62" operator="containsText" text="한별">
      <formula>NOT(ISERROR(SEARCH("한별",J1165)))</formula>
    </cfRule>
    <cfRule type="containsText" dxfId="471" priority="63" operator="containsText" text="정홍조">
      <formula>NOT(ISERROR(SEARCH("정홍조",J1165)))</formula>
    </cfRule>
    <cfRule type="containsText" dxfId="470" priority="64" operator="containsText" text="김지윤">
      <formula>NOT(ISERROR(SEARCH("김지윤",J1165)))</formula>
    </cfRule>
    <cfRule type="containsText" dxfId="469" priority="65" operator="containsText" text="전준영">
      <formula>NOT(ISERROR(SEARCH("전준영",J1165)))</formula>
    </cfRule>
    <cfRule type="containsText" dxfId="468" priority="66" operator="containsText" text="차재성">
      <formula>NOT(ISERROR(SEARCH("차재성",J1165)))</formula>
    </cfRule>
  </conditionalFormatting>
  <conditionalFormatting sqref="I21">
    <cfRule type="containsText" dxfId="467" priority="55" operator="containsText" text="허하나로">
      <formula>NOT(ISERROR(SEARCH("허하나로",G1051)))</formula>
    </cfRule>
    <cfRule type="containsText" dxfId="466" priority="56" operator="containsText" text="한별">
      <formula>NOT(ISERROR(SEARCH("한별",G1051)))</formula>
    </cfRule>
    <cfRule type="containsText" dxfId="465" priority="57" operator="containsText" text="정홍조">
      <formula>NOT(ISERROR(SEARCH("정홍조",G1051)))</formula>
    </cfRule>
    <cfRule type="containsText" dxfId="464" priority="58" operator="containsText" text="김지윤">
      <formula>NOT(ISERROR(SEARCH("김지윤",G1051)))</formula>
    </cfRule>
    <cfRule type="containsText" dxfId="463" priority="59" operator="containsText" text="전준영">
      <formula>NOT(ISERROR(SEARCH("전준영",G1051)))</formula>
    </cfRule>
    <cfRule type="containsText" dxfId="462" priority="60" operator="containsText" text="차재성">
      <formula>NOT(ISERROR(SEARCH("차재성",G1051)))</formula>
    </cfRule>
  </conditionalFormatting>
  <conditionalFormatting sqref="J12">
    <cfRule type="containsText" dxfId="461" priority="3769" operator="containsText" text="허하나로">
      <formula>NOT(ISERROR(SEARCH("허하나로",H1019)))</formula>
    </cfRule>
    <cfRule type="containsText" dxfId="460" priority="3770" operator="containsText" text="한별">
      <formula>NOT(ISERROR(SEARCH("한별",H1019)))</formula>
    </cfRule>
    <cfRule type="containsText" dxfId="459" priority="3771" operator="containsText" text="정홍조">
      <formula>NOT(ISERROR(SEARCH("정홍조",H1019)))</formula>
    </cfRule>
    <cfRule type="containsText" dxfId="458" priority="3772" operator="containsText" text="김지윤">
      <formula>NOT(ISERROR(SEARCH("김지윤",H1019)))</formula>
    </cfRule>
    <cfRule type="containsText" dxfId="457" priority="3773" operator="containsText" text="전준영">
      <formula>NOT(ISERROR(SEARCH("전준영",H1019)))</formula>
    </cfRule>
    <cfRule type="containsText" dxfId="456" priority="3774" operator="containsText" text="차재성">
      <formula>NOT(ISERROR(SEARCH("차재성",H1019)))</formula>
    </cfRule>
  </conditionalFormatting>
  <conditionalFormatting sqref="J2:J3">
    <cfRule type="containsText" dxfId="455" priority="19" operator="containsText" text="허하나로">
      <formula>NOT(ISERROR(SEARCH("허하나로",H774)))</formula>
    </cfRule>
    <cfRule type="containsText" dxfId="454" priority="20" operator="containsText" text="한별">
      <formula>NOT(ISERROR(SEARCH("한별",H774)))</formula>
    </cfRule>
    <cfRule type="containsText" dxfId="453" priority="21" operator="containsText" text="정홍조">
      <formula>NOT(ISERROR(SEARCH("정홍조",H774)))</formula>
    </cfRule>
    <cfRule type="containsText" dxfId="452" priority="22" operator="containsText" text="김지윤">
      <formula>NOT(ISERROR(SEARCH("김지윤",H774)))</formula>
    </cfRule>
    <cfRule type="containsText" dxfId="451" priority="23" operator="containsText" text="전준영">
      <formula>NOT(ISERROR(SEARCH("전준영",H774)))</formula>
    </cfRule>
    <cfRule type="containsText" dxfId="450" priority="24" operator="containsText" text="차재성">
      <formula>NOT(ISERROR(SEARCH("차재성",H774)))</formula>
    </cfRule>
  </conditionalFormatting>
  <conditionalFormatting sqref="J28:J29">
    <cfRule type="containsText" dxfId="449" priority="13" operator="containsText" text="허하나로">
      <formula>NOT(ISERROR(SEARCH("허하나로",H1033)))</formula>
    </cfRule>
    <cfRule type="containsText" dxfId="448" priority="14" operator="containsText" text="한별">
      <formula>NOT(ISERROR(SEARCH("한별",H1033)))</formula>
    </cfRule>
    <cfRule type="containsText" dxfId="447" priority="15" operator="containsText" text="정홍조">
      <formula>NOT(ISERROR(SEARCH("정홍조",H1033)))</formula>
    </cfRule>
    <cfRule type="containsText" dxfId="446" priority="16" operator="containsText" text="김지윤">
      <formula>NOT(ISERROR(SEARCH("김지윤",H1033)))</formula>
    </cfRule>
    <cfRule type="containsText" dxfId="445" priority="17" operator="containsText" text="전준영">
      <formula>NOT(ISERROR(SEARCH("전준영",H1033)))</formula>
    </cfRule>
    <cfRule type="containsText" dxfId="444" priority="18" operator="containsText" text="차재성">
      <formula>NOT(ISERROR(SEARCH("차재성",H1033)))</formula>
    </cfRule>
  </conditionalFormatting>
  <conditionalFormatting sqref="J26:J27">
    <cfRule type="containsText" dxfId="443" priority="7" operator="containsText" text="허하나로">
      <formula>NOT(ISERROR(SEARCH("허하나로",H721)))</formula>
    </cfRule>
    <cfRule type="containsText" dxfId="442" priority="8" operator="containsText" text="한별">
      <formula>NOT(ISERROR(SEARCH("한별",H721)))</formula>
    </cfRule>
    <cfRule type="containsText" dxfId="441" priority="9" operator="containsText" text="정홍조">
      <formula>NOT(ISERROR(SEARCH("정홍조",H721)))</formula>
    </cfRule>
    <cfRule type="containsText" dxfId="440" priority="10" operator="containsText" text="김지윤">
      <formula>NOT(ISERROR(SEARCH("김지윤",H721)))</formula>
    </cfRule>
    <cfRule type="containsText" dxfId="439" priority="11" operator="containsText" text="전준영">
      <formula>NOT(ISERROR(SEARCH("전준영",H721)))</formula>
    </cfRule>
    <cfRule type="containsText" dxfId="438" priority="12" operator="containsText" text="차재성">
      <formula>NOT(ISERROR(SEARCH("차재성",H721)))</formula>
    </cfRule>
  </conditionalFormatting>
  <conditionalFormatting sqref="J25">
    <cfRule type="containsText" dxfId="437" priority="1" operator="containsText" text="허하나로">
      <formula>NOT(ISERROR(SEARCH("허하나로",H706)))</formula>
    </cfRule>
    <cfRule type="containsText" dxfId="436" priority="2" operator="containsText" text="한별">
      <formula>NOT(ISERROR(SEARCH("한별",H706)))</formula>
    </cfRule>
    <cfRule type="containsText" dxfId="435" priority="3" operator="containsText" text="정홍조">
      <formula>NOT(ISERROR(SEARCH("정홍조",H706)))</formula>
    </cfRule>
    <cfRule type="containsText" dxfId="434" priority="4" operator="containsText" text="김지윤">
      <formula>NOT(ISERROR(SEARCH("김지윤",H706)))</formula>
    </cfRule>
    <cfRule type="containsText" dxfId="433" priority="5" operator="containsText" text="전준영">
      <formula>NOT(ISERROR(SEARCH("전준영",H706)))</formula>
    </cfRule>
    <cfRule type="containsText" dxfId="432" priority="6" operator="containsText" text="차재성">
      <formula>NOT(ISERROR(SEARCH("차재성",H706)))</formula>
    </cfRule>
  </conditionalFormatting>
  <pageMargins left="0.25" right="0.25" top="0.75" bottom="0.75" header="0.3" footer="0.3"/>
  <pageSetup paperSize="9" scale="72" fitToHeight="0" orientation="landscape" r:id="rId1"/>
  <colBreaks count="1" manualBreakCount="1">
    <brk id="13" max="3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7" operator="containsText" text="허하나로" id="{84904E4D-5B15-4B62-AA9C-8EB1E5502C8B}">
            <xm:f>NOT(ISERROR(SEARCH("허하나로",행사부!H1022)))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3AE28599-61A9-40FF-910A-ED8FEC8BB27B}">
            <xm:f>NOT(ISERROR(SEARCH("한별",행사부!H1022)))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2121DB8C-F976-45F3-8569-4B4FACF40458}">
            <xm:f>NOT(ISERROR(SEARCH("정홍조",행사부!H1022)))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CC22703E-A09D-41E3-854D-D4FA6F2E1DCE}">
            <xm:f>NOT(ISERROR(SEARCH("김지윤",행사부!H1022)))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211100FC-96EF-4F21-B3AA-EAB7669CDF51}">
            <xm:f>NOT(ISERROR(SEARCH("전준영",행사부!H1022)))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D5343758-1DA8-4C58-AC02-3AE3F9CAD79A}">
            <xm:f>NOT(ISERROR(SEARCH("차재성",행사부!H1022)))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J13:J14</xm:sqref>
        </x14:conditionalFormatting>
        <x14:conditionalFormatting xmlns:xm="http://schemas.microsoft.com/office/excel/2006/main">
          <x14:cfRule type="containsText" priority="31" operator="containsText" text="허하나로" id="{73EEA989-06D8-43D8-97E0-C9877023C63C}">
            <xm:f>NOT(ISERROR(SEARCH("허하나로",행정관리부!H1062)))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C16141EF-4399-46BB-812F-F1F5F5C8F599}">
            <xm:f>NOT(ISERROR(SEARCH("한별",행정관리부!H1062)))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32A3A687-A26F-4881-8BE8-098DB7C7C929}">
            <xm:f>NOT(ISERROR(SEARCH("정홍조",행정관리부!H1062)))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75BD8FE2-8F17-4E0F-AF68-57AD6388DF06}">
            <xm:f>NOT(ISERROR(SEARCH("김지윤",행정관리부!H1062)))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D5FE593C-1B16-48A5-9411-143133F13B5D}">
            <xm:f>NOT(ISERROR(SEARCH("전준영",행정관리부!H1062)))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BFFD7824-8657-4D20-ADF4-0A510F7278D6}">
            <xm:f>NOT(ISERROR(SEARCH("차재성",행정관리부!H1062)))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25" operator="containsText" text="허하나로" id="{05D302D0-1596-4FFA-9E67-35D13F14893F}">
            <xm:f>NOT(ISERROR(SEARCH("허하나로",행정관리부!H1118)))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59E41D1D-434E-49CE-875B-7F9D602DB4C5}">
            <xm:f>NOT(ISERROR(SEARCH("한별",행정관리부!H1118)))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314939BA-B48C-4E1B-BB16-261B18A7D298}">
            <xm:f>NOT(ISERROR(SEARCH("정홍조",행정관리부!H1118)))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F7B68215-819D-44FE-8EA7-3057AB7CDE8B}">
            <xm:f>NOT(ISERROR(SEARCH("김지윤",행정관리부!H1118)))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A35168AE-39FE-4977-B984-4C61F6F4B286}">
            <xm:f>NOT(ISERROR(SEARCH("전준영",행정관리부!H1118)))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FBFB1745-6FD6-4FB0-829C-839E13FAD414}">
            <xm:f>NOT(ISERROR(SEARCH("차재성",행정관리부!H1118)))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M45"/>
  <sheetViews>
    <sheetView zoomScale="85" zoomScaleNormal="85" workbookViewId="0">
      <selection activeCell="H7" sqref="H7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625" customWidth="1"/>
    <col min="10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91" t="s">
        <v>664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185" t="s">
        <v>32</v>
      </c>
    </row>
    <row r="2" spans="1:13" ht="16.5" customHeight="1">
      <c r="A2" s="585" t="s">
        <v>21</v>
      </c>
      <c r="B2" s="587" t="s">
        <v>22</v>
      </c>
      <c r="C2" s="588"/>
      <c r="D2" s="589"/>
      <c r="E2" s="587" t="s">
        <v>23</v>
      </c>
      <c r="F2" s="588"/>
      <c r="G2" s="589"/>
      <c r="H2" s="565" t="s">
        <v>666</v>
      </c>
      <c r="I2" s="565" t="s">
        <v>731</v>
      </c>
      <c r="J2" s="590" t="s">
        <v>668</v>
      </c>
      <c r="K2" s="576" t="s">
        <v>1</v>
      </c>
      <c r="L2" s="577"/>
      <c r="M2" s="578"/>
    </row>
    <row r="3" spans="1:13" ht="17.25" thickBot="1">
      <c r="A3" s="586"/>
      <c r="B3" s="122" t="s">
        <v>24</v>
      </c>
      <c r="C3" s="122" t="s">
        <v>25</v>
      </c>
      <c r="D3" s="122" t="s">
        <v>26</v>
      </c>
      <c r="E3" s="122" t="s">
        <v>27</v>
      </c>
      <c r="F3" s="122" t="s">
        <v>28</v>
      </c>
      <c r="G3" s="122" t="s">
        <v>29</v>
      </c>
      <c r="H3" s="566"/>
      <c r="I3" s="566"/>
      <c r="J3" s="591"/>
      <c r="K3" s="579"/>
      <c r="L3" s="580"/>
      <c r="M3" s="581"/>
    </row>
    <row r="4" spans="1:13" ht="17.25" thickBot="1">
      <c r="A4" s="582" t="s">
        <v>30</v>
      </c>
      <c r="B4" s="583"/>
      <c r="C4" s="583"/>
      <c r="D4" s="583"/>
      <c r="E4" s="583"/>
      <c r="F4" s="583"/>
      <c r="G4" s="584"/>
      <c r="H4" s="188">
        <f>H5</f>
        <v>34668</v>
      </c>
      <c r="I4" s="188">
        <v>34668</v>
      </c>
      <c r="J4" s="123">
        <f t="shared" ref="J4:J32" si="0">H4-I4</f>
        <v>0</v>
      </c>
      <c r="K4" s="92"/>
      <c r="L4" s="93"/>
      <c r="M4" s="124"/>
    </row>
    <row r="5" spans="1:13">
      <c r="A5" s="210" t="s">
        <v>2</v>
      </c>
      <c r="B5" s="125"/>
      <c r="C5" s="126"/>
      <c r="D5" s="126"/>
      <c r="E5" s="126"/>
      <c r="F5" s="126"/>
      <c r="G5" s="127"/>
      <c r="H5" s="97">
        <f>H6</f>
        <v>34668</v>
      </c>
      <c r="I5" s="97">
        <v>34668</v>
      </c>
      <c r="J5" s="98">
        <f t="shared" si="0"/>
        <v>0</v>
      </c>
      <c r="K5" s="81"/>
      <c r="L5" s="82"/>
      <c r="M5" s="83"/>
    </row>
    <row r="6" spans="1:13">
      <c r="A6" s="10"/>
      <c r="B6" s="132" t="s">
        <v>301</v>
      </c>
      <c r="C6" s="132"/>
      <c r="D6" s="133"/>
      <c r="E6" s="133"/>
      <c r="F6" s="133"/>
      <c r="G6" s="134"/>
      <c r="H6" s="97">
        <f>SUM(H7,H18,H28)</f>
        <v>34668</v>
      </c>
      <c r="I6" s="97">
        <v>34668</v>
      </c>
      <c r="J6" s="98">
        <f t="shared" si="0"/>
        <v>0</v>
      </c>
      <c r="K6" s="81"/>
      <c r="L6" s="82"/>
      <c r="M6" s="83"/>
    </row>
    <row r="7" spans="1:13">
      <c r="A7" s="10"/>
      <c r="B7" s="6"/>
      <c r="C7" s="182" t="s">
        <v>686</v>
      </c>
      <c r="D7" s="133"/>
      <c r="E7" s="133"/>
      <c r="F7" s="133"/>
      <c r="G7" s="134"/>
      <c r="H7" s="94">
        <f>H8</f>
        <v>4700</v>
      </c>
      <c r="I7" s="94">
        <v>4700</v>
      </c>
      <c r="J7" s="95">
        <f t="shared" ref="J7:J11" si="1">H7-I7</f>
        <v>0</v>
      </c>
      <c r="K7" s="162"/>
      <c r="L7" s="152"/>
      <c r="M7" s="153"/>
    </row>
    <row r="8" spans="1:13">
      <c r="A8" s="10"/>
      <c r="B8" s="6"/>
      <c r="C8" s="150"/>
      <c r="D8" s="132" t="s">
        <v>687</v>
      </c>
      <c r="E8" s="133"/>
      <c r="F8" s="133"/>
      <c r="G8" s="134"/>
      <c r="H8" s="135">
        <f>H9</f>
        <v>4700</v>
      </c>
      <c r="I8" s="135">
        <v>4700</v>
      </c>
      <c r="J8" s="9">
        <f t="shared" si="1"/>
        <v>0</v>
      </c>
      <c r="K8" s="475"/>
      <c r="L8" s="476"/>
      <c r="M8" s="483"/>
    </row>
    <row r="9" spans="1:13">
      <c r="A9" s="10"/>
      <c r="B9" s="6"/>
      <c r="C9" s="137"/>
      <c r="D9" s="138"/>
      <c r="E9" s="132" t="s">
        <v>31</v>
      </c>
      <c r="F9" s="133"/>
      <c r="G9" s="134"/>
      <c r="H9" s="94">
        <f>H10</f>
        <v>4700</v>
      </c>
      <c r="I9" s="94">
        <v>4700</v>
      </c>
      <c r="J9" s="95">
        <f t="shared" si="1"/>
        <v>0</v>
      </c>
      <c r="K9" s="396"/>
      <c r="L9" s="477"/>
      <c r="M9" s="478"/>
    </row>
    <row r="10" spans="1:13">
      <c r="A10" s="65"/>
      <c r="B10" s="67"/>
      <c r="C10" s="67"/>
      <c r="D10" s="67"/>
      <c r="E10" s="67"/>
      <c r="F10" s="139" t="s">
        <v>35</v>
      </c>
      <c r="G10" s="143"/>
      <c r="H10" s="74">
        <f>SUM(H11,H15)</f>
        <v>4700</v>
      </c>
      <c r="I10" s="74">
        <v>4700</v>
      </c>
      <c r="J10" s="101">
        <f t="shared" si="1"/>
        <v>0</v>
      </c>
      <c r="K10" s="469"/>
      <c r="L10" s="470"/>
      <c r="M10" s="484"/>
    </row>
    <row r="11" spans="1:13">
      <c r="A11" s="56"/>
      <c r="B11" s="58"/>
      <c r="C11" s="67"/>
      <c r="D11" s="67"/>
      <c r="E11" s="67"/>
      <c r="F11" s="195"/>
      <c r="G11" s="213" t="s">
        <v>36</v>
      </c>
      <c r="H11" s="214">
        <f>M11</f>
        <v>3500</v>
      </c>
      <c r="I11" s="214">
        <v>3500</v>
      </c>
      <c r="J11" s="41">
        <f t="shared" si="1"/>
        <v>0</v>
      </c>
      <c r="K11" s="472" t="s">
        <v>64</v>
      </c>
      <c r="L11" s="504"/>
      <c r="M11" s="474">
        <f>SUM(M13:M14)</f>
        <v>3500</v>
      </c>
    </row>
    <row r="12" spans="1:13">
      <c r="A12" s="56"/>
      <c r="B12" s="58"/>
      <c r="C12" s="67"/>
      <c r="D12" s="67"/>
      <c r="E12" s="67"/>
      <c r="F12" s="234"/>
      <c r="G12" s="57"/>
      <c r="H12" s="103"/>
      <c r="I12" s="103"/>
      <c r="J12" s="50"/>
      <c r="K12" s="402" t="s">
        <v>688</v>
      </c>
      <c r="L12" s="510"/>
      <c r="M12" s="465"/>
    </row>
    <row r="13" spans="1:13">
      <c r="A13" s="56"/>
      <c r="B13" s="58"/>
      <c r="C13" s="67"/>
      <c r="D13" s="67"/>
      <c r="E13" s="67"/>
      <c r="F13" s="57"/>
      <c r="G13" s="57"/>
      <c r="H13" s="103"/>
      <c r="I13" s="103"/>
      <c r="J13" s="105"/>
      <c r="K13" s="511" t="s">
        <v>691</v>
      </c>
      <c r="L13" s="464" t="s">
        <v>37</v>
      </c>
      <c r="M13" s="446">
        <v>2500</v>
      </c>
    </row>
    <row r="14" spans="1:13">
      <c r="A14" s="56"/>
      <c r="B14" s="58"/>
      <c r="C14" s="67"/>
      <c r="D14" s="67"/>
      <c r="E14" s="67"/>
      <c r="F14" s="57"/>
      <c r="G14" s="57"/>
      <c r="H14" s="103"/>
      <c r="I14" s="103"/>
      <c r="J14" s="105"/>
      <c r="K14" s="511" t="s">
        <v>692</v>
      </c>
      <c r="L14" s="464" t="s">
        <v>37</v>
      </c>
      <c r="M14" s="446">
        <v>1000</v>
      </c>
    </row>
    <row r="15" spans="1:13">
      <c r="A15" s="56"/>
      <c r="B15" s="58"/>
      <c r="C15" s="67"/>
      <c r="D15" s="67"/>
      <c r="E15" s="67"/>
      <c r="F15" s="57"/>
      <c r="G15" s="57"/>
      <c r="H15" s="103">
        <f>M15</f>
        <v>1200</v>
      </c>
      <c r="I15" s="103">
        <v>1200</v>
      </c>
      <c r="J15" s="105">
        <f>H15-I15</f>
        <v>0</v>
      </c>
      <c r="K15" s="402" t="s">
        <v>690</v>
      </c>
      <c r="L15" s="464"/>
      <c r="M15" s="465">
        <f>SUM(M17)</f>
        <v>1200</v>
      </c>
    </row>
    <row r="16" spans="1:13">
      <c r="A16" s="56"/>
      <c r="B16" s="58"/>
      <c r="C16" s="67"/>
      <c r="D16" s="67"/>
      <c r="E16" s="67"/>
      <c r="F16" s="57"/>
      <c r="G16" s="57"/>
      <c r="H16" s="103"/>
      <c r="I16" s="103"/>
      <c r="J16" s="105"/>
      <c r="K16" s="402" t="s">
        <v>689</v>
      </c>
      <c r="L16" s="464"/>
      <c r="M16" s="465"/>
    </row>
    <row r="17" spans="1:13">
      <c r="A17" s="65"/>
      <c r="B17" s="67"/>
      <c r="C17" s="67"/>
      <c r="D17" s="67"/>
      <c r="E17" s="67"/>
      <c r="F17" s="57"/>
      <c r="G17" s="57"/>
      <c r="H17" s="103"/>
      <c r="I17" s="103"/>
      <c r="J17" s="105"/>
      <c r="K17" s="466" t="s">
        <v>693</v>
      </c>
      <c r="L17" s="445" t="s">
        <v>37</v>
      </c>
      <c r="M17" s="446">
        <v>1200</v>
      </c>
    </row>
    <row r="18" spans="1:13">
      <c r="A18" s="10"/>
      <c r="B18" s="6"/>
      <c r="C18" s="150"/>
      <c r="D18" s="132" t="s">
        <v>694</v>
      </c>
      <c r="E18" s="133"/>
      <c r="F18" s="133"/>
      <c r="G18" s="134"/>
      <c r="H18" s="135">
        <f>H19</f>
        <v>4700</v>
      </c>
      <c r="I18" s="135">
        <v>4700</v>
      </c>
      <c r="J18" s="9">
        <f t="shared" ref="J18:J21" si="2">H18-I18</f>
        <v>0</v>
      </c>
      <c r="K18" s="475"/>
      <c r="L18" s="476"/>
      <c r="M18" s="483"/>
    </row>
    <row r="19" spans="1:13">
      <c r="A19" s="10"/>
      <c r="B19" s="6"/>
      <c r="C19" s="137"/>
      <c r="D19" s="138"/>
      <c r="E19" s="132" t="s">
        <v>31</v>
      </c>
      <c r="F19" s="133"/>
      <c r="G19" s="134"/>
      <c r="H19" s="94">
        <f>H20</f>
        <v>4700</v>
      </c>
      <c r="I19" s="94">
        <v>4700</v>
      </c>
      <c r="J19" s="95">
        <f t="shared" si="2"/>
        <v>0</v>
      </c>
      <c r="K19" s="396"/>
      <c r="L19" s="477"/>
      <c r="M19" s="478"/>
    </row>
    <row r="20" spans="1:13">
      <c r="A20" s="65"/>
      <c r="B20" s="67"/>
      <c r="C20" s="67"/>
      <c r="D20" s="67"/>
      <c r="E20" s="67"/>
      <c r="F20" s="139" t="s">
        <v>35</v>
      </c>
      <c r="G20" s="143"/>
      <c r="H20" s="74">
        <f>SUM(H21,H25)</f>
        <v>4700</v>
      </c>
      <c r="I20" s="74">
        <v>4700</v>
      </c>
      <c r="J20" s="101">
        <f t="shared" si="2"/>
        <v>0</v>
      </c>
      <c r="K20" s="469"/>
      <c r="L20" s="470"/>
      <c r="M20" s="484"/>
    </row>
    <row r="21" spans="1:13">
      <c r="A21" s="56"/>
      <c r="B21" s="58"/>
      <c r="C21" s="67"/>
      <c r="D21" s="67"/>
      <c r="E21" s="67"/>
      <c r="F21" s="195"/>
      <c r="G21" s="213" t="s">
        <v>36</v>
      </c>
      <c r="H21" s="214">
        <f>M21</f>
        <v>3500</v>
      </c>
      <c r="I21" s="214">
        <v>3500</v>
      </c>
      <c r="J21" s="41">
        <f t="shared" si="2"/>
        <v>0</v>
      </c>
      <c r="K21" s="472" t="s">
        <v>64</v>
      </c>
      <c r="L21" s="504"/>
      <c r="M21" s="474">
        <f>SUM(M23:M24)</f>
        <v>3500</v>
      </c>
    </row>
    <row r="22" spans="1:13">
      <c r="A22" s="56"/>
      <c r="B22" s="58"/>
      <c r="C22" s="67"/>
      <c r="D22" s="67"/>
      <c r="E22" s="67"/>
      <c r="F22" s="234"/>
      <c r="G22" s="57"/>
      <c r="H22" s="103"/>
      <c r="I22" s="103"/>
      <c r="J22" s="50"/>
      <c r="K22" s="402" t="s">
        <v>688</v>
      </c>
      <c r="L22" s="510"/>
      <c r="M22" s="465"/>
    </row>
    <row r="23" spans="1:13">
      <c r="A23" s="56"/>
      <c r="B23" s="58"/>
      <c r="C23" s="67"/>
      <c r="D23" s="67"/>
      <c r="E23" s="67"/>
      <c r="F23" s="57"/>
      <c r="G23" s="57"/>
      <c r="H23" s="103"/>
      <c r="I23" s="103"/>
      <c r="J23" s="105"/>
      <c r="K23" s="511" t="s">
        <v>691</v>
      </c>
      <c r="L23" s="464" t="s">
        <v>37</v>
      </c>
      <c r="M23" s="446">
        <v>2500</v>
      </c>
    </row>
    <row r="24" spans="1:13">
      <c r="A24" s="56"/>
      <c r="B24" s="58"/>
      <c r="C24" s="67"/>
      <c r="D24" s="67"/>
      <c r="E24" s="67"/>
      <c r="F24" s="57"/>
      <c r="G24" s="57"/>
      <c r="H24" s="103"/>
      <c r="I24" s="103"/>
      <c r="J24" s="105"/>
      <c r="K24" s="511" t="s">
        <v>692</v>
      </c>
      <c r="L24" s="464" t="s">
        <v>37</v>
      </c>
      <c r="M24" s="446">
        <v>1000</v>
      </c>
    </row>
    <row r="25" spans="1:13">
      <c r="A25" s="56"/>
      <c r="B25" s="58"/>
      <c r="C25" s="67"/>
      <c r="D25" s="67"/>
      <c r="E25" s="67"/>
      <c r="F25" s="57"/>
      <c r="G25" s="57"/>
      <c r="H25" s="103">
        <f>M25</f>
        <v>1200</v>
      </c>
      <c r="I25" s="103">
        <v>1200</v>
      </c>
      <c r="J25" s="105">
        <f>H25-I25</f>
        <v>0</v>
      </c>
      <c r="K25" s="402" t="s">
        <v>690</v>
      </c>
      <c r="L25" s="464"/>
      <c r="M25" s="465">
        <f>SUM(M27)</f>
        <v>1200</v>
      </c>
    </row>
    <row r="26" spans="1:13">
      <c r="A26" s="56"/>
      <c r="B26" s="58"/>
      <c r="C26" s="67"/>
      <c r="D26" s="67"/>
      <c r="E26" s="67"/>
      <c r="F26" s="57"/>
      <c r="G26" s="57"/>
      <c r="H26" s="103"/>
      <c r="I26" s="103"/>
      <c r="J26" s="105"/>
      <c r="K26" s="402" t="s">
        <v>689</v>
      </c>
      <c r="L26" s="464"/>
      <c r="M26" s="465"/>
    </row>
    <row r="27" spans="1:13">
      <c r="A27" s="65"/>
      <c r="B27" s="67"/>
      <c r="C27" s="67"/>
      <c r="D27" s="67"/>
      <c r="E27" s="67"/>
      <c r="F27" s="57"/>
      <c r="G27" s="57"/>
      <c r="H27" s="103"/>
      <c r="I27" s="103"/>
      <c r="J27" s="105"/>
      <c r="K27" s="466" t="s">
        <v>693</v>
      </c>
      <c r="L27" s="445" t="s">
        <v>37</v>
      </c>
      <c r="M27" s="446">
        <v>1200</v>
      </c>
    </row>
    <row r="28" spans="1:13">
      <c r="A28" s="10"/>
      <c r="B28" s="6"/>
      <c r="C28" s="182" t="s">
        <v>253</v>
      </c>
      <c r="D28" s="133"/>
      <c r="E28" s="133"/>
      <c r="F28" s="133"/>
      <c r="G28" s="134"/>
      <c r="H28" s="94">
        <f>H29</f>
        <v>25268</v>
      </c>
      <c r="I28" s="94">
        <v>25268</v>
      </c>
      <c r="J28" s="95">
        <f t="shared" si="0"/>
        <v>0</v>
      </c>
      <c r="K28" s="482"/>
      <c r="L28" s="476"/>
      <c r="M28" s="483"/>
    </row>
    <row r="29" spans="1:13">
      <c r="A29" s="10"/>
      <c r="B29" s="6"/>
      <c r="C29" s="150"/>
      <c r="D29" s="132" t="s">
        <v>34</v>
      </c>
      <c r="E29" s="133"/>
      <c r="F29" s="133"/>
      <c r="G29" s="134"/>
      <c r="H29" s="135">
        <f>H30</f>
        <v>25268</v>
      </c>
      <c r="I29" s="135">
        <v>25268</v>
      </c>
      <c r="J29" s="9">
        <f t="shared" si="0"/>
        <v>0</v>
      </c>
      <c r="K29" s="475"/>
      <c r="L29" s="476"/>
      <c r="M29" s="483"/>
    </row>
    <row r="30" spans="1:13">
      <c r="A30" s="10"/>
      <c r="B30" s="6"/>
      <c r="C30" s="137"/>
      <c r="D30" s="138"/>
      <c r="E30" s="132" t="s">
        <v>31</v>
      </c>
      <c r="F30" s="133"/>
      <c r="G30" s="134"/>
      <c r="H30" s="94">
        <f>SUM(H31,H36,H40,H43)</f>
        <v>25268</v>
      </c>
      <c r="I30" s="94">
        <v>25268</v>
      </c>
      <c r="J30" s="95">
        <f t="shared" si="0"/>
        <v>0</v>
      </c>
      <c r="K30" s="396"/>
      <c r="L30" s="477"/>
      <c r="M30" s="478"/>
    </row>
    <row r="31" spans="1:13">
      <c r="A31" s="65"/>
      <c r="B31" s="67"/>
      <c r="C31" s="67"/>
      <c r="D31" s="67"/>
      <c r="E31" s="67"/>
      <c r="F31" s="139" t="s">
        <v>35</v>
      </c>
      <c r="G31" s="143"/>
      <c r="H31" s="74">
        <f>SUM(H32,H34)</f>
        <v>8568</v>
      </c>
      <c r="I31" s="74">
        <v>8568</v>
      </c>
      <c r="J31" s="101">
        <f t="shared" si="0"/>
        <v>0</v>
      </c>
      <c r="K31" s="469"/>
      <c r="L31" s="470"/>
      <c r="M31" s="484"/>
    </row>
    <row r="32" spans="1:13">
      <c r="A32" s="56"/>
      <c r="B32" s="58"/>
      <c r="C32" s="67"/>
      <c r="D32" s="67"/>
      <c r="E32" s="67"/>
      <c r="F32" s="195"/>
      <c r="G32" s="213" t="s">
        <v>36</v>
      </c>
      <c r="H32" s="214">
        <f>M32</f>
        <v>2520</v>
      </c>
      <c r="I32" s="214">
        <v>2520</v>
      </c>
      <c r="J32" s="41">
        <f t="shared" si="0"/>
        <v>0</v>
      </c>
      <c r="K32" s="472" t="s">
        <v>48</v>
      </c>
      <c r="L32" s="504"/>
      <c r="M32" s="474">
        <f>SUM(M33:M33)</f>
        <v>2520</v>
      </c>
    </row>
    <row r="33" spans="1:13">
      <c r="A33" s="56"/>
      <c r="B33" s="58"/>
      <c r="C33" s="67"/>
      <c r="D33" s="67"/>
      <c r="E33" s="67"/>
      <c r="F33" s="57"/>
      <c r="G33" s="57"/>
      <c r="H33" s="103"/>
      <c r="I33" s="103"/>
      <c r="J33" s="105"/>
      <c r="K33" s="196" t="s">
        <v>446</v>
      </c>
      <c r="L33" s="207" t="s">
        <v>37</v>
      </c>
      <c r="M33" s="194">
        <v>2520</v>
      </c>
    </row>
    <row r="34" spans="1:13">
      <c r="A34" s="56"/>
      <c r="B34" s="58"/>
      <c r="C34" s="67"/>
      <c r="D34" s="67"/>
      <c r="E34" s="67"/>
      <c r="F34" s="57"/>
      <c r="G34" s="213" t="s">
        <v>327</v>
      </c>
      <c r="H34" s="214">
        <f>M34</f>
        <v>6048</v>
      </c>
      <c r="I34" s="214">
        <v>6048</v>
      </c>
      <c r="J34" s="215">
        <f>H34-I34</f>
        <v>0</v>
      </c>
      <c r="K34" s="36" t="s">
        <v>328</v>
      </c>
      <c r="L34" s="51"/>
      <c r="M34" s="229">
        <f>SUM(M35)</f>
        <v>6048</v>
      </c>
    </row>
    <row r="35" spans="1:13">
      <c r="A35" s="65"/>
      <c r="B35" s="67"/>
      <c r="C35" s="67"/>
      <c r="D35" s="67"/>
      <c r="E35" s="67"/>
      <c r="F35" s="57"/>
      <c r="G35" s="57"/>
      <c r="H35" s="103"/>
      <c r="I35" s="103"/>
      <c r="J35" s="105"/>
      <c r="K35" s="226" t="s">
        <v>444</v>
      </c>
      <c r="L35" s="209" t="s">
        <v>37</v>
      </c>
      <c r="M35" s="194">
        <v>6048</v>
      </c>
    </row>
    <row r="36" spans="1:13">
      <c r="A36" s="65"/>
      <c r="B36" s="67"/>
      <c r="C36" s="67"/>
      <c r="D36" s="67"/>
      <c r="E36" s="67"/>
      <c r="F36" s="592" t="s">
        <v>40</v>
      </c>
      <c r="G36" s="593"/>
      <c r="H36" s="155">
        <f>H37</f>
        <v>12600</v>
      </c>
      <c r="I36" s="155">
        <v>12600</v>
      </c>
      <c r="J36" s="156">
        <f>H36-I36</f>
        <v>0</v>
      </c>
      <c r="K36" s="157"/>
      <c r="L36" s="59"/>
      <c r="M36" s="60"/>
    </row>
    <row r="37" spans="1:13">
      <c r="A37" s="65"/>
      <c r="B37" s="67"/>
      <c r="C37" s="67"/>
      <c r="D37" s="67"/>
      <c r="E37" s="67"/>
      <c r="F37" s="112"/>
      <c r="G37" s="203" t="s">
        <v>41</v>
      </c>
      <c r="H37" s="217">
        <f>M37</f>
        <v>12600</v>
      </c>
      <c r="I37" s="214">
        <v>12600</v>
      </c>
      <c r="J37" s="206">
        <f>H37-I37</f>
        <v>0</v>
      </c>
      <c r="K37" s="36" t="s">
        <v>50</v>
      </c>
      <c r="L37" s="219"/>
      <c r="M37" s="229">
        <f>SUM(M38:M39)</f>
        <v>12600</v>
      </c>
    </row>
    <row r="38" spans="1:13">
      <c r="A38" s="65"/>
      <c r="B38" s="67"/>
      <c r="C38" s="67"/>
      <c r="D38" s="67"/>
      <c r="E38" s="67"/>
      <c r="F38" s="198"/>
      <c r="G38" s="198"/>
      <c r="H38" s="103"/>
      <c r="I38" s="107"/>
      <c r="J38" s="105"/>
      <c r="K38" s="224" t="s">
        <v>522</v>
      </c>
      <c r="L38" s="99" t="s">
        <v>0</v>
      </c>
      <c r="M38" s="194">
        <v>3360</v>
      </c>
    </row>
    <row r="39" spans="1:13">
      <c r="A39" s="65"/>
      <c r="B39" s="67"/>
      <c r="C39" s="67"/>
      <c r="D39" s="67"/>
      <c r="E39" s="67"/>
      <c r="F39" s="198"/>
      <c r="G39" s="198"/>
      <c r="H39" s="103"/>
      <c r="I39" s="107"/>
      <c r="J39" s="105"/>
      <c r="K39" s="202" t="s">
        <v>523</v>
      </c>
      <c r="L39" s="218" t="s">
        <v>0</v>
      </c>
      <c r="M39" s="194">
        <v>9240</v>
      </c>
    </row>
    <row r="40" spans="1:13">
      <c r="A40" s="65"/>
      <c r="B40" s="67"/>
      <c r="C40" s="67"/>
      <c r="D40" s="67"/>
      <c r="E40" s="67"/>
      <c r="F40" s="592" t="s">
        <v>42</v>
      </c>
      <c r="G40" s="593"/>
      <c r="H40" s="155">
        <f>H41</f>
        <v>2000</v>
      </c>
      <c r="I40" s="155">
        <v>2000</v>
      </c>
      <c r="J40" s="156">
        <f>H40-I40</f>
        <v>0</v>
      </c>
      <c r="K40" s="157"/>
      <c r="L40" s="59"/>
      <c r="M40" s="60"/>
    </row>
    <row r="41" spans="1:13">
      <c r="A41" s="65"/>
      <c r="B41" s="67"/>
      <c r="C41" s="67"/>
      <c r="D41" s="67"/>
      <c r="E41" s="67"/>
      <c r="F41" s="198"/>
      <c r="G41" s="112" t="s">
        <v>43</v>
      </c>
      <c r="H41" s="217">
        <f>M41</f>
        <v>2000</v>
      </c>
      <c r="I41" s="217">
        <v>2000</v>
      </c>
      <c r="J41" s="206">
        <f>H41-I41</f>
        <v>0</v>
      </c>
      <c r="K41" s="36" t="s">
        <v>51</v>
      </c>
      <c r="L41" s="216"/>
      <c r="M41" s="229">
        <f>SUM(M42)</f>
        <v>2000</v>
      </c>
    </row>
    <row r="42" spans="1:13">
      <c r="A42" s="344"/>
      <c r="B42" s="345"/>
      <c r="C42" s="345"/>
      <c r="D42" s="345"/>
      <c r="E42" s="345"/>
      <c r="F42" s="199"/>
      <c r="G42" s="199"/>
      <c r="H42" s="106"/>
      <c r="I42" s="158"/>
      <c r="J42" s="158"/>
      <c r="K42" s="202" t="s">
        <v>640</v>
      </c>
      <c r="L42" s="218" t="s">
        <v>0</v>
      </c>
      <c r="M42" s="200">
        <v>2000</v>
      </c>
    </row>
    <row r="43" spans="1:13">
      <c r="A43" s="65"/>
      <c r="B43" s="67"/>
      <c r="C43" s="67"/>
      <c r="D43" s="67"/>
      <c r="E43" s="67"/>
      <c r="F43" s="362" t="s">
        <v>93</v>
      </c>
      <c r="G43" s="72"/>
      <c r="H43" s="73">
        <f>H44</f>
        <v>2100</v>
      </c>
      <c r="I43" s="73">
        <v>2100</v>
      </c>
      <c r="J43" s="149">
        <f>H43-I43</f>
        <v>0</v>
      </c>
      <c r="K43" s="297"/>
      <c r="L43" s="298"/>
      <c r="M43" s="363"/>
    </row>
    <row r="44" spans="1:13">
      <c r="A44" s="65"/>
      <c r="B44" s="67"/>
      <c r="C44" s="67"/>
      <c r="D44" s="67"/>
      <c r="E44" s="67"/>
      <c r="F44" s="146"/>
      <c r="G44" s="67" t="s">
        <v>97</v>
      </c>
      <c r="H44" s="78">
        <f>M44</f>
        <v>2100</v>
      </c>
      <c r="I44" s="78">
        <v>2100</v>
      </c>
      <c r="J44" s="48">
        <f>H44-I44</f>
        <v>0</v>
      </c>
      <c r="K44" s="36" t="s">
        <v>454</v>
      </c>
      <c r="L44" s="39"/>
      <c r="M44" s="229">
        <f>M45</f>
        <v>2100</v>
      </c>
    </row>
    <row r="45" spans="1:13" ht="17.25" thickBot="1">
      <c r="A45" s="313"/>
      <c r="B45" s="71"/>
      <c r="C45" s="71"/>
      <c r="D45" s="71"/>
      <c r="E45" s="71"/>
      <c r="F45" s="364"/>
      <c r="G45" s="204"/>
      <c r="H45" s="365"/>
      <c r="I45" s="366"/>
      <c r="J45" s="367"/>
      <c r="K45" s="244" t="s">
        <v>464</v>
      </c>
      <c r="L45" s="245" t="s">
        <v>0</v>
      </c>
      <c r="M45" s="258">
        <v>2100</v>
      </c>
    </row>
  </sheetData>
  <autoFilter ref="A3:M45">
    <filterColumn colId="10" showButton="0"/>
    <filterColumn colId="11" showButton="0"/>
  </autoFilter>
  <mergeCells count="10">
    <mergeCell ref="K2:M3"/>
    <mergeCell ref="A4:G4"/>
    <mergeCell ref="F36:G36"/>
    <mergeCell ref="F40:G40"/>
    <mergeCell ref="A2:A3"/>
    <mergeCell ref="B2:D2"/>
    <mergeCell ref="E2:G2"/>
    <mergeCell ref="H2:H3"/>
    <mergeCell ref="I2:I3"/>
    <mergeCell ref="J2:J3"/>
  </mergeCells>
  <phoneticPr fontId="12" type="noConversion"/>
  <conditionalFormatting sqref="J41:J42">
    <cfRule type="containsText" dxfId="413" priority="133" operator="containsText" text="허하나로">
      <formula>NOT(ISERROR(SEARCH("허하나로",H1067)))</formula>
    </cfRule>
    <cfRule type="containsText" dxfId="412" priority="134" operator="containsText" text="한별">
      <formula>NOT(ISERROR(SEARCH("한별",H1067)))</formula>
    </cfRule>
    <cfRule type="containsText" dxfId="411" priority="135" operator="containsText" text="정홍조">
      <formula>NOT(ISERROR(SEARCH("정홍조",H1067)))</formula>
    </cfRule>
    <cfRule type="containsText" dxfId="410" priority="136" operator="containsText" text="김지윤">
      <formula>NOT(ISERROR(SEARCH("김지윤",H1067)))</formula>
    </cfRule>
    <cfRule type="containsText" dxfId="409" priority="137" operator="containsText" text="전준영">
      <formula>NOT(ISERROR(SEARCH("전준영",H1067)))</formula>
    </cfRule>
    <cfRule type="containsText" dxfId="408" priority="138" operator="containsText" text="차재성">
      <formula>NOT(ISERROR(SEARCH("차재성",H1067)))</formula>
    </cfRule>
  </conditionalFormatting>
  <conditionalFormatting sqref="J6">
    <cfRule type="containsText" dxfId="407" priority="145" operator="containsText" text="허하나로">
      <formula>NOT(ISERROR(SEARCH("허하나로",H704)))</formula>
    </cfRule>
    <cfRule type="containsText" dxfId="406" priority="146" operator="containsText" text="한별">
      <formula>NOT(ISERROR(SEARCH("한별",H704)))</formula>
    </cfRule>
    <cfRule type="containsText" dxfId="405" priority="147" operator="containsText" text="정홍조">
      <formula>NOT(ISERROR(SEARCH("정홍조",H704)))</formula>
    </cfRule>
    <cfRule type="containsText" dxfId="404" priority="148" operator="containsText" text="김지윤">
      <formula>NOT(ISERROR(SEARCH("김지윤",H704)))</formula>
    </cfRule>
    <cfRule type="containsText" dxfId="403" priority="149" operator="containsText" text="전준영">
      <formula>NOT(ISERROR(SEARCH("전준영",H704)))</formula>
    </cfRule>
    <cfRule type="containsText" dxfId="402" priority="150" operator="containsText" text="차재성">
      <formula>NOT(ISERROR(SEARCH("차재성",H704)))</formula>
    </cfRule>
  </conditionalFormatting>
  <conditionalFormatting sqref="J5">
    <cfRule type="containsText" dxfId="401" priority="139" operator="containsText" text="허하나로">
      <formula>NOT(ISERROR(SEARCH("허하나로",H703)))</formula>
    </cfRule>
    <cfRule type="containsText" dxfId="400" priority="140" operator="containsText" text="한별">
      <formula>NOT(ISERROR(SEARCH("한별",H703)))</formula>
    </cfRule>
    <cfRule type="containsText" dxfId="399" priority="141" operator="containsText" text="정홍조">
      <formula>NOT(ISERROR(SEARCH("정홍조",H703)))</formula>
    </cfRule>
    <cfRule type="containsText" dxfId="398" priority="142" operator="containsText" text="김지윤">
      <formula>NOT(ISERROR(SEARCH("김지윤",H703)))</formula>
    </cfRule>
    <cfRule type="containsText" dxfId="397" priority="143" operator="containsText" text="전준영">
      <formula>NOT(ISERROR(SEARCH("전준영",H703)))</formula>
    </cfRule>
    <cfRule type="containsText" dxfId="396" priority="144" operator="containsText" text="차재성">
      <formula>NOT(ISERROR(SEARCH("차재성",H703)))</formula>
    </cfRule>
  </conditionalFormatting>
  <conditionalFormatting sqref="J28">
    <cfRule type="containsText" dxfId="395" priority="127" operator="containsText" text="허하나로">
      <formula>NOT(ISERROR(SEARCH("허하나로",H837)))</formula>
    </cfRule>
    <cfRule type="containsText" dxfId="394" priority="128" operator="containsText" text="한별">
      <formula>NOT(ISERROR(SEARCH("한별",H837)))</formula>
    </cfRule>
    <cfRule type="containsText" dxfId="393" priority="129" operator="containsText" text="정홍조">
      <formula>NOT(ISERROR(SEARCH("정홍조",H837)))</formula>
    </cfRule>
    <cfRule type="containsText" dxfId="392" priority="130" operator="containsText" text="김지윤">
      <formula>NOT(ISERROR(SEARCH("김지윤",H837)))</formula>
    </cfRule>
    <cfRule type="containsText" dxfId="391" priority="131" operator="containsText" text="전준영">
      <formula>NOT(ISERROR(SEARCH("전준영",H837)))</formula>
    </cfRule>
    <cfRule type="containsText" dxfId="390" priority="132" operator="containsText" text="차재성">
      <formula>NOT(ISERROR(SEARCH("차재성",H837)))</formula>
    </cfRule>
  </conditionalFormatting>
  <conditionalFormatting sqref="J31:J32">
    <cfRule type="containsText" dxfId="389" priority="121" operator="containsText" text="허하나로">
      <formula>NOT(ISERROR(SEARCH("허하나로",H1045)))</formula>
    </cfRule>
    <cfRule type="containsText" dxfId="388" priority="122" operator="containsText" text="한별">
      <formula>NOT(ISERROR(SEARCH("한별",H1045)))</formula>
    </cfRule>
    <cfRule type="containsText" dxfId="387" priority="123" operator="containsText" text="정홍조">
      <formula>NOT(ISERROR(SEARCH("정홍조",H1045)))</formula>
    </cfRule>
    <cfRule type="containsText" dxfId="386" priority="124" operator="containsText" text="김지윤">
      <formula>NOT(ISERROR(SEARCH("김지윤",H1045)))</formula>
    </cfRule>
    <cfRule type="containsText" dxfId="385" priority="125" operator="containsText" text="전준영">
      <formula>NOT(ISERROR(SEARCH("전준영",H1045)))</formula>
    </cfRule>
    <cfRule type="containsText" dxfId="384" priority="126" operator="containsText" text="차재성">
      <formula>NOT(ISERROR(SEARCH("차재성",H1045)))</formula>
    </cfRule>
  </conditionalFormatting>
  <conditionalFormatting sqref="J30">
    <cfRule type="containsText" dxfId="383" priority="163" operator="containsText" text="허하나로">
      <formula>NOT(ISERROR(SEARCH("허하나로",H1034)))</formula>
    </cfRule>
    <cfRule type="containsText" dxfId="382" priority="164" operator="containsText" text="한별">
      <formula>NOT(ISERROR(SEARCH("한별",H1034)))</formula>
    </cfRule>
    <cfRule type="containsText" dxfId="381" priority="165" operator="containsText" text="정홍조">
      <formula>NOT(ISERROR(SEARCH("정홍조",H1034)))</formula>
    </cfRule>
    <cfRule type="containsText" dxfId="380" priority="166" operator="containsText" text="김지윤">
      <formula>NOT(ISERROR(SEARCH("김지윤",H1034)))</formula>
    </cfRule>
    <cfRule type="containsText" dxfId="379" priority="167" operator="containsText" text="전준영">
      <formula>NOT(ISERROR(SEARCH("전준영",H1034)))</formula>
    </cfRule>
    <cfRule type="containsText" dxfId="378" priority="168" operator="containsText" text="차재성">
      <formula>NOT(ISERROR(SEARCH("차재성",H1034)))</formula>
    </cfRule>
  </conditionalFormatting>
  <conditionalFormatting sqref="J36:J39">
    <cfRule type="containsText" dxfId="377" priority="169" operator="containsText" text="허하나로">
      <formula>NOT(ISERROR(SEARCH("허하나로",H1047)))</formula>
    </cfRule>
    <cfRule type="containsText" dxfId="376" priority="170" operator="containsText" text="한별">
      <formula>NOT(ISERROR(SEARCH("한별",H1047)))</formula>
    </cfRule>
    <cfRule type="containsText" dxfId="375" priority="171" operator="containsText" text="정홍조">
      <formula>NOT(ISERROR(SEARCH("정홍조",H1047)))</formula>
    </cfRule>
    <cfRule type="containsText" dxfId="374" priority="172" operator="containsText" text="김지윤">
      <formula>NOT(ISERROR(SEARCH("김지윤",H1047)))</formula>
    </cfRule>
    <cfRule type="containsText" dxfId="373" priority="173" operator="containsText" text="전준영">
      <formula>NOT(ISERROR(SEARCH("전준영",H1047)))</formula>
    </cfRule>
    <cfRule type="containsText" dxfId="372" priority="174" operator="containsText" text="차재성">
      <formula>NOT(ISERROR(SEARCH("차재성",H1047)))</formula>
    </cfRule>
  </conditionalFormatting>
  <conditionalFormatting sqref="J40">
    <cfRule type="containsText" dxfId="371" priority="109" operator="containsText" text="허하나로">
      <formula>NOT(ISERROR(SEARCH("허하나로",H1051)))</formula>
    </cfRule>
    <cfRule type="containsText" dxfId="370" priority="110" operator="containsText" text="한별">
      <formula>NOT(ISERROR(SEARCH("한별",H1051)))</formula>
    </cfRule>
    <cfRule type="containsText" dxfId="369" priority="111" operator="containsText" text="정홍조">
      <formula>NOT(ISERROR(SEARCH("정홍조",H1051)))</formula>
    </cfRule>
    <cfRule type="containsText" dxfId="368" priority="112" operator="containsText" text="김지윤">
      <formula>NOT(ISERROR(SEARCH("김지윤",H1051)))</formula>
    </cfRule>
    <cfRule type="containsText" dxfId="367" priority="113" operator="containsText" text="전준영">
      <formula>NOT(ISERROR(SEARCH("전준영",H1051)))</formula>
    </cfRule>
    <cfRule type="containsText" dxfId="366" priority="114" operator="containsText" text="차재성">
      <formula>NOT(ISERROR(SEARCH("차재성",H1051)))</formula>
    </cfRule>
  </conditionalFormatting>
  <conditionalFormatting sqref="L37">
    <cfRule type="containsText" dxfId="365" priority="103" operator="containsText" text="허하나로">
      <formula>NOT(ISERROR(SEARCH("허하나로",J1182)))</formula>
    </cfRule>
    <cfRule type="containsText" dxfId="364" priority="104" operator="containsText" text="한별">
      <formula>NOT(ISERROR(SEARCH("한별",J1182)))</formula>
    </cfRule>
    <cfRule type="containsText" dxfId="363" priority="105" operator="containsText" text="정홍조">
      <formula>NOT(ISERROR(SEARCH("정홍조",J1182)))</formula>
    </cfRule>
    <cfRule type="containsText" dxfId="362" priority="106" operator="containsText" text="김지윤">
      <formula>NOT(ISERROR(SEARCH("김지윤",J1182)))</formula>
    </cfRule>
    <cfRule type="containsText" dxfId="361" priority="107" operator="containsText" text="전준영">
      <formula>NOT(ISERROR(SEARCH("전준영",J1182)))</formula>
    </cfRule>
    <cfRule type="containsText" dxfId="360" priority="108" operator="containsText" text="차재성">
      <formula>NOT(ISERROR(SEARCH("차재성",J1182)))</formula>
    </cfRule>
  </conditionalFormatting>
  <conditionalFormatting sqref="I42">
    <cfRule type="containsText" dxfId="359" priority="97" operator="containsText" text="허하나로">
      <formula>NOT(ISERROR(SEARCH("허하나로",G1068)))</formula>
    </cfRule>
    <cfRule type="containsText" dxfId="358" priority="98" operator="containsText" text="한별">
      <formula>NOT(ISERROR(SEARCH("한별",G1068)))</formula>
    </cfRule>
    <cfRule type="containsText" dxfId="357" priority="99" operator="containsText" text="정홍조">
      <formula>NOT(ISERROR(SEARCH("정홍조",G1068)))</formula>
    </cfRule>
    <cfRule type="containsText" dxfId="356" priority="100" operator="containsText" text="김지윤">
      <formula>NOT(ISERROR(SEARCH("김지윤",G1068)))</formula>
    </cfRule>
    <cfRule type="containsText" dxfId="355" priority="101" operator="containsText" text="전준영">
      <formula>NOT(ISERROR(SEARCH("전준영",G1068)))</formula>
    </cfRule>
    <cfRule type="containsText" dxfId="354" priority="102" operator="containsText" text="차재성">
      <formula>NOT(ISERROR(SEARCH("차재성",G1068)))</formula>
    </cfRule>
  </conditionalFormatting>
  <conditionalFormatting sqref="J33">
    <cfRule type="containsText" dxfId="353" priority="3943" operator="containsText" text="허하나로">
      <formula>NOT(ISERROR(SEARCH("허하나로",H1036)))</formula>
    </cfRule>
    <cfRule type="containsText" dxfId="352" priority="3944" operator="containsText" text="한별">
      <formula>NOT(ISERROR(SEARCH("한별",H1036)))</formula>
    </cfRule>
    <cfRule type="containsText" dxfId="351" priority="3945" operator="containsText" text="정홍조">
      <formula>NOT(ISERROR(SEARCH("정홍조",H1036)))</formula>
    </cfRule>
    <cfRule type="containsText" dxfId="350" priority="3946" operator="containsText" text="김지윤">
      <formula>NOT(ISERROR(SEARCH("김지윤",H1036)))</formula>
    </cfRule>
    <cfRule type="containsText" dxfId="349" priority="3947" operator="containsText" text="전준영">
      <formula>NOT(ISERROR(SEARCH("전준영",H1036)))</formula>
    </cfRule>
    <cfRule type="containsText" dxfId="348" priority="3948" operator="containsText" text="차재성">
      <formula>NOT(ISERROR(SEARCH("차재성",H1036)))</formula>
    </cfRule>
  </conditionalFormatting>
  <conditionalFormatting sqref="J2:J3">
    <cfRule type="containsText" dxfId="347" priority="73" operator="containsText" text="허하나로">
      <formula>NOT(ISERROR(SEARCH("허하나로",H783)))</formula>
    </cfRule>
    <cfRule type="containsText" dxfId="346" priority="74" operator="containsText" text="한별">
      <formula>NOT(ISERROR(SEARCH("한별",H783)))</formula>
    </cfRule>
    <cfRule type="containsText" dxfId="345" priority="75" operator="containsText" text="정홍조">
      <formula>NOT(ISERROR(SEARCH("정홍조",H783)))</formula>
    </cfRule>
    <cfRule type="containsText" dxfId="344" priority="76" operator="containsText" text="김지윤">
      <formula>NOT(ISERROR(SEARCH("김지윤",H783)))</formula>
    </cfRule>
    <cfRule type="containsText" dxfId="343" priority="77" operator="containsText" text="전준영">
      <formula>NOT(ISERROR(SEARCH("전준영",H783)))</formula>
    </cfRule>
    <cfRule type="containsText" dxfId="342" priority="78" operator="containsText" text="차재성">
      <formula>NOT(ISERROR(SEARCH("차재성",H783)))</formula>
    </cfRule>
  </conditionalFormatting>
  <conditionalFormatting sqref="J7">
    <cfRule type="containsText" dxfId="341" priority="55" operator="containsText" text="허하나로">
      <formula>NOT(ISERROR(SEARCH("허하나로",H829)))</formula>
    </cfRule>
    <cfRule type="containsText" dxfId="340" priority="56" operator="containsText" text="한별">
      <formula>NOT(ISERROR(SEARCH("한별",H829)))</formula>
    </cfRule>
    <cfRule type="containsText" dxfId="339" priority="57" operator="containsText" text="정홍조">
      <formula>NOT(ISERROR(SEARCH("정홍조",H829)))</formula>
    </cfRule>
    <cfRule type="containsText" dxfId="338" priority="58" operator="containsText" text="김지윤">
      <formula>NOT(ISERROR(SEARCH("김지윤",H829)))</formula>
    </cfRule>
    <cfRule type="containsText" dxfId="337" priority="59" operator="containsText" text="전준영">
      <formula>NOT(ISERROR(SEARCH("전준영",H829)))</formula>
    </cfRule>
    <cfRule type="containsText" dxfId="336" priority="60" operator="containsText" text="차재성">
      <formula>NOT(ISERROR(SEARCH("차재성",H829)))</formula>
    </cfRule>
  </conditionalFormatting>
  <conditionalFormatting sqref="J10:J12">
    <cfRule type="containsText" dxfId="335" priority="49" operator="containsText" text="허하나로">
      <formula>NOT(ISERROR(SEARCH("허하나로",H1037)))</formula>
    </cfRule>
    <cfRule type="containsText" dxfId="334" priority="50" operator="containsText" text="한별">
      <formula>NOT(ISERROR(SEARCH("한별",H1037)))</formula>
    </cfRule>
    <cfRule type="containsText" dxfId="333" priority="51" operator="containsText" text="정홍조">
      <formula>NOT(ISERROR(SEARCH("정홍조",H1037)))</formula>
    </cfRule>
    <cfRule type="containsText" dxfId="332" priority="52" operator="containsText" text="김지윤">
      <formula>NOT(ISERROR(SEARCH("김지윤",H1037)))</formula>
    </cfRule>
    <cfRule type="containsText" dxfId="331" priority="53" operator="containsText" text="전준영">
      <formula>NOT(ISERROR(SEARCH("전준영",H1037)))</formula>
    </cfRule>
    <cfRule type="containsText" dxfId="330" priority="54" operator="containsText" text="차재성">
      <formula>NOT(ISERROR(SEARCH("차재성",H1037)))</formula>
    </cfRule>
  </conditionalFormatting>
  <conditionalFormatting sqref="J9">
    <cfRule type="containsText" dxfId="329" priority="61" operator="containsText" text="허하나로">
      <formula>NOT(ISERROR(SEARCH("허하나로",H1026)))</formula>
    </cfRule>
    <cfRule type="containsText" dxfId="328" priority="62" operator="containsText" text="한별">
      <formula>NOT(ISERROR(SEARCH("한별",H1026)))</formula>
    </cfRule>
    <cfRule type="containsText" dxfId="327" priority="63" operator="containsText" text="정홍조">
      <formula>NOT(ISERROR(SEARCH("정홍조",H1026)))</formula>
    </cfRule>
    <cfRule type="containsText" dxfId="326" priority="64" operator="containsText" text="김지윤">
      <formula>NOT(ISERROR(SEARCH("김지윤",H1026)))</formula>
    </cfRule>
    <cfRule type="containsText" dxfId="325" priority="65" operator="containsText" text="전준영">
      <formula>NOT(ISERROR(SEARCH("전준영",H1026)))</formula>
    </cfRule>
    <cfRule type="containsText" dxfId="324" priority="66" operator="containsText" text="차재성">
      <formula>NOT(ISERROR(SEARCH("차재성",H1026)))</formula>
    </cfRule>
  </conditionalFormatting>
  <conditionalFormatting sqref="J14">
    <cfRule type="containsText" dxfId="323" priority="67" operator="containsText" text="허하나로">
      <formula>NOT(ISERROR(SEARCH("허하나로",H1028)))</formula>
    </cfRule>
    <cfRule type="containsText" dxfId="322" priority="68" operator="containsText" text="한별">
      <formula>NOT(ISERROR(SEARCH("한별",H1028)))</formula>
    </cfRule>
    <cfRule type="containsText" dxfId="321" priority="69" operator="containsText" text="정홍조">
      <formula>NOT(ISERROR(SEARCH("정홍조",H1028)))</formula>
    </cfRule>
    <cfRule type="containsText" dxfId="320" priority="70" operator="containsText" text="김지윤">
      <formula>NOT(ISERROR(SEARCH("김지윤",H1028)))</formula>
    </cfRule>
    <cfRule type="containsText" dxfId="319" priority="71" operator="containsText" text="전준영">
      <formula>NOT(ISERROR(SEARCH("전준영",H1028)))</formula>
    </cfRule>
    <cfRule type="containsText" dxfId="318" priority="72" operator="containsText" text="차재성">
      <formula>NOT(ISERROR(SEARCH("차재성",H1028)))</formula>
    </cfRule>
  </conditionalFormatting>
  <conditionalFormatting sqref="J13">
    <cfRule type="containsText" dxfId="317" priority="37" operator="containsText" text="허하나로">
      <formula>NOT(ISERROR(SEARCH("허하나로",H1027)))</formula>
    </cfRule>
    <cfRule type="containsText" dxfId="316" priority="38" operator="containsText" text="한별">
      <formula>NOT(ISERROR(SEARCH("한별",H1027)))</formula>
    </cfRule>
    <cfRule type="containsText" dxfId="315" priority="39" operator="containsText" text="정홍조">
      <formula>NOT(ISERROR(SEARCH("정홍조",H1027)))</formula>
    </cfRule>
    <cfRule type="containsText" dxfId="314" priority="40" operator="containsText" text="김지윤">
      <formula>NOT(ISERROR(SEARCH("김지윤",H1027)))</formula>
    </cfRule>
    <cfRule type="containsText" dxfId="313" priority="41" operator="containsText" text="전준영">
      <formula>NOT(ISERROR(SEARCH("전준영",H1027)))</formula>
    </cfRule>
    <cfRule type="containsText" dxfId="312" priority="42" operator="containsText" text="차재성">
      <formula>NOT(ISERROR(SEARCH("차재성",H1027)))</formula>
    </cfRule>
  </conditionalFormatting>
  <conditionalFormatting sqref="J20:J22">
    <cfRule type="containsText" dxfId="311" priority="13" operator="containsText" text="허하나로">
      <formula>NOT(ISERROR(SEARCH("허하나로",H1047)))</formula>
    </cfRule>
    <cfRule type="containsText" dxfId="310" priority="14" operator="containsText" text="한별">
      <formula>NOT(ISERROR(SEARCH("한별",H1047)))</formula>
    </cfRule>
    <cfRule type="containsText" dxfId="309" priority="15" operator="containsText" text="정홍조">
      <formula>NOT(ISERROR(SEARCH("정홍조",H1047)))</formula>
    </cfRule>
    <cfRule type="containsText" dxfId="308" priority="16" operator="containsText" text="김지윤">
      <formula>NOT(ISERROR(SEARCH("김지윤",H1047)))</formula>
    </cfRule>
    <cfRule type="containsText" dxfId="307" priority="17" operator="containsText" text="전준영">
      <formula>NOT(ISERROR(SEARCH("전준영",H1047)))</formula>
    </cfRule>
    <cfRule type="containsText" dxfId="306" priority="18" operator="containsText" text="차재성">
      <formula>NOT(ISERROR(SEARCH("차재성",H1047)))</formula>
    </cfRule>
  </conditionalFormatting>
  <conditionalFormatting sqref="J19">
    <cfRule type="containsText" dxfId="305" priority="19" operator="containsText" text="허하나로">
      <formula>NOT(ISERROR(SEARCH("허하나로",H1036)))</formula>
    </cfRule>
    <cfRule type="containsText" dxfId="304" priority="20" operator="containsText" text="한별">
      <formula>NOT(ISERROR(SEARCH("한별",H1036)))</formula>
    </cfRule>
    <cfRule type="containsText" dxfId="303" priority="21" operator="containsText" text="정홍조">
      <formula>NOT(ISERROR(SEARCH("정홍조",H1036)))</formula>
    </cfRule>
    <cfRule type="containsText" dxfId="302" priority="22" operator="containsText" text="김지윤">
      <formula>NOT(ISERROR(SEARCH("김지윤",H1036)))</formula>
    </cfRule>
    <cfRule type="containsText" dxfId="301" priority="23" operator="containsText" text="전준영">
      <formula>NOT(ISERROR(SEARCH("전준영",H1036)))</formula>
    </cfRule>
    <cfRule type="containsText" dxfId="300" priority="24" operator="containsText" text="차재성">
      <formula>NOT(ISERROR(SEARCH("차재성",H1036)))</formula>
    </cfRule>
  </conditionalFormatting>
  <conditionalFormatting sqref="J24">
    <cfRule type="containsText" dxfId="299" priority="25" operator="containsText" text="허하나로">
      <formula>NOT(ISERROR(SEARCH("허하나로",H1038)))</formula>
    </cfRule>
    <cfRule type="containsText" dxfId="298" priority="26" operator="containsText" text="한별">
      <formula>NOT(ISERROR(SEARCH("한별",H1038)))</formula>
    </cfRule>
    <cfRule type="containsText" dxfId="297" priority="27" operator="containsText" text="정홍조">
      <formula>NOT(ISERROR(SEARCH("정홍조",H1038)))</formula>
    </cfRule>
    <cfRule type="containsText" dxfId="296" priority="28" operator="containsText" text="김지윤">
      <formula>NOT(ISERROR(SEARCH("김지윤",H1038)))</formula>
    </cfRule>
    <cfRule type="containsText" dxfId="295" priority="29" operator="containsText" text="전준영">
      <formula>NOT(ISERROR(SEARCH("전준영",H1038)))</formula>
    </cfRule>
    <cfRule type="containsText" dxfId="294" priority="30" operator="containsText" text="차재성">
      <formula>NOT(ISERROR(SEARCH("차재성",H1038)))</formula>
    </cfRule>
  </conditionalFormatting>
  <conditionalFormatting sqref="J23">
    <cfRule type="containsText" dxfId="293" priority="1" operator="containsText" text="허하나로">
      <formula>NOT(ISERROR(SEARCH("허하나로",H1037)))</formula>
    </cfRule>
    <cfRule type="containsText" dxfId="292" priority="2" operator="containsText" text="한별">
      <formula>NOT(ISERROR(SEARCH("한별",H1037)))</formula>
    </cfRule>
    <cfRule type="containsText" dxfId="291" priority="3" operator="containsText" text="정홍조">
      <formula>NOT(ISERROR(SEARCH("정홍조",H1037)))</formula>
    </cfRule>
    <cfRule type="containsText" dxfId="290" priority="4" operator="containsText" text="김지윤">
      <formula>NOT(ISERROR(SEARCH("김지윤",H1037)))</formula>
    </cfRule>
    <cfRule type="containsText" dxfId="289" priority="5" operator="containsText" text="전준영">
      <formula>NOT(ISERROR(SEARCH("전준영",H1037)))</formula>
    </cfRule>
    <cfRule type="containsText" dxfId="288" priority="6" operator="containsText" text="차재성">
      <formula>NOT(ISERROR(SEARCH("차재성",H1037)))</formula>
    </cfRule>
  </conditionalFormatting>
  <pageMargins left="0.25" right="0.25" top="0.75" bottom="0.75" header="0.3" footer="0.3"/>
  <pageSetup paperSize="9" scale="72" fitToHeight="0" orientation="landscape" r:id="rId1"/>
  <rowBreaks count="1" manualBreakCount="1">
    <brk id="39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1" operator="containsText" text="허하나로" id="{D4F1B340-9C03-4E6A-BE9E-DFA9AB5F94E6}">
            <xm:f>NOT(ISERROR(SEARCH("허하나로",행사부!H1022)))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2" operator="containsText" text="한별" id="{291BA884-72D9-4A87-A9F5-25F0134A8A67}">
            <xm:f>NOT(ISERROR(SEARCH("한별",행사부!H1022)))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3" operator="containsText" text="정홍조" id="{55D94AC0-892C-43D4-9640-18C22F0C2334}">
            <xm:f>NOT(ISERROR(SEARCH("정홍조",행사부!H1022)))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94" operator="containsText" text="김지윤" id="{7E5389D4-36EF-4A60-8902-BDA87421C2ED}">
            <xm:f>NOT(ISERROR(SEARCH("김지윤",행사부!H1022)))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5" operator="containsText" text="전준영" id="{8EDA7C65-C9BF-42D2-8A10-21524ACED8AD}">
            <xm:f>NOT(ISERROR(SEARCH("전준영",행사부!H1022)))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6" operator="containsText" text="차재성" id="{6DF20D16-BED0-4A88-A7F7-D70E33695715}">
            <xm:f>NOT(ISERROR(SEARCH("차재성",행사부!H1022)))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J34:J35</xm:sqref>
        </x14:conditionalFormatting>
        <x14:conditionalFormatting xmlns:xm="http://schemas.microsoft.com/office/excel/2006/main">
          <x14:cfRule type="containsText" priority="85" operator="containsText" text="허하나로" id="{44ABCAAE-FD13-4CD0-8745-3C553C1D49ED}">
            <xm:f>NOT(ISERROR(SEARCH("허하나로",행정관리부!H1062)))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567FF576-02E6-41A6-8EFA-DB1A550BDFF9}">
            <xm:f>NOT(ISERROR(SEARCH("한별",행정관리부!H1062)))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BC446C9A-2410-4254-AB0A-76B62E0F0646}">
            <xm:f>NOT(ISERROR(SEARCH("정홍조",행정관리부!H1062)))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91B59D70-3F25-46A4-A7BE-108593C50DB0}">
            <xm:f>NOT(ISERROR(SEARCH("김지윤",행정관리부!H1062)))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6567DED1-0EBA-4B25-ABE3-78888AA0C63A}">
            <xm:f>NOT(ISERROR(SEARCH("전준영",행정관리부!H1062)))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E386A293-EC8F-45C3-9C71-09E8B8481C93}">
            <xm:f>NOT(ISERROR(SEARCH("차재성",행정관리부!H1062)))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</xm:sqref>
        </x14:conditionalFormatting>
        <x14:conditionalFormatting xmlns:xm="http://schemas.microsoft.com/office/excel/2006/main">
          <x14:cfRule type="containsText" priority="79" operator="containsText" text="허하나로" id="{7F42C816-3B68-4AA1-98DD-E01F9BF01D92}">
            <xm:f>NOT(ISERROR(SEARCH("허하나로",행정관리부!H1118)))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73F65376-9009-4C9C-B73B-674676DF81DF}">
            <xm:f>NOT(ISERROR(SEARCH("한별",행정관리부!H1118)))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BE04AB81-523C-4785-ACC9-EEE56E83D6F1}">
            <xm:f>NOT(ISERROR(SEARCH("정홍조",행정관리부!H1118)))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BDFA5262-5958-4B6B-BFA9-4D9B125D1851}">
            <xm:f>NOT(ISERROR(SEARCH("김지윤",행정관리부!H1118)))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A5209C69-0940-456C-9768-734EA83A0B18}">
            <xm:f>NOT(ISERROR(SEARCH("전준영",행정관리부!H1118)))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DB6E879D-7275-48FD-8FE2-5404B5774B5B}">
            <xm:f>NOT(ISERROR(SEARCH("차재성",행정관리부!H1118)))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J43:J44</xm:sqref>
        </x14:conditionalFormatting>
        <x14:conditionalFormatting xmlns:xm="http://schemas.microsoft.com/office/excel/2006/main">
          <x14:cfRule type="containsText" priority="43" operator="containsText" text="허하나로" id="{11582A01-9626-445B-A318-40668500A542}">
            <xm:f>NOT(ISERROR(SEARCH("허하나로",행사부!H1014)))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24B885A3-60B6-4536-AE4B-F369A664F7F9}">
            <xm:f>NOT(ISERROR(SEARCH("한별",행사부!H1014)))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CC64407C-5D98-435F-A187-EECF7830E463}">
            <xm:f>NOT(ISERROR(SEARCH("정홍조",행사부!H1014)))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3BE3C782-E7A0-4173-99CE-E7FE06DE5445}">
            <xm:f>NOT(ISERROR(SEARCH("김지윤",행사부!H1014)))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DF5F4926-E1A0-4CB5-A4A9-D4A2131C4BB1}">
            <xm:f>NOT(ISERROR(SEARCH("전준영",행사부!H1014)))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583AA59E-B51A-4436-A394-C05D92E2B766}">
            <xm:f>NOT(ISERROR(SEARCH("차재성",행사부!H1014)))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J15:J16 J25:J26</xm:sqref>
        </x14:conditionalFormatting>
        <x14:conditionalFormatting xmlns:xm="http://schemas.microsoft.com/office/excel/2006/main">
          <x14:cfRule type="containsText" priority="4189" operator="containsText" text="허하나로" id="{D4F1B340-9C03-4E6A-BE9E-DFA9AB5F94E6}">
            <xm:f>NOT(ISERROR(SEARCH("허하나로",행사부!H1015)))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190" operator="containsText" text="한별" id="{291BA884-72D9-4A87-A9F5-25F0134A8A67}">
            <xm:f>NOT(ISERROR(SEARCH("한별",행사부!H1015)))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191" operator="containsText" text="정홍조" id="{55D94AC0-892C-43D4-9640-18C22F0C2334}">
            <xm:f>NOT(ISERROR(SEARCH("정홍조",행사부!H1015)))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192" operator="containsText" text="김지윤" id="{7E5389D4-36EF-4A60-8902-BDA87421C2ED}">
            <xm:f>NOT(ISERROR(SEARCH("김지윤",행사부!H1015)))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93" operator="containsText" text="전준영" id="{8EDA7C65-C9BF-42D2-8A10-21524ACED8AD}">
            <xm:f>NOT(ISERROR(SEARCH("전준영",행사부!H1015)))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194" operator="containsText" text="차재성" id="{6DF20D16-BED0-4A88-A7F7-D70E33695715}">
            <xm:f>NOT(ISERROR(SEARCH("차재성",행사부!H1015)))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J17 J27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M38"/>
  <sheetViews>
    <sheetView zoomScale="85" zoomScaleNormal="85" workbookViewId="0">
      <selection activeCell="H18" sqref="H18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6.375" customWidth="1"/>
    <col min="10" max="10" width="14.625" customWidth="1"/>
    <col min="11" max="11" width="64.375" customWidth="1"/>
    <col min="12" max="12" width="3.875" customWidth="1"/>
    <col min="13" max="13" width="12.625" style="302" customWidth="1"/>
    <col min="15" max="15" width="12.75" bestFit="1" customWidth="1"/>
  </cols>
  <sheetData>
    <row r="1" spans="1:13" ht="17.25" thickBot="1">
      <c r="A1" s="91" t="s">
        <v>184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287" t="s">
        <v>185</v>
      </c>
    </row>
    <row r="2" spans="1:13" ht="16.5" customHeight="1">
      <c r="A2" s="585" t="s">
        <v>186</v>
      </c>
      <c r="B2" s="587" t="s">
        <v>22</v>
      </c>
      <c r="C2" s="588"/>
      <c r="D2" s="589"/>
      <c r="E2" s="587" t="s">
        <v>187</v>
      </c>
      <c r="F2" s="588"/>
      <c r="G2" s="589"/>
      <c r="H2" s="565" t="s">
        <v>666</v>
      </c>
      <c r="I2" s="565" t="s">
        <v>731</v>
      </c>
      <c r="J2" s="590" t="s">
        <v>668</v>
      </c>
      <c r="K2" s="576" t="s">
        <v>1</v>
      </c>
      <c r="L2" s="577"/>
      <c r="M2" s="578"/>
    </row>
    <row r="3" spans="1:13" ht="17.25" thickBot="1">
      <c r="A3" s="586"/>
      <c r="B3" s="122" t="s">
        <v>188</v>
      </c>
      <c r="C3" s="122" t="s">
        <v>25</v>
      </c>
      <c r="D3" s="122" t="s">
        <v>189</v>
      </c>
      <c r="E3" s="122" t="s">
        <v>190</v>
      </c>
      <c r="F3" s="122" t="s">
        <v>28</v>
      </c>
      <c r="G3" s="122" t="s">
        <v>191</v>
      </c>
      <c r="H3" s="566"/>
      <c r="I3" s="566"/>
      <c r="J3" s="591"/>
      <c r="K3" s="579"/>
      <c r="L3" s="580"/>
      <c r="M3" s="581"/>
    </row>
    <row r="4" spans="1:13" ht="17.25" thickBot="1">
      <c r="A4" s="582" t="s">
        <v>192</v>
      </c>
      <c r="B4" s="583"/>
      <c r="C4" s="583"/>
      <c r="D4" s="583"/>
      <c r="E4" s="583"/>
      <c r="F4" s="583"/>
      <c r="G4" s="584"/>
      <c r="H4" s="188">
        <f>H5+H17</f>
        <v>2692085</v>
      </c>
      <c r="I4" s="188">
        <v>380240</v>
      </c>
      <c r="J4" s="123">
        <f t="shared" ref="J4:J11" si="0">H4-I4</f>
        <v>2311845</v>
      </c>
      <c r="K4" s="92"/>
      <c r="L4" s="93"/>
      <c r="M4" s="288"/>
    </row>
    <row r="5" spans="1:13">
      <c r="A5" s="210" t="s">
        <v>2</v>
      </c>
      <c r="B5" s="125"/>
      <c r="C5" s="126"/>
      <c r="D5" s="126"/>
      <c r="E5" s="126"/>
      <c r="F5" s="126"/>
      <c r="G5" s="127"/>
      <c r="H5" s="97">
        <f t="shared" ref="H5:H10" si="1">H6</f>
        <v>2692085</v>
      </c>
      <c r="I5" s="97">
        <v>380240</v>
      </c>
      <c r="J5" s="98">
        <f t="shared" si="0"/>
        <v>2311845</v>
      </c>
      <c r="K5" s="81"/>
      <c r="L5" s="82"/>
      <c r="M5" s="289"/>
    </row>
    <row r="6" spans="1:13">
      <c r="A6" s="10"/>
      <c r="B6" s="132" t="s">
        <v>193</v>
      </c>
      <c r="C6" s="132"/>
      <c r="D6" s="133"/>
      <c r="E6" s="133"/>
      <c r="F6" s="133"/>
      <c r="G6" s="134"/>
      <c r="H6" s="97">
        <f t="shared" si="1"/>
        <v>2692085</v>
      </c>
      <c r="I6" s="97">
        <v>380240</v>
      </c>
      <c r="J6" s="98">
        <f t="shared" si="0"/>
        <v>2311845</v>
      </c>
      <c r="K6" s="208"/>
      <c r="L6" s="152"/>
      <c r="M6" s="290"/>
    </row>
    <row r="7" spans="1:13">
      <c r="A7" s="10"/>
      <c r="B7" s="6"/>
      <c r="C7" s="182" t="s">
        <v>194</v>
      </c>
      <c r="D7" s="133"/>
      <c r="E7" s="133"/>
      <c r="F7" s="133"/>
      <c r="G7" s="134"/>
      <c r="H7" s="94">
        <f t="shared" si="1"/>
        <v>2692085</v>
      </c>
      <c r="I7" s="94">
        <v>380240</v>
      </c>
      <c r="J7" s="98">
        <f t="shared" si="0"/>
        <v>2311845</v>
      </c>
      <c r="K7" s="162"/>
      <c r="L7" s="152"/>
      <c r="M7" s="290"/>
    </row>
    <row r="8" spans="1:13">
      <c r="A8" s="10"/>
      <c r="B8" s="6"/>
      <c r="C8" s="150"/>
      <c r="D8" s="132" t="s">
        <v>195</v>
      </c>
      <c r="E8" s="133"/>
      <c r="F8" s="133"/>
      <c r="G8" s="134"/>
      <c r="H8" s="135">
        <f t="shared" si="1"/>
        <v>2692085</v>
      </c>
      <c r="I8" s="135">
        <v>380240</v>
      </c>
      <c r="J8" s="98">
        <f t="shared" si="0"/>
        <v>2311845</v>
      </c>
      <c r="K8" s="151"/>
      <c r="L8" s="152"/>
      <c r="M8" s="290"/>
    </row>
    <row r="9" spans="1:13">
      <c r="A9" s="10"/>
      <c r="B9" s="6"/>
      <c r="C9" s="137"/>
      <c r="D9" s="138"/>
      <c r="E9" s="132" t="s">
        <v>196</v>
      </c>
      <c r="F9" s="133"/>
      <c r="G9" s="134"/>
      <c r="H9" s="94">
        <f t="shared" si="1"/>
        <v>2692085</v>
      </c>
      <c r="I9" s="94">
        <v>380240</v>
      </c>
      <c r="J9" s="98">
        <f t="shared" si="0"/>
        <v>2311845</v>
      </c>
      <c r="K9" s="87"/>
      <c r="L9" s="96"/>
      <c r="M9" s="291"/>
    </row>
    <row r="10" spans="1:13">
      <c r="A10" s="65"/>
      <c r="B10" s="67"/>
      <c r="C10" s="67"/>
      <c r="D10" s="67"/>
      <c r="E10" s="67"/>
      <c r="F10" s="139" t="s">
        <v>197</v>
      </c>
      <c r="G10" s="143"/>
      <c r="H10" s="74">
        <f t="shared" si="1"/>
        <v>2692085</v>
      </c>
      <c r="I10" s="74">
        <v>380240</v>
      </c>
      <c r="J10" s="292">
        <f t="shared" si="0"/>
        <v>2311845</v>
      </c>
      <c r="K10" s="147"/>
      <c r="L10" s="38"/>
      <c r="M10" s="293"/>
    </row>
    <row r="11" spans="1:13">
      <c r="A11" s="56"/>
      <c r="B11" s="58"/>
      <c r="C11" s="67"/>
      <c r="D11" s="67"/>
      <c r="E11" s="67"/>
      <c r="F11" s="195"/>
      <c r="G11" s="213" t="s">
        <v>198</v>
      </c>
      <c r="H11" s="451">
        <f>M11</f>
        <v>2692085</v>
      </c>
      <c r="I11" s="78">
        <v>380240</v>
      </c>
      <c r="J11" s="552">
        <f t="shared" si="0"/>
        <v>2311845</v>
      </c>
      <c r="K11" s="36" t="s">
        <v>199</v>
      </c>
      <c r="L11" s="216"/>
      <c r="M11" s="295">
        <f>M16</f>
        <v>2692085</v>
      </c>
    </row>
    <row r="12" spans="1:13">
      <c r="A12" s="56"/>
      <c r="B12" s="58"/>
      <c r="C12" s="67"/>
      <c r="D12" s="67"/>
      <c r="E12" s="67"/>
      <c r="F12" s="234"/>
      <c r="G12" s="57"/>
      <c r="H12" s="103"/>
      <c r="I12" s="103"/>
      <c r="J12" s="50"/>
      <c r="K12" s="224" t="s">
        <v>658</v>
      </c>
      <c r="L12" s="207" t="s">
        <v>0</v>
      </c>
      <c r="M12" s="194">
        <v>316640</v>
      </c>
    </row>
    <row r="13" spans="1:13">
      <c r="A13" s="56"/>
      <c r="B13" s="58"/>
      <c r="C13" s="67"/>
      <c r="D13" s="67"/>
      <c r="E13" s="67"/>
      <c r="F13" s="234"/>
      <c r="G13" s="57"/>
      <c r="H13" s="103"/>
      <c r="I13" s="103"/>
      <c r="J13" s="50"/>
      <c r="K13" s="223" t="s">
        <v>695</v>
      </c>
      <c r="L13" s="207"/>
      <c r="M13" s="194"/>
    </row>
    <row r="14" spans="1:13">
      <c r="A14" s="56"/>
      <c r="B14" s="58"/>
      <c r="C14" s="67"/>
      <c r="D14" s="67"/>
      <c r="E14" s="67"/>
      <c r="F14" s="234"/>
      <c r="G14" s="57"/>
      <c r="H14" s="103"/>
      <c r="I14" s="103"/>
      <c r="J14" s="50"/>
      <c r="K14" s="468" t="s">
        <v>696</v>
      </c>
      <c r="L14" s="464" t="s">
        <v>0</v>
      </c>
      <c r="M14" s="446">
        <v>380240</v>
      </c>
    </row>
    <row r="15" spans="1:13">
      <c r="A15" s="56"/>
      <c r="B15" s="58"/>
      <c r="C15" s="67"/>
      <c r="D15" s="67"/>
      <c r="E15" s="67"/>
      <c r="F15" s="234"/>
      <c r="G15" s="57"/>
      <c r="H15" s="103"/>
      <c r="I15" s="103"/>
      <c r="J15" s="50"/>
      <c r="K15" s="488" t="s">
        <v>749</v>
      </c>
      <c r="L15" s="207"/>
      <c r="M15" s="194"/>
    </row>
    <row r="16" spans="1:13" ht="17.25" thickBot="1">
      <c r="A16" s="56"/>
      <c r="B16" s="58"/>
      <c r="C16" s="71"/>
      <c r="D16" s="71"/>
      <c r="E16" s="71"/>
      <c r="F16" s="241"/>
      <c r="G16" s="242"/>
      <c r="H16" s="221"/>
      <c r="I16" s="221"/>
      <c r="J16" s="243"/>
      <c r="K16" s="416" t="s">
        <v>750</v>
      </c>
      <c r="L16" s="417" t="s">
        <v>0</v>
      </c>
      <c r="M16" s="418">
        <v>2692085</v>
      </c>
    </row>
    <row r="17" spans="1:13">
      <c r="A17" s="210" t="s">
        <v>201</v>
      </c>
      <c r="B17" s="125"/>
      <c r="C17" s="126"/>
      <c r="D17" s="126"/>
      <c r="E17" s="126"/>
      <c r="F17" s="126"/>
      <c r="G17" s="127"/>
      <c r="H17" s="97">
        <f>SUM(H18,H31)</f>
        <v>0</v>
      </c>
      <c r="I17" s="97">
        <v>0</v>
      </c>
      <c r="J17" s="98">
        <f>H17-I17</f>
        <v>0</v>
      </c>
      <c r="K17" s="81"/>
      <c r="L17" s="82"/>
      <c r="M17" s="289"/>
    </row>
    <row r="18" spans="1:13">
      <c r="A18" s="10"/>
      <c r="B18" s="182" t="s">
        <v>203</v>
      </c>
      <c r="C18" s="132"/>
      <c r="D18" s="133"/>
      <c r="E18" s="133"/>
      <c r="F18" s="133"/>
      <c r="G18" s="134"/>
      <c r="H18" s="97">
        <f>SUM(H19,H59)</f>
        <v>0</v>
      </c>
      <c r="I18" s="97">
        <v>0</v>
      </c>
      <c r="J18" s="98">
        <f t="shared" ref="J18:J23" si="2">H18-I18</f>
        <v>0</v>
      </c>
      <c r="K18" s="208"/>
      <c r="L18" s="152"/>
      <c r="M18" s="290"/>
    </row>
    <row r="19" spans="1:13">
      <c r="A19" s="10"/>
      <c r="B19" s="6"/>
      <c r="C19" s="182" t="s">
        <v>203</v>
      </c>
      <c r="D19" s="133"/>
      <c r="E19" s="133"/>
      <c r="F19" s="133"/>
      <c r="G19" s="134"/>
      <c r="H19" s="94">
        <f>H20</f>
        <v>0</v>
      </c>
      <c r="I19" s="94">
        <v>0</v>
      </c>
      <c r="J19" s="95">
        <f t="shared" si="2"/>
        <v>0</v>
      </c>
      <c r="K19" s="162"/>
      <c r="L19" s="152"/>
      <c r="M19" s="290"/>
    </row>
    <row r="20" spans="1:13">
      <c r="A20" s="10"/>
      <c r="B20" s="6"/>
      <c r="C20" s="150"/>
      <c r="D20" s="132" t="s">
        <v>204</v>
      </c>
      <c r="E20" s="133"/>
      <c r="F20" s="133"/>
      <c r="G20" s="134"/>
      <c r="H20" s="135">
        <f>H21</f>
        <v>0</v>
      </c>
      <c r="I20" s="135">
        <v>0</v>
      </c>
      <c r="J20" s="9">
        <f t="shared" si="2"/>
        <v>0</v>
      </c>
      <c r="K20" s="151"/>
      <c r="L20" s="152"/>
      <c r="M20" s="290"/>
    </row>
    <row r="21" spans="1:13">
      <c r="A21" s="10"/>
      <c r="B21" s="6"/>
      <c r="C21" s="137"/>
      <c r="D21" s="138"/>
      <c r="E21" s="132" t="s">
        <v>205</v>
      </c>
      <c r="F21" s="133"/>
      <c r="G21" s="134"/>
      <c r="H21" s="94">
        <f>H22</f>
        <v>0</v>
      </c>
      <c r="I21" s="94">
        <v>0</v>
      </c>
      <c r="J21" s="95">
        <f t="shared" si="2"/>
        <v>0</v>
      </c>
      <c r="K21" s="87"/>
      <c r="L21" s="96"/>
      <c r="M21" s="291"/>
    </row>
    <row r="22" spans="1:13">
      <c r="A22" s="65"/>
      <c r="B22" s="67"/>
      <c r="C22" s="67"/>
      <c r="D22" s="67"/>
      <c r="E22" s="67"/>
      <c r="F22" s="139" t="s">
        <v>197</v>
      </c>
      <c r="G22" s="72"/>
      <c r="H22" s="73">
        <f>H23</f>
        <v>0</v>
      </c>
      <c r="I22" s="73">
        <v>0</v>
      </c>
      <c r="J22" s="149">
        <f t="shared" si="2"/>
        <v>0</v>
      </c>
      <c r="K22" s="297"/>
      <c r="L22" s="298"/>
      <c r="M22" s="299"/>
    </row>
    <row r="23" spans="1:13">
      <c r="A23" s="56"/>
      <c r="B23" s="58"/>
      <c r="C23" s="67"/>
      <c r="D23" s="67"/>
      <c r="E23" s="67"/>
      <c r="F23" s="195"/>
      <c r="G23" s="213" t="s">
        <v>206</v>
      </c>
      <c r="H23" s="78">
        <f>M23</f>
        <v>0</v>
      </c>
      <c r="I23" s="78">
        <v>0</v>
      </c>
      <c r="J23" s="41">
        <f t="shared" si="2"/>
        <v>0</v>
      </c>
      <c r="K23" s="36" t="s">
        <v>207</v>
      </c>
      <c r="L23" s="216"/>
      <c r="M23" s="295">
        <f>M24</f>
        <v>0</v>
      </c>
    </row>
    <row r="24" spans="1:13" ht="17.25" thickBot="1">
      <c r="A24" s="239"/>
      <c r="B24" s="240"/>
      <c r="C24" s="71"/>
      <c r="D24" s="71"/>
      <c r="E24" s="71"/>
      <c r="F24" s="241"/>
      <c r="G24" s="242"/>
      <c r="H24" s="300"/>
      <c r="I24" s="221"/>
      <c r="J24" s="243"/>
      <c r="K24" s="244" t="s">
        <v>477</v>
      </c>
      <c r="L24" s="222" t="s">
        <v>208</v>
      </c>
      <c r="M24" s="296">
        <v>0</v>
      </c>
    </row>
    <row r="25" spans="1:13">
      <c r="L25" s="250"/>
      <c r="M25" s="301"/>
    </row>
    <row r="26" spans="1:13">
      <c r="L26" s="250"/>
      <c r="M26" s="301"/>
    </row>
    <row r="27" spans="1:13">
      <c r="L27" s="250"/>
      <c r="M27" s="301"/>
    </row>
    <row r="28" spans="1:13">
      <c r="L28" s="250"/>
      <c r="M28" s="301"/>
    </row>
    <row r="29" spans="1:13">
      <c r="L29" s="250"/>
      <c r="M29" s="301"/>
    </row>
    <row r="30" spans="1:13">
      <c r="L30" s="250"/>
      <c r="M30" s="301"/>
    </row>
    <row r="31" spans="1:13">
      <c r="L31" s="250"/>
      <c r="M31" s="301"/>
    </row>
    <row r="32" spans="1:13">
      <c r="L32" s="250"/>
      <c r="M32" s="301"/>
    </row>
    <row r="33" spans="12:13">
      <c r="L33" s="250"/>
      <c r="M33" s="301"/>
    </row>
    <row r="34" spans="12:13">
      <c r="L34" s="250"/>
      <c r="M34" s="301"/>
    </row>
    <row r="35" spans="12:13">
      <c r="L35" s="250"/>
      <c r="M35" s="301"/>
    </row>
    <row r="36" spans="12:13">
      <c r="L36" s="250"/>
      <c r="M36" s="301"/>
    </row>
    <row r="37" spans="12:13">
      <c r="L37" s="250"/>
      <c r="M37" s="301"/>
    </row>
    <row r="38" spans="12:13">
      <c r="L38" s="250"/>
      <c r="M38" s="301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17:J18">
    <cfRule type="containsText" dxfId="257" priority="25" operator="containsText" text="허하나로">
      <formula>NOT(ISERROR(SEARCH("허하나로",H836)))</formula>
    </cfRule>
    <cfRule type="containsText" dxfId="256" priority="26" operator="containsText" text="한별">
      <formula>NOT(ISERROR(SEARCH("한별",H836)))</formula>
    </cfRule>
    <cfRule type="containsText" dxfId="255" priority="27" operator="containsText" text="정홍조">
      <formula>NOT(ISERROR(SEARCH("정홍조",H836)))</formula>
    </cfRule>
    <cfRule type="containsText" dxfId="254" priority="28" operator="containsText" text="김지윤">
      <formula>NOT(ISERROR(SEARCH("김지윤",H836)))</formula>
    </cfRule>
    <cfRule type="containsText" dxfId="253" priority="29" operator="containsText" text="전준영">
      <formula>NOT(ISERROR(SEARCH("전준영",H836)))</formula>
    </cfRule>
    <cfRule type="containsText" dxfId="252" priority="30" operator="containsText" text="차재성">
      <formula>NOT(ISERROR(SEARCH("차재성",H836)))</formula>
    </cfRule>
  </conditionalFormatting>
  <conditionalFormatting sqref="J14">
    <cfRule type="containsText" dxfId="251" priority="79" operator="containsText" text="허하나로">
      <formula>NOT(ISERROR(SEARCH("허하나로",H1066)))</formula>
    </cfRule>
    <cfRule type="containsText" dxfId="250" priority="80" operator="containsText" text="한별">
      <formula>NOT(ISERROR(SEARCH("한별",H1066)))</formula>
    </cfRule>
    <cfRule type="containsText" dxfId="249" priority="81" operator="containsText" text="정홍조">
      <formula>NOT(ISERROR(SEARCH("정홍조",H1066)))</formula>
    </cfRule>
    <cfRule type="containsText" dxfId="248" priority="82" operator="containsText" text="김지윤">
      <formula>NOT(ISERROR(SEARCH("김지윤",H1066)))</formula>
    </cfRule>
    <cfRule type="containsText" dxfId="247" priority="83" operator="containsText" text="전준영">
      <formula>NOT(ISERROR(SEARCH("전준영",H1066)))</formula>
    </cfRule>
    <cfRule type="containsText" dxfId="246" priority="84" operator="containsText" text="차재성">
      <formula>NOT(ISERROR(SEARCH("차재성",H1066)))</formula>
    </cfRule>
  </conditionalFormatting>
  <conditionalFormatting sqref="J6:J11">
    <cfRule type="containsText" dxfId="245" priority="61" operator="containsText" text="허하나로">
      <formula>NOT(ISERROR(SEARCH("허하나로",H824)))</formula>
    </cfRule>
    <cfRule type="containsText" dxfId="244" priority="62" operator="containsText" text="한별">
      <formula>NOT(ISERROR(SEARCH("한별",H824)))</formula>
    </cfRule>
    <cfRule type="containsText" dxfId="243" priority="63" operator="containsText" text="정홍조">
      <formula>NOT(ISERROR(SEARCH("정홍조",H824)))</formula>
    </cfRule>
    <cfRule type="containsText" dxfId="242" priority="64" operator="containsText" text="김지윤">
      <formula>NOT(ISERROR(SEARCH("김지윤",H824)))</formula>
    </cfRule>
    <cfRule type="containsText" dxfId="241" priority="65" operator="containsText" text="전준영">
      <formula>NOT(ISERROR(SEARCH("전준영",H824)))</formula>
    </cfRule>
    <cfRule type="containsText" dxfId="240" priority="66" operator="containsText" text="차재성">
      <formula>NOT(ISERROR(SEARCH("차재성",H824)))</formula>
    </cfRule>
  </conditionalFormatting>
  <conditionalFormatting sqref="J22:J23">
    <cfRule type="containsText" dxfId="239" priority="43" operator="containsText" text="허하나로">
      <formula>NOT(ISERROR(SEARCH("허하나로",H1071)))</formula>
    </cfRule>
    <cfRule type="containsText" dxfId="238" priority="44" operator="containsText" text="한별">
      <formula>NOT(ISERROR(SEARCH("한별",H1071)))</formula>
    </cfRule>
    <cfRule type="containsText" dxfId="237" priority="45" operator="containsText" text="정홍조">
      <formula>NOT(ISERROR(SEARCH("정홍조",H1071)))</formula>
    </cfRule>
    <cfRule type="containsText" dxfId="236" priority="46" operator="containsText" text="김지윤">
      <formula>NOT(ISERROR(SEARCH("김지윤",H1071)))</formula>
    </cfRule>
    <cfRule type="containsText" dxfId="235" priority="47" operator="containsText" text="전준영">
      <formula>NOT(ISERROR(SEARCH("전준영",H1071)))</formula>
    </cfRule>
    <cfRule type="containsText" dxfId="234" priority="48" operator="containsText" text="차재성">
      <formula>NOT(ISERROR(SEARCH("차재성",H1071)))</formula>
    </cfRule>
  </conditionalFormatting>
  <conditionalFormatting sqref="J24">
    <cfRule type="containsText" dxfId="233" priority="49" operator="containsText" text="허하나로">
      <formula>NOT(ISERROR(SEARCH("허하나로",H1073)))</formula>
    </cfRule>
    <cfRule type="containsText" dxfId="232" priority="50" operator="containsText" text="한별">
      <formula>NOT(ISERROR(SEARCH("한별",H1073)))</formula>
    </cfRule>
    <cfRule type="containsText" dxfId="231" priority="51" operator="containsText" text="정홍조">
      <formula>NOT(ISERROR(SEARCH("정홍조",H1073)))</formula>
    </cfRule>
    <cfRule type="containsText" dxfId="230" priority="52" operator="containsText" text="김지윤">
      <formula>NOT(ISERROR(SEARCH("김지윤",H1073)))</formula>
    </cfRule>
    <cfRule type="containsText" dxfId="229" priority="53" operator="containsText" text="전준영">
      <formula>NOT(ISERROR(SEARCH("전준영",H1073)))</formula>
    </cfRule>
    <cfRule type="containsText" dxfId="228" priority="54" operator="containsText" text="차재성">
      <formula>NOT(ISERROR(SEARCH("차재성",H1073)))</formula>
    </cfRule>
  </conditionalFormatting>
  <conditionalFormatting sqref="J19">
    <cfRule type="containsText" dxfId="227" priority="31" operator="containsText" text="허하나로">
      <formula>NOT(ISERROR(SEARCH("허하나로",H866)))</formula>
    </cfRule>
    <cfRule type="containsText" dxfId="226" priority="32" operator="containsText" text="한별">
      <formula>NOT(ISERROR(SEARCH("한별",H866)))</formula>
    </cfRule>
    <cfRule type="containsText" dxfId="225" priority="33" operator="containsText" text="정홍조">
      <formula>NOT(ISERROR(SEARCH("정홍조",H866)))</formula>
    </cfRule>
    <cfRule type="containsText" dxfId="224" priority="34" operator="containsText" text="김지윤">
      <formula>NOT(ISERROR(SEARCH("김지윤",H866)))</formula>
    </cfRule>
    <cfRule type="containsText" dxfId="223" priority="35" operator="containsText" text="전준영">
      <formula>NOT(ISERROR(SEARCH("전준영",H866)))</formula>
    </cfRule>
    <cfRule type="containsText" dxfId="222" priority="36" operator="containsText" text="차재성">
      <formula>NOT(ISERROR(SEARCH("차재성",H866)))</formula>
    </cfRule>
  </conditionalFormatting>
  <conditionalFormatting sqref="J21">
    <cfRule type="containsText" dxfId="221" priority="37" operator="containsText" text="허하나로">
      <formula>NOT(ISERROR(SEARCH("허하나로",H1063)))</formula>
    </cfRule>
    <cfRule type="containsText" dxfId="220" priority="38" operator="containsText" text="한별">
      <formula>NOT(ISERROR(SEARCH("한별",H1063)))</formula>
    </cfRule>
    <cfRule type="containsText" dxfId="219" priority="39" operator="containsText" text="정홍조">
      <formula>NOT(ISERROR(SEARCH("정홍조",H1063)))</formula>
    </cfRule>
    <cfRule type="containsText" dxfId="218" priority="40" operator="containsText" text="김지윤">
      <formula>NOT(ISERROR(SEARCH("김지윤",H1063)))</formula>
    </cfRule>
    <cfRule type="containsText" dxfId="217" priority="41" operator="containsText" text="전준영">
      <formula>NOT(ISERROR(SEARCH("전준영",H1063)))</formula>
    </cfRule>
    <cfRule type="containsText" dxfId="216" priority="42" operator="containsText" text="차재성">
      <formula>NOT(ISERROR(SEARCH("차재성",H1063)))</formula>
    </cfRule>
  </conditionalFormatting>
  <conditionalFormatting sqref="J5">
    <cfRule type="containsText" dxfId="215" priority="97" operator="containsText" text="허하나로">
      <formula>NOT(ISERROR(SEARCH("허하나로",H654)))</formula>
    </cfRule>
    <cfRule type="containsText" dxfId="214" priority="98" operator="containsText" text="한별">
      <formula>NOT(ISERROR(SEARCH("한별",H654)))</formula>
    </cfRule>
    <cfRule type="containsText" dxfId="213" priority="99" operator="containsText" text="정홍조">
      <formula>NOT(ISERROR(SEARCH("정홍조",H654)))</formula>
    </cfRule>
    <cfRule type="containsText" dxfId="212" priority="100" operator="containsText" text="김지윤">
      <formula>NOT(ISERROR(SEARCH("김지윤",H654)))</formula>
    </cfRule>
    <cfRule type="containsText" dxfId="211" priority="101" operator="containsText" text="전준영">
      <formula>NOT(ISERROR(SEARCH("전준영",H654)))</formula>
    </cfRule>
    <cfRule type="containsText" dxfId="210" priority="102" operator="containsText" text="차재성">
      <formula>NOT(ISERROR(SEARCH("차재성",H654)))</formula>
    </cfRule>
  </conditionalFormatting>
  <conditionalFormatting sqref="J2:J3">
    <cfRule type="containsText" dxfId="209" priority="19" operator="containsText" text="허하나로">
      <formula>NOT(ISERROR(SEARCH("허하나로",H766)))</formula>
    </cfRule>
    <cfRule type="containsText" dxfId="208" priority="20" operator="containsText" text="한별">
      <formula>NOT(ISERROR(SEARCH("한별",H766)))</formula>
    </cfRule>
    <cfRule type="containsText" dxfId="207" priority="21" operator="containsText" text="정홍조">
      <formula>NOT(ISERROR(SEARCH("정홍조",H766)))</formula>
    </cfRule>
    <cfRule type="containsText" dxfId="206" priority="22" operator="containsText" text="김지윤">
      <formula>NOT(ISERROR(SEARCH("김지윤",H766)))</formula>
    </cfRule>
    <cfRule type="containsText" dxfId="205" priority="23" operator="containsText" text="전준영">
      <formula>NOT(ISERROR(SEARCH("전준영",H766)))</formula>
    </cfRule>
    <cfRule type="containsText" dxfId="204" priority="24" operator="containsText" text="차재성">
      <formula>NOT(ISERROR(SEARCH("차재성",H766)))</formula>
    </cfRule>
  </conditionalFormatting>
  <conditionalFormatting sqref="J12:J13">
    <cfRule type="containsText" dxfId="203" priority="13" operator="containsText" text="허하나로">
      <formula>NOT(ISERROR(SEARCH("허하나로",H1065)))</formula>
    </cfRule>
    <cfRule type="containsText" dxfId="202" priority="14" operator="containsText" text="한별">
      <formula>NOT(ISERROR(SEARCH("한별",H1065)))</formula>
    </cfRule>
    <cfRule type="containsText" dxfId="201" priority="15" operator="containsText" text="정홍조">
      <formula>NOT(ISERROR(SEARCH("정홍조",H1065)))</formula>
    </cfRule>
    <cfRule type="containsText" dxfId="200" priority="16" operator="containsText" text="김지윤">
      <formula>NOT(ISERROR(SEARCH("김지윤",H1065)))</formula>
    </cfRule>
    <cfRule type="containsText" dxfId="199" priority="17" operator="containsText" text="전준영">
      <formula>NOT(ISERROR(SEARCH("전준영",H1065)))</formula>
    </cfRule>
    <cfRule type="containsText" dxfId="198" priority="18" operator="containsText" text="차재성">
      <formula>NOT(ISERROR(SEARCH("차재성",H1065)))</formula>
    </cfRule>
  </conditionalFormatting>
  <conditionalFormatting sqref="J16">
    <cfRule type="containsText" dxfId="197" priority="7" operator="containsText" text="허하나로">
      <formula>NOT(ISERROR(SEARCH("허하나로",H1068)))</formula>
    </cfRule>
    <cfRule type="containsText" dxfId="196" priority="8" operator="containsText" text="한별">
      <formula>NOT(ISERROR(SEARCH("한별",H1068)))</formula>
    </cfRule>
    <cfRule type="containsText" dxfId="195" priority="9" operator="containsText" text="정홍조">
      <formula>NOT(ISERROR(SEARCH("정홍조",H1068)))</formula>
    </cfRule>
    <cfRule type="containsText" dxfId="194" priority="10" operator="containsText" text="김지윤">
      <formula>NOT(ISERROR(SEARCH("김지윤",H1068)))</formula>
    </cfRule>
    <cfRule type="containsText" dxfId="193" priority="11" operator="containsText" text="전준영">
      <formula>NOT(ISERROR(SEARCH("전준영",H1068)))</formula>
    </cfRule>
    <cfRule type="containsText" dxfId="192" priority="12" operator="containsText" text="차재성">
      <formula>NOT(ISERROR(SEARCH("차재성",H1068)))</formula>
    </cfRule>
  </conditionalFormatting>
  <conditionalFormatting sqref="J15">
    <cfRule type="containsText" dxfId="191" priority="1" operator="containsText" text="허하나로">
      <formula>NOT(ISERROR(SEARCH("허하나로",H1068)))</formula>
    </cfRule>
    <cfRule type="containsText" dxfId="190" priority="2" operator="containsText" text="한별">
      <formula>NOT(ISERROR(SEARCH("한별",H1068)))</formula>
    </cfRule>
    <cfRule type="containsText" dxfId="189" priority="3" operator="containsText" text="정홍조">
      <formula>NOT(ISERROR(SEARCH("정홍조",H1068)))</formula>
    </cfRule>
    <cfRule type="containsText" dxfId="188" priority="4" operator="containsText" text="김지윤">
      <formula>NOT(ISERROR(SEARCH("김지윤",H1068)))</formula>
    </cfRule>
    <cfRule type="containsText" dxfId="187" priority="5" operator="containsText" text="전준영">
      <formula>NOT(ISERROR(SEARCH("전준영",H1068)))</formula>
    </cfRule>
    <cfRule type="containsText" dxfId="186" priority="6" operator="containsText" text="차재성">
      <formula>NOT(ISERROR(SEARCH("차재성",H1068)))</formula>
    </cfRule>
  </conditionalFormatting>
  <pageMargins left="0.25" right="0.25" top="0.75" bottom="0.75" header="0.3" footer="0.3"/>
  <pageSetup paperSize="9" scale="72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  <pageSetUpPr fitToPage="1"/>
  </sheetPr>
  <dimension ref="A1:I75"/>
  <sheetViews>
    <sheetView zoomScale="85" zoomScaleNormal="85" workbookViewId="0">
      <selection activeCell="S19" sqref="S19"/>
    </sheetView>
  </sheetViews>
  <sheetFormatPr defaultRowHeight="16.5"/>
  <cols>
    <col min="1" max="1" width="3.875" customWidth="1"/>
    <col min="2" max="2" width="5" customWidth="1"/>
    <col min="3" max="5" width="3.875" customWidth="1"/>
    <col min="6" max="6" width="32.625" customWidth="1"/>
    <col min="7" max="7" width="14.375" customWidth="1"/>
    <col min="8" max="8" width="16.125" customWidth="1"/>
    <col min="9" max="9" width="12.125" customWidth="1"/>
  </cols>
  <sheetData>
    <row r="1" spans="1:9" ht="18" customHeight="1">
      <c r="A1" s="27" t="s">
        <v>254</v>
      </c>
      <c r="B1" s="28"/>
      <c r="C1" s="28"/>
      <c r="D1" s="28"/>
      <c r="E1" s="28"/>
      <c r="F1" s="28"/>
      <c r="G1" s="29"/>
      <c r="H1" s="29"/>
      <c r="I1" s="29"/>
    </row>
    <row r="2" spans="1:9" ht="17.25" thickBot="1">
      <c r="A2" s="30"/>
      <c r="B2" s="30"/>
      <c r="C2" s="30"/>
      <c r="D2" s="30"/>
      <c r="E2" s="30"/>
      <c r="F2" s="30"/>
      <c r="G2" s="30"/>
      <c r="H2" s="30"/>
      <c r="I2" s="31" t="s">
        <v>158</v>
      </c>
    </row>
    <row r="3" spans="1:9" ht="18" customHeight="1">
      <c r="A3" s="595" t="s">
        <v>5</v>
      </c>
      <c r="B3" s="596"/>
      <c r="C3" s="596"/>
      <c r="D3" s="596"/>
      <c r="E3" s="596"/>
      <c r="F3" s="597"/>
      <c r="G3" s="565" t="s">
        <v>666</v>
      </c>
      <c r="H3" s="565" t="s">
        <v>731</v>
      </c>
      <c r="I3" s="567" t="s">
        <v>668</v>
      </c>
    </row>
    <row r="4" spans="1:9" ht="17.25" thickBot="1">
      <c r="A4" s="88" t="s">
        <v>12</v>
      </c>
      <c r="B4" s="32" t="s">
        <v>13</v>
      </c>
      <c r="C4" s="32" t="s">
        <v>14</v>
      </c>
      <c r="D4" s="32" t="s">
        <v>15</v>
      </c>
      <c r="E4" s="32" t="s">
        <v>6</v>
      </c>
      <c r="F4" s="32" t="s">
        <v>19</v>
      </c>
      <c r="G4" s="566"/>
      <c r="H4" s="566"/>
      <c r="I4" s="568"/>
    </row>
    <row r="5" spans="1:9" ht="17.25" thickBot="1">
      <c r="A5" s="569" t="s">
        <v>163</v>
      </c>
      <c r="B5" s="570"/>
      <c r="C5" s="570"/>
      <c r="D5" s="570"/>
      <c r="E5" s="570"/>
      <c r="F5" s="572"/>
      <c r="G5" s="303">
        <f>G6+G45</f>
        <v>22550000</v>
      </c>
      <c r="H5" s="303">
        <v>22550000</v>
      </c>
      <c r="I5" s="165">
        <f>G5-H5</f>
        <v>0</v>
      </c>
    </row>
    <row r="6" spans="1:9" ht="18" customHeight="1">
      <c r="A6" s="268" t="s">
        <v>2</v>
      </c>
      <c r="B6" s="180"/>
      <c r="C6" s="180"/>
      <c r="D6" s="180"/>
      <c r="E6" s="180"/>
      <c r="F6" s="181"/>
      <c r="G6" s="269">
        <f>SUM(G7,G18,G32,G40)</f>
        <v>5450000</v>
      </c>
      <c r="H6" s="269">
        <v>5450000</v>
      </c>
      <c r="I6" s="118">
        <f t="shared" ref="I6:I9" si="0">G6-H6</f>
        <v>0</v>
      </c>
    </row>
    <row r="7" spans="1:9" ht="18" customHeight="1">
      <c r="A7" s="254"/>
      <c r="B7" s="179" t="s">
        <v>290</v>
      </c>
      <c r="C7" s="180"/>
      <c r="D7" s="180"/>
      <c r="E7" s="180"/>
      <c r="F7" s="181"/>
      <c r="G7" s="116">
        <f>'기획본부(위탁)'!H6</f>
        <v>2000000</v>
      </c>
      <c r="H7" s="116">
        <v>2000000</v>
      </c>
      <c r="I7" s="118">
        <f t="shared" si="0"/>
        <v>0</v>
      </c>
    </row>
    <row r="8" spans="1:9" ht="18" customHeight="1">
      <c r="A8" s="167"/>
      <c r="B8" s="168"/>
      <c r="C8" s="182" t="s">
        <v>209</v>
      </c>
      <c r="D8" s="183"/>
      <c r="E8" s="183"/>
      <c r="F8" s="184"/>
      <c r="G8" s="114">
        <f>'기획본부(위탁)'!H7</f>
        <v>2000000</v>
      </c>
      <c r="H8" s="114">
        <v>2000000</v>
      </c>
      <c r="I8" s="117">
        <f t="shared" si="0"/>
        <v>0</v>
      </c>
    </row>
    <row r="9" spans="1:9" ht="18" customHeight="1">
      <c r="A9" s="167"/>
      <c r="B9" s="169"/>
      <c r="C9" s="170"/>
      <c r="D9" s="182" t="s">
        <v>210</v>
      </c>
      <c r="E9" s="183"/>
      <c r="F9" s="184"/>
      <c r="G9" s="114">
        <f>'기획본부(위탁)'!H8</f>
        <v>2000000</v>
      </c>
      <c r="H9" s="115">
        <v>2000000</v>
      </c>
      <c r="I9" s="117">
        <f t="shared" si="0"/>
        <v>0</v>
      </c>
    </row>
    <row r="10" spans="1:9" ht="18" customHeight="1">
      <c r="A10" s="167"/>
      <c r="B10" s="169"/>
      <c r="C10" s="168"/>
      <c r="D10" s="170"/>
      <c r="E10" s="182" t="s">
        <v>211</v>
      </c>
      <c r="F10" s="184"/>
      <c r="G10" s="114">
        <f>'기획본부(위탁)'!H10</f>
        <v>1945000</v>
      </c>
      <c r="H10" s="115">
        <v>1974000</v>
      </c>
      <c r="I10" s="117">
        <f t="shared" ref="I10:I15" si="1">G10-H10</f>
        <v>-29000</v>
      </c>
    </row>
    <row r="11" spans="1:9" ht="18" customHeight="1">
      <c r="A11" s="167"/>
      <c r="B11" s="169"/>
      <c r="C11" s="168"/>
      <c r="D11" s="169"/>
      <c r="E11" s="276"/>
      <c r="F11" s="304" t="s">
        <v>212</v>
      </c>
      <c r="G11" s="356">
        <f>'기획본부(위탁)'!H11</f>
        <v>1379000</v>
      </c>
      <c r="H11" s="16">
        <v>1419000</v>
      </c>
      <c r="I11" s="119">
        <f t="shared" si="1"/>
        <v>-40000</v>
      </c>
    </row>
    <row r="12" spans="1:9" ht="18" customHeight="1">
      <c r="A12" s="167"/>
      <c r="B12" s="169"/>
      <c r="C12" s="168"/>
      <c r="D12" s="169"/>
      <c r="E12" s="276"/>
      <c r="F12" s="384" t="s">
        <v>772</v>
      </c>
      <c r="G12" s="356">
        <f>'기획본부(위탁)'!H22</f>
        <v>1000</v>
      </c>
      <c r="H12" s="16">
        <v>0</v>
      </c>
      <c r="I12" s="119">
        <f t="shared" si="1"/>
        <v>1000</v>
      </c>
    </row>
    <row r="13" spans="1:9" ht="18" customHeight="1">
      <c r="A13" s="89"/>
      <c r="B13" s="171"/>
      <c r="C13" s="172"/>
      <c r="D13" s="171"/>
      <c r="E13" s="172"/>
      <c r="F13" s="174" t="s">
        <v>20</v>
      </c>
      <c r="G13" s="356">
        <f>'기획본부(위탁)'!H25</f>
        <v>65000</v>
      </c>
      <c r="H13" s="16">
        <v>55000</v>
      </c>
      <c r="I13" s="119">
        <f t="shared" si="1"/>
        <v>10000</v>
      </c>
    </row>
    <row r="14" spans="1:9">
      <c r="A14" s="352"/>
      <c r="B14" s="171"/>
      <c r="C14" s="172"/>
      <c r="D14" s="171"/>
      <c r="E14" s="263"/>
      <c r="F14" s="173" t="s">
        <v>213</v>
      </c>
      <c r="G14" s="356">
        <f>'기획본부(위탁)'!H31</f>
        <v>500000</v>
      </c>
      <c r="H14" s="356">
        <v>500000</v>
      </c>
      <c r="I14" s="119">
        <f t="shared" si="1"/>
        <v>0</v>
      </c>
    </row>
    <row r="15" spans="1:9" ht="18" customHeight="1">
      <c r="A15" s="167"/>
      <c r="B15" s="169"/>
      <c r="C15" s="169"/>
      <c r="D15" s="169"/>
      <c r="E15" s="182" t="s">
        <v>138</v>
      </c>
      <c r="F15" s="184"/>
      <c r="G15" s="114">
        <f>'기획본부(위탁)'!H34</f>
        <v>55000</v>
      </c>
      <c r="H15" s="115">
        <v>26000</v>
      </c>
      <c r="I15" s="117">
        <f t="shared" si="1"/>
        <v>29000</v>
      </c>
    </row>
    <row r="16" spans="1:9" ht="18" customHeight="1">
      <c r="A16" s="167"/>
      <c r="B16" s="169"/>
      <c r="C16" s="168"/>
      <c r="D16" s="169"/>
      <c r="E16" s="528"/>
      <c r="F16" s="527" t="s">
        <v>771</v>
      </c>
      <c r="G16" s="114">
        <f>'기획본부(위탁)'!H35</f>
        <v>5000</v>
      </c>
      <c r="H16" s="115">
        <v>0</v>
      </c>
      <c r="I16" s="117">
        <f t="shared" ref="I16:I17" si="2">G16-H16</f>
        <v>5000</v>
      </c>
    </row>
    <row r="17" spans="1:9" ht="18" customHeight="1">
      <c r="A17" s="167"/>
      <c r="B17" s="379"/>
      <c r="C17" s="380"/>
      <c r="D17" s="379"/>
      <c r="E17" s="381"/>
      <c r="F17" s="304" t="s">
        <v>546</v>
      </c>
      <c r="G17" s="356">
        <f>'기획본부(위탁)'!H38</f>
        <v>50000</v>
      </c>
      <c r="H17" s="356">
        <v>26000</v>
      </c>
      <c r="I17" s="119">
        <f t="shared" si="2"/>
        <v>24000</v>
      </c>
    </row>
    <row r="18" spans="1:9" ht="18" customHeight="1">
      <c r="A18" s="271"/>
      <c r="B18" s="353" t="s">
        <v>279</v>
      </c>
      <c r="C18" s="279"/>
      <c r="D18" s="279"/>
      <c r="E18" s="279"/>
      <c r="F18" s="354"/>
      <c r="G18" s="269">
        <f>G19</f>
        <v>950000</v>
      </c>
      <c r="H18" s="269">
        <v>950000</v>
      </c>
      <c r="I18" s="355">
        <f t="shared" ref="I18:I22" si="3">G18-H18</f>
        <v>0</v>
      </c>
    </row>
    <row r="19" spans="1:9" ht="18" customHeight="1">
      <c r="A19" s="167"/>
      <c r="B19" s="168"/>
      <c r="C19" s="182" t="s">
        <v>580</v>
      </c>
      <c r="D19" s="183"/>
      <c r="E19" s="183"/>
      <c r="F19" s="184"/>
      <c r="G19" s="114">
        <f>'기획본부(위탁)'!H44</f>
        <v>950000</v>
      </c>
      <c r="H19" s="114">
        <v>950000</v>
      </c>
      <c r="I19" s="117">
        <f t="shared" si="3"/>
        <v>0</v>
      </c>
    </row>
    <row r="20" spans="1:9" ht="18" customHeight="1">
      <c r="A20" s="167"/>
      <c r="B20" s="169"/>
      <c r="C20" s="170"/>
      <c r="D20" s="182" t="s">
        <v>665</v>
      </c>
      <c r="E20" s="183"/>
      <c r="F20" s="184"/>
      <c r="G20" s="114">
        <f>'기획본부(위탁)'!H45</f>
        <v>660000</v>
      </c>
      <c r="H20" s="115">
        <v>660000</v>
      </c>
      <c r="I20" s="117">
        <f t="shared" si="3"/>
        <v>0</v>
      </c>
    </row>
    <row r="21" spans="1:9" ht="18" customHeight="1">
      <c r="A21" s="167"/>
      <c r="B21" s="169"/>
      <c r="C21" s="168"/>
      <c r="D21" s="170"/>
      <c r="E21" s="182" t="s">
        <v>211</v>
      </c>
      <c r="F21" s="184"/>
      <c r="G21" s="114">
        <f>'기획본부(위탁)'!H47</f>
        <v>498000</v>
      </c>
      <c r="H21" s="115">
        <v>498000</v>
      </c>
      <c r="I21" s="117">
        <f t="shared" si="3"/>
        <v>0</v>
      </c>
    </row>
    <row r="22" spans="1:9" ht="18" customHeight="1">
      <c r="A22" s="167"/>
      <c r="B22" s="169"/>
      <c r="C22" s="168"/>
      <c r="D22" s="169"/>
      <c r="E22" s="276"/>
      <c r="F22" s="304" t="s">
        <v>212</v>
      </c>
      <c r="G22" s="356">
        <f>'기획본부(위탁)'!H48</f>
        <v>250000</v>
      </c>
      <c r="H22" s="16">
        <v>250000</v>
      </c>
      <c r="I22" s="119">
        <f t="shared" si="3"/>
        <v>0</v>
      </c>
    </row>
    <row r="23" spans="1:9" ht="18" customHeight="1">
      <c r="A23" s="89"/>
      <c r="B23" s="171"/>
      <c r="C23" s="172"/>
      <c r="D23" s="171"/>
      <c r="E23" s="172"/>
      <c r="F23" s="174" t="s">
        <v>20</v>
      </c>
      <c r="G23" s="356">
        <f>'기획본부(위탁)'!H58</f>
        <v>248000</v>
      </c>
      <c r="H23" s="16">
        <v>248000</v>
      </c>
      <c r="I23" s="119">
        <f>G23-H23</f>
        <v>0</v>
      </c>
    </row>
    <row r="24" spans="1:9" ht="18" customHeight="1">
      <c r="A24" s="167"/>
      <c r="B24" s="169"/>
      <c r="C24" s="168"/>
      <c r="D24" s="169"/>
      <c r="E24" s="182" t="s">
        <v>578</v>
      </c>
      <c r="F24" s="184"/>
      <c r="G24" s="114">
        <f>'기획본부(위탁)'!H63</f>
        <v>162000</v>
      </c>
      <c r="H24" s="115">
        <v>162000</v>
      </c>
      <c r="I24" s="117">
        <f t="shared" ref="I24:I26" si="4">G24-H24</f>
        <v>0</v>
      </c>
    </row>
    <row r="25" spans="1:9" ht="18" customHeight="1">
      <c r="A25" s="167"/>
      <c r="B25" s="169"/>
      <c r="C25" s="168"/>
      <c r="D25" s="169"/>
      <c r="E25" s="276"/>
      <c r="F25" s="304" t="s">
        <v>579</v>
      </c>
      <c r="G25" s="356">
        <f>'기획본부(위탁)'!H64</f>
        <v>132000</v>
      </c>
      <c r="H25" s="16">
        <v>132000</v>
      </c>
      <c r="I25" s="119">
        <f t="shared" ref="I25" si="5">G25-H25</f>
        <v>0</v>
      </c>
    </row>
    <row r="26" spans="1:9" ht="18" customHeight="1">
      <c r="A26" s="167"/>
      <c r="B26" s="169"/>
      <c r="C26" s="168"/>
      <c r="D26" s="169"/>
      <c r="E26" s="276"/>
      <c r="F26" s="304" t="s">
        <v>546</v>
      </c>
      <c r="G26" s="356">
        <f>'기획본부(위탁)'!H67</f>
        <v>30000</v>
      </c>
      <c r="H26" s="16">
        <v>30000</v>
      </c>
      <c r="I26" s="119">
        <f t="shared" si="4"/>
        <v>0</v>
      </c>
    </row>
    <row r="27" spans="1:9" ht="18" customHeight="1">
      <c r="A27" s="167"/>
      <c r="B27" s="169"/>
      <c r="C27" s="169"/>
      <c r="D27" s="182" t="s">
        <v>577</v>
      </c>
      <c r="E27" s="183"/>
      <c r="F27" s="184"/>
      <c r="G27" s="114">
        <f>'기획본부(위탁)'!H69</f>
        <v>290000</v>
      </c>
      <c r="H27" s="115">
        <v>290000</v>
      </c>
      <c r="I27" s="117">
        <f t="shared" ref="I27:I28" si="6">G27-H27</f>
        <v>0</v>
      </c>
    </row>
    <row r="28" spans="1:9" ht="18" customHeight="1">
      <c r="A28" s="167"/>
      <c r="B28" s="169"/>
      <c r="C28" s="168"/>
      <c r="D28" s="170"/>
      <c r="E28" s="182" t="s">
        <v>211</v>
      </c>
      <c r="F28" s="184"/>
      <c r="G28" s="114">
        <f>'기획본부(위탁)'!H71</f>
        <v>173250</v>
      </c>
      <c r="H28" s="115">
        <v>173250</v>
      </c>
      <c r="I28" s="117">
        <f t="shared" si="6"/>
        <v>0</v>
      </c>
    </row>
    <row r="29" spans="1:9" ht="18" customHeight="1">
      <c r="A29" s="89"/>
      <c r="B29" s="171"/>
      <c r="C29" s="172"/>
      <c r="D29" s="171"/>
      <c r="E29" s="172"/>
      <c r="F29" s="174" t="s">
        <v>20</v>
      </c>
      <c r="G29" s="356">
        <f>'기획본부(위탁)'!H76</f>
        <v>170000</v>
      </c>
      <c r="H29" s="16">
        <v>170000</v>
      </c>
      <c r="I29" s="119">
        <f>G29-H29</f>
        <v>0</v>
      </c>
    </row>
    <row r="30" spans="1:9" ht="18" customHeight="1">
      <c r="A30" s="167"/>
      <c r="B30" s="169"/>
      <c r="C30" s="168"/>
      <c r="D30" s="169"/>
      <c r="E30" s="182" t="s">
        <v>578</v>
      </c>
      <c r="F30" s="184"/>
      <c r="G30" s="114">
        <f>'기획본부(위탁)'!H81</f>
        <v>116750</v>
      </c>
      <c r="H30" s="115">
        <v>116750</v>
      </c>
      <c r="I30" s="117">
        <f t="shared" ref="I30:I31" si="7">G30-H30</f>
        <v>0</v>
      </c>
    </row>
    <row r="31" spans="1:9" ht="18" customHeight="1">
      <c r="A31" s="167"/>
      <c r="B31" s="169"/>
      <c r="C31" s="168"/>
      <c r="D31" s="169"/>
      <c r="E31" s="276"/>
      <c r="F31" s="384" t="s">
        <v>579</v>
      </c>
      <c r="G31" s="356">
        <f>'기획본부(위탁)'!H82</f>
        <v>116750</v>
      </c>
      <c r="H31" s="16">
        <v>116750</v>
      </c>
      <c r="I31" s="119">
        <f t="shared" si="7"/>
        <v>0</v>
      </c>
    </row>
    <row r="32" spans="1:9" ht="18" customHeight="1">
      <c r="A32" s="271"/>
      <c r="B32" s="179" t="s">
        <v>281</v>
      </c>
      <c r="C32" s="180"/>
      <c r="D32" s="180"/>
      <c r="E32" s="180"/>
      <c r="F32" s="181"/>
      <c r="G32" s="116">
        <f>G33</f>
        <v>1000000</v>
      </c>
      <c r="H32" s="116">
        <v>1000000</v>
      </c>
      <c r="I32" s="355">
        <f t="shared" ref="I32:I36" si="8">G32-H32</f>
        <v>0</v>
      </c>
    </row>
    <row r="33" spans="1:9" ht="18" customHeight="1">
      <c r="A33" s="167"/>
      <c r="B33" s="168"/>
      <c r="C33" s="182" t="s">
        <v>269</v>
      </c>
      <c r="D33" s="183"/>
      <c r="E33" s="183"/>
      <c r="F33" s="184"/>
      <c r="G33" s="114">
        <f>'운영본부(위탁)'!H7</f>
        <v>1000000</v>
      </c>
      <c r="H33" s="114">
        <v>1000000</v>
      </c>
      <c r="I33" s="117">
        <f t="shared" si="8"/>
        <v>0</v>
      </c>
    </row>
    <row r="34" spans="1:9" ht="18" customHeight="1">
      <c r="A34" s="167"/>
      <c r="B34" s="169"/>
      <c r="C34" s="170"/>
      <c r="D34" s="182" t="s">
        <v>547</v>
      </c>
      <c r="E34" s="183"/>
      <c r="F34" s="184"/>
      <c r="G34" s="114">
        <f>'운영본부(위탁)'!H8</f>
        <v>400000</v>
      </c>
      <c r="H34" s="115">
        <v>400000</v>
      </c>
      <c r="I34" s="117">
        <f t="shared" si="8"/>
        <v>0</v>
      </c>
    </row>
    <row r="35" spans="1:9" ht="18" customHeight="1">
      <c r="A35" s="167"/>
      <c r="B35" s="169"/>
      <c r="C35" s="168"/>
      <c r="D35" s="170"/>
      <c r="E35" s="182" t="s">
        <v>211</v>
      </c>
      <c r="F35" s="184"/>
      <c r="G35" s="114">
        <f>'운영본부(위탁)'!H10</f>
        <v>400000</v>
      </c>
      <c r="H35" s="115">
        <v>400000</v>
      </c>
      <c r="I35" s="117">
        <f t="shared" si="8"/>
        <v>0</v>
      </c>
    </row>
    <row r="36" spans="1:9" ht="18" customHeight="1">
      <c r="A36" s="167"/>
      <c r="B36" s="169"/>
      <c r="C36" s="168"/>
      <c r="D36" s="169"/>
      <c r="E36" s="276"/>
      <c r="F36" s="304" t="s">
        <v>116</v>
      </c>
      <c r="G36" s="356">
        <f>'운영본부(위탁)'!H11</f>
        <v>400000</v>
      </c>
      <c r="H36" s="16">
        <v>400000</v>
      </c>
      <c r="I36" s="119">
        <f t="shared" si="8"/>
        <v>0</v>
      </c>
    </row>
    <row r="37" spans="1:9" ht="18" customHeight="1">
      <c r="A37" s="167"/>
      <c r="B37" s="169"/>
      <c r="C37" s="169"/>
      <c r="D37" s="182" t="s">
        <v>548</v>
      </c>
      <c r="E37" s="183"/>
      <c r="F37" s="184"/>
      <c r="G37" s="114">
        <f>'운영본부(위탁)'!H14</f>
        <v>600000</v>
      </c>
      <c r="H37" s="115">
        <v>600000</v>
      </c>
      <c r="I37" s="117">
        <f t="shared" ref="I37:I39" si="9">G37-H37</f>
        <v>0</v>
      </c>
    </row>
    <row r="38" spans="1:9" ht="18" customHeight="1">
      <c r="A38" s="167"/>
      <c r="B38" s="169"/>
      <c r="C38" s="168"/>
      <c r="D38" s="170"/>
      <c r="E38" s="182" t="s">
        <v>113</v>
      </c>
      <c r="F38" s="184"/>
      <c r="G38" s="114">
        <f>'운영본부(위탁)'!H16</f>
        <v>600000</v>
      </c>
      <c r="H38" s="115">
        <v>600000</v>
      </c>
      <c r="I38" s="117">
        <f t="shared" si="9"/>
        <v>0</v>
      </c>
    </row>
    <row r="39" spans="1:9" ht="18" customHeight="1">
      <c r="A39" s="167"/>
      <c r="B39" s="379"/>
      <c r="C39" s="380"/>
      <c r="D39" s="379"/>
      <c r="E39" s="381"/>
      <c r="F39" s="304" t="s">
        <v>116</v>
      </c>
      <c r="G39" s="356">
        <f>'운영본부(위탁)'!H17</f>
        <v>600000</v>
      </c>
      <c r="H39" s="356">
        <v>600000</v>
      </c>
      <c r="I39" s="119">
        <f t="shared" si="9"/>
        <v>0</v>
      </c>
    </row>
    <row r="40" spans="1:9" ht="18" customHeight="1">
      <c r="A40" s="271"/>
      <c r="B40" s="353" t="s">
        <v>286</v>
      </c>
      <c r="C40" s="279"/>
      <c r="D40" s="279"/>
      <c r="E40" s="279"/>
      <c r="F40" s="354"/>
      <c r="G40" s="269">
        <f>G41</f>
        <v>1500000</v>
      </c>
      <c r="H40" s="269">
        <v>1500000</v>
      </c>
      <c r="I40" s="355">
        <f t="shared" ref="I40:I44" si="10">G40-H40</f>
        <v>0</v>
      </c>
    </row>
    <row r="41" spans="1:9" ht="18" customHeight="1">
      <c r="A41" s="167"/>
      <c r="B41" s="168"/>
      <c r="C41" s="182" t="s">
        <v>271</v>
      </c>
      <c r="D41" s="183"/>
      <c r="E41" s="183"/>
      <c r="F41" s="184"/>
      <c r="G41" s="114">
        <f>'운영본부(위탁)'!H20</f>
        <v>1500000</v>
      </c>
      <c r="H41" s="114">
        <v>1500000</v>
      </c>
      <c r="I41" s="117">
        <f t="shared" si="10"/>
        <v>0</v>
      </c>
    </row>
    <row r="42" spans="1:9" ht="18" customHeight="1">
      <c r="A42" s="167"/>
      <c r="B42" s="169"/>
      <c r="C42" s="170"/>
      <c r="D42" s="182" t="s">
        <v>321</v>
      </c>
      <c r="E42" s="183"/>
      <c r="F42" s="184"/>
      <c r="G42" s="114">
        <f>'운영본부(위탁)'!H21</f>
        <v>1500000</v>
      </c>
      <c r="H42" s="115">
        <v>1500000</v>
      </c>
      <c r="I42" s="117">
        <f t="shared" si="10"/>
        <v>0</v>
      </c>
    </row>
    <row r="43" spans="1:9" ht="18" customHeight="1">
      <c r="A43" s="167"/>
      <c r="B43" s="169"/>
      <c r="C43" s="168"/>
      <c r="D43" s="170"/>
      <c r="E43" s="182" t="s">
        <v>211</v>
      </c>
      <c r="F43" s="184"/>
      <c r="G43" s="114">
        <f>'운영본부(위탁)'!H23</f>
        <v>1500000</v>
      </c>
      <c r="H43" s="115">
        <v>1500000</v>
      </c>
      <c r="I43" s="117">
        <f t="shared" si="10"/>
        <v>0</v>
      </c>
    </row>
    <row r="44" spans="1:9" ht="18" customHeight="1">
      <c r="A44" s="167"/>
      <c r="B44" s="169"/>
      <c r="C44" s="168"/>
      <c r="D44" s="169"/>
      <c r="E44" s="276"/>
      <c r="F44" s="304" t="s">
        <v>549</v>
      </c>
      <c r="G44" s="356">
        <f>'운영본부(위탁)'!H24</f>
        <v>1500000</v>
      </c>
      <c r="H44" s="356">
        <v>1500000</v>
      </c>
      <c r="I44" s="119">
        <f t="shared" si="10"/>
        <v>0</v>
      </c>
    </row>
    <row r="45" spans="1:9" ht="18" customHeight="1">
      <c r="A45" s="268" t="s">
        <v>288</v>
      </c>
      <c r="B45" s="180"/>
      <c r="C45" s="180"/>
      <c r="D45" s="180"/>
      <c r="E45" s="180"/>
      <c r="F45" s="181"/>
      <c r="G45" s="269">
        <f>SUM(G46,G66)</f>
        <v>17100000</v>
      </c>
      <c r="H45" s="269">
        <v>17100000</v>
      </c>
      <c r="I45" s="118">
        <f t="shared" ref="I45:I51" si="11">G45-H45</f>
        <v>0</v>
      </c>
    </row>
    <row r="46" spans="1:9" ht="18" customHeight="1">
      <c r="A46" s="254"/>
      <c r="B46" s="179" t="s">
        <v>284</v>
      </c>
      <c r="C46" s="180"/>
      <c r="D46" s="180"/>
      <c r="E46" s="180"/>
      <c r="F46" s="181"/>
      <c r="G46" s="116">
        <f>G47</f>
        <v>10300000</v>
      </c>
      <c r="H46" s="116">
        <v>10300000</v>
      </c>
      <c r="I46" s="118">
        <f t="shared" si="11"/>
        <v>0</v>
      </c>
    </row>
    <row r="47" spans="1:9" ht="18" customHeight="1">
      <c r="A47" s="167"/>
      <c r="B47" s="168"/>
      <c r="C47" s="182" t="s">
        <v>554</v>
      </c>
      <c r="D47" s="183"/>
      <c r="E47" s="183"/>
      <c r="F47" s="184"/>
      <c r="G47" s="114">
        <f>'운영본부(위탁)'!H28</f>
        <v>10300000</v>
      </c>
      <c r="H47" s="114">
        <v>10300000</v>
      </c>
      <c r="I47" s="117">
        <f t="shared" si="11"/>
        <v>0</v>
      </c>
    </row>
    <row r="48" spans="1:9" ht="18" customHeight="1">
      <c r="A48" s="167"/>
      <c r="B48" s="169"/>
      <c r="C48" s="170"/>
      <c r="D48" s="182" t="s">
        <v>550</v>
      </c>
      <c r="E48" s="183"/>
      <c r="F48" s="184"/>
      <c r="G48" s="114">
        <f>'운영본부(위탁)'!H29</f>
        <v>5000000</v>
      </c>
      <c r="H48" s="115">
        <v>5000000</v>
      </c>
      <c r="I48" s="117">
        <f t="shared" si="11"/>
        <v>0</v>
      </c>
    </row>
    <row r="49" spans="1:9" ht="18" customHeight="1">
      <c r="A49" s="167"/>
      <c r="B49" s="169"/>
      <c r="C49" s="168"/>
      <c r="D49" s="170"/>
      <c r="E49" s="182" t="s">
        <v>551</v>
      </c>
      <c r="F49" s="184"/>
      <c r="G49" s="114">
        <f>'운영본부(위탁)'!H31</f>
        <v>5000000</v>
      </c>
      <c r="H49" s="115">
        <v>5000000</v>
      </c>
      <c r="I49" s="117">
        <f t="shared" si="11"/>
        <v>0</v>
      </c>
    </row>
    <row r="50" spans="1:9" ht="18" customHeight="1">
      <c r="A50" s="167"/>
      <c r="B50" s="169"/>
      <c r="C50" s="168"/>
      <c r="D50" s="169"/>
      <c r="E50" s="276"/>
      <c r="F50" s="304" t="s">
        <v>552</v>
      </c>
      <c r="G50" s="356">
        <f>'운영본부(위탁)'!H32</f>
        <v>4737175</v>
      </c>
      <c r="H50" s="16">
        <v>4986500</v>
      </c>
      <c r="I50" s="119">
        <f t="shared" si="11"/>
        <v>-249325</v>
      </c>
    </row>
    <row r="51" spans="1:9" ht="18" customHeight="1">
      <c r="A51" s="167"/>
      <c r="B51" s="169"/>
      <c r="C51" s="168"/>
      <c r="D51" s="169"/>
      <c r="E51" s="276"/>
      <c r="F51" s="384" t="s">
        <v>783</v>
      </c>
      <c r="G51" s="356">
        <f>'운영본부(위탁)'!H36</f>
        <v>250000</v>
      </c>
      <c r="H51" s="16">
        <v>0</v>
      </c>
      <c r="I51" s="119">
        <f t="shared" si="11"/>
        <v>250000</v>
      </c>
    </row>
    <row r="52" spans="1:9" ht="18" customHeight="1">
      <c r="A52" s="89"/>
      <c r="B52" s="171"/>
      <c r="C52" s="171"/>
      <c r="D52" s="171"/>
      <c r="E52" s="172"/>
      <c r="F52" s="174" t="s">
        <v>553</v>
      </c>
      <c r="G52" s="356">
        <f>'운영본부(위탁)'!H39</f>
        <v>12825</v>
      </c>
      <c r="H52" s="16">
        <v>13500</v>
      </c>
      <c r="I52" s="119">
        <f>G52-H52</f>
        <v>-675</v>
      </c>
    </row>
    <row r="53" spans="1:9" ht="18" customHeight="1">
      <c r="A53" s="167"/>
      <c r="B53" s="169"/>
      <c r="C53" s="169"/>
      <c r="D53" s="132" t="s">
        <v>470</v>
      </c>
      <c r="E53" s="183"/>
      <c r="F53" s="184"/>
      <c r="G53" s="114">
        <f>'운영본부(위탁)'!H43</f>
        <v>3000000</v>
      </c>
      <c r="H53" s="115">
        <v>3000000</v>
      </c>
      <c r="I53" s="117">
        <f t="shared" ref="I53:I56" si="12">G53-H53</f>
        <v>0</v>
      </c>
    </row>
    <row r="54" spans="1:9" ht="18" customHeight="1">
      <c r="A54" s="167"/>
      <c r="B54" s="169"/>
      <c r="C54" s="168"/>
      <c r="D54" s="170"/>
      <c r="E54" s="182" t="s">
        <v>551</v>
      </c>
      <c r="F54" s="184"/>
      <c r="G54" s="114">
        <f>'운영본부(위탁)'!H45</f>
        <v>3000000</v>
      </c>
      <c r="H54" s="115">
        <v>3000000</v>
      </c>
      <c r="I54" s="117">
        <f t="shared" si="12"/>
        <v>0</v>
      </c>
    </row>
    <row r="55" spans="1:9" ht="18" customHeight="1">
      <c r="A55" s="167"/>
      <c r="B55" s="169"/>
      <c r="C55" s="168"/>
      <c r="D55" s="169"/>
      <c r="E55" s="276"/>
      <c r="F55" s="304" t="s">
        <v>552</v>
      </c>
      <c r="G55" s="356">
        <f>'운영본부(위탁)'!H46</f>
        <v>2779956</v>
      </c>
      <c r="H55" s="16">
        <v>2989200</v>
      </c>
      <c r="I55" s="119">
        <f t="shared" si="12"/>
        <v>-209244</v>
      </c>
    </row>
    <row r="56" spans="1:9" ht="18" customHeight="1">
      <c r="A56" s="167"/>
      <c r="B56" s="169"/>
      <c r="C56" s="168"/>
      <c r="D56" s="169"/>
      <c r="E56" s="276"/>
      <c r="F56" s="384" t="s">
        <v>784</v>
      </c>
      <c r="G56" s="356">
        <f>'운영본부(위탁)'!H50</f>
        <v>210000</v>
      </c>
      <c r="H56" s="16">
        <v>0</v>
      </c>
      <c r="I56" s="119">
        <f t="shared" si="12"/>
        <v>210000</v>
      </c>
    </row>
    <row r="57" spans="1:9" ht="18" customHeight="1">
      <c r="A57" s="89"/>
      <c r="B57" s="171"/>
      <c r="C57" s="171"/>
      <c r="D57" s="171"/>
      <c r="E57" s="172"/>
      <c r="F57" s="174" t="s">
        <v>553</v>
      </c>
      <c r="G57" s="356">
        <f>'운영본부(위탁)'!H53</f>
        <v>10044</v>
      </c>
      <c r="H57" s="16">
        <v>10800</v>
      </c>
      <c r="I57" s="119">
        <f>G57-H57</f>
        <v>-756</v>
      </c>
    </row>
    <row r="58" spans="1:9" ht="18" customHeight="1">
      <c r="A58" s="167"/>
      <c r="B58" s="169"/>
      <c r="C58" s="169"/>
      <c r="D58" s="132" t="s">
        <v>472</v>
      </c>
      <c r="E58" s="183"/>
      <c r="F58" s="184"/>
      <c r="G58" s="114">
        <f>'운영본부(위탁)'!H57</f>
        <v>500000</v>
      </c>
      <c r="H58" s="115">
        <v>500000</v>
      </c>
      <c r="I58" s="117">
        <f t="shared" ref="I58:I60" si="13">G58-H58</f>
        <v>0</v>
      </c>
    </row>
    <row r="59" spans="1:9" ht="18" customHeight="1">
      <c r="A59" s="167"/>
      <c r="B59" s="169"/>
      <c r="C59" s="168"/>
      <c r="D59" s="170"/>
      <c r="E59" s="182" t="s">
        <v>551</v>
      </c>
      <c r="F59" s="184"/>
      <c r="G59" s="114">
        <f>'운영본부(위탁)'!H59</f>
        <v>500000</v>
      </c>
      <c r="H59" s="115">
        <v>500000</v>
      </c>
      <c r="I59" s="117">
        <f t="shared" si="13"/>
        <v>0</v>
      </c>
    </row>
    <row r="60" spans="1:9" ht="18" customHeight="1">
      <c r="A60" s="167"/>
      <c r="B60" s="169"/>
      <c r="C60" s="168"/>
      <c r="D60" s="169"/>
      <c r="E60" s="276"/>
      <c r="F60" s="304" t="s">
        <v>552</v>
      </c>
      <c r="G60" s="356">
        <f>'운영본부(위탁)'!H60</f>
        <v>496400</v>
      </c>
      <c r="H60" s="16">
        <v>496400</v>
      </c>
      <c r="I60" s="119">
        <f t="shared" si="13"/>
        <v>0</v>
      </c>
    </row>
    <row r="61" spans="1:9" ht="18" customHeight="1">
      <c r="A61" s="89"/>
      <c r="B61" s="171"/>
      <c r="C61" s="172"/>
      <c r="D61" s="175"/>
      <c r="E61" s="172"/>
      <c r="F61" s="174" t="s">
        <v>553</v>
      </c>
      <c r="G61" s="356">
        <f>'운영본부(위탁)'!H62</f>
        <v>3600</v>
      </c>
      <c r="H61" s="16">
        <v>3600</v>
      </c>
      <c r="I61" s="119">
        <f>G61-H61</f>
        <v>0</v>
      </c>
    </row>
    <row r="62" spans="1:9" ht="18" customHeight="1">
      <c r="A62" s="167"/>
      <c r="B62" s="169"/>
      <c r="C62" s="169"/>
      <c r="D62" s="283" t="s">
        <v>555</v>
      </c>
      <c r="E62" s="183"/>
      <c r="F62" s="184"/>
      <c r="G62" s="114">
        <f>'운영본부(위탁)'!H64</f>
        <v>1800000</v>
      </c>
      <c r="H62" s="115">
        <v>1800000</v>
      </c>
      <c r="I62" s="117">
        <f t="shared" ref="I62:I64" si="14">G62-H62</f>
        <v>0</v>
      </c>
    </row>
    <row r="63" spans="1:9" ht="18" customHeight="1">
      <c r="A63" s="167"/>
      <c r="B63" s="169"/>
      <c r="C63" s="168"/>
      <c r="D63" s="170"/>
      <c r="E63" s="182" t="s">
        <v>551</v>
      </c>
      <c r="F63" s="184"/>
      <c r="G63" s="114">
        <f>'운영본부(위탁)'!H66</f>
        <v>1800000</v>
      </c>
      <c r="H63" s="115">
        <v>1800000</v>
      </c>
      <c r="I63" s="117">
        <f t="shared" si="14"/>
        <v>0</v>
      </c>
    </row>
    <row r="64" spans="1:9" ht="18" customHeight="1">
      <c r="A64" s="167"/>
      <c r="B64" s="169"/>
      <c r="C64" s="168"/>
      <c r="D64" s="169"/>
      <c r="E64" s="276"/>
      <c r="F64" s="304" t="s">
        <v>552</v>
      </c>
      <c r="G64" s="356">
        <f>'운영본부(위탁)'!H67</f>
        <v>1793520</v>
      </c>
      <c r="H64" s="16">
        <v>1793520</v>
      </c>
      <c r="I64" s="119">
        <f t="shared" si="14"/>
        <v>0</v>
      </c>
    </row>
    <row r="65" spans="1:9" ht="18" customHeight="1">
      <c r="A65" s="89"/>
      <c r="B65" s="175"/>
      <c r="C65" s="263"/>
      <c r="D65" s="175"/>
      <c r="E65" s="263"/>
      <c r="F65" s="173" t="s">
        <v>553</v>
      </c>
      <c r="G65" s="356">
        <f>'운영본부(위탁)'!H69</f>
        <v>6480</v>
      </c>
      <c r="H65" s="356">
        <v>6480</v>
      </c>
      <c r="I65" s="119">
        <f>G65-H65</f>
        <v>0</v>
      </c>
    </row>
    <row r="66" spans="1:9" ht="18" customHeight="1">
      <c r="A66" s="271"/>
      <c r="B66" s="353" t="s">
        <v>291</v>
      </c>
      <c r="C66" s="279"/>
      <c r="D66" s="279"/>
      <c r="E66" s="279"/>
      <c r="F66" s="354"/>
      <c r="G66" s="269">
        <f>G67</f>
        <v>6800000</v>
      </c>
      <c r="H66" s="269">
        <v>6800000</v>
      </c>
      <c r="I66" s="355">
        <f t="shared" ref="I66:I70" si="15">G66-H66</f>
        <v>0</v>
      </c>
    </row>
    <row r="67" spans="1:9" ht="18" customHeight="1">
      <c r="A67" s="167"/>
      <c r="B67" s="168"/>
      <c r="C67" s="182" t="s">
        <v>292</v>
      </c>
      <c r="D67" s="183"/>
      <c r="E67" s="183"/>
      <c r="F67" s="184"/>
      <c r="G67" s="114">
        <f>'운영본부(위탁)'!H72</f>
        <v>6800000</v>
      </c>
      <c r="H67" s="114">
        <v>6800000</v>
      </c>
      <c r="I67" s="117">
        <f t="shared" si="15"/>
        <v>0</v>
      </c>
    </row>
    <row r="68" spans="1:9" ht="18" customHeight="1">
      <c r="A68" s="167"/>
      <c r="B68" s="169"/>
      <c r="C68" s="170"/>
      <c r="D68" s="132" t="s">
        <v>556</v>
      </c>
      <c r="E68" s="183"/>
      <c r="F68" s="184"/>
      <c r="G68" s="114">
        <f>'운영본부(위탁)'!H73</f>
        <v>5000000</v>
      </c>
      <c r="H68" s="115">
        <v>5000000</v>
      </c>
      <c r="I68" s="117">
        <f t="shared" si="15"/>
        <v>0</v>
      </c>
    </row>
    <row r="69" spans="1:9" ht="18" customHeight="1">
      <c r="A69" s="167"/>
      <c r="B69" s="169"/>
      <c r="C69" s="168"/>
      <c r="D69" s="170"/>
      <c r="E69" s="182" t="s">
        <v>551</v>
      </c>
      <c r="F69" s="184"/>
      <c r="G69" s="114">
        <f>'운영본부(위탁)'!H75</f>
        <v>5000000</v>
      </c>
      <c r="H69" s="115">
        <v>5000000</v>
      </c>
      <c r="I69" s="117">
        <f t="shared" si="15"/>
        <v>0</v>
      </c>
    </row>
    <row r="70" spans="1:9" ht="18" customHeight="1">
      <c r="A70" s="167"/>
      <c r="B70" s="169"/>
      <c r="C70" s="168"/>
      <c r="D70" s="169"/>
      <c r="E70" s="276"/>
      <c r="F70" s="304" t="s">
        <v>552</v>
      </c>
      <c r="G70" s="356">
        <f>'운영본부(위탁)'!H76</f>
        <v>4986500</v>
      </c>
      <c r="H70" s="16">
        <v>4986500</v>
      </c>
      <c r="I70" s="119">
        <f t="shared" si="15"/>
        <v>0</v>
      </c>
    </row>
    <row r="71" spans="1:9" ht="18" customHeight="1">
      <c r="A71" s="89"/>
      <c r="B71" s="171"/>
      <c r="C71" s="171"/>
      <c r="D71" s="175"/>
      <c r="E71" s="172"/>
      <c r="F71" s="174" t="s">
        <v>553</v>
      </c>
      <c r="G71" s="356">
        <f>'운영본부(위탁)'!H78</f>
        <v>13500</v>
      </c>
      <c r="H71" s="16">
        <v>13500</v>
      </c>
      <c r="I71" s="119">
        <f>G71-H71</f>
        <v>0</v>
      </c>
    </row>
    <row r="72" spans="1:9" ht="18" customHeight="1">
      <c r="A72" s="167"/>
      <c r="B72" s="169"/>
      <c r="C72" s="169"/>
      <c r="D72" s="283" t="s">
        <v>557</v>
      </c>
      <c r="E72" s="183"/>
      <c r="F72" s="184"/>
      <c r="G72" s="114">
        <f>'운영본부(위탁)'!H80</f>
        <v>1800000</v>
      </c>
      <c r="H72" s="115">
        <v>1800000</v>
      </c>
      <c r="I72" s="117">
        <f t="shared" ref="I72:I74" si="16">G72-H72</f>
        <v>0</v>
      </c>
    </row>
    <row r="73" spans="1:9" ht="18" customHeight="1">
      <c r="A73" s="167"/>
      <c r="B73" s="169"/>
      <c r="C73" s="168"/>
      <c r="D73" s="170"/>
      <c r="E73" s="182" t="s">
        <v>551</v>
      </c>
      <c r="F73" s="184"/>
      <c r="G73" s="114">
        <f>'운영본부(위탁)'!H82</f>
        <v>1800000</v>
      </c>
      <c r="H73" s="115">
        <v>1800000</v>
      </c>
      <c r="I73" s="117">
        <f t="shared" si="16"/>
        <v>0</v>
      </c>
    </row>
    <row r="74" spans="1:9" ht="18" customHeight="1">
      <c r="A74" s="167"/>
      <c r="B74" s="169"/>
      <c r="C74" s="168"/>
      <c r="D74" s="169"/>
      <c r="E74" s="276"/>
      <c r="F74" s="304" t="s">
        <v>552</v>
      </c>
      <c r="G74" s="356">
        <f>'운영본부(위탁)'!H83</f>
        <v>1793520</v>
      </c>
      <c r="H74" s="16">
        <v>1793520</v>
      </c>
      <c r="I74" s="119">
        <f t="shared" si="16"/>
        <v>0</v>
      </c>
    </row>
    <row r="75" spans="1:9" ht="18" customHeight="1" thickBot="1">
      <c r="A75" s="251"/>
      <c r="B75" s="176"/>
      <c r="C75" s="176"/>
      <c r="D75" s="176"/>
      <c r="E75" s="252"/>
      <c r="F75" s="177" t="s">
        <v>553</v>
      </c>
      <c r="G75" s="90">
        <f>'운영본부(위탁)'!H85</f>
        <v>6480</v>
      </c>
      <c r="H75" s="90">
        <v>6480</v>
      </c>
      <c r="I75" s="121">
        <f>G75-H75</f>
        <v>0</v>
      </c>
    </row>
  </sheetData>
  <mergeCells count="5">
    <mergeCell ref="A3:F3"/>
    <mergeCell ref="G3:G4"/>
    <mergeCell ref="H3:H4"/>
    <mergeCell ref="I3:I4"/>
    <mergeCell ref="A5:F5"/>
  </mergeCells>
  <phoneticPr fontId="12" type="noConversion"/>
  <pageMargins left="0.25" right="0.25" top="0.75" bottom="0.75" header="0.3" footer="0.3"/>
  <pageSetup paperSize="9" scale="95" fitToHeight="0" orientation="portrait" r:id="rId1"/>
  <rowBreaks count="1" manualBreakCount="1">
    <brk id="3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M88"/>
  <sheetViews>
    <sheetView topLeftCell="H19" zoomScale="85" zoomScaleNormal="85" workbookViewId="0">
      <selection activeCell="K39" sqref="K39"/>
    </sheetView>
  </sheetViews>
  <sheetFormatPr defaultRowHeight="16.5"/>
  <cols>
    <col min="1" max="6" width="3.875" customWidth="1"/>
    <col min="7" max="7" width="32.625" customWidth="1"/>
    <col min="8" max="8" width="14.625" customWidth="1"/>
    <col min="9" max="9" width="17.375" customWidth="1"/>
    <col min="10" max="10" width="14.625" customWidth="1"/>
    <col min="11" max="11" width="60.625" customWidth="1"/>
    <col min="12" max="12" width="3.875" customWidth="1"/>
    <col min="13" max="13" width="14.625" customWidth="1"/>
  </cols>
  <sheetData>
    <row r="1" spans="1:13" ht="17.25" thickBot="1">
      <c r="A1" s="91" t="s">
        <v>255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305" t="s">
        <v>214</v>
      </c>
    </row>
    <row r="2" spans="1:13" ht="16.5" customHeight="1">
      <c r="A2" s="585" t="s">
        <v>215</v>
      </c>
      <c r="B2" s="587" t="s">
        <v>216</v>
      </c>
      <c r="C2" s="588"/>
      <c r="D2" s="589"/>
      <c r="E2" s="587" t="s">
        <v>217</v>
      </c>
      <c r="F2" s="588"/>
      <c r="G2" s="589"/>
      <c r="H2" s="565" t="s">
        <v>666</v>
      </c>
      <c r="I2" s="565" t="s">
        <v>731</v>
      </c>
      <c r="J2" s="590" t="s">
        <v>668</v>
      </c>
      <c r="K2" s="577" t="s">
        <v>1</v>
      </c>
      <c r="L2" s="577"/>
      <c r="M2" s="578"/>
    </row>
    <row r="3" spans="1:13" ht="17.25" thickBot="1">
      <c r="A3" s="586"/>
      <c r="B3" s="122" t="s">
        <v>218</v>
      </c>
      <c r="C3" s="122" t="s">
        <v>219</v>
      </c>
      <c r="D3" s="122" t="s">
        <v>220</v>
      </c>
      <c r="E3" s="122" t="s">
        <v>221</v>
      </c>
      <c r="F3" s="122" t="s">
        <v>222</v>
      </c>
      <c r="G3" s="122" t="s">
        <v>223</v>
      </c>
      <c r="H3" s="566"/>
      <c r="I3" s="566"/>
      <c r="J3" s="591"/>
      <c r="K3" s="598"/>
      <c r="L3" s="598"/>
      <c r="M3" s="599"/>
    </row>
    <row r="4" spans="1:13" ht="17.25" thickBot="1">
      <c r="A4" s="582" t="s">
        <v>224</v>
      </c>
      <c r="B4" s="583"/>
      <c r="C4" s="583"/>
      <c r="D4" s="583"/>
      <c r="E4" s="583"/>
      <c r="F4" s="583"/>
      <c r="G4" s="584"/>
      <c r="H4" s="351">
        <f>H5</f>
        <v>2950000</v>
      </c>
      <c r="I4" s="306">
        <v>2950000</v>
      </c>
      <c r="J4" s="123">
        <f>H4-I4</f>
        <v>0</v>
      </c>
      <c r="K4" s="92"/>
      <c r="L4" s="93"/>
      <c r="M4" s="124"/>
    </row>
    <row r="5" spans="1:13">
      <c r="A5" s="308" t="s">
        <v>225</v>
      </c>
      <c r="B5" s="309"/>
      <c r="C5" s="284"/>
      <c r="D5" s="284"/>
      <c r="E5" s="284"/>
      <c r="F5" s="284"/>
      <c r="G5" s="285"/>
      <c r="H5" s="347">
        <f>H6+H43</f>
        <v>2950000</v>
      </c>
      <c r="I5" s="307">
        <v>2950000</v>
      </c>
      <c r="J5" s="310">
        <f t="shared" ref="J5:J25" si="0">H5-I5</f>
        <v>0</v>
      </c>
      <c r="K5" s="81"/>
      <c r="L5" s="82"/>
      <c r="M5" s="83"/>
    </row>
    <row r="6" spans="1:13">
      <c r="A6" s="311"/>
      <c r="B6" s="312" t="s">
        <v>278</v>
      </c>
      <c r="C6" s="132"/>
      <c r="D6" s="133"/>
      <c r="E6" s="133"/>
      <c r="F6" s="133"/>
      <c r="G6" s="134"/>
      <c r="H6" s="94">
        <f t="shared" ref="H6:H9" si="1">H7</f>
        <v>2000000</v>
      </c>
      <c r="I6" s="94">
        <v>2000000</v>
      </c>
      <c r="J6" s="98">
        <f>H6-I6</f>
        <v>0</v>
      </c>
      <c r="K6" s="81"/>
      <c r="L6" s="82"/>
      <c r="M6" s="83"/>
    </row>
    <row r="7" spans="1:13">
      <c r="A7" s="10"/>
      <c r="B7" s="6"/>
      <c r="C7" s="132" t="s">
        <v>226</v>
      </c>
      <c r="D7" s="133"/>
      <c r="E7" s="133"/>
      <c r="F7" s="133"/>
      <c r="G7" s="134"/>
      <c r="H7" s="97">
        <f t="shared" si="1"/>
        <v>2000000</v>
      </c>
      <c r="I7" s="97">
        <v>2000000</v>
      </c>
      <c r="J7" s="98">
        <f t="shared" si="0"/>
        <v>0</v>
      </c>
      <c r="K7" s="81"/>
      <c r="L7" s="82"/>
      <c r="M7" s="83"/>
    </row>
    <row r="8" spans="1:13">
      <c r="A8" s="10"/>
      <c r="B8" s="6"/>
      <c r="C8" s="7"/>
      <c r="D8" s="132" t="s">
        <v>227</v>
      </c>
      <c r="E8" s="133"/>
      <c r="F8" s="133"/>
      <c r="G8" s="134"/>
      <c r="H8" s="135">
        <f>H9+H33</f>
        <v>2000000</v>
      </c>
      <c r="I8" s="135">
        <v>2000000</v>
      </c>
      <c r="J8" s="98">
        <f t="shared" si="0"/>
        <v>0</v>
      </c>
      <c r="K8" s="84"/>
      <c r="L8" s="136"/>
      <c r="M8" s="83"/>
    </row>
    <row r="9" spans="1:13">
      <c r="A9" s="10"/>
      <c r="B9" s="6"/>
      <c r="C9" s="137"/>
      <c r="D9" s="138"/>
      <c r="E9" s="132" t="s">
        <v>228</v>
      </c>
      <c r="F9" s="133"/>
      <c r="G9" s="134"/>
      <c r="H9" s="94">
        <f t="shared" si="1"/>
        <v>1945000</v>
      </c>
      <c r="I9" s="94">
        <v>1974000</v>
      </c>
      <c r="J9" s="98">
        <f t="shared" si="0"/>
        <v>-29000</v>
      </c>
      <c r="K9" s="87"/>
      <c r="L9" s="96"/>
      <c r="M9" s="85"/>
    </row>
    <row r="10" spans="1:13">
      <c r="A10" s="65"/>
      <c r="B10" s="67"/>
      <c r="C10" s="189"/>
      <c r="D10" s="190"/>
      <c r="E10" s="191"/>
      <c r="F10" s="139" t="s">
        <v>229</v>
      </c>
      <c r="G10" s="192"/>
      <c r="H10" s="74">
        <f>SUM(H11,H22,H25,H31)</f>
        <v>1945000</v>
      </c>
      <c r="I10" s="74">
        <v>1974000</v>
      </c>
      <c r="J10" s="74">
        <f t="shared" si="0"/>
        <v>-29000</v>
      </c>
      <c r="K10" s="231"/>
      <c r="L10" s="54"/>
      <c r="M10" s="40"/>
    </row>
    <row r="11" spans="1:13">
      <c r="A11" s="65"/>
      <c r="B11" s="67"/>
      <c r="C11" s="67"/>
      <c r="D11" s="148"/>
      <c r="E11" s="193"/>
      <c r="F11" s="193"/>
      <c r="G11" s="70" t="s">
        <v>230</v>
      </c>
      <c r="H11" s="449">
        <f>M11</f>
        <v>1379000</v>
      </c>
      <c r="I11" s="75">
        <v>1419000</v>
      </c>
      <c r="J11" s="75">
        <f t="shared" si="0"/>
        <v>-40000</v>
      </c>
      <c r="K11" s="86" t="s">
        <v>231</v>
      </c>
      <c r="L11" s="44"/>
      <c r="M11" s="229">
        <f>SUM(M12:M16,M20:M21)</f>
        <v>1379000</v>
      </c>
    </row>
    <row r="12" spans="1:13">
      <c r="A12" s="65"/>
      <c r="B12" s="67"/>
      <c r="C12" s="67"/>
      <c r="D12" s="148"/>
      <c r="E12" s="193"/>
      <c r="F12" s="193"/>
      <c r="G12" s="70"/>
      <c r="H12" s="76"/>
      <c r="I12" s="76"/>
      <c r="J12" s="76"/>
      <c r="K12" s="232" t="s">
        <v>479</v>
      </c>
      <c r="L12" s="45" t="s">
        <v>232</v>
      </c>
      <c r="M12" s="194">
        <v>140000</v>
      </c>
    </row>
    <row r="13" spans="1:13">
      <c r="A13" s="65"/>
      <c r="B13" s="67"/>
      <c r="C13" s="67"/>
      <c r="D13" s="148"/>
      <c r="E13" s="193"/>
      <c r="F13" s="193"/>
      <c r="G13" s="70"/>
      <c r="H13" s="76"/>
      <c r="I13" s="76"/>
      <c r="J13" s="76"/>
      <c r="K13" s="232" t="s">
        <v>486</v>
      </c>
      <c r="L13" s="45" t="s">
        <v>480</v>
      </c>
      <c r="M13" s="194">
        <v>20000</v>
      </c>
    </row>
    <row r="14" spans="1:13">
      <c r="A14" s="65"/>
      <c r="B14" s="67"/>
      <c r="C14" s="67"/>
      <c r="D14" s="148"/>
      <c r="E14" s="193"/>
      <c r="F14" s="193"/>
      <c r="G14" s="70"/>
      <c r="H14" s="76"/>
      <c r="I14" s="76"/>
      <c r="J14" s="76"/>
      <c r="K14" s="376" t="s">
        <v>497</v>
      </c>
      <c r="L14" s="45" t="s">
        <v>480</v>
      </c>
      <c r="M14" s="194">
        <v>7000</v>
      </c>
    </row>
    <row r="15" spans="1:13">
      <c r="A15" s="65"/>
      <c r="B15" s="67"/>
      <c r="C15" s="67"/>
      <c r="D15" s="148"/>
      <c r="E15" s="193"/>
      <c r="F15" s="193"/>
      <c r="G15" s="70"/>
      <c r="H15" s="76"/>
      <c r="I15" s="76"/>
      <c r="J15" s="76"/>
      <c r="K15" s="376" t="s">
        <v>498</v>
      </c>
      <c r="L15" s="45" t="s">
        <v>480</v>
      </c>
      <c r="M15" s="194">
        <v>2000</v>
      </c>
    </row>
    <row r="16" spans="1:13">
      <c r="A16" s="65"/>
      <c r="B16" s="67"/>
      <c r="C16" s="67"/>
      <c r="D16" s="148"/>
      <c r="E16" s="193"/>
      <c r="F16" s="193"/>
      <c r="G16" s="70"/>
      <c r="H16" s="76"/>
      <c r="I16" s="76"/>
      <c r="J16" s="76"/>
      <c r="K16" s="232" t="s">
        <v>487</v>
      </c>
      <c r="L16" s="45" t="s">
        <v>480</v>
      </c>
      <c r="M16" s="194">
        <v>1000000</v>
      </c>
    </row>
    <row r="17" spans="1:13">
      <c r="A17" s="65"/>
      <c r="B17" s="67"/>
      <c r="C17" s="67"/>
      <c r="D17" s="148"/>
      <c r="E17" s="193"/>
      <c r="F17" s="193"/>
      <c r="G17" s="67"/>
      <c r="H17" s="76"/>
      <c r="I17" s="76"/>
      <c r="J17" s="76"/>
      <c r="K17" s="232" t="s">
        <v>488</v>
      </c>
      <c r="L17" s="45" t="s">
        <v>480</v>
      </c>
      <c r="M17" s="194">
        <v>150000</v>
      </c>
    </row>
    <row r="18" spans="1:13">
      <c r="A18" s="65"/>
      <c r="B18" s="67"/>
      <c r="C18" s="67"/>
      <c r="D18" s="148"/>
      <c r="E18" s="193"/>
      <c r="F18" s="193"/>
      <c r="G18" s="67"/>
      <c r="H18" s="76"/>
      <c r="I18" s="76"/>
      <c r="J18" s="76"/>
      <c r="K18" s="232" t="s">
        <v>489</v>
      </c>
      <c r="L18" s="45" t="s">
        <v>480</v>
      </c>
      <c r="M18" s="194">
        <v>100000</v>
      </c>
    </row>
    <row r="19" spans="1:13">
      <c r="A19" s="65"/>
      <c r="B19" s="67"/>
      <c r="C19" s="67"/>
      <c r="D19" s="148"/>
      <c r="E19" s="193"/>
      <c r="F19" s="193"/>
      <c r="G19" s="67"/>
      <c r="H19" s="76"/>
      <c r="I19" s="76"/>
      <c r="J19" s="76"/>
      <c r="K19" s="488" t="s">
        <v>749</v>
      </c>
      <c r="L19" s="45"/>
      <c r="M19" s="194"/>
    </row>
    <row r="20" spans="1:13">
      <c r="A20" s="65"/>
      <c r="B20" s="67"/>
      <c r="C20" s="67"/>
      <c r="D20" s="148"/>
      <c r="E20" s="193"/>
      <c r="F20" s="193"/>
      <c r="G20" s="67"/>
      <c r="H20" s="76"/>
      <c r="I20" s="76"/>
      <c r="J20" s="76"/>
      <c r="K20" s="419" t="s">
        <v>763</v>
      </c>
      <c r="L20" s="414" t="s">
        <v>480</v>
      </c>
      <c r="M20" s="391">
        <v>140000</v>
      </c>
    </row>
    <row r="21" spans="1:13">
      <c r="A21" s="65"/>
      <c r="B21" s="67"/>
      <c r="C21" s="67"/>
      <c r="D21" s="148"/>
      <c r="E21" s="193"/>
      <c r="F21" s="193"/>
      <c r="G21" s="69"/>
      <c r="H21" s="73"/>
      <c r="I21" s="73"/>
      <c r="J21" s="73"/>
      <c r="K21" s="411" t="s">
        <v>764</v>
      </c>
      <c r="L21" s="412" t="s">
        <v>480</v>
      </c>
      <c r="M21" s="420">
        <v>70000</v>
      </c>
    </row>
    <row r="22" spans="1:13">
      <c r="A22" s="65"/>
      <c r="B22" s="67"/>
      <c r="C22" s="67"/>
      <c r="D22" s="67"/>
      <c r="E22" s="67"/>
      <c r="F22" s="108"/>
      <c r="G22" s="203" t="s">
        <v>7</v>
      </c>
      <c r="H22" s="452">
        <f>M22</f>
        <v>1000</v>
      </c>
      <c r="I22" s="75">
        <v>0</v>
      </c>
      <c r="J22" s="448">
        <f>H22-I22</f>
        <v>1000</v>
      </c>
      <c r="K22" s="36" t="s">
        <v>79</v>
      </c>
      <c r="L22" s="219"/>
      <c r="M22" s="229">
        <f>M24</f>
        <v>1000</v>
      </c>
    </row>
    <row r="23" spans="1:13">
      <c r="A23" s="65"/>
      <c r="B23" s="67"/>
      <c r="C23" s="67"/>
      <c r="D23" s="67"/>
      <c r="E23" s="67"/>
      <c r="F23" s="108"/>
      <c r="G23" s="198"/>
      <c r="H23" s="109"/>
      <c r="I23" s="235"/>
      <c r="J23" s="110"/>
      <c r="K23" s="488" t="s">
        <v>749</v>
      </c>
      <c r="L23" s="207"/>
      <c r="M23" s="194"/>
    </row>
    <row r="24" spans="1:13">
      <c r="A24" s="65"/>
      <c r="B24" s="67"/>
      <c r="C24" s="67"/>
      <c r="D24" s="67"/>
      <c r="E24" s="67"/>
      <c r="F24" s="108"/>
      <c r="G24" s="199"/>
      <c r="H24" s="111"/>
      <c r="I24" s="238"/>
      <c r="J24" s="159"/>
      <c r="K24" s="413" t="s">
        <v>765</v>
      </c>
      <c r="L24" s="390" t="s">
        <v>0</v>
      </c>
      <c r="M24" s="420">
        <v>1000</v>
      </c>
    </row>
    <row r="25" spans="1:13">
      <c r="A25" s="65"/>
      <c r="B25" s="67"/>
      <c r="C25" s="67"/>
      <c r="D25" s="148"/>
      <c r="E25" s="193"/>
      <c r="F25" s="193"/>
      <c r="G25" s="70" t="s">
        <v>233</v>
      </c>
      <c r="H25" s="443">
        <f>M25</f>
        <v>65000</v>
      </c>
      <c r="I25" s="76">
        <v>55000</v>
      </c>
      <c r="J25" s="443">
        <f t="shared" si="0"/>
        <v>10000</v>
      </c>
      <c r="K25" s="86" t="s">
        <v>234</v>
      </c>
      <c r="L25" s="45"/>
      <c r="M25" s="197">
        <f>SUM(M26,M28,M30)</f>
        <v>65000</v>
      </c>
    </row>
    <row r="26" spans="1:13">
      <c r="A26" s="65"/>
      <c r="B26" s="67"/>
      <c r="C26" s="67"/>
      <c r="D26" s="148"/>
      <c r="E26" s="193"/>
      <c r="F26" s="193"/>
      <c r="G26" s="70"/>
      <c r="H26" s="76"/>
      <c r="I26" s="76"/>
      <c r="J26" s="76"/>
      <c r="K26" s="232" t="s">
        <v>481</v>
      </c>
      <c r="L26" s="45" t="s">
        <v>482</v>
      </c>
      <c r="M26" s="194">
        <v>30000</v>
      </c>
    </row>
    <row r="27" spans="1:13">
      <c r="A27" s="65"/>
      <c r="B27" s="67"/>
      <c r="C27" s="67"/>
      <c r="D27" s="148"/>
      <c r="E27" s="193"/>
      <c r="F27" s="193"/>
      <c r="G27" s="70"/>
      <c r="H27" s="76"/>
      <c r="I27" s="76"/>
      <c r="J27" s="76"/>
      <c r="K27" s="232" t="s">
        <v>483</v>
      </c>
      <c r="L27" s="45" t="s">
        <v>480</v>
      </c>
      <c r="M27" s="194">
        <v>5000</v>
      </c>
    </row>
    <row r="28" spans="1:13">
      <c r="A28" s="65"/>
      <c r="B28" s="67"/>
      <c r="C28" s="67"/>
      <c r="D28" s="148"/>
      <c r="E28" s="193"/>
      <c r="F28" s="193"/>
      <c r="G28" s="67"/>
      <c r="H28" s="76"/>
      <c r="I28" s="76"/>
      <c r="J28" s="76"/>
      <c r="K28" s="232" t="s">
        <v>484</v>
      </c>
      <c r="L28" s="45" t="s">
        <v>0</v>
      </c>
      <c r="M28" s="194">
        <v>20000</v>
      </c>
    </row>
    <row r="29" spans="1:13">
      <c r="A29" s="65"/>
      <c r="B29" s="67"/>
      <c r="C29" s="67"/>
      <c r="D29" s="148"/>
      <c r="E29" s="193"/>
      <c r="F29" s="193"/>
      <c r="G29" s="67"/>
      <c r="H29" s="76"/>
      <c r="I29" s="76"/>
      <c r="J29" s="76"/>
      <c r="K29" s="488" t="s">
        <v>749</v>
      </c>
      <c r="L29" s="45"/>
      <c r="M29" s="194"/>
    </row>
    <row r="30" spans="1:13">
      <c r="A30" s="65"/>
      <c r="B30" s="67"/>
      <c r="C30" s="67"/>
      <c r="D30" s="148"/>
      <c r="E30" s="193"/>
      <c r="F30" s="193"/>
      <c r="G30" s="69"/>
      <c r="H30" s="73"/>
      <c r="I30" s="73"/>
      <c r="J30" s="73"/>
      <c r="K30" s="411" t="s">
        <v>766</v>
      </c>
      <c r="L30" s="412"/>
      <c r="M30" s="420">
        <v>15000</v>
      </c>
    </row>
    <row r="31" spans="1:13">
      <c r="A31" s="65"/>
      <c r="B31" s="67"/>
      <c r="C31" s="67"/>
      <c r="D31" s="148"/>
      <c r="E31" s="193"/>
      <c r="F31" s="193"/>
      <c r="G31" s="70" t="s">
        <v>652</v>
      </c>
      <c r="H31" s="76">
        <f>M31</f>
        <v>500000</v>
      </c>
      <c r="I31" s="76">
        <v>500000</v>
      </c>
      <c r="J31" s="76">
        <f>H31-I31</f>
        <v>0</v>
      </c>
      <c r="K31" s="86" t="s">
        <v>235</v>
      </c>
      <c r="L31" s="45"/>
      <c r="M31" s="197">
        <f>SUM(M32)</f>
        <v>500000</v>
      </c>
    </row>
    <row r="32" spans="1:13">
      <c r="A32" s="65"/>
      <c r="B32" s="67"/>
      <c r="C32" s="67"/>
      <c r="D32" s="148"/>
      <c r="E32" s="286"/>
      <c r="F32" s="286"/>
      <c r="G32" s="69"/>
      <c r="H32" s="73"/>
      <c r="I32" s="73"/>
      <c r="J32" s="73"/>
      <c r="K32" s="227" t="s">
        <v>767</v>
      </c>
      <c r="L32" s="207" t="s">
        <v>0</v>
      </c>
      <c r="M32" s="200">
        <v>500000</v>
      </c>
    </row>
    <row r="33" spans="1:13">
      <c r="A33" s="10"/>
      <c r="B33" s="6"/>
      <c r="C33" s="265"/>
      <c r="D33" s="265"/>
      <c r="E33" s="132" t="s">
        <v>485</v>
      </c>
      <c r="F33" s="133"/>
      <c r="G33" s="134"/>
      <c r="H33" s="94">
        <f t="shared" ref="H33" si="2">H34</f>
        <v>55000</v>
      </c>
      <c r="I33" s="94">
        <v>26000</v>
      </c>
      <c r="J33" s="98">
        <f t="shared" ref="J33:J38" si="3">H33-I33</f>
        <v>29000</v>
      </c>
      <c r="K33" s="87"/>
      <c r="L33" s="96"/>
      <c r="M33" s="85"/>
    </row>
    <row r="34" spans="1:13">
      <c r="A34" s="65"/>
      <c r="B34" s="67"/>
      <c r="C34" s="189"/>
      <c r="D34" s="190"/>
      <c r="E34" s="191"/>
      <c r="F34" s="139" t="s">
        <v>61</v>
      </c>
      <c r="G34" s="192"/>
      <c r="H34" s="74">
        <f>SUM(H35,H38)</f>
        <v>55000</v>
      </c>
      <c r="I34" s="74">
        <v>26000</v>
      </c>
      <c r="J34" s="74">
        <f t="shared" si="3"/>
        <v>29000</v>
      </c>
      <c r="K34" s="231"/>
      <c r="L34" s="54"/>
      <c r="M34" s="40"/>
    </row>
    <row r="35" spans="1:13">
      <c r="A35" s="65"/>
      <c r="B35" s="67"/>
      <c r="C35" s="67"/>
      <c r="D35" s="148"/>
      <c r="E35" s="193"/>
      <c r="F35" s="193"/>
      <c r="G35" s="70" t="s">
        <v>768</v>
      </c>
      <c r="H35" s="449">
        <f>M35</f>
        <v>5000</v>
      </c>
      <c r="I35" s="75">
        <v>0</v>
      </c>
      <c r="J35" s="449">
        <f t="shared" ref="J35" si="4">H35-I35</f>
        <v>5000</v>
      </c>
      <c r="K35" s="86" t="s">
        <v>769</v>
      </c>
      <c r="L35" s="44"/>
      <c r="M35" s="229">
        <f>SUM(M36:M37)</f>
        <v>5000</v>
      </c>
    </row>
    <row r="36" spans="1:13">
      <c r="A36" s="65"/>
      <c r="B36" s="67"/>
      <c r="C36" s="67"/>
      <c r="D36" s="148"/>
      <c r="E36" s="193"/>
      <c r="F36" s="193"/>
      <c r="G36" s="70"/>
      <c r="H36" s="76"/>
      <c r="I36" s="76"/>
      <c r="J36" s="76"/>
      <c r="K36" s="488" t="s">
        <v>749</v>
      </c>
      <c r="L36" s="45"/>
      <c r="M36" s="194"/>
    </row>
    <row r="37" spans="1:13">
      <c r="A37" s="65"/>
      <c r="B37" s="67"/>
      <c r="C37" s="67"/>
      <c r="D37" s="148"/>
      <c r="E37" s="193"/>
      <c r="F37" s="193"/>
      <c r="G37" s="72"/>
      <c r="H37" s="73"/>
      <c r="I37" s="73"/>
      <c r="J37" s="73"/>
      <c r="K37" s="411" t="s">
        <v>770</v>
      </c>
      <c r="L37" s="412" t="s">
        <v>480</v>
      </c>
      <c r="M37" s="420">
        <v>5000</v>
      </c>
    </row>
    <row r="38" spans="1:13">
      <c r="A38" s="65"/>
      <c r="B38" s="67"/>
      <c r="C38" s="67"/>
      <c r="D38" s="148"/>
      <c r="E38" s="193"/>
      <c r="F38" s="193"/>
      <c r="G38" s="70" t="s">
        <v>575</v>
      </c>
      <c r="H38" s="449">
        <f>M38</f>
        <v>50000</v>
      </c>
      <c r="I38" s="75">
        <v>26000</v>
      </c>
      <c r="J38" s="449">
        <f t="shared" si="3"/>
        <v>24000</v>
      </c>
      <c r="K38" s="86" t="s">
        <v>490</v>
      </c>
      <c r="L38" s="44"/>
      <c r="M38" s="229">
        <f>SUM(M39:M40,M42)</f>
        <v>50000</v>
      </c>
    </row>
    <row r="39" spans="1:13">
      <c r="A39" s="65"/>
      <c r="B39" s="67"/>
      <c r="C39" s="67"/>
      <c r="D39" s="148"/>
      <c r="E39" s="193"/>
      <c r="F39" s="193"/>
      <c r="G39" s="70"/>
      <c r="H39" s="76"/>
      <c r="I39" s="76"/>
      <c r="J39" s="76"/>
      <c r="K39" s="232" t="s">
        <v>495</v>
      </c>
      <c r="L39" s="45" t="s">
        <v>232</v>
      </c>
      <c r="M39" s="194">
        <v>21000</v>
      </c>
    </row>
    <row r="40" spans="1:13">
      <c r="A40" s="65"/>
      <c r="B40" s="67"/>
      <c r="C40" s="67"/>
      <c r="D40" s="148"/>
      <c r="E40" s="193"/>
      <c r="F40" s="193"/>
      <c r="G40" s="70"/>
      <c r="H40" s="76"/>
      <c r="I40" s="76"/>
      <c r="J40" s="76"/>
      <c r="K40" s="232" t="s">
        <v>496</v>
      </c>
      <c r="L40" s="45" t="s">
        <v>480</v>
      </c>
      <c r="M40" s="194">
        <v>5000</v>
      </c>
    </row>
    <row r="41" spans="1:13">
      <c r="A41" s="65"/>
      <c r="B41" s="67"/>
      <c r="C41" s="67"/>
      <c r="D41" s="148"/>
      <c r="E41" s="193"/>
      <c r="F41" s="193"/>
      <c r="G41" s="70"/>
      <c r="H41" s="76"/>
      <c r="I41" s="76"/>
      <c r="J41" s="76"/>
      <c r="K41" s="488" t="s">
        <v>749</v>
      </c>
      <c r="L41" s="45"/>
      <c r="M41" s="194"/>
    </row>
    <row r="42" spans="1:13">
      <c r="A42" s="65"/>
      <c r="B42" s="67"/>
      <c r="C42" s="67"/>
      <c r="D42" s="148"/>
      <c r="E42" s="193"/>
      <c r="F42" s="193"/>
      <c r="G42" s="72"/>
      <c r="H42" s="73"/>
      <c r="I42" s="73"/>
      <c r="J42" s="73"/>
      <c r="K42" s="411" t="s">
        <v>790</v>
      </c>
      <c r="L42" s="412" t="s">
        <v>480</v>
      </c>
      <c r="M42" s="420">
        <v>24000</v>
      </c>
    </row>
    <row r="43" spans="1:13">
      <c r="A43" s="311"/>
      <c r="B43" s="309" t="s">
        <v>279</v>
      </c>
      <c r="C43" s="283"/>
      <c r="D43" s="284"/>
      <c r="E43" s="284"/>
      <c r="F43" s="284"/>
      <c r="G43" s="285"/>
      <c r="H43" s="97">
        <f>H44</f>
        <v>950000</v>
      </c>
      <c r="I43" s="97">
        <v>950000</v>
      </c>
      <c r="J43" s="98">
        <f>H43-I43</f>
        <v>0</v>
      </c>
      <c r="K43" s="81"/>
      <c r="L43" s="82"/>
      <c r="M43" s="83"/>
    </row>
    <row r="44" spans="1:13">
      <c r="A44" s="10"/>
      <c r="B44" s="6"/>
      <c r="C44" s="132" t="s">
        <v>280</v>
      </c>
      <c r="D44" s="133"/>
      <c r="E44" s="133"/>
      <c r="F44" s="133"/>
      <c r="G44" s="134"/>
      <c r="H44" s="97">
        <f>H45+H69</f>
        <v>950000</v>
      </c>
      <c r="I44" s="97">
        <v>950000</v>
      </c>
      <c r="J44" s="98">
        <f t="shared" ref="J44:J48" si="5">H44-I44</f>
        <v>0</v>
      </c>
      <c r="K44" s="81"/>
      <c r="L44" s="82"/>
      <c r="M44" s="83"/>
    </row>
    <row r="45" spans="1:13">
      <c r="A45" s="10"/>
      <c r="B45" s="6"/>
      <c r="C45" s="7"/>
      <c r="D45" s="388" t="s">
        <v>647</v>
      </c>
      <c r="E45" s="133"/>
      <c r="F45" s="133"/>
      <c r="G45" s="134"/>
      <c r="H45" s="135">
        <f>H46+H62</f>
        <v>660000</v>
      </c>
      <c r="I45" s="135">
        <v>660000</v>
      </c>
      <c r="J45" s="98">
        <f t="shared" si="5"/>
        <v>0</v>
      </c>
      <c r="K45" s="395"/>
      <c r="L45" s="494"/>
      <c r="M45" s="512"/>
    </row>
    <row r="46" spans="1:13">
      <c r="A46" s="10"/>
      <c r="B46" s="6"/>
      <c r="C46" s="137"/>
      <c r="D46" s="138"/>
      <c r="E46" s="132" t="s">
        <v>228</v>
      </c>
      <c r="F46" s="133"/>
      <c r="G46" s="134"/>
      <c r="H46" s="94">
        <f t="shared" ref="H46" si="6">H47</f>
        <v>498000</v>
      </c>
      <c r="I46" s="94">
        <v>498000</v>
      </c>
      <c r="J46" s="98">
        <f t="shared" si="5"/>
        <v>0</v>
      </c>
      <c r="K46" s="396"/>
      <c r="L46" s="477"/>
      <c r="M46" s="478"/>
    </row>
    <row r="47" spans="1:13">
      <c r="A47" s="65"/>
      <c r="B47" s="67"/>
      <c r="C47" s="189"/>
      <c r="D47" s="190"/>
      <c r="E47" s="191"/>
      <c r="F47" s="139" t="s">
        <v>229</v>
      </c>
      <c r="G47" s="192"/>
      <c r="H47" s="74">
        <f>SUM(H48,H58)</f>
        <v>498000</v>
      </c>
      <c r="I47" s="74">
        <v>498000</v>
      </c>
      <c r="J47" s="101">
        <f t="shared" si="5"/>
        <v>0</v>
      </c>
      <c r="K47" s="513"/>
      <c r="L47" s="397"/>
      <c r="M47" s="480"/>
    </row>
    <row r="48" spans="1:13">
      <c r="A48" s="65"/>
      <c r="B48" s="67"/>
      <c r="C48" s="67"/>
      <c r="D48" s="148"/>
      <c r="E48" s="193"/>
      <c r="F48" s="193"/>
      <c r="G48" s="70" t="s">
        <v>230</v>
      </c>
      <c r="H48" s="75">
        <f>M48</f>
        <v>250000</v>
      </c>
      <c r="I48" s="75">
        <v>250000</v>
      </c>
      <c r="J48" s="41">
        <f t="shared" si="5"/>
        <v>0</v>
      </c>
      <c r="K48" s="514" t="s">
        <v>231</v>
      </c>
      <c r="L48" s="473"/>
      <c r="M48" s="474">
        <f>SUM(M49:M54,M57)</f>
        <v>250000</v>
      </c>
    </row>
    <row r="49" spans="1:13">
      <c r="A49" s="65"/>
      <c r="B49" s="67"/>
      <c r="C49" s="67"/>
      <c r="D49" s="148"/>
      <c r="E49" s="193"/>
      <c r="F49" s="193"/>
      <c r="G49" s="70"/>
      <c r="H49" s="76"/>
      <c r="I49" s="76"/>
      <c r="J49" s="50"/>
      <c r="K49" s="515" t="s">
        <v>565</v>
      </c>
      <c r="L49" s="459" t="s">
        <v>232</v>
      </c>
      <c r="M49" s="446">
        <v>40000</v>
      </c>
    </row>
    <row r="50" spans="1:13">
      <c r="A50" s="65"/>
      <c r="B50" s="67"/>
      <c r="C50" s="67"/>
      <c r="D50" s="148"/>
      <c r="E50" s="193"/>
      <c r="F50" s="193"/>
      <c r="G50" s="70"/>
      <c r="H50" s="76"/>
      <c r="I50" s="76"/>
      <c r="J50" s="50"/>
      <c r="K50" s="515" t="s">
        <v>567</v>
      </c>
      <c r="L50" s="459" t="s">
        <v>542</v>
      </c>
      <c r="M50" s="446">
        <v>16000</v>
      </c>
    </row>
    <row r="51" spans="1:13">
      <c r="A51" s="65"/>
      <c r="B51" s="67"/>
      <c r="C51" s="67"/>
      <c r="D51" s="148"/>
      <c r="E51" s="193"/>
      <c r="F51" s="193"/>
      <c r="G51" s="70"/>
      <c r="H51" s="76"/>
      <c r="I51" s="76"/>
      <c r="J51" s="50"/>
      <c r="K51" s="515" t="s">
        <v>570</v>
      </c>
      <c r="L51" s="459" t="s">
        <v>542</v>
      </c>
      <c r="M51" s="446">
        <v>24000</v>
      </c>
    </row>
    <row r="52" spans="1:13">
      <c r="A52" s="65"/>
      <c r="B52" s="67"/>
      <c r="C52" s="67"/>
      <c r="D52" s="148"/>
      <c r="E52" s="193"/>
      <c r="F52" s="193"/>
      <c r="G52" s="70"/>
      <c r="H52" s="76"/>
      <c r="I52" s="76"/>
      <c r="J52" s="50"/>
      <c r="K52" s="515" t="s">
        <v>571</v>
      </c>
      <c r="L52" s="459" t="s">
        <v>542</v>
      </c>
      <c r="M52" s="446">
        <v>100000</v>
      </c>
    </row>
    <row r="53" spans="1:13">
      <c r="A53" s="65"/>
      <c r="B53" s="67"/>
      <c r="C53" s="67"/>
      <c r="D53" s="148"/>
      <c r="E53" s="193"/>
      <c r="F53" s="193"/>
      <c r="G53" s="70"/>
      <c r="H53" s="76"/>
      <c r="I53" s="76"/>
      <c r="J53" s="50"/>
      <c r="K53" s="515" t="s">
        <v>572</v>
      </c>
      <c r="L53" s="459" t="s">
        <v>568</v>
      </c>
      <c r="M53" s="446">
        <v>30000</v>
      </c>
    </row>
    <row r="54" spans="1:13">
      <c r="A54" s="65"/>
      <c r="B54" s="67"/>
      <c r="C54" s="67"/>
      <c r="D54" s="148"/>
      <c r="E54" s="193"/>
      <c r="F54" s="193"/>
      <c r="G54" s="70"/>
      <c r="H54" s="76"/>
      <c r="I54" s="76"/>
      <c r="J54" s="50"/>
      <c r="K54" s="515" t="s">
        <v>629</v>
      </c>
      <c r="L54" s="459" t="s">
        <v>569</v>
      </c>
      <c r="M54" s="446">
        <v>40000</v>
      </c>
    </row>
    <row r="55" spans="1:13">
      <c r="A55" s="65"/>
      <c r="B55" s="67"/>
      <c r="C55" s="67"/>
      <c r="D55" s="148"/>
      <c r="E55" s="193"/>
      <c r="F55" s="193"/>
      <c r="G55" s="70"/>
      <c r="H55" s="76"/>
      <c r="I55" s="76"/>
      <c r="J55" s="50"/>
      <c r="K55" s="516" t="s">
        <v>655</v>
      </c>
      <c r="L55" s="459" t="s">
        <v>37</v>
      </c>
      <c r="M55" s="446">
        <v>200000</v>
      </c>
    </row>
    <row r="56" spans="1:13">
      <c r="A56" s="65"/>
      <c r="B56" s="67"/>
      <c r="C56" s="67"/>
      <c r="D56" s="148"/>
      <c r="E56" s="193"/>
      <c r="F56" s="193"/>
      <c r="G56" s="70"/>
      <c r="H56" s="76"/>
      <c r="I56" s="76"/>
      <c r="J56" s="50"/>
      <c r="K56" s="517" t="s">
        <v>697</v>
      </c>
      <c r="L56" s="459"/>
      <c r="M56" s="446"/>
    </row>
    <row r="57" spans="1:13">
      <c r="A57" s="65"/>
      <c r="B57" s="67"/>
      <c r="C57" s="67"/>
      <c r="D57" s="148"/>
      <c r="E57" s="193"/>
      <c r="F57" s="193"/>
      <c r="G57" s="69"/>
      <c r="H57" s="76"/>
      <c r="I57" s="76"/>
      <c r="J57" s="50"/>
      <c r="K57" s="518" t="s">
        <v>698</v>
      </c>
      <c r="L57" s="459" t="s">
        <v>542</v>
      </c>
      <c r="M57" s="446">
        <v>0</v>
      </c>
    </row>
    <row r="58" spans="1:13">
      <c r="A58" s="65"/>
      <c r="B58" s="67"/>
      <c r="C58" s="67"/>
      <c r="D58" s="148"/>
      <c r="E58" s="193"/>
      <c r="F58" s="193"/>
      <c r="G58" s="70" t="s">
        <v>233</v>
      </c>
      <c r="H58" s="75">
        <f>M58</f>
        <v>248000</v>
      </c>
      <c r="I58" s="75">
        <v>248000</v>
      </c>
      <c r="J58" s="41">
        <f t="shared" ref="J58" si="7">H58-I58</f>
        <v>0</v>
      </c>
      <c r="K58" s="514" t="s">
        <v>234</v>
      </c>
      <c r="L58" s="473"/>
      <c r="M58" s="474">
        <f>SUM(M59:M61)</f>
        <v>248000</v>
      </c>
    </row>
    <row r="59" spans="1:13">
      <c r="A59" s="65"/>
      <c r="B59" s="67"/>
      <c r="C59" s="67"/>
      <c r="D59" s="148"/>
      <c r="E59" s="193"/>
      <c r="F59" s="193"/>
      <c r="G59" s="70"/>
      <c r="H59" s="76"/>
      <c r="I59" s="76"/>
      <c r="J59" s="50"/>
      <c r="K59" s="515" t="s">
        <v>654</v>
      </c>
      <c r="L59" s="459" t="s">
        <v>0</v>
      </c>
      <c r="M59" s="446">
        <v>48000</v>
      </c>
    </row>
    <row r="60" spans="1:13">
      <c r="A60" s="65"/>
      <c r="B60" s="67"/>
      <c r="C60" s="67"/>
      <c r="D60" s="148"/>
      <c r="E60" s="193"/>
      <c r="F60" s="193"/>
      <c r="G60" s="70"/>
      <c r="H60" s="76"/>
      <c r="I60" s="76"/>
      <c r="J60" s="50"/>
      <c r="K60" s="514" t="s">
        <v>689</v>
      </c>
      <c r="L60" s="459"/>
      <c r="M60" s="465"/>
    </row>
    <row r="61" spans="1:13">
      <c r="A61" s="65"/>
      <c r="B61" s="67"/>
      <c r="C61" s="67"/>
      <c r="D61" s="148"/>
      <c r="E61" s="193"/>
      <c r="F61" s="193"/>
      <c r="G61" s="69"/>
      <c r="H61" s="73"/>
      <c r="I61" s="73"/>
      <c r="J61" s="149"/>
      <c r="K61" s="461" t="s">
        <v>699</v>
      </c>
      <c r="L61" s="462" t="s">
        <v>0</v>
      </c>
      <c r="M61" s="446">
        <v>200000</v>
      </c>
    </row>
    <row r="62" spans="1:13">
      <c r="A62" s="10"/>
      <c r="B62" s="6"/>
      <c r="C62" s="137"/>
      <c r="D62" s="265"/>
      <c r="E62" s="132" t="s">
        <v>60</v>
      </c>
      <c r="F62" s="133"/>
      <c r="G62" s="134"/>
      <c r="H62" s="94">
        <f t="shared" ref="H62" si="8">H63</f>
        <v>162000</v>
      </c>
      <c r="I62" s="94">
        <v>162000</v>
      </c>
      <c r="J62" s="98">
        <f t="shared" ref="J62:J64" si="9">H62-I62</f>
        <v>0</v>
      </c>
      <c r="K62" s="396"/>
      <c r="L62" s="477"/>
      <c r="M62" s="478"/>
    </row>
    <row r="63" spans="1:13">
      <c r="A63" s="65"/>
      <c r="B63" s="67"/>
      <c r="C63" s="189"/>
      <c r="D63" s="190"/>
      <c r="E63" s="191"/>
      <c r="F63" s="139" t="s">
        <v>61</v>
      </c>
      <c r="G63" s="192"/>
      <c r="H63" s="74">
        <f>SUM(H64,H67)</f>
        <v>162000</v>
      </c>
      <c r="I63" s="74">
        <v>162000</v>
      </c>
      <c r="J63" s="101">
        <f t="shared" si="9"/>
        <v>0</v>
      </c>
      <c r="K63" s="513"/>
      <c r="L63" s="397"/>
      <c r="M63" s="480"/>
    </row>
    <row r="64" spans="1:13">
      <c r="A64" s="65"/>
      <c r="B64" s="67"/>
      <c r="C64" s="67"/>
      <c r="D64" s="148"/>
      <c r="E64" s="193"/>
      <c r="F64" s="193"/>
      <c r="G64" s="70" t="s">
        <v>563</v>
      </c>
      <c r="H64" s="75">
        <f>M64</f>
        <v>132000</v>
      </c>
      <c r="I64" s="75">
        <v>132000</v>
      </c>
      <c r="J64" s="41">
        <f t="shared" si="9"/>
        <v>0</v>
      </c>
      <c r="K64" s="514" t="s">
        <v>566</v>
      </c>
      <c r="L64" s="473"/>
      <c r="M64" s="474">
        <f>SUM(M65:M66)</f>
        <v>132000</v>
      </c>
    </row>
    <row r="65" spans="1:13">
      <c r="A65" s="65"/>
      <c r="B65" s="67"/>
      <c r="C65" s="67"/>
      <c r="D65" s="148"/>
      <c r="E65" s="193"/>
      <c r="F65" s="193"/>
      <c r="G65" s="70"/>
      <c r="H65" s="76"/>
      <c r="I65" s="76"/>
      <c r="J65" s="50"/>
      <c r="K65" s="515" t="s">
        <v>573</v>
      </c>
      <c r="L65" s="459" t="s">
        <v>649</v>
      </c>
      <c r="M65" s="446">
        <v>32000</v>
      </c>
    </row>
    <row r="66" spans="1:13">
      <c r="A66" s="65"/>
      <c r="B66" s="67"/>
      <c r="C66" s="67"/>
      <c r="D66" s="148"/>
      <c r="E66" s="193"/>
      <c r="F66" s="193"/>
      <c r="G66" s="70"/>
      <c r="H66" s="76"/>
      <c r="I66" s="76"/>
      <c r="J66" s="50"/>
      <c r="K66" s="461" t="s">
        <v>574</v>
      </c>
      <c r="L66" s="459" t="s">
        <v>232</v>
      </c>
      <c r="M66" s="446">
        <v>100000</v>
      </c>
    </row>
    <row r="67" spans="1:13">
      <c r="A67" s="65"/>
      <c r="B67" s="67"/>
      <c r="C67" s="67"/>
      <c r="D67" s="148"/>
      <c r="E67" s="193"/>
      <c r="F67" s="193"/>
      <c r="G67" s="66" t="s">
        <v>575</v>
      </c>
      <c r="H67" s="75">
        <f>M67</f>
        <v>30000</v>
      </c>
      <c r="I67" s="75">
        <v>30000</v>
      </c>
      <c r="J67" s="41">
        <f t="shared" ref="J67" si="10">H67-I67</f>
        <v>0</v>
      </c>
      <c r="K67" s="514" t="s">
        <v>576</v>
      </c>
      <c r="L67" s="473"/>
      <c r="M67" s="474">
        <f>SUM(M68:M68)</f>
        <v>30000</v>
      </c>
    </row>
    <row r="68" spans="1:13">
      <c r="A68" s="65"/>
      <c r="B68" s="67"/>
      <c r="C68" s="67"/>
      <c r="D68" s="264"/>
      <c r="E68" s="286"/>
      <c r="F68" s="286"/>
      <c r="G68" s="69"/>
      <c r="H68" s="73"/>
      <c r="I68" s="73"/>
      <c r="J68" s="149"/>
      <c r="K68" s="461" t="s">
        <v>648</v>
      </c>
      <c r="L68" s="462" t="s">
        <v>232</v>
      </c>
      <c r="M68" s="467">
        <v>30000</v>
      </c>
    </row>
    <row r="69" spans="1:13">
      <c r="A69" s="10"/>
      <c r="B69" s="6"/>
      <c r="C69" s="6"/>
      <c r="D69" s="283" t="s">
        <v>561</v>
      </c>
      <c r="E69" s="284"/>
      <c r="F69" s="284"/>
      <c r="G69" s="285"/>
      <c r="H69" s="348">
        <f>H70+H80</f>
        <v>290000</v>
      </c>
      <c r="I69" s="348">
        <v>290000</v>
      </c>
      <c r="J69" s="98">
        <f t="shared" ref="J69:J70" si="11">H69-I69</f>
        <v>0</v>
      </c>
      <c r="K69" s="395"/>
      <c r="L69" s="494"/>
      <c r="M69" s="512"/>
    </row>
    <row r="70" spans="1:13">
      <c r="A70" s="10"/>
      <c r="B70" s="6"/>
      <c r="C70" s="137"/>
      <c r="D70" s="138"/>
      <c r="E70" s="132" t="s">
        <v>228</v>
      </c>
      <c r="F70" s="133"/>
      <c r="G70" s="134"/>
      <c r="H70" s="94">
        <f>H71</f>
        <v>173250</v>
      </c>
      <c r="I70" s="94">
        <v>173250</v>
      </c>
      <c r="J70" s="98">
        <f t="shared" si="11"/>
        <v>0</v>
      </c>
      <c r="K70" s="396"/>
      <c r="L70" s="477"/>
      <c r="M70" s="478"/>
    </row>
    <row r="71" spans="1:13">
      <c r="A71" s="65"/>
      <c r="B71" s="67"/>
      <c r="C71" s="189"/>
      <c r="D71" s="190"/>
      <c r="E71" s="191"/>
      <c r="F71" s="139" t="s">
        <v>229</v>
      </c>
      <c r="G71" s="192"/>
      <c r="H71" s="74">
        <f>SUM(H72,H76)</f>
        <v>173250</v>
      </c>
      <c r="I71" s="74">
        <v>173250</v>
      </c>
      <c r="J71" s="101">
        <f>H71-I71</f>
        <v>0</v>
      </c>
      <c r="K71" s="513"/>
      <c r="L71" s="397"/>
      <c r="M71" s="480"/>
    </row>
    <row r="72" spans="1:13">
      <c r="A72" s="65"/>
      <c r="B72" s="67"/>
      <c r="C72" s="67"/>
      <c r="D72" s="148"/>
      <c r="E72" s="193"/>
      <c r="F72" s="193"/>
      <c r="G72" s="70" t="s">
        <v>36</v>
      </c>
      <c r="H72" s="75">
        <f>M72</f>
        <v>3250</v>
      </c>
      <c r="I72" s="75">
        <v>3250</v>
      </c>
      <c r="J72" s="41">
        <f>H72-I72</f>
        <v>0</v>
      </c>
      <c r="K72" s="514" t="s">
        <v>64</v>
      </c>
      <c r="L72" s="473"/>
      <c r="M72" s="474">
        <f>SUM(M74:M75)</f>
        <v>3250</v>
      </c>
    </row>
    <row r="73" spans="1:13">
      <c r="A73" s="65"/>
      <c r="B73" s="67"/>
      <c r="C73" s="67"/>
      <c r="D73" s="148"/>
      <c r="E73" s="193"/>
      <c r="F73" s="193"/>
      <c r="G73" s="70"/>
      <c r="H73" s="76"/>
      <c r="I73" s="76"/>
      <c r="J73" s="50"/>
      <c r="K73" s="517" t="s">
        <v>700</v>
      </c>
      <c r="L73" s="459"/>
      <c r="M73" s="446"/>
    </row>
    <row r="74" spans="1:13">
      <c r="A74" s="65"/>
      <c r="B74" s="67"/>
      <c r="C74" s="67"/>
      <c r="D74" s="148"/>
      <c r="E74" s="193"/>
      <c r="F74" s="193"/>
      <c r="G74" s="67"/>
      <c r="H74" s="76"/>
      <c r="I74" s="76"/>
      <c r="J74" s="50"/>
      <c r="K74" s="515" t="s">
        <v>701</v>
      </c>
      <c r="L74" s="459" t="s">
        <v>37</v>
      </c>
      <c r="M74" s="446">
        <f>250*9</f>
        <v>2250</v>
      </c>
    </row>
    <row r="75" spans="1:13">
      <c r="A75" s="65"/>
      <c r="B75" s="67"/>
      <c r="C75" s="67"/>
      <c r="D75" s="148"/>
      <c r="E75" s="193"/>
      <c r="F75" s="193"/>
      <c r="G75" s="69"/>
      <c r="H75" s="73"/>
      <c r="I75" s="73"/>
      <c r="J75" s="149"/>
      <c r="K75" s="461" t="s">
        <v>702</v>
      </c>
      <c r="L75" s="462" t="s">
        <v>37</v>
      </c>
      <c r="M75" s="467">
        <v>1000</v>
      </c>
    </row>
    <row r="76" spans="1:13">
      <c r="A76" s="65"/>
      <c r="B76" s="67"/>
      <c r="C76" s="67"/>
      <c r="D76" s="148"/>
      <c r="E76" s="193"/>
      <c r="F76" s="193"/>
      <c r="G76" s="70" t="s">
        <v>233</v>
      </c>
      <c r="H76" s="76">
        <f>M76</f>
        <v>170000</v>
      </c>
      <c r="I76" s="76">
        <v>170000</v>
      </c>
      <c r="J76" s="50">
        <f>H76-I76</f>
        <v>0</v>
      </c>
      <c r="K76" s="514" t="s">
        <v>234</v>
      </c>
      <c r="L76" s="459"/>
      <c r="M76" s="465">
        <f>M79</f>
        <v>170000</v>
      </c>
    </row>
    <row r="77" spans="1:13">
      <c r="A77" s="65"/>
      <c r="B77" s="67"/>
      <c r="C77" s="67"/>
      <c r="D77" s="148"/>
      <c r="E77" s="193"/>
      <c r="F77" s="193"/>
      <c r="G77" s="70"/>
      <c r="H77" s="76"/>
      <c r="I77" s="76"/>
      <c r="J77" s="50"/>
      <c r="K77" s="515" t="s">
        <v>628</v>
      </c>
      <c r="L77" s="459" t="s">
        <v>0</v>
      </c>
      <c r="M77" s="446">
        <v>120000</v>
      </c>
    </row>
    <row r="78" spans="1:13">
      <c r="A78" s="65"/>
      <c r="B78" s="67"/>
      <c r="C78" s="67"/>
      <c r="D78" s="148"/>
      <c r="E78" s="193"/>
      <c r="F78" s="193"/>
      <c r="G78" s="70"/>
      <c r="H78" s="76"/>
      <c r="I78" s="76"/>
      <c r="J78" s="50"/>
      <c r="K78" s="514" t="s">
        <v>703</v>
      </c>
      <c r="L78" s="459"/>
      <c r="M78" s="465"/>
    </row>
    <row r="79" spans="1:13">
      <c r="A79" s="65"/>
      <c r="B79" s="67"/>
      <c r="C79" s="67"/>
      <c r="D79" s="148"/>
      <c r="E79" s="193"/>
      <c r="F79" s="193"/>
      <c r="G79" s="69"/>
      <c r="H79" s="73"/>
      <c r="I79" s="73"/>
      <c r="J79" s="149"/>
      <c r="K79" s="461" t="s">
        <v>704</v>
      </c>
      <c r="L79" s="462" t="s">
        <v>0</v>
      </c>
      <c r="M79" s="446">
        <v>170000</v>
      </c>
    </row>
    <row r="80" spans="1:13">
      <c r="A80" s="10"/>
      <c r="B80" s="6"/>
      <c r="C80" s="137"/>
      <c r="D80" s="265"/>
      <c r="E80" s="132" t="s">
        <v>60</v>
      </c>
      <c r="F80" s="133"/>
      <c r="G80" s="134"/>
      <c r="H80" s="94">
        <f t="shared" ref="H80" si="12">H81</f>
        <v>116750</v>
      </c>
      <c r="I80" s="94">
        <v>116750</v>
      </c>
      <c r="J80" s="98">
        <f>H80-I80</f>
        <v>0</v>
      </c>
      <c r="K80" s="396"/>
      <c r="L80" s="477"/>
      <c r="M80" s="478"/>
    </row>
    <row r="81" spans="1:13">
      <c r="A81" s="65"/>
      <c r="B81" s="67"/>
      <c r="C81" s="189"/>
      <c r="D81" s="190"/>
      <c r="E81" s="191"/>
      <c r="F81" s="139" t="s">
        <v>562</v>
      </c>
      <c r="G81" s="192"/>
      <c r="H81" s="74">
        <f>H82</f>
        <v>116750</v>
      </c>
      <c r="I81" s="74">
        <v>116750</v>
      </c>
      <c r="J81" s="101">
        <f t="shared" ref="J81:J82" si="13">H81-I81</f>
        <v>0</v>
      </c>
      <c r="K81" s="513"/>
      <c r="L81" s="397"/>
      <c r="M81" s="480"/>
    </row>
    <row r="82" spans="1:13">
      <c r="A82" s="65"/>
      <c r="B82" s="67"/>
      <c r="C82" s="67"/>
      <c r="D82" s="148"/>
      <c r="E82" s="193"/>
      <c r="F82" s="193"/>
      <c r="G82" s="70" t="s">
        <v>563</v>
      </c>
      <c r="H82" s="75">
        <f>M82</f>
        <v>116750</v>
      </c>
      <c r="I82" s="75">
        <v>116750</v>
      </c>
      <c r="J82" s="41">
        <f t="shared" si="13"/>
        <v>0</v>
      </c>
      <c r="K82" s="514" t="s">
        <v>564</v>
      </c>
      <c r="L82" s="473"/>
      <c r="M82" s="474">
        <f>SUM(M85:M85)</f>
        <v>116750</v>
      </c>
    </row>
    <row r="83" spans="1:13">
      <c r="A83" s="65"/>
      <c r="B83" s="67"/>
      <c r="C83" s="67"/>
      <c r="D83" s="148"/>
      <c r="E83" s="193"/>
      <c r="F83" s="193"/>
      <c r="G83" s="70"/>
      <c r="H83" s="76"/>
      <c r="I83" s="76"/>
      <c r="J83" s="50"/>
      <c r="K83" s="519" t="s">
        <v>705</v>
      </c>
      <c r="L83" s="459" t="s">
        <v>0</v>
      </c>
      <c r="M83" s="446">
        <v>170000</v>
      </c>
    </row>
    <row r="84" spans="1:13">
      <c r="A84" s="65"/>
      <c r="B84" s="67"/>
      <c r="C84" s="67"/>
      <c r="D84" s="148"/>
      <c r="E84" s="193"/>
      <c r="F84" s="193"/>
      <c r="G84" s="70"/>
      <c r="H84" s="76"/>
      <c r="I84" s="76"/>
      <c r="J84" s="50"/>
      <c r="K84" s="514" t="s">
        <v>689</v>
      </c>
      <c r="L84" s="459"/>
      <c r="M84" s="465"/>
    </row>
    <row r="85" spans="1:13" ht="17.25" thickBot="1">
      <c r="A85" s="313"/>
      <c r="B85" s="71"/>
      <c r="C85" s="71"/>
      <c r="D85" s="314"/>
      <c r="E85" s="315"/>
      <c r="F85" s="315"/>
      <c r="G85" s="71"/>
      <c r="H85" s="316"/>
      <c r="I85" s="316"/>
      <c r="J85" s="243"/>
      <c r="K85" s="520" t="s">
        <v>706</v>
      </c>
      <c r="L85" s="500" t="s">
        <v>0</v>
      </c>
      <c r="M85" s="489">
        <v>116750</v>
      </c>
    </row>
    <row r="88" spans="1:13">
      <c r="G88" s="383"/>
    </row>
  </sheetData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85" priority="19" operator="containsText" text="허하나로">
      <formula>NOT(ISERROR(SEARCH("허하나로",H787)))</formula>
    </cfRule>
    <cfRule type="containsText" dxfId="184" priority="20" operator="containsText" text="한별">
      <formula>NOT(ISERROR(SEARCH("한별",H787)))</formula>
    </cfRule>
    <cfRule type="containsText" dxfId="183" priority="21" operator="containsText" text="정홍조">
      <formula>NOT(ISERROR(SEARCH("정홍조",H787)))</formula>
    </cfRule>
    <cfRule type="containsText" dxfId="182" priority="22" operator="containsText" text="김지윤">
      <formula>NOT(ISERROR(SEARCH("김지윤",H787)))</formula>
    </cfRule>
    <cfRule type="containsText" dxfId="181" priority="23" operator="containsText" text="전준영">
      <formula>NOT(ISERROR(SEARCH("전준영",H787)))</formula>
    </cfRule>
    <cfRule type="containsText" dxfId="180" priority="24" operator="containsText" text="차재성">
      <formula>NOT(ISERROR(SEARCH("차재성",H787)))</formula>
    </cfRule>
  </conditionalFormatting>
  <pageMargins left="0.25" right="0.25" top="0.75" bottom="0.75" header="0.3" footer="0.3"/>
  <pageSetup paperSize="9" scale="72" fitToHeight="0" orientation="landscape" r:id="rId1"/>
  <rowBreaks count="2" manualBreakCount="2">
    <brk id="37" max="16383" man="1"/>
    <brk id="68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1" operator="containsText" text="허하나로" id="{EAD63AA0-C563-4A68-A405-41D8F11AC68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2" operator="containsText" text="한별" id="{523F99FD-E80E-4C3B-B41E-773E0BE2125B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3" operator="containsText" text="정홍조" id="{6CFB9313-19D9-4A1B-9D52-28B4C4E14384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94" operator="containsText" text="김지윤" id="{C772CDEF-4B49-4CFA-A8A8-3F9A22C4AEAC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5" operator="containsText" text="전준영" id="{6FA28620-93BF-403A-89AA-DEF7EFD51B12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6" operator="containsText" text="차재성" id="{5D29B390-D6CD-4A08-9641-C0A4AF232EB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97" operator="containsText" text="허하나로" id="{DCB723A8-B16B-4F55-A142-7E36B3833F0A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98" operator="containsText" text="한별" id="{307D23A8-BCD0-41A0-879D-52FBDD86F4B2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9" operator="containsText" text="정홍조" id="{59DCB63D-60AD-4B3A-AE21-A95812E94686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0" operator="containsText" text="김지윤" id="{8BFEAD57-7A92-4AF8-98CD-5FFD139324A5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1" operator="containsText" text="전준영" id="{34BFC8A7-C9CB-4655-A80B-2A6DFFF6B991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2" operator="containsText" text="차재성" id="{B24BF2D4-DB5D-4EB4-8F4B-6D009B95AE1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85" operator="containsText" text="허하나로" id="{274D4AB6-36A7-4A65-877F-2AE74A0792B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BE363504-F5A4-4759-87D3-62329E58084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29A2C3FC-77F7-457E-93B6-F6C4C819A20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6578C41D-08D7-43C2-9741-262778BDEBD9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CEE9D741-C4E3-4621-ACCC-0A0490076D34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FB47FD5F-3927-4CA0-84D4-306DD6EF16C9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J7:J9</xm:sqref>
        </x14:conditionalFormatting>
        <x14:conditionalFormatting xmlns:xm="http://schemas.microsoft.com/office/excel/2006/main">
          <x14:cfRule type="containsText" priority="79" operator="containsText" text="허하나로" id="{8A68CF4B-600A-4514-B1C6-BC99A6F110BA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C9BBE1EB-34E5-4D2B-8BEB-595A89295550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FA0A74EB-4106-4917-BA28-B4DCE1C7584E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7735151E-B75C-4FE1-97B1-DA0A5FF54F6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2F308FA7-B9C5-41AA-865B-E466B659C76A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34A3E008-6C05-4B27-A478-07F75389ED9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61" operator="containsText" text="허하나로" id="{AF748F91-B999-4B97-A16A-710CAE99A7BF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56B3B6B6-3BE3-4430-9C7D-8585CE22A4B6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E15898C1-AC4B-4521-A18B-7ADD0D0CD7C4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73F0802D-7E5E-416D-8B9B-EDD7817575D7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8D0B8406-462F-421E-B786-8B23B0098B81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C3CB3B8F-FBC0-45CE-AA61-C66D78F29CBF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55" operator="containsText" text="허하나로" id="{4757BA95-B130-4817-952E-527895860DDA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FC6CF46E-9E86-4364-9CA5-0EE27FF7F17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BE1E2E1A-8E13-49B3-BA1A-9CB4AA6CBF56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DE6C79B6-C280-491E-AABC-F2E6C6F6DD7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28057FDF-D15E-4939-BCDB-5CEED1C16B08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2C6F487A-D78C-4C11-987B-07DA04B0CA3C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J44</xm:sqref>
        </x14:conditionalFormatting>
        <x14:conditionalFormatting xmlns:xm="http://schemas.microsoft.com/office/excel/2006/main">
          <x14:cfRule type="containsText" priority="49" operator="containsText" text="허하나로" id="{39A7311B-562A-49B1-9FC2-5CD0E73E7EA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CA90E9DA-87CC-40CA-BCF3-78DAA3FC4EE1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D6B816CE-B40F-4B67-80C5-2D55B957AD20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FE6B0A88-E49F-4FF6-90E1-C368D755ECF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FD5ACCF8-B9E0-4A64-8BFF-083D822140E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445A882D-0E1E-4F43-86F0-9F35BB9AB9BB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J43</xm:sqref>
        </x14:conditionalFormatting>
        <x14:conditionalFormatting xmlns:xm="http://schemas.microsoft.com/office/excel/2006/main">
          <x14:cfRule type="containsText" priority="37" operator="containsText" text="허하나로" id="{7783D2DD-F3E7-4BFD-922D-E976F7EBF1A5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4421D622-DBD2-4D0F-A119-CA7508CE5140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01AE0E8B-AA57-4427-AD1C-F7053F68CBA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B2E51FD6-FF3C-4225-A5DE-1F6FA3791E6B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EEA3BD86-3E58-4F35-A765-BEA8C917002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646BBEFE-000A-40F8-A39B-CA1357EC6227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J33</xm:sqref>
        </x14:conditionalFormatting>
        <x14:conditionalFormatting xmlns:xm="http://schemas.microsoft.com/office/excel/2006/main">
          <x14:cfRule type="containsText" priority="1" operator="containsText" text="허하나로" id="{660BEDFB-F36C-4F78-834B-3027E2178C4F}">
            <xm:f>NOT(ISERROR(SEARCH("허하나로",행정관리부!H1066)))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" operator="containsText" text="한별" id="{91B78A4A-0743-4E38-920A-C7637F4BB947}">
            <xm:f>NOT(ISERROR(SEARCH("한별",행정관리부!H1066)))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" operator="containsText" text="정홍조" id="{0A5FF61C-12D7-4C0B-B600-63EF43591B5F}">
            <xm:f>NOT(ISERROR(SEARCH("정홍조",행정관리부!H1066)))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" operator="containsText" text="김지윤" id="{48A35AF4-6E5C-4DEA-8860-023F87AA6E75}">
            <xm:f>NOT(ISERROR(SEARCH("김지윤",행정관리부!H1066)))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" operator="containsText" text="전준영" id="{FA9174D0-A399-466A-A852-5C7894F64DD4}">
            <xm:f>NOT(ISERROR(SEARCH("전준영",행정관리부!H1066)))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" operator="containsText" text="차재성" id="{73905FB0-BEBB-4B14-9624-B9DD59EBAB19}">
            <xm:f>NOT(ISERROR(SEARCH("차재성",행정관리부!H1066)))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J24</xm:sqref>
        </x14:conditionalFormatting>
        <x14:conditionalFormatting xmlns:xm="http://schemas.microsoft.com/office/excel/2006/main">
          <x14:cfRule type="containsText" priority="7" operator="containsText" text="허하나로" id="{7F429D3B-1679-409D-A088-9BCBF955E43A}">
            <xm:f>NOT(ISERROR(SEARCH("허하나로",행정관리부!H1065)))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B31606AC-8B17-4AAB-A4DA-70DE41A9F078}">
            <xm:f>NOT(ISERROR(SEARCH("한별",행정관리부!H1065)))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EEEB88CF-B171-45A4-86EA-EDACED0ED35F}">
            <xm:f>NOT(ISERROR(SEARCH("정홍조",행정관리부!H1065)))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948C88C1-336A-44F2-ADFE-64D48DE283C7}">
            <xm:f>NOT(ISERROR(SEARCH("김지윤",행정관리부!H1065)))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D1710EAC-88BB-4160-AD16-1ADFD2938902}">
            <xm:f>NOT(ISERROR(SEARCH("전준영",행정관리부!H1065)))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BE1F4CDE-BE54-4FC3-B9BE-48DA4B9C853B}">
            <xm:f>NOT(ISERROR(SEARCH("차재성",행정관리부!H1065)))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J22:J23</xm:sqref>
        </x14:conditionalFormatting>
        <x14:conditionalFormatting xmlns:xm="http://schemas.microsoft.com/office/excel/2006/main">
          <x14:cfRule type="containsText" priority="13" operator="containsText" text="허하나로" id="{71C36FCC-0DBC-434A-AE2E-40E91F413D68}">
            <xm:f>NOT(ISERROR(SEARCH("허하나로",행정관리부!J1199)))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E95BA0AB-DB09-4D8F-A92B-3C85BD14DA89}">
            <xm:f>NOT(ISERROR(SEARCH("한별",행정관리부!J1199)))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97CCD22F-83DF-4934-AADF-DF20AF48A467}">
            <xm:f>NOT(ISERROR(SEARCH("정홍조",행정관리부!J1199)))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6608AD71-2C12-45CD-8367-3F2A01BA7AA3}">
            <xm:f>NOT(ISERROR(SEARCH("김지윤",행정관리부!J1199)))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77151E0C-335C-4E88-997A-446FFFA0744F}">
            <xm:f>NOT(ISERROR(SEARCH("전준영",행정관리부!J1199)))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10B09A4A-8726-4AAA-82F9-FDC2622E538F}">
            <xm:f>NOT(ISERROR(SEARCH("차재성",행정관리부!J1199)))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L22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M87"/>
  <sheetViews>
    <sheetView topLeftCell="A4" zoomScale="85" zoomScaleNormal="85" workbookViewId="0">
      <selection activeCell="G42" sqref="G42"/>
    </sheetView>
  </sheetViews>
  <sheetFormatPr defaultRowHeight="16.5"/>
  <cols>
    <col min="1" max="6" width="3.875" customWidth="1"/>
    <col min="7" max="7" width="32.625" customWidth="1"/>
    <col min="8" max="10" width="14.625" customWidth="1"/>
    <col min="11" max="11" width="62.625" customWidth="1"/>
    <col min="12" max="12" width="3.875" customWidth="1"/>
    <col min="13" max="13" width="14.625" customWidth="1"/>
  </cols>
  <sheetData>
    <row r="1" spans="1:13" ht="17.25" thickBot="1">
      <c r="A1" s="91" t="s">
        <v>256</v>
      </c>
      <c r="B1" s="43"/>
      <c r="C1" s="91"/>
      <c r="D1" s="91"/>
      <c r="E1" s="91"/>
      <c r="F1" s="91"/>
      <c r="G1" s="186"/>
      <c r="H1" s="187"/>
      <c r="I1" s="187"/>
      <c r="J1" s="186"/>
      <c r="K1" s="186"/>
      <c r="L1" s="186"/>
      <c r="M1" s="305" t="s">
        <v>236</v>
      </c>
    </row>
    <row r="2" spans="1:13">
      <c r="A2" s="585" t="s">
        <v>237</v>
      </c>
      <c r="B2" s="587" t="s">
        <v>238</v>
      </c>
      <c r="C2" s="588"/>
      <c r="D2" s="589"/>
      <c r="E2" s="587" t="s">
        <v>239</v>
      </c>
      <c r="F2" s="588"/>
      <c r="G2" s="589"/>
      <c r="H2" s="565" t="s">
        <v>666</v>
      </c>
      <c r="I2" s="565" t="s">
        <v>667</v>
      </c>
      <c r="J2" s="590" t="s">
        <v>668</v>
      </c>
      <c r="K2" s="577" t="s">
        <v>1</v>
      </c>
      <c r="L2" s="577"/>
      <c r="M2" s="578"/>
    </row>
    <row r="3" spans="1:13" ht="17.25" thickBot="1">
      <c r="A3" s="586"/>
      <c r="B3" s="122" t="s">
        <v>240</v>
      </c>
      <c r="C3" s="122" t="s">
        <v>241</v>
      </c>
      <c r="D3" s="122" t="s">
        <v>242</v>
      </c>
      <c r="E3" s="122" t="s">
        <v>243</v>
      </c>
      <c r="F3" s="122" t="s">
        <v>244</v>
      </c>
      <c r="G3" s="122" t="s">
        <v>245</v>
      </c>
      <c r="H3" s="566"/>
      <c r="I3" s="566"/>
      <c r="J3" s="591"/>
      <c r="K3" s="598"/>
      <c r="L3" s="598"/>
      <c r="M3" s="599"/>
    </row>
    <row r="4" spans="1:13" ht="17.25" thickBot="1">
      <c r="A4" s="582" t="s">
        <v>246</v>
      </c>
      <c r="B4" s="583"/>
      <c r="C4" s="583"/>
      <c r="D4" s="583"/>
      <c r="E4" s="583"/>
      <c r="F4" s="583"/>
      <c r="G4" s="584"/>
      <c r="H4" s="306">
        <f>H5+H26</f>
        <v>19600000</v>
      </c>
      <c r="I4" s="351">
        <v>19600000</v>
      </c>
      <c r="J4" s="123">
        <f>H4-I4</f>
        <v>0</v>
      </c>
      <c r="K4" s="92"/>
      <c r="L4" s="93"/>
      <c r="M4" s="124"/>
    </row>
    <row r="5" spans="1:13">
      <c r="A5" s="308" t="s">
        <v>247</v>
      </c>
      <c r="B5" s="309"/>
      <c r="C5" s="284"/>
      <c r="D5" s="284"/>
      <c r="E5" s="284"/>
      <c r="F5" s="284"/>
      <c r="G5" s="285"/>
      <c r="H5" s="307">
        <f>H6+H19</f>
        <v>2500000</v>
      </c>
      <c r="I5" s="347">
        <v>2500000</v>
      </c>
      <c r="J5" s="310">
        <f t="shared" ref="J5:J11" si="0">H5-I5</f>
        <v>0</v>
      </c>
      <c r="K5" s="81"/>
      <c r="L5" s="82"/>
      <c r="M5" s="83"/>
    </row>
    <row r="6" spans="1:13">
      <c r="A6" s="311"/>
      <c r="B6" s="312" t="s">
        <v>281</v>
      </c>
      <c r="C6" s="132"/>
      <c r="D6" s="133"/>
      <c r="E6" s="133"/>
      <c r="F6" s="133"/>
      <c r="G6" s="134"/>
      <c r="H6" s="94">
        <f t="shared" ref="H6:H9" si="1">H7</f>
        <v>1000000</v>
      </c>
      <c r="I6" s="94">
        <v>1000000</v>
      </c>
      <c r="J6" s="98">
        <f>H6-I6</f>
        <v>0</v>
      </c>
      <c r="K6" s="81"/>
      <c r="L6" s="82"/>
      <c r="M6" s="83"/>
    </row>
    <row r="7" spans="1:13">
      <c r="A7" s="10"/>
      <c r="B7" s="6"/>
      <c r="C7" s="132" t="s">
        <v>282</v>
      </c>
      <c r="D7" s="133"/>
      <c r="E7" s="133"/>
      <c r="F7" s="133"/>
      <c r="G7" s="134"/>
      <c r="H7" s="97">
        <f>H8+H14</f>
        <v>1000000</v>
      </c>
      <c r="I7" s="97">
        <v>1000000</v>
      </c>
      <c r="J7" s="98">
        <f t="shared" si="0"/>
        <v>0</v>
      </c>
      <c r="K7" s="81"/>
      <c r="L7" s="82"/>
      <c r="M7" s="83"/>
    </row>
    <row r="8" spans="1:13">
      <c r="A8" s="10"/>
      <c r="B8" s="6"/>
      <c r="C8" s="7"/>
      <c r="D8" s="132" t="s">
        <v>436</v>
      </c>
      <c r="E8" s="133"/>
      <c r="F8" s="133"/>
      <c r="G8" s="134"/>
      <c r="H8" s="135">
        <f t="shared" si="1"/>
        <v>400000</v>
      </c>
      <c r="I8" s="135">
        <v>400000</v>
      </c>
      <c r="J8" s="98">
        <f t="shared" si="0"/>
        <v>0</v>
      </c>
      <c r="K8" s="84"/>
      <c r="L8" s="136"/>
      <c r="M8" s="83"/>
    </row>
    <row r="9" spans="1:13">
      <c r="A9" s="10"/>
      <c r="B9" s="6"/>
      <c r="C9" s="137"/>
      <c r="D9" s="138"/>
      <c r="E9" s="132" t="s">
        <v>248</v>
      </c>
      <c r="F9" s="133"/>
      <c r="G9" s="134"/>
      <c r="H9" s="94">
        <f t="shared" si="1"/>
        <v>400000</v>
      </c>
      <c r="I9" s="94">
        <v>400000</v>
      </c>
      <c r="J9" s="98">
        <f t="shared" si="0"/>
        <v>0</v>
      </c>
      <c r="K9" s="87"/>
      <c r="L9" s="96"/>
      <c r="M9" s="85"/>
    </row>
    <row r="10" spans="1:13">
      <c r="A10" s="65"/>
      <c r="B10" s="67"/>
      <c r="C10" s="189"/>
      <c r="D10" s="190"/>
      <c r="E10" s="191"/>
      <c r="F10" s="139" t="s">
        <v>249</v>
      </c>
      <c r="G10" s="192"/>
      <c r="H10" s="74">
        <f>H11</f>
        <v>400000</v>
      </c>
      <c r="I10" s="74">
        <v>400000</v>
      </c>
      <c r="J10" s="74">
        <f t="shared" si="0"/>
        <v>0</v>
      </c>
      <c r="K10" s="231"/>
      <c r="L10" s="54"/>
      <c r="M10" s="40"/>
    </row>
    <row r="11" spans="1:13">
      <c r="A11" s="65"/>
      <c r="B11" s="67"/>
      <c r="C11" s="67"/>
      <c r="D11" s="148"/>
      <c r="E11" s="193"/>
      <c r="F11" s="193"/>
      <c r="G11" s="70" t="s">
        <v>412</v>
      </c>
      <c r="H11" s="75">
        <f>M11</f>
        <v>400000</v>
      </c>
      <c r="I11" s="75">
        <v>400000</v>
      </c>
      <c r="J11" s="75">
        <f t="shared" si="0"/>
        <v>0</v>
      </c>
      <c r="K11" s="86" t="s">
        <v>439</v>
      </c>
      <c r="L11" s="44"/>
      <c r="M11" s="229">
        <f>SUM(M12:M13)</f>
        <v>400000</v>
      </c>
    </row>
    <row r="12" spans="1:13">
      <c r="A12" s="65"/>
      <c r="B12" s="67"/>
      <c r="C12" s="67"/>
      <c r="D12" s="148"/>
      <c r="E12" s="193"/>
      <c r="F12" s="193"/>
      <c r="G12" s="70"/>
      <c r="H12" s="76"/>
      <c r="I12" s="76"/>
      <c r="J12" s="76"/>
      <c r="K12" s="224" t="s">
        <v>474</v>
      </c>
      <c r="L12" s="45" t="s">
        <v>250</v>
      </c>
      <c r="M12" s="194">
        <v>280000</v>
      </c>
    </row>
    <row r="13" spans="1:13">
      <c r="A13" s="65"/>
      <c r="B13" s="67"/>
      <c r="C13" s="67"/>
      <c r="D13" s="148"/>
      <c r="E13" s="193"/>
      <c r="F13" s="193"/>
      <c r="G13" s="70"/>
      <c r="H13" s="76"/>
      <c r="I13" s="76"/>
      <c r="J13" s="76"/>
      <c r="K13" s="224" t="s">
        <v>517</v>
      </c>
      <c r="L13" s="45" t="s">
        <v>250</v>
      </c>
      <c r="M13" s="194">
        <v>120000</v>
      </c>
    </row>
    <row r="14" spans="1:13">
      <c r="A14" s="10"/>
      <c r="B14" s="6"/>
      <c r="C14" s="6"/>
      <c r="D14" s="132" t="s">
        <v>438</v>
      </c>
      <c r="E14" s="133"/>
      <c r="F14" s="133"/>
      <c r="G14" s="134"/>
      <c r="H14" s="135">
        <f t="shared" ref="H14:H15" si="2">H15</f>
        <v>600000</v>
      </c>
      <c r="I14" s="135">
        <v>600000</v>
      </c>
      <c r="J14" s="95">
        <f t="shared" ref="J14:J17" si="3">H14-I14</f>
        <v>0</v>
      </c>
      <c r="K14" s="163"/>
      <c r="L14" s="152"/>
      <c r="M14" s="153"/>
    </row>
    <row r="15" spans="1:13">
      <c r="A15" s="10"/>
      <c r="B15" s="6"/>
      <c r="C15" s="137"/>
      <c r="D15" s="138"/>
      <c r="E15" s="132" t="s">
        <v>248</v>
      </c>
      <c r="F15" s="133"/>
      <c r="G15" s="134"/>
      <c r="H15" s="94">
        <f t="shared" si="2"/>
        <v>600000</v>
      </c>
      <c r="I15" s="94">
        <v>600000</v>
      </c>
      <c r="J15" s="98">
        <f t="shared" si="3"/>
        <v>0</v>
      </c>
      <c r="K15" s="87"/>
      <c r="L15" s="96"/>
      <c r="M15" s="85"/>
    </row>
    <row r="16" spans="1:13">
      <c r="A16" s="65"/>
      <c r="B16" s="67"/>
      <c r="C16" s="189"/>
      <c r="D16" s="190"/>
      <c r="E16" s="191"/>
      <c r="F16" s="139" t="s">
        <v>249</v>
      </c>
      <c r="G16" s="192"/>
      <c r="H16" s="74">
        <f>H17</f>
        <v>600000</v>
      </c>
      <c r="I16" s="74">
        <v>600000</v>
      </c>
      <c r="J16" s="74">
        <f t="shared" si="3"/>
        <v>0</v>
      </c>
      <c r="K16" s="231"/>
      <c r="L16" s="54"/>
      <c r="M16" s="40"/>
    </row>
    <row r="17" spans="1:13">
      <c r="A17" s="65"/>
      <c r="B17" s="67"/>
      <c r="C17" s="67"/>
      <c r="D17" s="148"/>
      <c r="E17" s="193"/>
      <c r="F17" s="193"/>
      <c r="G17" s="70" t="s">
        <v>412</v>
      </c>
      <c r="H17" s="75">
        <f>M17</f>
        <v>600000</v>
      </c>
      <c r="I17" s="75">
        <v>600000</v>
      </c>
      <c r="J17" s="75">
        <f t="shared" si="3"/>
        <v>0</v>
      </c>
      <c r="K17" s="86" t="s">
        <v>439</v>
      </c>
      <c r="L17" s="44"/>
      <c r="M17" s="229">
        <f>M18</f>
        <v>600000</v>
      </c>
    </row>
    <row r="18" spans="1:13">
      <c r="A18" s="65"/>
      <c r="B18" s="67"/>
      <c r="C18" s="67"/>
      <c r="D18" s="148"/>
      <c r="E18" s="193"/>
      <c r="F18" s="193"/>
      <c r="G18" s="70"/>
      <c r="H18" s="76"/>
      <c r="I18" s="76"/>
      <c r="J18" s="76"/>
      <c r="K18" s="226" t="s">
        <v>440</v>
      </c>
      <c r="L18" s="45" t="s">
        <v>250</v>
      </c>
      <c r="M18" s="200">
        <v>600000</v>
      </c>
    </row>
    <row r="19" spans="1:13">
      <c r="A19" s="311"/>
      <c r="B19" s="312" t="s">
        <v>437</v>
      </c>
      <c r="C19" s="132"/>
      <c r="D19" s="133"/>
      <c r="E19" s="133"/>
      <c r="F19" s="133"/>
      <c r="G19" s="134"/>
      <c r="H19" s="94">
        <f t="shared" ref="H19" si="4">H20</f>
        <v>1500000</v>
      </c>
      <c r="I19" s="94">
        <v>1500000</v>
      </c>
      <c r="J19" s="95">
        <f>H19-I19</f>
        <v>0</v>
      </c>
      <c r="K19" s="81"/>
      <c r="L19" s="152"/>
      <c r="M19" s="83"/>
    </row>
    <row r="20" spans="1:13">
      <c r="A20" s="10"/>
      <c r="B20" s="6"/>
      <c r="C20" s="132" t="s">
        <v>319</v>
      </c>
      <c r="D20" s="133"/>
      <c r="E20" s="133"/>
      <c r="F20" s="133"/>
      <c r="G20" s="134"/>
      <c r="H20" s="94">
        <f t="shared" ref="H20:H22" si="5">H21</f>
        <v>1500000</v>
      </c>
      <c r="I20" s="94">
        <v>1500000</v>
      </c>
      <c r="J20" s="95">
        <f t="shared" ref="J20:J24" si="6">H20-I20</f>
        <v>0</v>
      </c>
      <c r="K20" s="162"/>
      <c r="L20" s="152"/>
      <c r="M20" s="153"/>
    </row>
    <row r="21" spans="1:13">
      <c r="A21" s="10"/>
      <c r="B21" s="6"/>
      <c r="C21" s="7"/>
      <c r="D21" s="132" t="s">
        <v>320</v>
      </c>
      <c r="E21" s="133"/>
      <c r="F21" s="133"/>
      <c r="G21" s="134"/>
      <c r="H21" s="135">
        <f t="shared" si="5"/>
        <v>1500000</v>
      </c>
      <c r="I21" s="135">
        <v>1500000</v>
      </c>
      <c r="J21" s="98">
        <f t="shared" si="6"/>
        <v>0</v>
      </c>
      <c r="K21" s="84"/>
      <c r="L21" s="136"/>
      <c r="M21" s="83"/>
    </row>
    <row r="22" spans="1:13">
      <c r="A22" s="10"/>
      <c r="B22" s="6"/>
      <c r="C22" s="137"/>
      <c r="D22" s="138"/>
      <c r="E22" s="132" t="s">
        <v>248</v>
      </c>
      <c r="F22" s="133"/>
      <c r="G22" s="134"/>
      <c r="H22" s="94">
        <f t="shared" si="5"/>
        <v>1500000</v>
      </c>
      <c r="I22" s="94">
        <v>1500000</v>
      </c>
      <c r="J22" s="98">
        <f t="shared" si="6"/>
        <v>0</v>
      </c>
      <c r="K22" s="87"/>
      <c r="L22" s="96"/>
      <c r="M22" s="85"/>
    </row>
    <row r="23" spans="1:13">
      <c r="A23" s="65"/>
      <c r="B23" s="67"/>
      <c r="C23" s="189"/>
      <c r="D23" s="190"/>
      <c r="E23" s="191"/>
      <c r="F23" s="139" t="s">
        <v>249</v>
      </c>
      <c r="G23" s="192"/>
      <c r="H23" s="74">
        <f>H24</f>
        <v>1500000</v>
      </c>
      <c r="I23" s="74">
        <v>1500000</v>
      </c>
      <c r="J23" s="74">
        <f t="shared" si="6"/>
        <v>0</v>
      </c>
      <c r="K23" s="231"/>
      <c r="L23" s="54"/>
      <c r="M23" s="40"/>
    </row>
    <row r="24" spans="1:13">
      <c r="A24" s="65"/>
      <c r="B24" s="67"/>
      <c r="C24" s="67"/>
      <c r="D24" s="148"/>
      <c r="E24" s="193"/>
      <c r="F24" s="193"/>
      <c r="G24" s="70" t="s">
        <v>65</v>
      </c>
      <c r="H24" s="75">
        <f>M24</f>
        <v>1500000</v>
      </c>
      <c r="I24" s="75">
        <v>1500000</v>
      </c>
      <c r="J24" s="75">
        <f t="shared" si="6"/>
        <v>0</v>
      </c>
      <c r="K24" s="86" t="s">
        <v>441</v>
      </c>
      <c r="L24" s="44"/>
      <c r="M24" s="229">
        <f>SUM(M25:M25)</f>
        <v>1500000</v>
      </c>
    </row>
    <row r="25" spans="1:13" ht="17.25" thickBot="1">
      <c r="A25" s="313"/>
      <c r="B25" s="71"/>
      <c r="C25" s="71"/>
      <c r="D25" s="314"/>
      <c r="E25" s="315"/>
      <c r="F25" s="315"/>
      <c r="G25" s="385"/>
      <c r="H25" s="316"/>
      <c r="I25" s="316"/>
      <c r="J25" s="316"/>
      <c r="K25" s="244" t="s">
        <v>442</v>
      </c>
      <c r="L25" s="357" t="s">
        <v>250</v>
      </c>
      <c r="M25" s="258">
        <v>1500000</v>
      </c>
    </row>
    <row r="26" spans="1:13">
      <c r="A26" s="308" t="s">
        <v>200</v>
      </c>
      <c r="B26" s="309"/>
      <c r="C26" s="284"/>
      <c r="D26" s="284"/>
      <c r="E26" s="284"/>
      <c r="F26" s="284"/>
      <c r="G26" s="285"/>
      <c r="H26" s="347">
        <f>H27+H71</f>
        <v>17100000</v>
      </c>
      <c r="I26" s="347">
        <v>17100000</v>
      </c>
      <c r="J26" s="310">
        <f t="shared" ref="J26" si="7">H26-I26</f>
        <v>0</v>
      </c>
      <c r="K26" s="81"/>
      <c r="L26" s="82"/>
      <c r="M26" s="83"/>
    </row>
    <row r="27" spans="1:13">
      <c r="A27" s="311"/>
      <c r="B27" s="312" t="s">
        <v>283</v>
      </c>
      <c r="C27" s="132"/>
      <c r="D27" s="133"/>
      <c r="E27" s="133"/>
      <c r="F27" s="133"/>
      <c r="G27" s="134"/>
      <c r="H27" s="94">
        <f t="shared" ref="H27:H30" si="8">H28</f>
        <v>10300000</v>
      </c>
      <c r="I27" s="94">
        <v>10300000</v>
      </c>
      <c r="J27" s="98">
        <f>H27-I27</f>
        <v>0</v>
      </c>
      <c r="K27" s="81"/>
      <c r="L27" s="82"/>
      <c r="M27" s="83"/>
    </row>
    <row r="28" spans="1:13">
      <c r="A28" s="10"/>
      <c r="B28" s="6"/>
      <c r="C28" s="132" t="s">
        <v>285</v>
      </c>
      <c r="D28" s="133"/>
      <c r="E28" s="133"/>
      <c r="F28" s="133"/>
      <c r="G28" s="134"/>
      <c r="H28" s="97">
        <f>SUM(H29,H43,H57,H64)</f>
        <v>10300000</v>
      </c>
      <c r="I28" s="97">
        <v>10300000</v>
      </c>
      <c r="J28" s="98">
        <f t="shared" ref="J28:J32" si="9">H28-I28</f>
        <v>0</v>
      </c>
      <c r="K28" s="81"/>
      <c r="L28" s="82"/>
      <c r="M28" s="83"/>
    </row>
    <row r="29" spans="1:13">
      <c r="A29" s="10"/>
      <c r="B29" s="6"/>
      <c r="C29" s="7"/>
      <c r="D29" s="132" t="s">
        <v>471</v>
      </c>
      <c r="E29" s="133"/>
      <c r="F29" s="133"/>
      <c r="G29" s="134"/>
      <c r="H29" s="135">
        <f t="shared" si="8"/>
        <v>5000000</v>
      </c>
      <c r="I29" s="135">
        <v>5000000</v>
      </c>
      <c r="J29" s="98">
        <f t="shared" si="9"/>
        <v>0</v>
      </c>
      <c r="K29" s="84"/>
      <c r="L29" s="136"/>
      <c r="M29" s="83"/>
    </row>
    <row r="30" spans="1:13">
      <c r="A30" s="10"/>
      <c r="B30" s="6"/>
      <c r="C30" s="137"/>
      <c r="D30" s="138"/>
      <c r="E30" s="132" t="s">
        <v>503</v>
      </c>
      <c r="F30" s="133"/>
      <c r="G30" s="134"/>
      <c r="H30" s="94">
        <f t="shared" si="8"/>
        <v>5000000</v>
      </c>
      <c r="I30" s="94">
        <v>5000000</v>
      </c>
      <c r="J30" s="98">
        <f t="shared" si="9"/>
        <v>0</v>
      </c>
      <c r="K30" s="87"/>
      <c r="L30" s="96"/>
      <c r="M30" s="85"/>
    </row>
    <row r="31" spans="1:13">
      <c r="A31" s="65"/>
      <c r="B31" s="67"/>
      <c r="C31" s="189"/>
      <c r="D31" s="190"/>
      <c r="E31" s="191"/>
      <c r="F31" s="139" t="s">
        <v>504</v>
      </c>
      <c r="G31" s="192"/>
      <c r="H31" s="74">
        <f>SUM(H32,H36,H39)</f>
        <v>5000000</v>
      </c>
      <c r="I31" s="74">
        <v>5000000</v>
      </c>
      <c r="J31" s="74">
        <f t="shared" si="9"/>
        <v>0</v>
      </c>
      <c r="K31" s="231"/>
      <c r="L31" s="54"/>
      <c r="M31" s="40"/>
    </row>
    <row r="32" spans="1:13">
      <c r="A32" s="65"/>
      <c r="B32" s="67"/>
      <c r="C32" s="67"/>
      <c r="D32" s="148"/>
      <c r="E32" s="193"/>
      <c r="F32" s="193"/>
      <c r="G32" s="66" t="s">
        <v>501</v>
      </c>
      <c r="H32" s="75">
        <f>M32</f>
        <v>4737175</v>
      </c>
      <c r="I32" s="75">
        <v>4986500</v>
      </c>
      <c r="J32" s="75">
        <f t="shared" si="9"/>
        <v>-249325</v>
      </c>
      <c r="K32" s="253" t="s">
        <v>505</v>
      </c>
      <c r="L32" s="44"/>
      <c r="M32" s="229">
        <f>M35</f>
        <v>4737175</v>
      </c>
    </row>
    <row r="33" spans="1:13">
      <c r="A33" s="65"/>
      <c r="B33" s="67"/>
      <c r="C33" s="67"/>
      <c r="D33" s="148"/>
      <c r="E33" s="193"/>
      <c r="F33" s="193"/>
      <c r="G33" s="67"/>
      <c r="H33" s="76"/>
      <c r="I33" s="76"/>
      <c r="J33" s="76"/>
      <c r="K33" s="224" t="s">
        <v>514</v>
      </c>
      <c r="L33" s="45" t="s">
        <v>250</v>
      </c>
      <c r="M33" s="194">
        <v>4986500</v>
      </c>
    </row>
    <row r="34" spans="1:13">
      <c r="A34" s="65"/>
      <c r="B34" s="67"/>
      <c r="C34" s="67"/>
      <c r="D34" s="148"/>
      <c r="E34" s="193"/>
      <c r="F34" s="193"/>
      <c r="G34" s="67"/>
      <c r="H34" s="76"/>
      <c r="I34" s="76"/>
      <c r="J34" s="76"/>
      <c r="K34" s="529" t="s">
        <v>773</v>
      </c>
      <c r="L34" s="414"/>
      <c r="M34" s="391"/>
    </row>
    <row r="35" spans="1:13">
      <c r="A35" s="65"/>
      <c r="B35" s="67"/>
      <c r="C35" s="67"/>
      <c r="D35" s="148"/>
      <c r="E35" s="193"/>
      <c r="F35" s="193"/>
      <c r="G35" s="69"/>
      <c r="H35" s="73"/>
      <c r="I35" s="73"/>
      <c r="J35" s="73"/>
      <c r="K35" s="413" t="s">
        <v>774</v>
      </c>
      <c r="L35" s="412" t="s">
        <v>250</v>
      </c>
      <c r="M35" s="420">
        <v>4737175</v>
      </c>
    </row>
    <row r="36" spans="1:13">
      <c r="A36" s="65"/>
      <c r="B36" s="67"/>
      <c r="C36" s="67"/>
      <c r="D36" s="148"/>
      <c r="E36" s="193"/>
      <c r="F36" s="193"/>
      <c r="G36" s="66" t="s">
        <v>776</v>
      </c>
      <c r="H36" s="75">
        <f>M36</f>
        <v>250000</v>
      </c>
      <c r="I36" s="75">
        <v>0</v>
      </c>
      <c r="J36" s="75">
        <f t="shared" ref="J36" si="10">H36-I36</f>
        <v>250000</v>
      </c>
      <c r="K36" s="253" t="s">
        <v>777</v>
      </c>
      <c r="L36" s="44"/>
      <c r="M36" s="229">
        <f>M38</f>
        <v>250000</v>
      </c>
    </row>
    <row r="37" spans="1:13">
      <c r="A37" s="65"/>
      <c r="B37" s="67"/>
      <c r="C37" s="67"/>
      <c r="D37" s="148"/>
      <c r="E37" s="193"/>
      <c r="F37" s="193"/>
      <c r="G37" s="67"/>
      <c r="H37" s="76"/>
      <c r="I37" s="76"/>
      <c r="J37" s="76"/>
      <c r="K37" s="457" t="s">
        <v>773</v>
      </c>
      <c r="L37" s="45"/>
      <c r="M37" s="194"/>
    </row>
    <row r="38" spans="1:13">
      <c r="A38" s="65"/>
      <c r="B38" s="67"/>
      <c r="C38" s="67"/>
      <c r="D38" s="148"/>
      <c r="E38" s="193"/>
      <c r="F38" s="193"/>
      <c r="G38" s="69"/>
      <c r="H38" s="73"/>
      <c r="I38" s="73"/>
      <c r="J38" s="73"/>
      <c r="K38" s="413" t="s">
        <v>778</v>
      </c>
      <c r="L38" s="412" t="s">
        <v>779</v>
      </c>
      <c r="M38" s="420">
        <v>250000</v>
      </c>
    </row>
    <row r="39" spans="1:13">
      <c r="A39" s="65"/>
      <c r="B39" s="67"/>
      <c r="C39" s="67"/>
      <c r="D39" s="148"/>
      <c r="E39" s="193"/>
      <c r="F39" s="193"/>
      <c r="G39" s="70" t="s">
        <v>502</v>
      </c>
      <c r="H39" s="76">
        <f>M39</f>
        <v>12825</v>
      </c>
      <c r="I39" s="76">
        <v>13500</v>
      </c>
      <c r="J39" s="76">
        <f>H39-I39</f>
        <v>-675</v>
      </c>
      <c r="K39" s="86" t="s">
        <v>506</v>
      </c>
      <c r="L39" s="45"/>
      <c r="M39" s="197">
        <f>M42</f>
        <v>12825</v>
      </c>
    </row>
    <row r="40" spans="1:13">
      <c r="A40" s="65"/>
      <c r="B40" s="67"/>
      <c r="C40" s="67"/>
      <c r="D40" s="148"/>
      <c r="E40" s="193"/>
      <c r="F40" s="193"/>
      <c r="G40" s="67"/>
      <c r="H40" s="76"/>
      <c r="I40" s="76"/>
      <c r="J40" s="76"/>
      <c r="K40" s="224" t="s">
        <v>529</v>
      </c>
      <c r="L40" s="45" t="s">
        <v>0</v>
      </c>
      <c r="M40" s="194">
        <v>13500</v>
      </c>
    </row>
    <row r="41" spans="1:13">
      <c r="A41" s="65"/>
      <c r="B41" s="67"/>
      <c r="C41" s="67"/>
      <c r="D41" s="148"/>
      <c r="E41" s="193"/>
      <c r="F41" s="193"/>
      <c r="G41" s="67"/>
      <c r="H41" s="76"/>
      <c r="I41" s="76"/>
      <c r="J41" s="76"/>
      <c r="K41" s="529" t="s">
        <v>773</v>
      </c>
      <c r="L41" s="414"/>
      <c r="M41" s="391"/>
    </row>
    <row r="42" spans="1:13">
      <c r="A42" s="65"/>
      <c r="B42" s="67"/>
      <c r="C42" s="67"/>
      <c r="D42" s="264"/>
      <c r="E42" s="286"/>
      <c r="F42" s="286"/>
      <c r="G42" s="69"/>
      <c r="H42" s="73"/>
      <c r="I42" s="73"/>
      <c r="J42" s="73"/>
      <c r="K42" s="413" t="s">
        <v>775</v>
      </c>
      <c r="L42" s="412" t="s">
        <v>250</v>
      </c>
      <c r="M42" s="420">
        <v>12825</v>
      </c>
    </row>
    <row r="43" spans="1:13">
      <c r="A43" s="10"/>
      <c r="B43" s="6"/>
      <c r="C43" s="150"/>
      <c r="D43" s="283" t="s">
        <v>470</v>
      </c>
      <c r="E43" s="284"/>
      <c r="F43" s="284"/>
      <c r="G43" s="285"/>
      <c r="H43" s="348">
        <f t="shared" ref="H43:H44" si="11">H44</f>
        <v>3000000</v>
      </c>
      <c r="I43" s="348">
        <v>3000000</v>
      </c>
      <c r="J43" s="98">
        <f t="shared" ref="J43:J46" si="12">H43-I43</f>
        <v>0</v>
      </c>
      <c r="K43" s="163"/>
      <c r="L43" s="136"/>
      <c r="M43" s="153"/>
    </row>
    <row r="44" spans="1:13">
      <c r="A44" s="10"/>
      <c r="B44" s="6"/>
      <c r="C44" s="137"/>
      <c r="D44" s="138"/>
      <c r="E44" s="132" t="s">
        <v>503</v>
      </c>
      <c r="F44" s="133"/>
      <c r="G44" s="134"/>
      <c r="H44" s="94">
        <f t="shared" si="11"/>
        <v>3000000</v>
      </c>
      <c r="I44" s="94">
        <v>3000000</v>
      </c>
      <c r="J44" s="98">
        <f t="shared" si="12"/>
        <v>0</v>
      </c>
      <c r="K44" s="87"/>
      <c r="L44" s="96"/>
      <c r="M44" s="85"/>
    </row>
    <row r="45" spans="1:13">
      <c r="A45" s="65"/>
      <c r="B45" s="67"/>
      <c r="C45" s="189"/>
      <c r="D45" s="190"/>
      <c r="E45" s="191"/>
      <c r="F45" s="139" t="s">
        <v>504</v>
      </c>
      <c r="G45" s="192"/>
      <c r="H45" s="74">
        <f>SUM(H46,H50,H53)</f>
        <v>3000000</v>
      </c>
      <c r="I45" s="74">
        <v>3000000</v>
      </c>
      <c r="J45" s="74">
        <f t="shared" si="12"/>
        <v>0</v>
      </c>
      <c r="K45" s="231"/>
      <c r="L45" s="54"/>
      <c r="M45" s="40"/>
    </row>
    <row r="46" spans="1:13">
      <c r="A46" s="65"/>
      <c r="B46" s="67"/>
      <c r="C46" s="67"/>
      <c r="D46" s="148"/>
      <c r="E46" s="193"/>
      <c r="F46" s="193"/>
      <c r="G46" s="70" t="s">
        <v>501</v>
      </c>
      <c r="H46" s="75">
        <f>M46</f>
        <v>2779956</v>
      </c>
      <c r="I46" s="75">
        <v>2989200</v>
      </c>
      <c r="J46" s="75">
        <f t="shared" si="12"/>
        <v>-209244</v>
      </c>
      <c r="K46" s="86" t="s">
        <v>505</v>
      </c>
      <c r="L46" s="44"/>
      <c r="M46" s="229">
        <f>M49</f>
        <v>2779956</v>
      </c>
    </row>
    <row r="47" spans="1:13">
      <c r="A47" s="65"/>
      <c r="B47" s="67"/>
      <c r="C47" s="67"/>
      <c r="D47" s="148"/>
      <c r="E47" s="193"/>
      <c r="F47" s="148"/>
      <c r="G47" s="67"/>
      <c r="H47" s="76"/>
      <c r="I47" s="76"/>
      <c r="J47" s="76"/>
      <c r="K47" s="224" t="s">
        <v>507</v>
      </c>
      <c r="L47" s="45" t="s">
        <v>250</v>
      </c>
      <c r="M47" s="194">
        <v>2989200</v>
      </c>
    </row>
    <row r="48" spans="1:13">
      <c r="A48" s="65"/>
      <c r="B48" s="67"/>
      <c r="C48" s="67"/>
      <c r="D48" s="148"/>
      <c r="E48" s="193"/>
      <c r="F48" s="148"/>
      <c r="G48" s="67"/>
      <c r="H48" s="76"/>
      <c r="I48" s="76"/>
      <c r="J48" s="76"/>
      <c r="K48" s="529" t="s">
        <v>773</v>
      </c>
      <c r="L48" s="414"/>
      <c r="M48" s="391"/>
    </row>
    <row r="49" spans="1:13">
      <c r="A49" s="65"/>
      <c r="B49" s="67"/>
      <c r="C49" s="67"/>
      <c r="D49" s="148"/>
      <c r="E49" s="193"/>
      <c r="F49" s="148"/>
      <c r="G49" s="69"/>
      <c r="H49" s="73"/>
      <c r="I49" s="73"/>
      <c r="J49" s="73"/>
      <c r="K49" s="413" t="s">
        <v>780</v>
      </c>
      <c r="L49" s="412" t="s">
        <v>250</v>
      </c>
      <c r="M49" s="420">
        <v>2779956</v>
      </c>
    </row>
    <row r="50" spans="1:13">
      <c r="A50" s="65"/>
      <c r="B50" s="67"/>
      <c r="C50" s="67"/>
      <c r="D50" s="148"/>
      <c r="E50" s="193"/>
      <c r="F50" s="193"/>
      <c r="G50" s="66" t="s">
        <v>776</v>
      </c>
      <c r="H50" s="75">
        <f>M50</f>
        <v>210000</v>
      </c>
      <c r="I50" s="75">
        <v>0</v>
      </c>
      <c r="J50" s="75">
        <f t="shared" ref="J50" si="13">H50-I50</f>
        <v>210000</v>
      </c>
      <c r="K50" s="253" t="s">
        <v>777</v>
      </c>
      <c r="L50" s="44"/>
      <c r="M50" s="229">
        <f>M52</f>
        <v>210000</v>
      </c>
    </row>
    <row r="51" spans="1:13">
      <c r="A51" s="65"/>
      <c r="B51" s="67"/>
      <c r="C51" s="67"/>
      <c r="D51" s="148"/>
      <c r="E51" s="193"/>
      <c r="F51" s="193"/>
      <c r="G51" s="67"/>
      <c r="H51" s="76"/>
      <c r="I51" s="76"/>
      <c r="J51" s="76"/>
      <c r="K51" s="457" t="s">
        <v>773</v>
      </c>
      <c r="L51" s="45"/>
      <c r="M51" s="194"/>
    </row>
    <row r="52" spans="1:13">
      <c r="A52" s="65"/>
      <c r="B52" s="67"/>
      <c r="C52" s="67"/>
      <c r="D52" s="148"/>
      <c r="E52" s="193"/>
      <c r="F52" s="193"/>
      <c r="G52" s="69"/>
      <c r="H52" s="73"/>
      <c r="I52" s="73"/>
      <c r="J52" s="73"/>
      <c r="K52" s="413" t="s">
        <v>781</v>
      </c>
      <c r="L52" s="412" t="s">
        <v>779</v>
      </c>
      <c r="M52" s="420">
        <v>210000</v>
      </c>
    </row>
    <row r="53" spans="1:13">
      <c r="A53" s="65"/>
      <c r="B53" s="67"/>
      <c r="C53" s="67"/>
      <c r="D53" s="148"/>
      <c r="E53" s="193"/>
      <c r="F53" s="193"/>
      <c r="G53" s="70" t="s">
        <v>502</v>
      </c>
      <c r="H53" s="76">
        <f>M53</f>
        <v>10044</v>
      </c>
      <c r="I53" s="76">
        <v>10800</v>
      </c>
      <c r="J53" s="76">
        <f>H53-I53</f>
        <v>-756</v>
      </c>
      <c r="K53" s="225" t="s">
        <v>506</v>
      </c>
      <c r="L53" s="45"/>
      <c r="M53" s="229">
        <f>M56</f>
        <v>10044</v>
      </c>
    </row>
    <row r="54" spans="1:13">
      <c r="A54" s="65"/>
      <c r="B54" s="67"/>
      <c r="C54" s="67"/>
      <c r="D54" s="148"/>
      <c r="E54" s="193"/>
      <c r="F54" s="193"/>
      <c r="G54" s="67"/>
      <c r="H54" s="76"/>
      <c r="I54" s="76"/>
      <c r="J54" s="76"/>
      <c r="K54" s="224" t="s">
        <v>508</v>
      </c>
      <c r="L54" s="207" t="s">
        <v>0</v>
      </c>
      <c r="M54" s="194">
        <v>10800</v>
      </c>
    </row>
    <row r="55" spans="1:13">
      <c r="A55" s="65"/>
      <c r="B55" s="67"/>
      <c r="C55" s="67"/>
      <c r="D55" s="148"/>
      <c r="E55" s="193"/>
      <c r="F55" s="193"/>
      <c r="G55" s="67"/>
      <c r="H55" s="76"/>
      <c r="I55" s="76"/>
      <c r="J55" s="76"/>
      <c r="K55" s="529" t="s">
        <v>773</v>
      </c>
      <c r="L55" s="414"/>
      <c r="M55" s="391"/>
    </row>
    <row r="56" spans="1:13">
      <c r="A56" s="65"/>
      <c r="B56" s="67"/>
      <c r="C56" s="67"/>
      <c r="D56" s="264"/>
      <c r="E56" s="286"/>
      <c r="F56" s="286"/>
      <c r="G56" s="69"/>
      <c r="H56" s="73"/>
      <c r="I56" s="73"/>
      <c r="J56" s="73"/>
      <c r="K56" s="413" t="s">
        <v>782</v>
      </c>
      <c r="L56" s="412" t="s">
        <v>250</v>
      </c>
      <c r="M56" s="420">
        <v>10044</v>
      </c>
    </row>
    <row r="57" spans="1:13">
      <c r="A57" s="10"/>
      <c r="B57" s="6"/>
      <c r="C57" s="150"/>
      <c r="D57" s="283" t="s">
        <v>472</v>
      </c>
      <c r="E57" s="284"/>
      <c r="F57" s="284"/>
      <c r="G57" s="285"/>
      <c r="H57" s="348">
        <f t="shared" ref="H57:H58" si="14">H58</f>
        <v>500000</v>
      </c>
      <c r="I57" s="348">
        <v>500000</v>
      </c>
      <c r="J57" s="98">
        <f t="shared" ref="J57:J60" si="15">H57-I57</f>
        <v>0</v>
      </c>
      <c r="K57" s="84"/>
      <c r="L57" s="136"/>
      <c r="M57" s="83"/>
    </row>
    <row r="58" spans="1:13">
      <c r="A58" s="10"/>
      <c r="B58" s="6"/>
      <c r="C58" s="137"/>
      <c r="D58" s="138"/>
      <c r="E58" s="132" t="s">
        <v>503</v>
      </c>
      <c r="F58" s="133"/>
      <c r="G58" s="134"/>
      <c r="H58" s="94">
        <f t="shared" si="14"/>
        <v>500000</v>
      </c>
      <c r="I58" s="94">
        <v>500000</v>
      </c>
      <c r="J58" s="98">
        <f t="shared" si="15"/>
        <v>0</v>
      </c>
      <c r="K58" s="87"/>
      <c r="L58" s="96"/>
      <c r="M58" s="85"/>
    </row>
    <row r="59" spans="1:13">
      <c r="A59" s="65"/>
      <c r="B59" s="67"/>
      <c r="C59" s="189"/>
      <c r="D59" s="190"/>
      <c r="E59" s="191"/>
      <c r="F59" s="139" t="s">
        <v>504</v>
      </c>
      <c r="G59" s="192"/>
      <c r="H59" s="74">
        <f>SUM(H60,H62)</f>
        <v>500000</v>
      </c>
      <c r="I59" s="74">
        <v>500000</v>
      </c>
      <c r="J59" s="74">
        <f t="shared" si="15"/>
        <v>0</v>
      </c>
      <c r="K59" s="231"/>
      <c r="L59" s="54"/>
      <c r="M59" s="40"/>
    </row>
    <row r="60" spans="1:13">
      <c r="A60" s="65"/>
      <c r="B60" s="67"/>
      <c r="C60" s="67"/>
      <c r="D60" s="148"/>
      <c r="E60" s="193"/>
      <c r="F60" s="193"/>
      <c r="G60" s="70" t="s">
        <v>501</v>
      </c>
      <c r="H60" s="75">
        <f>M60</f>
        <v>496400</v>
      </c>
      <c r="I60" s="75">
        <v>496400</v>
      </c>
      <c r="J60" s="75">
        <f t="shared" si="15"/>
        <v>0</v>
      </c>
      <c r="K60" s="86" t="s">
        <v>505</v>
      </c>
      <c r="L60" s="44"/>
      <c r="M60" s="229">
        <f>M61</f>
        <v>496400</v>
      </c>
    </row>
    <row r="61" spans="1:13">
      <c r="A61" s="65"/>
      <c r="B61" s="67"/>
      <c r="C61" s="67"/>
      <c r="D61" s="148"/>
      <c r="E61" s="193"/>
      <c r="F61" s="193"/>
      <c r="G61" s="69"/>
      <c r="H61" s="73"/>
      <c r="I61" s="73"/>
      <c r="J61" s="73"/>
      <c r="K61" s="226" t="s">
        <v>509</v>
      </c>
      <c r="L61" s="145" t="s">
        <v>250</v>
      </c>
      <c r="M61" s="200">
        <v>496400</v>
      </c>
    </row>
    <row r="62" spans="1:13">
      <c r="A62" s="65"/>
      <c r="B62" s="67"/>
      <c r="C62" s="67"/>
      <c r="D62" s="148"/>
      <c r="E62" s="193"/>
      <c r="F62" s="193"/>
      <c r="G62" s="70" t="s">
        <v>502</v>
      </c>
      <c r="H62" s="76">
        <f>M62</f>
        <v>3600</v>
      </c>
      <c r="I62" s="76">
        <v>3600</v>
      </c>
      <c r="J62" s="76">
        <f>H62-I62</f>
        <v>0</v>
      </c>
      <c r="K62" s="86" t="s">
        <v>506</v>
      </c>
      <c r="L62" s="45"/>
      <c r="M62" s="197">
        <f>M63</f>
        <v>3600</v>
      </c>
    </row>
    <row r="63" spans="1:13">
      <c r="A63" s="65"/>
      <c r="B63" s="67"/>
      <c r="C63" s="67"/>
      <c r="D63" s="264"/>
      <c r="E63" s="286"/>
      <c r="F63" s="286"/>
      <c r="G63" s="69"/>
      <c r="H63" s="73"/>
      <c r="I63" s="73"/>
      <c r="J63" s="73"/>
      <c r="K63" s="224" t="s">
        <v>510</v>
      </c>
      <c r="L63" s="209" t="s">
        <v>0</v>
      </c>
      <c r="M63" s="200">
        <v>3600</v>
      </c>
    </row>
    <row r="64" spans="1:13">
      <c r="A64" s="10"/>
      <c r="B64" s="6"/>
      <c r="C64" s="150"/>
      <c r="D64" s="283" t="s">
        <v>473</v>
      </c>
      <c r="E64" s="284"/>
      <c r="F64" s="284"/>
      <c r="G64" s="285"/>
      <c r="H64" s="348">
        <f t="shared" ref="H64:H65" si="16">H65</f>
        <v>1800000</v>
      </c>
      <c r="I64" s="348">
        <v>1800000</v>
      </c>
      <c r="J64" s="98">
        <f t="shared" ref="J64:J67" si="17">H64-I64</f>
        <v>0</v>
      </c>
      <c r="K64" s="163"/>
      <c r="L64" s="136"/>
      <c r="M64" s="83"/>
    </row>
    <row r="65" spans="1:13">
      <c r="A65" s="10"/>
      <c r="B65" s="6"/>
      <c r="C65" s="137"/>
      <c r="D65" s="138"/>
      <c r="E65" s="132" t="s">
        <v>503</v>
      </c>
      <c r="F65" s="133"/>
      <c r="G65" s="134"/>
      <c r="H65" s="94">
        <f t="shared" si="16"/>
        <v>1800000</v>
      </c>
      <c r="I65" s="94">
        <v>1800000</v>
      </c>
      <c r="J65" s="98">
        <f t="shared" si="17"/>
        <v>0</v>
      </c>
      <c r="K65" s="87"/>
      <c r="L65" s="96"/>
      <c r="M65" s="85"/>
    </row>
    <row r="66" spans="1:13">
      <c r="A66" s="65"/>
      <c r="B66" s="67"/>
      <c r="C66" s="189"/>
      <c r="D66" s="190"/>
      <c r="E66" s="191"/>
      <c r="F66" s="139" t="s">
        <v>504</v>
      </c>
      <c r="G66" s="192"/>
      <c r="H66" s="74">
        <f>SUM(H67,H69)</f>
        <v>1800000</v>
      </c>
      <c r="I66" s="74">
        <v>1800000</v>
      </c>
      <c r="J66" s="74">
        <f t="shared" si="17"/>
        <v>0</v>
      </c>
      <c r="K66" s="231"/>
      <c r="L66" s="54"/>
      <c r="M66" s="40"/>
    </row>
    <row r="67" spans="1:13">
      <c r="A67" s="65"/>
      <c r="B67" s="67"/>
      <c r="C67" s="67"/>
      <c r="D67" s="148"/>
      <c r="E67" s="193"/>
      <c r="F67" s="193"/>
      <c r="G67" s="70" t="s">
        <v>501</v>
      </c>
      <c r="H67" s="75">
        <f>M67</f>
        <v>1793520</v>
      </c>
      <c r="I67" s="75">
        <v>1793520</v>
      </c>
      <c r="J67" s="75">
        <f t="shared" si="17"/>
        <v>0</v>
      </c>
      <c r="K67" s="86" t="s">
        <v>511</v>
      </c>
      <c r="L67" s="44"/>
      <c r="M67" s="229">
        <f>M68</f>
        <v>1793520</v>
      </c>
    </row>
    <row r="68" spans="1:13">
      <c r="A68" s="65"/>
      <c r="B68" s="67"/>
      <c r="C68" s="67"/>
      <c r="D68" s="148"/>
      <c r="E68" s="193"/>
      <c r="F68" s="193"/>
      <c r="G68" s="70"/>
      <c r="H68" s="73"/>
      <c r="I68" s="73"/>
      <c r="J68" s="73"/>
      <c r="K68" s="226" t="s">
        <v>512</v>
      </c>
      <c r="L68" s="145" t="s">
        <v>250</v>
      </c>
      <c r="M68" s="200">
        <v>1793520</v>
      </c>
    </row>
    <row r="69" spans="1:13">
      <c r="A69" s="65"/>
      <c r="B69" s="67"/>
      <c r="C69" s="67"/>
      <c r="D69" s="148"/>
      <c r="E69" s="193"/>
      <c r="F69" s="193"/>
      <c r="G69" s="66" t="s">
        <v>502</v>
      </c>
      <c r="H69" s="76">
        <f>M69</f>
        <v>6480</v>
      </c>
      <c r="I69" s="76">
        <v>6480</v>
      </c>
      <c r="J69" s="76">
        <f>H69-I69</f>
        <v>0</v>
      </c>
      <c r="K69" s="86" t="s">
        <v>506</v>
      </c>
      <c r="L69" s="45"/>
      <c r="M69" s="197">
        <f>M70</f>
        <v>6480</v>
      </c>
    </row>
    <row r="70" spans="1:13">
      <c r="A70" s="65"/>
      <c r="B70" s="69"/>
      <c r="C70" s="69"/>
      <c r="D70" s="264"/>
      <c r="E70" s="286"/>
      <c r="F70" s="286"/>
      <c r="G70" s="69"/>
      <c r="H70" s="73"/>
      <c r="I70" s="73"/>
      <c r="J70" s="73"/>
      <c r="K70" s="226" t="s">
        <v>513</v>
      </c>
      <c r="L70" s="209" t="s">
        <v>0</v>
      </c>
      <c r="M70" s="200">
        <v>6480</v>
      </c>
    </row>
    <row r="71" spans="1:13">
      <c r="A71" s="311"/>
      <c r="B71" s="309" t="s">
        <v>286</v>
      </c>
      <c r="C71" s="283"/>
      <c r="D71" s="284"/>
      <c r="E71" s="284"/>
      <c r="F71" s="284"/>
      <c r="G71" s="285"/>
      <c r="H71" s="97">
        <f t="shared" ref="H71:H81" si="18">H72</f>
        <v>6800000</v>
      </c>
      <c r="I71" s="97">
        <v>6800000</v>
      </c>
      <c r="J71" s="98">
        <f>H71-I71</f>
        <v>0</v>
      </c>
      <c r="K71" s="208"/>
      <c r="L71" s="82"/>
      <c r="M71" s="83"/>
    </row>
    <row r="72" spans="1:13">
      <c r="A72" s="10"/>
      <c r="B72" s="6"/>
      <c r="C72" s="132" t="s">
        <v>287</v>
      </c>
      <c r="D72" s="133"/>
      <c r="E72" s="133"/>
      <c r="F72" s="133"/>
      <c r="G72" s="134"/>
      <c r="H72" s="97">
        <f>SUM(H73,H80)</f>
        <v>6800000</v>
      </c>
      <c r="I72" s="97">
        <v>6800000</v>
      </c>
      <c r="J72" s="98">
        <f t="shared" ref="J72:J83" si="19">H72-I72</f>
        <v>0</v>
      </c>
      <c r="K72" s="81"/>
      <c r="L72" s="82"/>
      <c r="M72" s="83"/>
    </row>
    <row r="73" spans="1:13">
      <c r="A73" s="10"/>
      <c r="B73" s="6"/>
      <c r="C73" s="7"/>
      <c r="D73" s="309" t="s">
        <v>653</v>
      </c>
      <c r="E73" s="133"/>
      <c r="F73" s="133"/>
      <c r="G73" s="134"/>
      <c r="H73" s="135">
        <f t="shared" si="18"/>
        <v>5000000</v>
      </c>
      <c r="I73" s="135">
        <v>5000000</v>
      </c>
      <c r="J73" s="98">
        <f t="shared" ref="J73:J76" si="20">H73-I73</f>
        <v>0</v>
      </c>
      <c r="K73" s="84"/>
      <c r="L73" s="136"/>
      <c r="M73" s="83"/>
    </row>
    <row r="74" spans="1:13">
      <c r="A74" s="10"/>
      <c r="B74" s="6"/>
      <c r="C74" s="137"/>
      <c r="D74" s="138"/>
      <c r="E74" s="132" t="s">
        <v>503</v>
      </c>
      <c r="F74" s="133"/>
      <c r="G74" s="134"/>
      <c r="H74" s="94">
        <f t="shared" si="18"/>
        <v>5000000</v>
      </c>
      <c r="I74" s="94">
        <v>5000000</v>
      </c>
      <c r="J74" s="98">
        <f t="shared" si="20"/>
        <v>0</v>
      </c>
      <c r="K74" s="87"/>
      <c r="L74" s="96"/>
      <c r="M74" s="85"/>
    </row>
    <row r="75" spans="1:13">
      <c r="A75" s="65"/>
      <c r="B75" s="67"/>
      <c r="C75" s="189"/>
      <c r="D75" s="190"/>
      <c r="E75" s="191"/>
      <c r="F75" s="139" t="s">
        <v>504</v>
      </c>
      <c r="G75" s="192"/>
      <c r="H75" s="74">
        <f>SUM(H76,H78)</f>
        <v>5000000</v>
      </c>
      <c r="I75" s="74">
        <v>5000000</v>
      </c>
      <c r="J75" s="74">
        <f t="shared" si="20"/>
        <v>0</v>
      </c>
      <c r="K75" s="231"/>
      <c r="L75" s="54"/>
      <c r="M75" s="40"/>
    </row>
    <row r="76" spans="1:13">
      <c r="A76" s="65"/>
      <c r="B76" s="67"/>
      <c r="C76" s="67"/>
      <c r="D76" s="148"/>
      <c r="E76" s="193"/>
      <c r="F76" s="193"/>
      <c r="G76" s="70" t="s">
        <v>501</v>
      </c>
      <c r="H76" s="75">
        <f>M76</f>
        <v>4986500</v>
      </c>
      <c r="I76" s="75">
        <v>4986500</v>
      </c>
      <c r="J76" s="75">
        <f t="shared" si="20"/>
        <v>0</v>
      </c>
      <c r="K76" s="86" t="s">
        <v>511</v>
      </c>
      <c r="L76" s="44"/>
      <c r="M76" s="229">
        <f>M77</f>
        <v>4986500</v>
      </c>
    </row>
    <row r="77" spans="1:13">
      <c r="A77" s="65"/>
      <c r="B77" s="67"/>
      <c r="C77" s="67"/>
      <c r="D77" s="148"/>
      <c r="E77" s="193"/>
      <c r="F77" s="193"/>
      <c r="G77" s="69"/>
      <c r="H77" s="73"/>
      <c r="I77" s="73"/>
      <c r="J77" s="73"/>
      <c r="K77" s="226" t="s">
        <v>531</v>
      </c>
      <c r="L77" s="145" t="s">
        <v>250</v>
      </c>
      <c r="M77" s="200">
        <v>4986500</v>
      </c>
    </row>
    <row r="78" spans="1:13">
      <c r="A78" s="65"/>
      <c r="B78" s="67"/>
      <c r="C78" s="67"/>
      <c r="D78" s="148"/>
      <c r="E78" s="193"/>
      <c r="F78" s="193"/>
      <c r="G78" s="70" t="s">
        <v>502</v>
      </c>
      <c r="H78" s="76">
        <f>M78</f>
        <v>13500</v>
      </c>
      <c r="I78" s="76">
        <v>13500</v>
      </c>
      <c r="J78" s="76">
        <f>H78-I78</f>
        <v>0</v>
      </c>
      <c r="K78" s="86" t="s">
        <v>506</v>
      </c>
      <c r="L78" s="45"/>
      <c r="M78" s="197">
        <f>M79</f>
        <v>13500</v>
      </c>
    </row>
    <row r="79" spans="1:13">
      <c r="A79" s="65"/>
      <c r="B79" s="67"/>
      <c r="C79" s="67"/>
      <c r="D79" s="264"/>
      <c r="E79" s="286"/>
      <c r="F79" s="286"/>
      <c r="G79" s="69"/>
      <c r="H79" s="73"/>
      <c r="I79" s="73"/>
      <c r="J79" s="73"/>
      <c r="K79" s="226" t="s">
        <v>530</v>
      </c>
      <c r="L79" s="207" t="s">
        <v>0</v>
      </c>
      <c r="M79" s="194">
        <v>13500</v>
      </c>
    </row>
    <row r="80" spans="1:13">
      <c r="A80" s="10"/>
      <c r="B80" s="6"/>
      <c r="C80" s="150"/>
      <c r="D80" s="312" t="s">
        <v>646</v>
      </c>
      <c r="E80" s="284"/>
      <c r="F80" s="284"/>
      <c r="G80" s="285"/>
      <c r="H80" s="348">
        <f t="shared" si="18"/>
        <v>1800000</v>
      </c>
      <c r="I80" s="348">
        <v>1800000</v>
      </c>
      <c r="J80" s="98">
        <f t="shared" si="19"/>
        <v>0</v>
      </c>
      <c r="K80" s="84"/>
      <c r="L80" s="152"/>
      <c r="M80" s="153"/>
    </row>
    <row r="81" spans="1:13">
      <c r="A81" s="10"/>
      <c r="B81" s="6"/>
      <c r="C81" s="137"/>
      <c r="D81" s="138"/>
      <c r="E81" s="132" t="s">
        <v>503</v>
      </c>
      <c r="F81" s="133"/>
      <c r="G81" s="134"/>
      <c r="H81" s="94">
        <f t="shared" si="18"/>
        <v>1800000</v>
      </c>
      <c r="I81" s="94">
        <v>1800000</v>
      </c>
      <c r="J81" s="98">
        <f t="shared" si="19"/>
        <v>0</v>
      </c>
      <c r="K81" s="87"/>
      <c r="L81" s="96"/>
      <c r="M81" s="85"/>
    </row>
    <row r="82" spans="1:13">
      <c r="A82" s="65"/>
      <c r="B82" s="67"/>
      <c r="C82" s="189"/>
      <c r="D82" s="190"/>
      <c r="E82" s="191"/>
      <c r="F82" s="139" t="s">
        <v>504</v>
      </c>
      <c r="G82" s="192"/>
      <c r="H82" s="74">
        <f>SUM(H83,H85)</f>
        <v>1800000</v>
      </c>
      <c r="I82" s="74">
        <v>1800000</v>
      </c>
      <c r="J82" s="74">
        <f t="shared" si="19"/>
        <v>0</v>
      </c>
      <c r="K82" s="231"/>
      <c r="L82" s="54"/>
      <c r="M82" s="40"/>
    </row>
    <row r="83" spans="1:13">
      <c r="A83" s="65"/>
      <c r="B83" s="67"/>
      <c r="C83" s="67"/>
      <c r="D83" s="148"/>
      <c r="E83" s="193"/>
      <c r="F83" s="193"/>
      <c r="G83" s="70" t="s">
        <v>501</v>
      </c>
      <c r="H83" s="75">
        <f>M83</f>
        <v>1793520</v>
      </c>
      <c r="I83" s="75">
        <v>1793520</v>
      </c>
      <c r="J83" s="75">
        <f t="shared" si="19"/>
        <v>0</v>
      </c>
      <c r="K83" s="86" t="s">
        <v>505</v>
      </c>
      <c r="L83" s="44"/>
      <c r="M83" s="229">
        <f>M84</f>
        <v>1793520</v>
      </c>
    </row>
    <row r="84" spans="1:13">
      <c r="A84" s="65"/>
      <c r="B84" s="67"/>
      <c r="C84" s="67"/>
      <c r="D84" s="148"/>
      <c r="E84" s="193"/>
      <c r="F84" s="193"/>
      <c r="G84" s="69"/>
      <c r="H84" s="73"/>
      <c r="I84" s="73"/>
      <c r="J84" s="73"/>
      <c r="K84" s="226" t="s">
        <v>533</v>
      </c>
      <c r="L84" s="145" t="s">
        <v>250</v>
      </c>
      <c r="M84" s="200">
        <v>1793520</v>
      </c>
    </row>
    <row r="85" spans="1:13">
      <c r="A85" s="65"/>
      <c r="B85" s="67"/>
      <c r="C85" s="67"/>
      <c r="D85" s="148"/>
      <c r="E85" s="193"/>
      <c r="F85" s="193"/>
      <c r="G85" s="70" t="s">
        <v>502</v>
      </c>
      <c r="H85" s="76">
        <f>M85</f>
        <v>6480</v>
      </c>
      <c r="I85" s="76">
        <v>6480</v>
      </c>
      <c r="J85" s="76">
        <f>H85-I85</f>
        <v>0</v>
      </c>
      <c r="K85" s="86" t="s">
        <v>506</v>
      </c>
      <c r="L85" s="45"/>
      <c r="M85" s="197">
        <f>M86</f>
        <v>6480</v>
      </c>
    </row>
    <row r="86" spans="1:13" ht="17.25" thickBot="1">
      <c r="A86" s="313"/>
      <c r="B86" s="71"/>
      <c r="C86" s="71"/>
      <c r="D86" s="314"/>
      <c r="E86" s="315"/>
      <c r="F86" s="315"/>
      <c r="G86" s="71"/>
      <c r="H86" s="316"/>
      <c r="I86" s="316"/>
      <c r="J86" s="316"/>
      <c r="K86" s="244" t="s">
        <v>532</v>
      </c>
      <c r="L86" s="245" t="s">
        <v>0</v>
      </c>
      <c r="M86" s="258">
        <v>6480</v>
      </c>
    </row>
    <row r="87" spans="1:13">
      <c r="M87" s="377"/>
    </row>
  </sheetData>
  <protectedRanges>
    <protectedRange password="ECE8" sqref="K25 K18 K12:K13 K61 K63 K68 K70 K77 K79 K84 K86 K33:K35 K40:K42 K37:K38 K51:K52 K47:K49 K54:K56" name="작성자만수정_2_1_1_1"/>
  </protectedRanges>
  <mergeCells count="8">
    <mergeCell ref="K2:M3"/>
    <mergeCell ref="A4:G4"/>
    <mergeCell ref="A2:A3"/>
    <mergeCell ref="B2:D2"/>
    <mergeCell ref="E2:G2"/>
    <mergeCell ref="H2:H3"/>
    <mergeCell ref="I2:I3"/>
    <mergeCell ref="J2:J3"/>
  </mergeCells>
  <phoneticPr fontId="12" type="noConversion"/>
  <conditionalFormatting sqref="J2:J3">
    <cfRule type="containsText" dxfId="113" priority="1" operator="containsText" text="허하나로">
      <formula>NOT(ISERROR(SEARCH("허하나로",H776)))</formula>
    </cfRule>
    <cfRule type="containsText" dxfId="112" priority="2" operator="containsText" text="한별">
      <formula>NOT(ISERROR(SEARCH("한별",H776)))</formula>
    </cfRule>
    <cfRule type="containsText" dxfId="111" priority="3" operator="containsText" text="정홍조">
      <formula>NOT(ISERROR(SEARCH("정홍조",H776)))</formula>
    </cfRule>
    <cfRule type="containsText" dxfId="110" priority="4" operator="containsText" text="김지윤">
      <formula>NOT(ISERROR(SEARCH("김지윤",H776)))</formula>
    </cfRule>
    <cfRule type="containsText" dxfId="109" priority="5" operator="containsText" text="전준영">
      <formula>NOT(ISERROR(SEARCH("전준영",H776)))</formula>
    </cfRule>
    <cfRule type="containsText" dxfId="108" priority="6" operator="containsText" text="차재성">
      <formula>NOT(ISERROR(SEARCH("차재성",H776)))</formula>
    </cfRule>
  </conditionalFormatting>
  <pageMargins left="0.25" right="0.25" top="0.75" bottom="0.75" header="0.3" footer="0.3"/>
  <pageSetup paperSize="9" scale="72" fitToHeight="0" orientation="landscape" r:id="rId1"/>
  <rowBreaks count="2" manualBreakCount="2">
    <brk id="38" max="12" man="1"/>
    <brk id="70" max="12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5" operator="containsText" text="허하나로" id="{28638BD0-53C8-416D-AEA7-086F4C3B2612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6" operator="containsText" text="한별" id="{31B8AA79-2D9D-439B-8B41-94BDADC4EAE7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7" operator="containsText" text="정홍조" id="{2CAA77AC-0EAE-4146-BD2E-0A25B355284F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8" operator="containsText" text="김지윤" id="{FEABD15A-02A5-4CD7-B34C-C4D219CEF5D3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9" operator="containsText" text="전준영" id="{DE2AD7CF-855A-46FB-A16E-241701A3E40C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0" operator="containsText" text="차재성" id="{AEE920D6-A787-4F27-92F5-0E99ED63827B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containsText" priority="121" operator="containsText" text="허하나로" id="{84ABEAFC-27D9-480D-B84A-5AB2AE61292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22" operator="containsText" text="한별" id="{18453F90-08FF-4B67-9587-44306ED7AB84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23" operator="containsText" text="정홍조" id="{B7F98469-D02B-42F6-9A10-23A76F6FE069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24" operator="containsText" text="김지윤" id="{B26ACED7-A018-4823-9868-13E68E500B40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25" operator="containsText" text="전준영" id="{B57C2009-3BAB-4FAC-BFF0-8C6F65377C62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6" operator="containsText" text="차재성" id="{051401DA-5E9B-4873-9A18-26068B845AA7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H5:I5</xm:sqref>
        </x14:conditionalFormatting>
        <x14:conditionalFormatting xmlns:xm="http://schemas.microsoft.com/office/excel/2006/main">
          <x14:cfRule type="containsText" priority="109" operator="containsText" text="허하나로" id="{89235DDE-1071-4605-B173-BD45F7FF09F3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10" operator="containsText" text="한별" id="{0BEF1513-C5C7-4A14-8A85-ABF4AF30D9E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11" operator="containsText" text="정홍조" id="{0D7B9E5E-199A-48F4-A930-C4CF5DA1081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12" operator="containsText" text="김지윤" id="{38B077B6-7E42-469C-8002-C0418CDDEE04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3" operator="containsText" text="전준영" id="{A9FB81D0-A109-4483-A39B-076950B959C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14" operator="containsText" text="차재성" id="{BECC4EFC-1168-4B65-841B-CA7EF201B0D8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J7:J9</xm:sqref>
        </x14:conditionalFormatting>
        <x14:conditionalFormatting xmlns:xm="http://schemas.microsoft.com/office/excel/2006/main">
          <x14:cfRule type="containsText" priority="103" operator="containsText" text="허하나로" id="{B3A30445-95BB-48BC-BEFA-67DBDC362914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04" operator="containsText" text="한별" id="{0B01D86B-AF1F-4FE3-907A-5879EA65757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05" operator="containsText" text="정홍조" id="{62054932-FFCF-451C-BEA2-7F4CE12449C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6" operator="containsText" text="김지윤" id="{947ADF9A-3CB4-4157-A489-E266B4F1B3D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07" operator="containsText" text="전준영" id="{CBF69331-510E-4635-B572-6AC9FD061D1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08" operator="containsText" text="차재성" id="{E2062335-7998-4748-9E5D-147E0AC78558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</xm:sqref>
        </x14:conditionalFormatting>
        <x14:conditionalFormatting xmlns:xm="http://schemas.microsoft.com/office/excel/2006/main">
          <x14:cfRule type="containsText" priority="85" operator="containsText" text="허하나로" id="{F0776EFC-8E3A-4D8B-AE9E-2E1EDBA61334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6" operator="containsText" text="한별" id="{8F512229-F18A-4A20-B5F5-69BC952AB635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7" operator="containsText" text="정홍조" id="{4B76C7E6-2EB9-420C-A8BC-11B4894BB93A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8" operator="containsText" text="김지윤" id="{3EAD65EB-88DD-4F85-BA94-125BAC5C1B13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9" operator="containsText" text="전준영" id="{A1E05917-A8AE-40A9-8B52-5ED43B4F493F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text="차재성" id="{2626D1A1-5D3A-425D-983F-614D41A59424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I4</xm:sqref>
        </x14:conditionalFormatting>
        <x14:conditionalFormatting xmlns:xm="http://schemas.microsoft.com/office/excel/2006/main">
          <x14:cfRule type="containsText" priority="79" operator="containsText" text="허하나로" id="{DC5B024D-1B4E-421A-BB83-FCF6D1E4F405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0" operator="containsText" text="한별" id="{9AE5CA7D-1D6C-4D7C-8468-27FCC56E497D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81" operator="containsText" text="정홍조" id="{C33207A9-6255-4D92-9095-0A4847D4A069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82" operator="containsText" text="김지윤" id="{99EDDE61-2A77-4B38-88C3-FE33BCE7638C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83" operator="containsText" text="전준영" id="{75CE6EAE-2881-4A24-85B3-0B07D36DB77A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text="차재성" id="{D2D1FF06-A19E-4B2F-8DF6-B9B2FF25737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H26</xm:sqref>
        </x14:conditionalFormatting>
        <x14:conditionalFormatting xmlns:xm="http://schemas.microsoft.com/office/excel/2006/main">
          <x14:cfRule type="containsText" priority="73" operator="containsText" text="허하나로" id="{CC550875-2786-4525-A770-AB222A6D8FD8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74" operator="containsText" text="한별" id="{BC767287-1A59-4639-A998-3BDEC90FE36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75" operator="containsText" text="정홍조" id="{D166153D-029D-4502-BD50-534D2EAA8F5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6" operator="containsText" text="김지윤" id="{DA3F8C2B-D0E6-43FA-8BC2-E707C9F5AE97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7" operator="containsText" text="전준영" id="{8568F444-DC9F-4978-AD82-DE423B556D25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text="차재성" id="{27F4669B-1FEA-4595-B546-C2D769C41A9A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J28:J30</xm:sqref>
        </x14:conditionalFormatting>
        <x14:conditionalFormatting xmlns:xm="http://schemas.microsoft.com/office/excel/2006/main">
          <x14:cfRule type="containsText" priority="67" operator="containsText" text="허하나로" id="{1A05E6F2-373C-4407-8985-E09379A0138F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8" operator="containsText" text="한별" id="{1DEBA8E4-D9E9-4D49-89B6-58EF0847F443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9" operator="containsText" text="정홍조" id="{6810E50D-9479-40DC-BC93-241AC65C99A9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70" operator="containsText" text="김지윤" id="{2C5E59D9-E025-43FB-95E5-EC56F21BBECF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1" operator="containsText" text="전준영" id="{386481DC-7D83-4D78-9C0E-C737E1E44443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text="차재성" id="{89BA7F21-8EE3-4152-BA7D-C381E2FFBE71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J27</xm:sqref>
        </x14:conditionalFormatting>
        <x14:conditionalFormatting xmlns:xm="http://schemas.microsoft.com/office/excel/2006/main">
          <x14:cfRule type="containsText" priority="61" operator="containsText" text="허하나로" id="{BCDB1C43-8BD3-4A5F-A099-08D2EEB153AC}">
            <xm:f>NOT(ISERROR(SEARCH("허하나로",'\Users\섬 박람회 조직위원회\Desktop\[240229) 2024년 2회 추경(세부).xlsx]조성연출부'!#REF!)))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62" operator="containsText" text="한별" id="{ECCED475-948E-4E57-89C6-2900681D7E3C}">
            <xm:f>NOT(ISERROR(SEARCH("한별",'\Users\섬 박람회 조직위원회\Desktop\[240229) 2024년 2회 추경(세부).xlsx]조성연출부'!#REF!)))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63" operator="containsText" text="정홍조" id="{A38EE1CC-59A0-404E-9498-F640120BA44E}">
            <xm:f>NOT(ISERROR(SEARCH("정홍조",'\Users\섬 박람회 조직위원회\Desktop\[240229) 2024년 2회 추경(세부).xlsx]조성연출부'!#REF!)))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64" operator="containsText" text="김지윤" id="{100237B7-CFCF-4A44-AB61-E7366F2D0994}">
            <xm:f>NOT(ISERROR(SEARCH("김지윤",'\Users\섬 박람회 조직위원회\Desktop\[240229) 2024년 2회 추경(세부).xlsx]조성연출부'!#REF!)))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65" operator="containsText" text="전준영" id="{31096114-70E2-4A1F-9B35-5B876634827D}">
            <xm:f>NOT(ISERROR(SEARCH("전준영",'\Users\섬 박람회 조직위원회\Desktop\[240229) 2024년 2회 추경(세부).xlsx]조성연출부'!#REF!)))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6" operator="containsText" text="차재성" id="{B126A396-1B9B-4D8C-9D41-C2AEAC8F63C0}">
            <xm:f>NOT(ISERROR(SEARCH("차재성",'\Users\섬 박람회 조직위원회\Desktop\[240229) 2024년 2회 추경(세부).xlsx]조성연출부'!#REF!)))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I26</xm:sqref>
        </x14:conditionalFormatting>
        <x14:conditionalFormatting xmlns:xm="http://schemas.microsoft.com/office/excel/2006/main">
          <x14:cfRule type="containsText" priority="55" operator="containsText" text="허하나로" id="{32FF62E2-9292-49F9-AF0A-F1A668DE0E19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6" operator="containsText" text="한별" id="{C5774498-CA8A-441F-BFFB-CD699EE3769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7" operator="containsText" text="정홍조" id="{D10E7E17-4E65-4D55-81B5-AA1282B88074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8" operator="containsText" text="김지윤" id="{9046ACE1-3A73-4B29-8C66-7C9BC09EDBBF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9" operator="containsText" text="전준영" id="{46DD9E08-73B5-4E8F-879C-A46E5C82CE3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text="차재성" id="{AC71C39B-A6C0-4743-889B-A234260443BE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J64:J65</xm:sqref>
        </x14:conditionalFormatting>
        <x14:conditionalFormatting xmlns:xm="http://schemas.microsoft.com/office/excel/2006/main">
          <x14:cfRule type="containsText" priority="49" operator="containsText" text="허하나로" id="{FFFFD91E-9C96-4995-B143-48196195E2BD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50" operator="containsText" text="한별" id="{CD63161A-A5DA-43C2-9C08-510A59DA8CDE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51" operator="containsText" text="정홍조" id="{337E64F5-C270-479D-B462-8C5967F0E03D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52" operator="containsText" text="김지윤" id="{424FB007-E177-473C-81A9-C8223BA73BE6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53" operator="containsText" text="전준영" id="{6FA2DEEB-CDB0-4E13-823C-02D5882331DC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54" operator="containsText" text="차재성" id="{587DA76C-E3EE-48D0-9348-80754C739E77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J72 J80:J81</xm:sqref>
        </x14:conditionalFormatting>
        <x14:conditionalFormatting xmlns:xm="http://schemas.microsoft.com/office/excel/2006/main">
          <x14:cfRule type="containsText" priority="43" operator="containsText" text="허하나로" id="{AF6B8880-4BE9-4BDA-AFAC-94CBC841699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44" operator="containsText" text="한별" id="{2CD10CBB-A400-4DA9-8A5F-9A605C881D25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45" operator="containsText" text="정홍조" id="{FAEB4972-F482-4388-A2F8-EF39772D612B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6" operator="containsText" text="김지윤" id="{B1D70695-6BCA-42EC-B94C-101A166A3460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7" operator="containsText" text="전준영" id="{AB384378-222B-445C-B668-D5899361E56E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8" operator="containsText" text="차재성" id="{BFC6D678-E726-4A71-A69B-AB24F687517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J71</xm:sqref>
        </x14:conditionalFormatting>
        <x14:conditionalFormatting xmlns:xm="http://schemas.microsoft.com/office/excel/2006/main">
          <x14:cfRule type="containsText" priority="37" operator="containsText" text="허하나로" id="{6F85EACA-2A8C-4DC8-856F-1F687BCA32A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8" operator="containsText" text="한별" id="{E846A9E7-3B48-4011-8FDC-429AD7764DEC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9" operator="containsText" text="정홍조" id="{803A58E8-6C25-44B5-B0C9-48AABB637B48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40" operator="containsText" text="김지윤" id="{07FCE2EF-A18C-46BD-9979-4E0EC19067CC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41" operator="containsText" text="전준영" id="{21808195-82C1-48C1-9674-1FD3959419FD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2" operator="containsText" text="차재성" id="{8071ACFB-708D-4BC3-B8FD-8BDABD4E9BEF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J20:J22</xm:sqref>
        </x14:conditionalFormatting>
        <x14:conditionalFormatting xmlns:xm="http://schemas.microsoft.com/office/excel/2006/main">
          <x14:cfRule type="containsText" priority="31" operator="containsText" text="허하나로" id="{0E3BA01D-ECC7-494A-AEAC-5010F879D10E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32" operator="containsText" text="한별" id="{9CBBFD54-BE4F-4AA7-81D8-91EC2A835A0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33" operator="containsText" text="정홍조" id="{7D3FE18A-933F-471C-94A4-538EA9D4F928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34" operator="containsText" text="김지윤" id="{FCA49F57-4BFA-4AFE-BB7F-653DD5BF07C5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5" operator="containsText" text="전준영" id="{A193A813-F817-4818-A6B7-4110E1F01364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6" operator="containsText" text="차재성" id="{FDAC11BA-64FE-4B0D-BB18-D1B7BBAECCD9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J14:J15</xm:sqref>
        </x14:conditionalFormatting>
        <x14:conditionalFormatting xmlns:xm="http://schemas.microsoft.com/office/excel/2006/main">
          <x14:cfRule type="containsText" priority="25" operator="containsText" text="허하나로" id="{53E2B25A-6F15-4886-8C98-37A16E531506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6" operator="containsText" text="한별" id="{018BDF2C-A1F4-45F0-AC58-2C09101F9F18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7" operator="containsText" text="정홍조" id="{96EB6039-9116-4E30-97C3-7BC9C712E5B2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8" operator="containsText" text="김지윤" id="{6D6F6143-CC85-4AD3-B523-6CBD2A04234D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" operator="containsText" text="전준영" id="{03839964-0321-41CF-A384-CD6BE498B9DE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" operator="containsText" text="차재성" id="{62D8A496-5FF2-42E3-B115-42DECD38D33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J19</xm:sqref>
        </x14:conditionalFormatting>
        <x14:conditionalFormatting xmlns:xm="http://schemas.microsoft.com/office/excel/2006/main">
          <x14:cfRule type="containsText" priority="19" operator="containsText" text="허하나로" id="{84129093-70EE-4B89-A62C-1FDEA92236D9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20" operator="containsText" text="한별" id="{A5AF2A4C-A0F1-4A7F-A199-2D524EFFC8BD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21" operator="containsText" text="정홍조" id="{0AB912F3-AC72-4CDE-AF9E-65095E13309C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22" operator="containsText" text="김지윤" id="{0E705F02-76DA-4FC1-9570-9E9B2E7593BE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" operator="containsText" text="전준영" id="{4B03BD70-492D-485D-A365-43CC5F74F446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" operator="containsText" text="차재성" id="{6A9A5827-A8DE-4868-A5C4-3F2E9033547C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J57:J58</xm:sqref>
        </x14:conditionalFormatting>
        <x14:conditionalFormatting xmlns:xm="http://schemas.microsoft.com/office/excel/2006/main">
          <x14:cfRule type="containsText" priority="13" operator="containsText" text="허하나로" id="{447A8153-9EF2-4E19-945C-13F8C65C27CF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14" operator="containsText" text="한별" id="{69510E86-740F-4A01-A95D-65DF61C29D16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15" operator="containsText" text="정홍조" id="{02AF5224-0E0E-46B4-BD06-74D789287F63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6" operator="containsText" text="김지윤" id="{67E21E89-2F90-49DE-8FE8-39695615B9AD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" operator="containsText" text="전준영" id="{A2D81CA1-14EB-4E4B-B28B-E38733788792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8" operator="containsText" text="차재성" id="{2199287F-3060-45E4-B349-41F2FC40B642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J43:J44</xm:sqref>
        </x14:conditionalFormatting>
        <x14:conditionalFormatting xmlns:xm="http://schemas.microsoft.com/office/excel/2006/main">
          <x14:cfRule type="containsText" priority="7" operator="containsText" text="허하나로" id="{05A1BF34-F91C-4634-98A7-1D91EAE7F593}">
            <xm:f>NOT(ISERROR(SEARCH("허하나로",'\Users\섬 박람회 조직위원회\Desktop\[240229) 2024년 2회 추경(세부).xlsx]홍보사업부'!#REF!)))</xm:f>
            <x14:dxf>
              <fill>
                <patternFill>
                  <bgColor rgb="FFCC99FF"/>
                </patternFill>
              </fill>
            </x14:dxf>
          </x14:cfRule>
          <x14:cfRule type="containsText" priority="8" operator="containsText" text="한별" id="{8FDD87EE-C560-454B-A8F0-7ACB03E05F3F}">
            <xm:f>NOT(ISERROR(SEARCH("한별",'\Users\섬 박람회 조직위원회\Desktop\[240229) 2024년 2회 추경(세부).xlsx]홍보사업부'!#REF!)))</xm:f>
            <x14:dxf>
              <fill>
                <patternFill>
                  <bgColor rgb="FFDBDBDB"/>
                </patternFill>
              </fill>
            </x14:dxf>
          </x14:cfRule>
          <x14:cfRule type="containsText" priority="9" operator="containsText" text="정홍조" id="{0F8B45D0-924A-4B86-A5F4-D058FF63E084}">
            <xm:f>NOT(ISERROR(SEARCH("정홍조",'\Users\섬 박람회 조직위원회\Desktop\[240229) 2024년 2회 추경(세부).xlsx]홍보사업부'!#REF!)))</xm:f>
            <x14:dxf>
              <font>
                <color rgb="FF203864"/>
              </font>
              <fill>
                <patternFill>
                  <bgColor rgb="FFBED7EE"/>
                </patternFill>
              </fill>
            </x14:dxf>
          </x14:cfRule>
          <x14:cfRule type="containsText" priority="10" operator="containsText" text="김지윤" id="{8FE05FF8-CF4E-453B-B2A6-820F4F1D3F78}">
            <xm:f>NOT(ISERROR(SEARCH("김지윤",'\Users\섬 박람회 조직위원회\Desktop\[240229) 2024년 2회 추경(세부).xlsx]홍보사업부'!#REF!)))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1" operator="containsText" text="전준영" id="{4208599C-0041-488F-B5E3-8A9B19D15833}">
            <xm:f>NOT(ISERROR(SEARCH("전준영",'\Users\섬 박람회 조직위원회\Desktop\[240229) 2024년 2회 추경(세부).xlsx]홍보사업부'!#REF!)))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text="차재성" id="{EFB68A28-345C-4CD8-8A77-C58451FBBF4D}">
            <xm:f>NOT(ISERROR(SEARCH("차재성",'\Users\섬 박람회 조직위원회\Desktop\[240229) 2024년 2회 추경(세부).xlsx]홍보사업부'!#REF!)))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J73:J74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18</vt:i4>
      </vt:variant>
    </vt:vector>
  </HeadingPairs>
  <TitlesOfParts>
    <vt:vector size="34" baseType="lpstr">
      <vt:lpstr>표지</vt:lpstr>
      <vt:lpstr>수입예산 총괄표</vt:lpstr>
      <vt:lpstr>지출예산 총괄표</vt:lpstr>
      <vt:lpstr>지출예산</vt:lpstr>
      <vt:lpstr>행정관리부</vt:lpstr>
      <vt:lpstr>기획홍보부</vt:lpstr>
      <vt:lpstr>수익사업부</vt:lpstr>
      <vt:lpstr>유치협력부</vt:lpstr>
      <vt:lpstr>운영부</vt:lpstr>
      <vt:lpstr>행사부</vt:lpstr>
      <vt:lpstr>시설조성부</vt:lpstr>
      <vt:lpstr>전시연출부</vt:lpstr>
      <vt:lpstr>예비비</vt:lpstr>
      <vt:lpstr>지출예산(위탁)</vt:lpstr>
      <vt:lpstr>기획본부(위탁)</vt:lpstr>
      <vt:lpstr>운영본부(위탁)</vt:lpstr>
      <vt:lpstr>수익사업부!Print_Area</vt:lpstr>
      <vt:lpstr>시설조성부!Print_Area</vt:lpstr>
      <vt:lpstr>'운영본부(위탁)'!Print_Area</vt:lpstr>
      <vt:lpstr>유치협력부!Print_Area</vt:lpstr>
      <vt:lpstr>지출예산!Print_Area</vt:lpstr>
      <vt:lpstr>'기획본부(위탁)'!Print_Titles</vt:lpstr>
      <vt:lpstr>기획홍보부!Print_Titles</vt:lpstr>
      <vt:lpstr>수익사업부!Print_Titles</vt:lpstr>
      <vt:lpstr>시설조성부!Print_Titles</vt:lpstr>
      <vt:lpstr>예비비!Print_Titles</vt:lpstr>
      <vt:lpstr>'운영본부(위탁)'!Print_Titles</vt:lpstr>
      <vt:lpstr>운영부!Print_Titles</vt:lpstr>
      <vt:lpstr>유치협력부!Print_Titles</vt:lpstr>
      <vt:lpstr>전시연출부!Print_Titles</vt:lpstr>
      <vt:lpstr>지출예산!Print_Titles</vt:lpstr>
      <vt:lpstr>'지출예산(위탁)'!Print_Titles</vt:lpstr>
      <vt:lpstr>행사부!Print_Titles</vt:lpstr>
      <vt:lpstr>행정관리부!Print_Titles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섬 박람회 조직위원회</cp:lastModifiedBy>
  <cp:revision>14</cp:revision>
  <cp:lastPrinted>2025-06-04T04:33:19Z</cp:lastPrinted>
  <dcterms:created xsi:type="dcterms:W3CDTF">2022-08-16T06:55:23Z</dcterms:created>
  <dcterms:modified xsi:type="dcterms:W3CDTF">2025-06-04T04:33:55Z</dcterms:modified>
  <cp:version>0906.0100.01</cp:version>
</cp:coreProperties>
</file>