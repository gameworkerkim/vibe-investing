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섬 박람회 조직위원회\Desktop\"/>
    </mc:Choice>
  </mc:AlternateContent>
  <bookViews>
    <workbookView xWindow="0" yWindow="0" windowWidth="28800" windowHeight="12060" tabRatio="813" firstSheet="7" activeTab="12"/>
  </bookViews>
  <sheets>
    <sheet name="수입예산 총괄표" sheetId="41" r:id="rId1"/>
    <sheet name="지출예산 총괄표" sheetId="46" r:id="rId2"/>
    <sheet name="지출예산" sheetId="29" r:id="rId3"/>
    <sheet name="행정관리부" sheetId="36" r:id="rId4"/>
    <sheet name="기획홍보부" sheetId="34" r:id="rId5"/>
    <sheet name="수익사업부" sheetId="30" r:id="rId6"/>
    <sheet name="유치협력부" sheetId="35" r:id="rId7"/>
    <sheet name="운영부" sheetId="37" r:id="rId8"/>
    <sheet name="행사부" sheetId="38" r:id="rId9"/>
    <sheet name="시설조성부" sheetId="39" r:id="rId10"/>
    <sheet name="전시연출부" sheetId="40" r:id="rId11"/>
    <sheet name="예비비" sheetId="42" r:id="rId12"/>
    <sheet name="지출예산(위탁)" sheetId="43" r:id="rId13"/>
    <sheet name="기획본부(위탁)" sheetId="44" r:id="rId14"/>
    <sheet name="운영본부(위탁)" sheetId="45" r:id="rId15"/>
  </sheets>
  <externalReferences>
    <externalReference r:id="rId16"/>
    <externalReference r:id="rId17"/>
  </externalReferences>
  <definedNames>
    <definedName name="_xlnm._FilterDatabase" localSheetId="4" hidden="1">기획홍보부!$A$3:$M$60</definedName>
    <definedName name="_xlnm._FilterDatabase" localSheetId="5" hidden="1">수익사업부!$A$3:$AY$53</definedName>
    <definedName name="_xlnm._FilterDatabase" localSheetId="9" hidden="1">시설조성부!$A$3:$M$24</definedName>
    <definedName name="_xlnm._FilterDatabase" localSheetId="7" hidden="1">운영부!$A$3:$M$42</definedName>
    <definedName name="_xlnm._FilterDatabase" localSheetId="6" hidden="1">유치협력부!$A$3:$BP$31</definedName>
    <definedName name="_xlnm._FilterDatabase" localSheetId="10" hidden="1">전시연출부!$A$3:$M$24</definedName>
    <definedName name="_xlnm._FilterDatabase" localSheetId="2" hidden="1">지출예산!$A$4:$I$179</definedName>
    <definedName name="_xlnm._FilterDatabase" localSheetId="8" hidden="1">행사부!$A$3:$M$24</definedName>
    <definedName name="_xlnm._FilterDatabase" localSheetId="3" hidden="1">행정관리부!$A$3:$M$121</definedName>
    <definedName name="_xlnm.Database" localSheetId="4">#REF!</definedName>
    <definedName name="_xlnm.Database" localSheetId="2">#REF!</definedName>
    <definedName name="_xlnm.Database">#REF!</definedName>
    <definedName name="_xlnm.Print_Area" localSheetId="5">수익사업부!$A$1:$M$50</definedName>
    <definedName name="_xlnm.Print_Area" localSheetId="2">지출예산!$A$1:$I$173</definedName>
    <definedName name="_xlnm.Print_Titles" localSheetId="5">수익사업부!$2:$3</definedName>
    <definedName name="ㄹㄹㄹ" localSheetId="4">#REF!</definedName>
    <definedName name="ㄹㄹㄹ" localSheetId="2">#REF!</definedName>
    <definedName name="ㄹㄹㄹ">#REF!</definedName>
    <definedName name="ㅁ1" localSheetId="4">#REF!</definedName>
    <definedName name="ㅁ1" localSheetId="5">#REF!</definedName>
    <definedName name="ㅁ1" localSheetId="2">#REF!</definedName>
    <definedName name="ㅁ1">#REF!</definedName>
    <definedName name="ㅇㅇ">#REF!</definedName>
    <definedName name="ㅇㅇㅇ">#REF!</definedName>
  </definedNames>
  <calcPr calcId="162913"/>
</workbook>
</file>

<file path=xl/calcChain.xml><?xml version="1.0" encoding="utf-8"?>
<calcChain xmlns="http://schemas.openxmlformats.org/spreadsheetml/2006/main">
  <c r="M11" i="35" l="1"/>
  <c r="M47" i="44" l="1"/>
  <c r="M75" i="36" l="1"/>
  <c r="H75" i="36" s="1"/>
  <c r="M109" i="36"/>
  <c r="M115" i="36"/>
  <c r="M53" i="36"/>
  <c r="M39" i="36"/>
  <c r="M20" i="36"/>
  <c r="M103" i="36"/>
  <c r="H103" i="36" s="1"/>
  <c r="J103" i="36" l="1"/>
  <c r="I4" i="35" l="1"/>
  <c r="I4" i="30"/>
  <c r="I4" i="34"/>
  <c r="H106" i="29" l="1"/>
  <c r="H158" i="29" l="1"/>
  <c r="H157" i="29" s="1"/>
  <c r="H159" i="29"/>
  <c r="H160" i="29"/>
  <c r="H161" i="29"/>
  <c r="H162" i="29"/>
  <c r="H163" i="29"/>
  <c r="H164" i="29"/>
  <c r="H165" i="29"/>
  <c r="H166" i="29"/>
  <c r="H167" i="29"/>
  <c r="H168" i="29"/>
  <c r="H146" i="29"/>
  <c r="H145" i="29" s="1"/>
  <c r="H147" i="29"/>
  <c r="H148" i="29"/>
  <c r="H149" i="29"/>
  <c r="H150" i="29"/>
  <c r="H151" i="29"/>
  <c r="H152" i="29"/>
  <c r="H153" i="29"/>
  <c r="H154" i="29"/>
  <c r="H155" i="29"/>
  <c r="H156" i="29"/>
  <c r="H116" i="29"/>
  <c r="H115" i="29" s="1"/>
  <c r="H117" i="29"/>
  <c r="H118" i="29"/>
  <c r="H119" i="29"/>
  <c r="H120" i="29"/>
  <c r="H121" i="29"/>
  <c r="H122" i="29"/>
  <c r="H123" i="29"/>
  <c r="H124" i="29"/>
  <c r="H125" i="29"/>
  <c r="H126" i="29"/>
  <c r="H127" i="29"/>
  <c r="H128" i="29"/>
  <c r="H129" i="29"/>
  <c r="H130" i="29"/>
  <c r="H131" i="29"/>
  <c r="H132" i="29"/>
  <c r="H133" i="29"/>
  <c r="H82" i="29"/>
  <c r="H83" i="29"/>
  <c r="H84" i="29"/>
  <c r="H85" i="29"/>
  <c r="H86" i="29"/>
  <c r="H87" i="29"/>
  <c r="H88" i="29"/>
  <c r="H91" i="29"/>
  <c r="H92" i="29"/>
  <c r="H93" i="29"/>
  <c r="H94" i="29"/>
  <c r="H95" i="29"/>
  <c r="H96" i="29"/>
  <c r="H97" i="29"/>
  <c r="H98" i="29"/>
  <c r="H99" i="29"/>
  <c r="H100" i="29"/>
  <c r="H75" i="29"/>
  <c r="H76" i="29"/>
  <c r="H77" i="29"/>
  <c r="H78" i="29"/>
  <c r="H79" i="29"/>
  <c r="H80" i="29"/>
  <c r="H81" i="29"/>
  <c r="H90" i="29" l="1"/>
  <c r="H89" i="29" s="1"/>
  <c r="H113" i="29"/>
  <c r="M35" i="44"/>
  <c r="G17" i="46"/>
  <c r="M32" i="30" l="1"/>
  <c r="H32" i="30" s="1"/>
  <c r="G88" i="29" s="1"/>
  <c r="I88" i="29" s="1"/>
  <c r="M27" i="30"/>
  <c r="H27" i="30" s="1"/>
  <c r="G86" i="29" s="1"/>
  <c r="I86" i="29" s="1"/>
  <c r="M21" i="30"/>
  <c r="H21" i="30" s="1"/>
  <c r="M11" i="30"/>
  <c r="H11" i="30" s="1"/>
  <c r="H16" i="41"/>
  <c r="G15" i="41"/>
  <c r="F15" i="41"/>
  <c r="H15" i="41" s="1"/>
  <c r="M13" i="39"/>
  <c r="H20" i="30" l="1"/>
  <c r="G82" i="29" s="1"/>
  <c r="I82" i="29" s="1"/>
  <c r="G83" i="29"/>
  <c r="I83" i="29" s="1"/>
  <c r="J11" i="30"/>
  <c r="G79" i="29"/>
  <c r="J32" i="30"/>
  <c r="H31" i="30"/>
  <c r="G87" i="29" s="1"/>
  <c r="I87" i="29" s="1"/>
  <c r="J27" i="30"/>
  <c r="H26" i="30"/>
  <c r="G85" i="29" s="1"/>
  <c r="I85" i="29" s="1"/>
  <c r="J21" i="30"/>
  <c r="M26" i="36"/>
  <c r="J31" i="30" l="1"/>
  <c r="H30" i="30"/>
  <c r="J30" i="30" s="1"/>
  <c r="H25" i="30"/>
  <c r="H24" i="30" s="1"/>
  <c r="G84" i="29" s="1"/>
  <c r="I84" i="29" s="1"/>
  <c r="J26" i="30"/>
  <c r="J20" i="30"/>
  <c r="H19" i="30"/>
  <c r="J25" i="30" l="1"/>
  <c r="J24" i="30"/>
  <c r="J19" i="30"/>
  <c r="H18" i="30"/>
  <c r="M26" i="35"/>
  <c r="M50" i="44"/>
  <c r="M59" i="44"/>
  <c r="H59" i="44" s="1"/>
  <c r="G29" i="43" s="1"/>
  <c r="I29" i="43" s="1"/>
  <c r="M23" i="35"/>
  <c r="H23" i="35" s="1"/>
  <c r="J23" i="35" s="1"/>
  <c r="G45" i="43"/>
  <c r="G69" i="43"/>
  <c r="I69" i="43" s="1"/>
  <c r="G68" i="43"/>
  <c r="I68" i="43" s="1"/>
  <c r="G65" i="43"/>
  <c r="G71" i="43"/>
  <c r="G70" i="43"/>
  <c r="G67" i="43"/>
  <c r="I67" i="43" s="1"/>
  <c r="G66" i="43"/>
  <c r="I66" i="43" s="1"/>
  <c r="G64" i="43"/>
  <c r="I64" i="43" s="1"/>
  <c r="G63" i="43"/>
  <c r="G59" i="43"/>
  <c r="I59" i="43" s="1"/>
  <c r="G58" i="43"/>
  <c r="I58" i="43" s="1"/>
  <c r="G55" i="43"/>
  <c r="I55" i="43" s="1"/>
  <c r="G54" i="43"/>
  <c r="I54" i="43" s="1"/>
  <c r="G47" i="43"/>
  <c r="G46" i="43"/>
  <c r="G51" i="43"/>
  <c r="G50" i="43"/>
  <c r="G61" i="43"/>
  <c r="G60" i="43"/>
  <c r="I60" i="43" s="1"/>
  <c r="G57" i="43"/>
  <c r="I57" i="43" s="1"/>
  <c r="G56" i="43"/>
  <c r="I56" i="43" s="1"/>
  <c r="G53" i="43"/>
  <c r="I53" i="43" s="1"/>
  <c r="G52" i="43"/>
  <c r="I52" i="43" s="1"/>
  <c r="G49" i="43"/>
  <c r="G48" i="43"/>
  <c r="I71" i="43"/>
  <c r="I70" i="43"/>
  <c r="I65" i="43"/>
  <c r="I61" i="43"/>
  <c r="I51" i="43"/>
  <c r="I50" i="43"/>
  <c r="G40" i="43"/>
  <c r="G39" i="43"/>
  <c r="G42" i="43"/>
  <c r="G41" i="43"/>
  <c r="G34" i="43"/>
  <c r="G33" i="43"/>
  <c r="G32" i="43"/>
  <c r="G31" i="43"/>
  <c r="G37" i="43"/>
  <c r="I37" i="43" s="1"/>
  <c r="G36" i="43"/>
  <c r="I36" i="43" s="1"/>
  <c r="G35" i="43"/>
  <c r="I35" i="43" s="1"/>
  <c r="J18" i="30" l="1"/>
  <c r="G81" i="29"/>
  <c r="I81" i="29" s="1"/>
  <c r="J59" i="44"/>
  <c r="H58" i="44"/>
  <c r="G28" i="43" s="1"/>
  <c r="I28" i="43" s="1"/>
  <c r="M11" i="34"/>
  <c r="M89" i="36"/>
  <c r="H23" i="45"/>
  <c r="M48" i="45"/>
  <c r="M46" i="45"/>
  <c r="M41" i="45"/>
  <c r="M39" i="45"/>
  <c r="M71" i="45"/>
  <c r="M69" i="45"/>
  <c r="M55" i="45"/>
  <c r="M53" i="45"/>
  <c r="M64" i="45"/>
  <c r="M62" i="45"/>
  <c r="M35" i="37"/>
  <c r="M68" i="36"/>
  <c r="H57" i="44" l="1"/>
  <c r="J57" i="44" s="1"/>
  <c r="J58" i="44"/>
  <c r="M19" i="44"/>
  <c r="M27" i="44"/>
  <c r="H27" i="44" s="1"/>
  <c r="M23" i="44"/>
  <c r="G15" i="43" l="1"/>
  <c r="I15" i="43" s="1"/>
  <c r="H26" i="44"/>
  <c r="J27" i="44"/>
  <c r="M20" i="35"/>
  <c r="H64" i="45"/>
  <c r="J64" i="45" s="1"/>
  <c r="H62" i="45"/>
  <c r="J62" i="45" s="1"/>
  <c r="H41" i="45"/>
  <c r="J41" i="45" s="1"/>
  <c r="H39" i="45"/>
  <c r="H48" i="45"/>
  <c r="J48" i="45" s="1"/>
  <c r="H46" i="45"/>
  <c r="M17" i="45"/>
  <c r="M11" i="45"/>
  <c r="M23" i="40"/>
  <c r="H23" i="40" s="1"/>
  <c r="G168" i="29" s="1"/>
  <c r="I168" i="29" s="1"/>
  <c r="M23" i="39"/>
  <c r="H23" i="39" s="1"/>
  <c r="M23" i="38"/>
  <c r="H23" i="38" s="1"/>
  <c r="M30" i="35"/>
  <c r="H30" i="35" s="1"/>
  <c r="G113" i="29" s="1"/>
  <c r="I113" i="29" s="1"/>
  <c r="M52" i="30"/>
  <c r="H52" i="30" s="1"/>
  <c r="G100" i="29" s="1"/>
  <c r="I100" i="29" s="1"/>
  <c r="M41" i="34"/>
  <c r="H41" i="34" s="1"/>
  <c r="G63" i="29" s="1"/>
  <c r="I63" i="29" s="1"/>
  <c r="J23" i="38" l="1"/>
  <c r="G144" i="29"/>
  <c r="I144" i="29" s="1"/>
  <c r="H22" i="38"/>
  <c r="H22" i="39"/>
  <c r="G156" i="29"/>
  <c r="I156" i="29" s="1"/>
  <c r="J23" i="40"/>
  <c r="H22" i="40"/>
  <c r="H45" i="45"/>
  <c r="J41" i="34"/>
  <c r="H40" i="34"/>
  <c r="J39" i="45"/>
  <c r="H38" i="45"/>
  <c r="H37" i="45" s="1"/>
  <c r="H36" i="45" s="1"/>
  <c r="J36" i="45" s="1"/>
  <c r="H61" i="45"/>
  <c r="J46" i="45"/>
  <c r="J23" i="39"/>
  <c r="J30" i="35"/>
  <c r="H29" i="35"/>
  <c r="J52" i="30"/>
  <c r="H51" i="30"/>
  <c r="M29" i="37"/>
  <c r="H29" i="37" s="1"/>
  <c r="M34" i="34"/>
  <c r="H17" i="45"/>
  <c r="H16" i="45" s="1"/>
  <c r="H114" i="29"/>
  <c r="M41" i="37"/>
  <c r="H41" i="37" s="1"/>
  <c r="M39" i="37"/>
  <c r="M33" i="37"/>
  <c r="H33" i="37" s="1"/>
  <c r="G129" i="29" s="1"/>
  <c r="M26" i="37"/>
  <c r="H26" i="37"/>
  <c r="J26" i="37" s="1"/>
  <c r="M22" i="37"/>
  <c r="H22" i="37" s="1"/>
  <c r="J22" i="37" s="1"/>
  <c r="M16" i="37"/>
  <c r="H16" i="37"/>
  <c r="J16" i="37" s="1"/>
  <c r="H14" i="37"/>
  <c r="J14" i="37" s="1"/>
  <c r="M11" i="37"/>
  <c r="H11" i="37" s="1"/>
  <c r="H18" i="29"/>
  <c r="H19" i="29"/>
  <c r="H20" i="29"/>
  <c r="H21" i="29"/>
  <c r="H22" i="29"/>
  <c r="H23" i="29"/>
  <c r="H24" i="29"/>
  <c r="H25" i="29"/>
  <c r="H26" i="29"/>
  <c r="H27" i="29"/>
  <c r="H28" i="29"/>
  <c r="H29" i="29"/>
  <c r="H30" i="29"/>
  <c r="H31" i="29"/>
  <c r="H32" i="29"/>
  <c r="H33" i="29"/>
  <c r="H34" i="29"/>
  <c r="H35" i="29"/>
  <c r="H36" i="29"/>
  <c r="H37" i="29"/>
  <c r="H38" i="29"/>
  <c r="H39" i="29"/>
  <c r="H40" i="29"/>
  <c r="H41" i="29"/>
  <c r="H11" i="29"/>
  <c r="H10" i="29" s="1"/>
  <c r="H9" i="29" s="1"/>
  <c r="H13" i="29"/>
  <c r="H12" i="29" s="1"/>
  <c r="H14" i="29"/>
  <c r="H15" i="29"/>
  <c r="J22" i="38" l="1"/>
  <c r="G143" i="29"/>
  <c r="I143" i="29" s="1"/>
  <c r="H10" i="37"/>
  <c r="H9" i="37" s="1"/>
  <c r="J9" i="37" s="1"/>
  <c r="J29" i="35"/>
  <c r="G112" i="29"/>
  <c r="I112" i="29" s="1"/>
  <c r="J40" i="34"/>
  <c r="G62" i="29"/>
  <c r="I62" i="29" s="1"/>
  <c r="J51" i="30"/>
  <c r="G99" i="29"/>
  <c r="I99" i="29" s="1"/>
  <c r="J22" i="40"/>
  <c r="G167" i="29"/>
  <c r="I167" i="29" s="1"/>
  <c r="J22" i="39"/>
  <c r="G155" i="29"/>
  <c r="I155" i="29" s="1"/>
  <c r="I129" i="29"/>
  <c r="J38" i="45"/>
  <c r="H32" i="37"/>
  <c r="J32" i="37" s="1"/>
  <c r="G119" i="29"/>
  <c r="I119" i="29" s="1"/>
  <c r="G120" i="29"/>
  <c r="G124" i="29"/>
  <c r="H39" i="37"/>
  <c r="J39" i="37" s="1"/>
  <c r="H38" i="37"/>
  <c r="J37" i="45"/>
  <c r="H60" i="45"/>
  <c r="J61" i="45"/>
  <c r="H44" i="45"/>
  <c r="J45" i="45"/>
  <c r="J11" i="37"/>
  <c r="G118" i="29"/>
  <c r="I118" i="29" s="1"/>
  <c r="G125" i="29"/>
  <c r="J41" i="37"/>
  <c r="G132" i="29"/>
  <c r="J29" i="37"/>
  <c r="H28" i="37"/>
  <c r="G127" i="29"/>
  <c r="J17" i="45"/>
  <c r="J33" i="37"/>
  <c r="H21" i="37"/>
  <c r="G123" i="29" s="1"/>
  <c r="H17" i="29"/>
  <c r="H16" i="29" s="1"/>
  <c r="H8" i="29"/>
  <c r="M17" i="36"/>
  <c r="M120" i="36"/>
  <c r="M82" i="36"/>
  <c r="M86" i="36"/>
  <c r="M49" i="36"/>
  <c r="H49" i="36" s="1"/>
  <c r="H8" i="37" l="1"/>
  <c r="G116" i="29" s="1"/>
  <c r="J10" i="37"/>
  <c r="G117" i="29"/>
  <c r="H17" i="36"/>
  <c r="G128" i="29"/>
  <c r="I128" i="29" s="1"/>
  <c r="H109" i="36"/>
  <c r="J109" i="36" s="1"/>
  <c r="G131" i="29"/>
  <c r="I131" i="29" s="1"/>
  <c r="J49" i="36"/>
  <c r="G23" i="29"/>
  <c r="I23" i="29" s="1"/>
  <c r="H59" i="45"/>
  <c r="J60" i="45"/>
  <c r="H43" i="45"/>
  <c r="J43" i="45" s="1"/>
  <c r="J44" i="45"/>
  <c r="J38" i="37"/>
  <c r="G130" i="29"/>
  <c r="J28" i="37"/>
  <c r="G126" i="29"/>
  <c r="J21" i="37"/>
  <c r="H20" i="37"/>
  <c r="J8" i="37"/>
  <c r="H7" i="37"/>
  <c r="H48" i="36"/>
  <c r="G41" i="29" l="1"/>
  <c r="I41" i="29" s="1"/>
  <c r="H108" i="36"/>
  <c r="H107" i="36" s="1"/>
  <c r="J48" i="36"/>
  <c r="G22" i="29"/>
  <c r="I22" i="29" s="1"/>
  <c r="J59" i="45"/>
  <c r="H19" i="37"/>
  <c r="G122" i="29" s="1"/>
  <c r="J20" i="37"/>
  <c r="J7" i="37"/>
  <c r="M44" i="36"/>
  <c r="H44" i="36" s="1"/>
  <c r="M42" i="36"/>
  <c r="J44" i="36" l="1"/>
  <c r="G21" i="29"/>
  <c r="H18" i="37"/>
  <c r="G121" i="29" s="1"/>
  <c r="J19" i="37"/>
  <c r="H39" i="36"/>
  <c r="G179" i="29"/>
  <c r="G178" i="29"/>
  <c r="G177" i="29"/>
  <c r="G176" i="29"/>
  <c r="G175" i="29" s="1"/>
  <c r="G174" i="29" s="1"/>
  <c r="J39" i="36" l="1"/>
  <c r="G20" i="29"/>
  <c r="I20" i="29" s="1"/>
  <c r="J18" i="37"/>
  <c r="H6" i="37"/>
  <c r="M13" i="40"/>
  <c r="H13" i="40" s="1"/>
  <c r="H13" i="39"/>
  <c r="M13" i="38"/>
  <c r="H13" i="38" s="1"/>
  <c r="G138" i="29" s="1"/>
  <c r="I138" i="29" s="1"/>
  <c r="M17" i="35"/>
  <c r="H17" i="35" s="1"/>
  <c r="M42" i="30"/>
  <c r="H42" i="30" s="1"/>
  <c r="J42" i="30" s="1"/>
  <c r="M31" i="34"/>
  <c r="H31" i="34" s="1"/>
  <c r="J17" i="35" l="1"/>
  <c r="G107" i="29"/>
  <c r="I107" i="29" s="1"/>
  <c r="J13" i="40"/>
  <c r="G162" i="29"/>
  <c r="I162" i="29" s="1"/>
  <c r="J13" i="39"/>
  <c r="G150" i="29"/>
  <c r="I150" i="29" s="1"/>
  <c r="G94" i="29"/>
  <c r="I94" i="29" s="1"/>
  <c r="J13" i="38"/>
  <c r="H5" i="37"/>
  <c r="G12" i="46" s="1"/>
  <c r="J6" i="37"/>
  <c r="J31" i="34"/>
  <c r="G57" i="29"/>
  <c r="I57" i="29" s="1"/>
  <c r="I124" i="29"/>
  <c r="I125" i="29"/>
  <c r="I117" i="29"/>
  <c r="I42" i="43"/>
  <c r="I41" i="43"/>
  <c r="I40" i="43"/>
  <c r="I39" i="43"/>
  <c r="G38" i="43"/>
  <c r="I38" i="43" s="1"/>
  <c r="M24" i="45"/>
  <c r="H24" i="45" s="1"/>
  <c r="I130" i="29"/>
  <c r="I126" i="29"/>
  <c r="I179" i="29"/>
  <c r="I178" i="29"/>
  <c r="I177" i="29"/>
  <c r="I176" i="29"/>
  <c r="I175" i="29"/>
  <c r="G62" i="43"/>
  <c r="I62" i="43" s="1"/>
  <c r="I63" i="43"/>
  <c r="I34" i="43"/>
  <c r="I33" i="43"/>
  <c r="I32" i="43"/>
  <c r="I31" i="43"/>
  <c r="G30" i="43"/>
  <c r="I30" i="43" s="1"/>
  <c r="I49" i="43"/>
  <c r="I48" i="43"/>
  <c r="I47" i="43"/>
  <c r="I46" i="43"/>
  <c r="G44" i="43"/>
  <c r="H71" i="45"/>
  <c r="J71" i="45" s="1"/>
  <c r="H69" i="45"/>
  <c r="H55" i="45"/>
  <c r="J55" i="45" s="1"/>
  <c r="H53" i="45"/>
  <c r="M55" i="44"/>
  <c r="H50" i="44" s="1"/>
  <c r="M43" i="44"/>
  <c r="H43" i="44" s="1"/>
  <c r="H35" i="44"/>
  <c r="M34" i="45"/>
  <c r="H34" i="45" s="1"/>
  <c r="J34" i="45" s="1"/>
  <c r="M32" i="45"/>
  <c r="H32" i="45" s="1"/>
  <c r="G18" i="46"/>
  <c r="G20" i="43" l="1"/>
  <c r="I20" i="43" s="1"/>
  <c r="H34" i="44"/>
  <c r="G19" i="43" s="1"/>
  <c r="I19" i="43" s="1"/>
  <c r="J43" i="44"/>
  <c r="G21" i="43"/>
  <c r="I21" i="43" s="1"/>
  <c r="J50" i="44"/>
  <c r="G24" i="43"/>
  <c r="I24" i="43" s="1"/>
  <c r="H55" i="44"/>
  <c r="G27" i="43" s="1"/>
  <c r="I27" i="43" s="1"/>
  <c r="H47" i="44"/>
  <c r="G43" i="43"/>
  <c r="I43" i="43" s="1"/>
  <c r="H31" i="45"/>
  <c r="H30" i="45" s="1"/>
  <c r="H29" i="45" s="1"/>
  <c r="J53" i="45"/>
  <c r="H52" i="45"/>
  <c r="J69" i="45"/>
  <c r="H68" i="45"/>
  <c r="H67" i="45" s="1"/>
  <c r="J67" i="45" s="1"/>
  <c r="J5" i="37"/>
  <c r="H4" i="37"/>
  <c r="J4" i="37" s="1"/>
  <c r="J24" i="45"/>
  <c r="I44" i="43"/>
  <c r="I45" i="43"/>
  <c r="J35" i="44"/>
  <c r="J32" i="45"/>
  <c r="H51" i="45"/>
  <c r="H50" i="45" s="1"/>
  <c r="H33" i="44" l="1"/>
  <c r="J33" i="44" s="1"/>
  <c r="G23" i="43"/>
  <c r="I23" i="43" s="1"/>
  <c r="H46" i="44"/>
  <c r="G22" i="43" s="1"/>
  <c r="I22" i="43" s="1"/>
  <c r="J47" i="44"/>
  <c r="J55" i="44"/>
  <c r="H54" i="44"/>
  <c r="G14" i="43"/>
  <c r="I14" i="43" s="1"/>
  <c r="H28" i="45"/>
  <c r="I122" i="29"/>
  <c r="I121" i="29"/>
  <c r="J31" i="45"/>
  <c r="J68" i="45"/>
  <c r="H66" i="45"/>
  <c r="J34" i="44"/>
  <c r="J30" i="45"/>
  <c r="J52" i="45"/>
  <c r="J50" i="45"/>
  <c r="J51" i="45"/>
  <c r="J29" i="45"/>
  <c r="H53" i="44" l="1"/>
  <c r="G26" i="43"/>
  <c r="I26" i="43" s="1"/>
  <c r="J54" i="44"/>
  <c r="H45" i="44"/>
  <c r="J46" i="44"/>
  <c r="H25" i="44"/>
  <c r="J25" i="44" s="1"/>
  <c r="J26" i="44"/>
  <c r="J66" i="45"/>
  <c r="H58" i="45"/>
  <c r="J58" i="45" s="1"/>
  <c r="J28" i="45"/>
  <c r="H27" i="45"/>
  <c r="G26" i="46" s="1"/>
  <c r="I26" i="46" s="1"/>
  <c r="H52" i="44" l="1"/>
  <c r="J53" i="44"/>
  <c r="J45" i="44"/>
  <c r="H32" i="44"/>
  <c r="H57" i="45"/>
  <c r="J57" i="45"/>
  <c r="J27" i="45"/>
  <c r="J52" i="44" l="1"/>
  <c r="G25" i="43"/>
  <c r="I25" i="43" s="1"/>
  <c r="G18" i="43"/>
  <c r="I18" i="43" s="1"/>
  <c r="H31" i="44"/>
  <c r="J32" i="44"/>
  <c r="H26" i="45"/>
  <c r="G27" i="46"/>
  <c r="I174" i="29"/>
  <c r="J26" i="45"/>
  <c r="G17" i="43" l="1"/>
  <c r="H30" i="44"/>
  <c r="J31" i="44"/>
  <c r="I27" i="46"/>
  <c r="G25" i="46"/>
  <c r="I25" i="46" s="1"/>
  <c r="J23" i="45"/>
  <c r="H22" i="45"/>
  <c r="G40" i="29"/>
  <c r="I40" i="29" s="1"/>
  <c r="I7" i="36"/>
  <c r="I6" i="36" s="1"/>
  <c r="I5" i="36" s="1"/>
  <c r="I4" i="36" s="1"/>
  <c r="M38" i="34"/>
  <c r="M47" i="34"/>
  <c r="H47" i="34" s="1"/>
  <c r="J47" i="34" s="1"/>
  <c r="M51" i="34"/>
  <c r="H51" i="34" s="1"/>
  <c r="J51" i="34" s="1"/>
  <c r="M59" i="34"/>
  <c r="H59" i="34" s="1"/>
  <c r="J59" i="34" s="1"/>
  <c r="M56" i="34"/>
  <c r="H56" i="34" s="1"/>
  <c r="J56" i="34" s="1"/>
  <c r="M54" i="34"/>
  <c r="H54" i="34" s="1"/>
  <c r="M49" i="34"/>
  <c r="M11" i="36"/>
  <c r="H11" i="36" s="1"/>
  <c r="G11" i="29" s="1"/>
  <c r="G22" i="46" l="1"/>
  <c r="I22" i="46" s="1"/>
  <c r="J30" i="44"/>
  <c r="G16" i="43"/>
  <c r="I16" i="43" s="1"/>
  <c r="I17" i="43"/>
  <c r="H21" i="45"/>
  <c r="J22" i="45"/>
  <c r="H49" i="34"/>
  <c r="J49" i="34" s="1"/>
  <c r="J107" i="36"/>
  <c r="J108" i="36"/>
  <c r="H53" i="34"/>
  <c r="J53" i="34" s="1"/>
  <c r="H58" i="34"/>
  <c r="J58" i="34" s="1"/>
  <c r="H46" i="34"/>
  <c r="J46" i="34" s="1"/>
  <c r="J11" i="36"/>
  <c r="H10" i="36"/>
  <c r="G10" i="29" s="1"/>
  <c r="J54" i="34"/>
  <c r="H20" i="45" l="1"/>
  <c r="J21" i="45"/>
  <c r="H45" i="34"/>
  <c r="H44" i="34" s="1"/>
  <c r="G65" i="29" s="1"/>
  <c r="J10" i="36"/>
  <c r="H9" i="36"/>
  <c r="J20" i="45" l="1"/>
  <c r="H19" i="45"/>
  <c r="H15" i="45"/>
  <c r="J16" i="45"/>
  <c r="J45" i="34"/>
  <c r="H8" i="36"/>
  <c r="J9" i="36"/>
  <c r="J44" i="34"/>
  <c r="H43" i="34"/>
  <c r="G64" i="29" s="1"/>
  <c r="J19" i="45" l="1"/>
  <c r="G24" i="46"/>
  <c r="I24" i="46" s="1"/>
  <c r="J15" i="45"/>
  <c r="H14" i="45"/>
  <c r="J14" i="45" s="1"/>
  <c r="J8" i="36"/>
  <c r="J43" i="34"/>
  <c r="G8" i="41" l="1"/>
  <c r="G7" i="41" s="1"/>
  <c r="G6" i="41" s="1"/>
  <c r="G5" i="41" s="1"/>
  <c r="G17" i="41"/>
  <c r="G18" i="41"/>
  <c r="G9" i="41"/>
  <c r="G11" i="41"/>
  <c r="G13" i="41"/>
  <c r="F22" i="41" l="1"/>
  <c r="H22" i="41" s="1"/>
  <c r="H11" i="45"/>
  <c r="H23" i="44"/>
  <c r="G13" i="43" s="1"/>
  <c r="H19" i="44"/>
  <c r="M11" i="44"/>
  <c r="H11" i="44" s="1"/>
  <c r="I13" i="43"/>
  <c r="M19" i="42"/>
  <c r="H19" i="42"/>
  <c r="J19" i="42" s="1"/>
  <c r="H18" i="42"/>
  <c r="J18" i="42" s="1"/>
  <c r="M11" i="42"/>
  <c r="H11" i="42" s="1"/>
  <c r="G173" i="29" s="1"/>
  <c r="I173" i="29" s="1"/>
  <c r="M20" i="40"/>
  <c r="H20" i="40" s="1"/>
  <c r="G166" i="29" s="1"/>
  <c r="I166" i="29" s="1"/>
  <c r="M16" i="40"/>
  <c r="H16" i="40" s="1"/>
  <c r="G164" i="29" s="1"/>
  <c r="I164" i="29" s="1"/>
  <c r="M11" i="40"/>
  <c r="H11" i="40" s="1"/>
  <c r="M20" i="39"/>
  <c r="H20" i="39" s="1"/>
  <c r="M16" i="39"/>
  <c r="H16" i="39" s="1"/>
  <c r="M11" i="39"/>
  <c r="M20" i="38"/>
  <c r="H20" i="38" s="1"/>
  <c r="G142" i="29" s="1"/>
  <c r="I142" i="29" s="1"/>
  <c r="M16" i="38"/>
  <c r="H16" i="38" s="1"/>
  <c r="G140" i="29" s="1"/>
  <c r="I140" i="29" s="1"/>
  <c r="M11" i="38"/>
  <c r="H11" i="38" s="1"/>
  <c r="I120" i="29"/>
  <c r="M17" i="34"/>
  <c r="H17" i="34" s="1"/>
  <c r="M15" i="34"/>
  <c r="H15" i="34" s="1"/>
  <c r="G47" i="29" s="1"/>
  <c r="H11" i="34"/>
  <c r="G46" i="29" s="1"/>
  <c r="H23" i="41"/>
  <c r="H19" i="41"/>
  <c r="F18" i="41"/>
  <c r="H14" i="41"/>
  <c r="F13" i="41"/>
  <c r="H12" i="41"/>
  <c r="F11" i="41"/>
  <c r="H10" i="41"/>
  <c r="F9" i="41"/>
  <c r="H10" i="38" l="1"/>
  <c r="G136" i="29" s="1"/>
  <c r="I136" i="29" s="1"/>
  <c r="G137" i="29"/>
  <c r="I137" i="29" s="1"/>
  <c r="F8" i="41"/>
  <c r="F7" i="41" s="1"/>
  <c r="H11" i="39"/>
  <c r="J19" i="44"/>
  <c r="G12" i="43"/>
  <c r="I12" i="43" s="1"/>
  <c r="J11" i="44"/>
  <c r="G11" i="43"/>
  <c r="I11" i="43" s="1"/>
  <c r="J11" i="45"/>
  <c r="H10" i="45"/>
  <c r="G161" i="29"/>
  <c r="I161" i="29" s="1"/>
  <c r="H10" i="40"/>
  <c r="G160" i="29" s="1"/>
  <c r="I160" i="29" s="1"/>
  <c r="J16" i="39"/>
  <c r="G152" i="29"/>
  <c r="I152" i="29" s="1"/>
  <c r="J20" i="39"/>
  <c r="G154" i="29"/>
  <c r="I154" i="29" s="1"/>
  <c r="F17" i="41"/>
  <c r="H17" i="41" s="1"/>
  <c r="J17" i="34"/>
  <c r="G48" i="29"/>
  <c r="J11" i="40"/>
  <c r="I127" i="29"/>
  <c r="I132" i="29"/>
  <c r="J20" i="40"/>
  <c r="H19" i="40"/>
  <c r="J16" i="40"/>
  <c r="H15" i="40"/>
  <c r="H15" i="39"/>
  <c r="J16" i="38"/>
  <c r="H15" i="38"/>
  <c r="I17" i="46"/>
  <c r="I18" i="46"/>
  <c r="F21" i="41"/>
  <c r="H13" i="41"/>
  <c r="J23" i="44"/>
  <c r="H10" i="44"/>
  <c r="H9" i="45"/>
  <c r="J9" i="45" s="1"/>
  <c r="J11" i="42"/>
  <c r="H10" i="42"/>
  <c r="H17" i="42"/>
  <c r="H19" i="39"/>
  <c r="J11" i="38"/>
  <c r="J20" i="38"/>
  <c r="H19" i="38"/>
  <c r="J11" i="34"/>
  <c r="H10" i="34"/>
  <c r="G45" i="29" s="1"/>
  <c r="J15" i="34"/>
  <c r="H18" i="41"/>
  <c r="H9" i="41"/>
  <c r="H11" i="41"/>
  <c r="J15" i="38" l="1"/>
  <c r="G139" i="29"/>
  <c r="I139" i="29" s="1"/>
  <c r="G149" i="29"/>
  <c r="I149" i="29" s="1"/>
  <c r="H10" i="39"/>
  <c r="G148" i="29" s="1"/>
  <c r="I148" i="29" s="1"/>
  <c r="J11" i="39"/>
  <c r="H9" i="44"/>
  <c r="H8" i="44" s="1"/>
  <c r="G9" i="43" s="1"/>
  <c r="I9" i="43" s="1"/>
  <c r="G10" i="43"/>
  <c r="I10" i="43" s="1"/>
  <c r="J19" i="38"/>
  <c r="G141" i="29"/>
  <c r="I141" i="29" s="1"/>
  <c r="H9" i="39"/>
  <c r="J10" i="44"/>
  <c r="H9" i="38"/>
  <c r="H9" i="40"/>
  <c r="J15" i="40"/>
  <c r="G163" i="29"/>
  <c r="I163" i="29" s="1"/>
  <c r="J19" i="40"/>
  <c r="G165" i="29"/>
  <c r="I165" i="29" s="1"/>
  <c r="J15" i="39"/>
  <c r="G151" i="29"/>
  <c r="I151" i="29" s="1"/>
  <c r="J19" i="39"/>
  <c r="G153" i="29"/>
  <c r="I153" i="29" s="1"/>
  <c r="I123" i="29"/>
  <c r="H8" i="41"/>
  <c r="J10" i="45"/>
  <c r="H8" i="45"/>
  <c r="H21" i="41"/>
  <c r="F20" i="41"/>
  <c r="H20" i="41" s="1"/>
  <c r="H7" i="41"/>
  <c r="F6" i="41"/>
  <c r="H6" i="41" s="1"/>
  <c r="J10" i="42"/>
  <c r="H9" i="42"/>
  <c r="G172" i="29" s="1"/>
  <c r="I172" i="29" s="1"/>
  <c r="J17" i="42"/>
  <c r="H16" i="42"/>
  <c r="J10" i="40"/>
  <c r="J10" i="38"/>
  <c r="H9" i="34"/>
  <c r="H8" i="34" s="1"/>
  <c r="H7" i="34" s="1"/>
  <c r="G43" i="29" s="1"/>
  <c r="J10" i="34"/>
  <c r="J9" i="44" l="1"/>
  <c r="J10" i="39"/>
  <c r="H7" i="44"/>
  <c r="G8" i="43" s="1"/>
  <c r="I8" i="43" s="1"/>
  <c r="J8" i="44"/>
  <c r="J8" i="45"/>
  <c r="H7" i="45"/>
  <c r="J7" i="45" s="1"/>
  <c r="F5" i="41"/>
  <c r="H5" i="41" s="1"/>
  <c r="J9" i="42"/>
  <c r="H8" i="42"/>
  <c r="G171" i="29" s="1"/>
  <c r="I171" i="29" s="1"/>
  <c r="J16" i="42"/>
  <c r="H15" i="42"/>
  <c r="J9" i="40"/>
  <c r="H8" i="40"/>
  <c r="G159" i="29" s="1"/>
  <c r="I159" i="29" s="1"/>
  <c r="H8" i="39"/>
  <c r="G147" i="29" s="1"/>
  <c r="I147" i="29" s="1"/>
  <c r="J9" i="39"/>
  <c r="J9" i="38"/>
  <c r="H8" i="38"/>
  <c r="G135" i="29" s="1"/>
  <c r="I135" i="29" s="1"/>
  <c r="J9" i="34"/>
  <c r="H6" i="44" l="1"/>
  <c r="G7" i="43" s="1"/>
  <c r="G6" i="43" s="1"/>
  <c r="J7" i="44"/>
  <c r="I7" i="43"/>
  <c r="H5" i="44"/>
  <c r="H4" i="44" s="1"/>
  <c r="G21" i="46"/>
  <c r="I21" i="46" s="1"/>
  <c r="H6" i="45"/>
  <c r="I116" i="29"/>
  <c r="G115" i="29"/>
  <c r="J8" i="34"/>
  <c r="G44" i="29"/>
  <c r="H7" i="42"/>
  <c r="G170" i="29" s="1"/>
  <c r="J8" i="42"/>
  <c r="J6" i="44"/>
  <c r="H14" i="42"/>
  <c r="J15" i="42"/>
  <c r="J8" i="40"/>
  <c r="H7" i="40"/>
  <c r="H6" i="40" s="1"/>
  <c r="J8" i="39"/>
  <c r="H7" i="39"/>
  <c r="H7" i="38"/>
  <c r="G134" i="29" s="1"/>
  <c r="J8" i="38"/>
  <c r="G5" i="43" l="1"/>
  <c r="I5" i="43" s="1"/>
  <c r="I6" i="43"/>
  <c r="G146" i="29"/>
  <c r="H6" i="39"/>
  <c r="G133" i="29"/>
  <c r="I133" i="29" s="1"/>
  <c r="I134" i="29"/>
  <c r="H5" i="45"/>
  <c r="H4" i="45" s="1"/>
  <c r="G23" i="46"/>
  <c r="I23" i="46" s="1"/>
  <c r="J6" i="45"/>
  <c r="G169" i="29"/>
  <c r="I169" i="29" s="1"/>
  <c r="I170" i="29"/>
  <c r="J7" i="38"/>
  <c r="H6" i="38"/>
  <c r="J7" i="40"/>
  <c r="G158" i="29"/>
  <c r="G157" i="29" s="1"/>
  <c r="I115" i="29"/>
  <c r="G114" i="29"/>
  <c r="I114" i="29" s="1"/>
  <c r="H6" i="42"/>
  <c r="G16" i="46" s="1"/>
  <c r="I16" i="46" s="1"/>
  <c r="J7" i="42"/>
  <c r="J5" i="45"/>
  <c r="J5" i="44"/>
  <c r="H13" i="42"/>
  <c r="J14" i="42"/>
  <c r="J7" i="39"/>
  <c r="I146" i="29" l="1"/>
  <c r="G145" i="29"/>
  <c r="I145" i="29" s="1"/>
  <c r="G20" i="46"/>
  <c r="G19" i="46" s="1"/>
  <c r="I158" i="29"/>
  <c r="I157" i="29"/>
  <c r="H5" i="42"/>
  <c r="J5" i="42" s="1"/>
  <c r="J6" i="42"/>
  <c r="J4" i="45"/>
  <c r="J4" i="44"/>
  <c r="J13" i="42"/>
  <c r="H4" i="42"/>
  <c r="J4" i="42" s="1"/>
  <c r="J6" i="40"/>
  <c r="H5" i="40"/>
  <c r="H5" i="39"/>
  <c r="H4" i="39" s="1"/>
  <c r="J6" i="39"/>
  <c r="J6" i="38"/>
  <c r="H5" i="38"/>
  <c r="I19" i="46" l="1"/>
  <c r="I20" i="46"/>
  <c r="J5" i="40"/>
  <c r="H4" i="40"/>
  <c r="J4" i="40" s="1"/>
  <c r="G15" i="46"/>
  <c r="I15" i="46" s="1"/>
  <c r="G14" i="46"/>
  <c r="I14" i="46" s="1"/>
  <c r="J5" i="39"/>
  <c r="J4" i="39"/>
  <c r="G13" i="46"/>
  <c r="I13" i="46" s="1"/>
  <c r="H4" i="38"/>
  <c r="J4" i="38" s="1"/>
  <c r="J5" i="38"/>
  <c r="I12" i="46" l="1"/>
  <c r="G27" i="29" l="1"/>
  <c r="I27" i="29" s="1"/>
  <c r="J75" i="36"/>
  <c r="G68" i="29"/>
  <c r="G69" i="29"/>
  <c r="I11" i="29" l="1"/>
  <c r="M37" i="36"/>
  <c r="M34" i="36"/>
  <c r="M100" i="36"/>
  <c r="H100" i="36" s="1"/>
  <c r="M105" i="36"/>
  <c r="H105" i="36" s="1"/>
  <c r="H102" i="36" s="1"/>
  <c r="J102" i="36" s="1"/>
  <c r="M94" i="36"/>
  <c r="H94" i="36" s="1"/>
  <c r="G33" i="29" s="1"/>
  <c r="I33" i="29" s="1"/>
  <c r="M97" i="36"/>
  <c r="H97" i="36" s="1"/>
  <c r="H82" i="36"/>
  <c r="H81" i="36" s="1"/>
  <c r="M72" i="36"/>
  <c r="M66" i="36"/>
  <c r="H53" i="36" s="1"/>
  <c r="M28" i="36"/>
  <c r="H28" i="36" s="1"/>
  <c r="G14" i="29"/>
  <c r="I14" i="29" s="1"/>
  <c r="I48" i="29"/>
  <c r="I47" i="29"/>
  <c r="H38" i="34"/>
  <c r="G61" i="29" s="1"/>
  <c r="I61" i="29" s="1"/>
  <c r="H34" i="34"/>
  <c r="G59" i="29" s="1"/>
  <c r="I59" i="29" s="1"/>
  <c r="M29" i="34"/>
  <c r="H29" i="34" s="1"/>
  <c r="H28" i="34" s="1"/>
  <c r="M23" i="34"/>
  <c r="H23" i="34" s="1"/>
  <c r="G52" i="29" s="1"/>
  <c r="I52" i="29" s="1"/>
  <c r="M15" i="35"/>
  <c r="H15" i="35" s="1"/>
  <c r="G106" i="29" s="1"/>
  <c r="H26" i="35"/>
  <c r="G111" i="29" s="1"/>
  <c r="I111" i="29" s="1"/>
  <c r="H20" i="35"/>
  <c r="H11" i="35"/>
  <c r="H10" i="35" s="1"/>
  <c r="M49" i="30"/>
  <c r="M40" i="30"/>
  <c r="H40" i="30" s="1"/>
  <c r="M38" i="30"/>
  <c r="H38" i="30" s="1"/>
  <c r="I79" i="29" l="1"/>
  <c r="M16" i="30"/>
  <c r="H16" i="30" s="1"/>
  <c r="G80" i="29" s="1"/>
  <c r="I80" i="29" s="1"/>
  <c r="H37" i="30"/>
  <c r="G91" i="29" s="1"/>
  <c r="G109" i="29"/>
  <c r="I109" i="29" s="1"/>
  <c r="H19" i="35"/>
  <c r="G15" i="29"/>
  <c r="I15" i="29" s="1"/>
  <c r="H16" i="36"/>
  <c r="H15" i="36" s="1"/>
  <c r="H68" i="36"/>
  <c r="G26" i="29" s="1"/>
  <c r="I26" i="29" s="1"/>
  <c r="H86" i="36"/>
  <c r="G31" i="29" s="1"/>
  <c r="I31" i="29" s="1"/>
  <c r="G93" i="29"/>
  <c r="I93" i="29" s="1"/>
  <c r="J15" i="35"/>
  <c r="I106" i="29" s="1"/>
  <c r="G34" i="29"/>
  <c r="I34" i="29" s="1"/>
  <c r="J97" i="36"/>
  <c r="G55" i="29"/>
  <c r="G56" i="29"/>
  <c r="I56" i="29" s="1"/>
  <c r="G67" i="29"/>
  <c r="I67" i="29" s="1"/>
  <c r="G72" i="29"/>
  <c r="I72" i="29" s="1"/>
  <c r="G74" i="29"/>
  <c r="I74" i="29" s="1"/>
  <c r="J38" i="30"/>
  <c r="G92" i="29"/>
  <c r="I92" i="29" s="1"/>
  <c r="G104" i="29"/>
  <c r="G105" i="29"/>
  <c r="I105" i="29" s="1"/>
  <c r="H34" i="36"/>
  <c r="G25" i="29"/>
  <c r="I25" i="29" s="1"/>
  <c r="I69" i="29"/>
  <c r="I68" i="29"/>
  <c r="G29" i="29"/>
  <c r="I29" i="29" s="1"/>
  <c r="G28" i="29"/>
  <c r="I28" i="29" s="1"/>
  <c r="G36" i="29"/>
  <c r="I36" i="29" s="1"/>
  <c r="H99" i="36"/>
  <c r="G35" i="29" s="1"/>
  <c r="I35" i="29" s="1"/>
  <c r="H93" i="36"/>
  <c r="G32" i="29" s="1"/>
  <c r="G39" i="29"/>
  <c r="I39" i="29" s="1"/>
  <c r="J105" i="36"/>
  <c r="I46" i="29"/>
  <c r="J28" i="36"/>
  <c r="J40" i="30"/>
  <c r="J53" i="36"/>
  <c r="J17" i="36"/>
  <c r="J23" i="34"/>
  <c r="H22" i="34"/>
  <c r="J34" i="34"/>
  <c r="H33" i="34"/>
  <c r="G58" i="29" s="1"/>
  <c r="I58" i="29" s="1"/>
  <c r="J38" i="34"/>
  <c r="H37" i="34"/>
  <c r="J29" i="34"/>
  <c r="J20" i="35"/>
  <c r="J11" i="35"/>
  <c r="H25" i="35"/>
  <c r="H9" i="35" s="1"/>
  <c r="J26" i="35"/>
  <c r="J16" i="30" l="1"/>
  <c r="H10" i="30"/>
  <c r="G78" i="29" s="1"/>
  <c r="G13" i="29"/>
  <c r="G12" i="29" s="1"/>
  <c r="H85" i="36"/>
  <c r="G30" i="29" s="1"/>
  <c r="I30" i="29" s="1"/>
  <c r="H27" i="34"/>
  <c r="H33" i="36"/>
  <c r="G19" i="29"/>
  <c r="I19" i="29" s="1"/>
  <c r="I21" i="29"/>
  <c r="H52" i="36"/>
  <c r="G24" i="29" s="1"/>
  <c r="J28" i="34"/>
  <c r="J68" i="36"/>
  <c r="J37" i="34"/>
  <c r="G60" i="29"/>
  <c r="I60" i="29" s="1"/>
  <c r="J22" i="34"/>
  <c r="G51" i="29"/>
  <c r="I55" i="29"/>
  <c r="G71" i="29"/>
  <c r="I71" i="29" s="1"/>
  <c r="G70" i="29"/>
  <c r="I70" i="29" s="1"/>
  <c r="I91" i="29"/>
  <c r="J25" i="35"/>
  <c r="G110" i="29"/>
  <c r="I110" i="29" s="1"/>
  <c r="J19" i="35"/>
  <c r="G108" i="29"/>
  <c r="I108" i="29" s="1"/>
  <c r="I104" i="29"/>
  <c r="J34" i="36"/>
  <c r="J99" i="36"/>
  <c r="I32" i="29"/>
  <c r="G73" i="29"/>
  <c r="I73" i="29" s="1"/>
  <c r="G66" i="29"/>
  <c r="G9" i="29"/>
  <c r="I10" i="29"/>
  <c r="I45" i="29"/>
  <c r="G38" i="29"/>
  <c r="I38" i="29" s="1"/>
  <c r="J33" i="34"/>
  <c r="J37" i="30"/>
  <c r="J100" i="36"/>
  <c r="J16" i="36"/>
  <c r="H21" i="34"/>
  <c r="H20" i="34" s="1"/>
  <c r="J10" i="35"/>
  <c r="I13" i="29" l="1"/>
  <c r="J20" i="34"/>
  <c r="H19" i="34"/>
  <c r="G49" i="29" s="1"/>
  <c r="G50" i="29"/>
  <c r="I50" i="29" s="1"/>
  <c r="J10" i="30"/>
  <c r="H9" i="30"/>
  <c r="H8" i="30" s="1"/>
  <c r="H32" i="36"/>
  <c r="J32" i="36" s="1"/>
  <c r="G18" i="29"/>
  <c r="I18" i="29" s="1"/>
  <c r="I24" i="29"/>
  <c r="J33" i="36"/>
  <c r="G8" i="29"/>
  <c r="H51" i="36"/>
  <c r="J52" i="36"/>
  <c r="I78" i="29"/>
  <c r="I51" i="29"/>
  <c r="J21" i="34"/>
  <c r="I66" i="29"/>
  <c r="G37" i="29"/>
  <c r="I37" i="29" s="1"/>
  <c r="J82" i="36"/>
  <c r="J15" i="36"/>
  <c r="H14" i="36"/>
  <c r="J27" i="34"/>
  <c r="H26" i="34"/>
  <c r="G54" i="29" s="1"/>
  <c r="I54" i="29" s="1"/>
  <c r="J9" i="35"/>
  <c r="H8" i="35"/>
  <c r="G103" i="29" s="1"/>
  <c r="H7" i="30" l="1"/>
  <c r="G76" i="29" s="1"/>
  <c r="I76" i="29" s="1"/>
  <c r="G77" i="29"/>
  <c r="I77" i="29" s="1"/>
  <c r="J9" i="30"/>
  <c r="J8" i="30"/>
  <c r="H31" i="36"/>
  <c r="G17" i="29"/>
  <c r="G16" i="29" s="1"/>
  <c r="G7" i="29" s="1"/>
  <c r="J14" i="36"/>
  <c r="H7" i="36"/>
  <c r="J7" i="36" s="1"/>
  <c r="I103" i="29"/>
  <c r="J85" i="36"/>
  <c r="J86" i="36"/>
  <c r="J93" i="36"/>
  <c r="J94" i="36"/>
  <c r="J81" i="36"/>
  <c r="H25" i="34"/>
  <c r="J26" i="34"/>
  <c r="J8" i="35"/>
  <c r="H7" i="35"/>
  <c r="G102" i="29" s="1"/>
  <c r="I102" i="29" s="1"/>
  <c r="G101" i="29" l="1"/>
  <c r="G53" i="29"/>
  <c r="H6" i="34"/>
  <c r="I53" i="29"/>
  <c r="G42" i="29"/>
  <c r="J7" i="35"/>
  <c r="H6" i="35"/>
  <c r="J25" i="34"/>
  <c r="J51" i="36"/>
  <c r="I101" i="29" l="1"/>
  <c r="J31" i="36"/>
  <c r="H30" i="36"/>
  <c r="H6" i="36" s="1"/>
  <c r="J6" i="35"/>
  <c r="H5" i="35"/>
  <c r="H4" i="35" s="1"/>
  <c r="J4" i="35" s="1"/>
  <c r="J5" i="35" l="1"/>
  <c r="G11" i="46"/>
  <c r="J30" i="36"/>
  <c r="H5" i="36"/>
  <c r="H4" i="36" s="1"/>
  <c r="J4" i="36" s="1"/>
  <c r="J7" i="30"/>
  <c r="M45" i="30"/>
  <c r="H45" i="30" s="1"/>
  <c r="G96" i="29" s="1"/>
  <c r="I96" i="29" s="1"/>
  <c r="H49" i="30"/>
  <c r="J5" i="36" l="1"/>
  <c r="G8" i="46"/>
  <c r="I8" i="46" s="1"/>
  <c r="I11" i="46"/>
  <c r="H48" i="30"/>
  <c r="G97" i="29" s="1"/>
  <c r="I97" i="29" s="1"/>
  <c r="G98" i="29"/>
  <c r="I98" i="29" s="1"/>
  <c r="J45" i="30"/>
  <c r="H44" i="30"/>
  <c r="H36" i="30" s="1"/>
  <c r="J49" i="30"/>
  <c r="J48" i="30"/>
  <c r="H35" i="30" l="1"/>
  <c r="H34" i="30" s="1"/>
  <c r="H6" i="30" s="1"/>
  <c r="G95" i="29"/>
  <c r="G90" i="29" s="1"/>
  <c r="J6" i="36"/>
  <c r="J44" i="30"/>
  <c r="J6" i="30" l="1"/>
  <c r="G75" i="29"/>
  <c r="H5" i="30"/>
  <c r="H4" i="30" s="1"/>
  <c r="J4" i="30" s="1"/>
  <c r="J36" i="30"/>
  <c r="I95" i="29"/>
  <c r="J34" i="30"/>
  <c r="J35" i="30"/>
  <c r="G10" i="46" l="1"/>
  <c r="J5" i="30"/>
  <c r="I90" i="29"/>
  <c r="G89" i="29"/>
  <c r="I10" i="46" l="1"/>
  <c r="I89" i="29"/>
  <c r="I75" i="29"/>
  <c r="I65" i="29"/>
  <c r="I64" i="29"/>
  <c r="I17" i="29" l="1"/>
  <c r="I16" i="29" l="1"/>
  <c r="I9" i="29" l="1"/>
  <c r="I12" i="29"/>
  <c r="I44" i="29"/>
  <c r="I8" i="29" l="1"/>
  <c r="I7" i="29" l="1"/>
  <c r="I43" i="29" l="1"/>
  <c r="G6" i="29" l="1"/>
  <c r="G5" i="29" s="1"/>
  <c r="I49" i="29"/>
  <c r="H5" i="34"/>
  <c r="H4" i="34" s="1"/>
  <c r="J4" i="34" s="1"/>
  <c r="J5" i="34" l="1"/>
  <c r="G9" i="46"/>
  <c r="I42" i="29"/>
  <c r="J19" i="34"/>
  <c r="I9" i="46" l="1"/>
  <c r="G7" i="46"/>
  <c r="J7" i="34"/>
  <c r="J6" i="34"/>
  <c r="I5" i="29"/>
  <c r="I6" i="29"/>
  <c r="I7" i="46" l="1"/>
  <c r="G6" i="46"/>
  <c r="I6" i="46" l="1"/>
  <c r="G5" i="46"/>
  <c r="I5" i="46" s="1"/>
</calcChain>
</file>

<file path=xl/sharedStrings.xml><?xml version="1.0" encoding="utf-8"?>
<sst xmlns="http://schemas.openxmlformats.org/spreadsheetml/2006/main" count="1368" uniqueCount="687">
  <si>
    <t>=</t>
  </si>
  <si>
    <t>당년도예산액
(A)</t>
  </si>
  <si>
    <t>전년도예산액
(B)</t>
  </si>
  <si>
    <t>증      감
(A-B)</t>
  </si>
  <si>
    <t>산     출     기     초</t>
  </si>
  <si>
    <t>사업예산</t>
    <phoneticPr fontId="12" type="noConversion"/>
  </si>
  <si>
    <t>예비비</t>
    <phoneticPr fontId="12" type="noConversion"/>
  </si>
  <si>
    <t xml:space="preserve"> </t>
    <phoneticPr fontId="12" type="noConversion"/>
  </si>
  <si>
    <t>과                                    목</t>
    <phoneticPr fontId="12" type="noConversion"/>
  </si>
  <si>
    <t>당년도예산액
(A)</t>
    <phoneticPr fontId="12" type="noConversion"/>
  </si>
  <si>
    <t>전년도예산액
(B)</t>
    <phoneticPr fontId="12" type="noConversion"/>
  </si>
  <si>
    <t>증       감
(A-B)</t>
    <phoneticPr fontId="12" type="noConversion"/>
  </si>
  <si>
    <t>목</t>
    <phoneticPr fontId="12" type="noConversion"/>
  </si>
  <si>
    <t>02 공공운영비</t>
    <phoneticPr fontId="12" type="noConversion"/>
  </si>
  <si>
    <t>15 복리후생비</t>
    <phoneticPr fontId="12" type="noConversion"/>
  </si>
  <si>
    <t xml:space="preserve"> ○ 수영강사 공무직 전환으로 본부 일괄 편성</t>
  </si>
  <si>
    <t>'- 새벽출근(05:30)에 따른 야간근무</t>
  </si>
  <si>
    <t>○ 연 1회 법정점검 실시 / 1대</t>
  </si>
  <si>
    <t>구분</t>
    <phoneticPr fontId="12" type="noConversion"/>
  </si>
  <si>
    <t>정책사업</t>
    <phoneticPr fontId="12" type="noConversion"/>
  </si>
  <si>
    <t>단위사업</t>
    <phoneticPr fontId="12" type="noConversion"/>
  </si>
  <si>
    <t>세부사업</t>
    <phoneticPr fontId="12" type="noConversion"/>
  </si>
  <si>
    <t xml:space="preserve"> ○ 직원 병가 및 휴직 등 공백발생 시 채용(인건비 23년 기준)</t>
    <phoneticPr fontId="12" type="noConversion"/>
  </si>
  <si>
    <t>○ 한글 250천원, ms오피스 420천원</t>
    <phoneticPr fontId="12" type="noConversion"/>
  </si>
  <si>
    <t>○ 알약 임대비용</t>
    <phoneticPr fontId="12" type="noConversion"/>
  </si>
  <si>
    <t>세목</t>
    <phoneticPr fontId="12" type="noConversion"/>
  </si>
  <si>
    <t>행사운영비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</si>
  <si>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</si>
  <si>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</si>
  <si>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</si>
  <si>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정책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</si>
  <si>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</si>
  <si>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</si>
  <si>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</si>
  <si>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</si>
  <si>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</si>
  <si>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</si>
  <si>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200 물건비</t>
    <phoneticPr fontId="12" type="noConversion"/>
  </si>
  <si>
    <t>단위 : 천원</t>
    <phoneticPr fontId="12" type="noConversion"/>
  </si>
  <si>
    <t>200 물건비</t>
    <phoneticPr fontId="12" type="noConversion"/>
  </si>
  <si>
    <t>기본경비</t>
    <phoneticPr fontId="48" type="noConversion"/>
  </si>
  <si>
    <t>201 일반운영비</t>
    <phoneticPr fontId="12" type="noConversion"/>
  </si>
  <si>
    <t>01 사무관리비</t>
    <phoneticPr fontId="12" type="noConversion"/>
  </si>
  <si>
    <t>=</t>
    <phoneticPr fontId="12" type="noConversion"/>
  </si>
  <si>
    <t>02 공공운영비</t>
    <phoneticPr fontId="12" type="noConversion"/>
  </si>
  <si>
    <t>=</t>
    <phoneticPr fontId="12" type="noConversion"/>
  </si>
  <si>
    <t>202 여비</t>
    <phoneticPr fontId="12" type="noConversion"/>
  </si>
  <si>
    <t>01 국내여비</t>
    <phoneticPr fontId="12" type="noConversion"/>
  </si>
  <si>
    <t>203 업무추진비</t>
    <phoneticPr fontId="12" type="noConversion"/>
  </si>
  <si>
    <t>07 사업업무추진비</t>
    <phoneticPr fontId="12" type="noConversion"/>
  </si>
  <si>
    <t>[우편료]</t>
    <phoneticPr fontId="12" type="noConversion"/>
  </si>
  <si>
    <t>[차량선박비]</t>
    <phoneticPr fontId="12" type="noConversion"/>
  </si>
  <si>
    <t>03 행사운영비</t>
    <phoneticPr fontId="12" type="noConversion"/>
  </si>
  <si>
    <t>202 여비</t>
    <phoneticPr fontId="12" type="noConversion"/>
  </si>
  <si>
    <t>[일반수용비]</t>
    <phoneticPr fontId="12" type="noConversion"/>
  </si>
  <si>
    <t>[우편료]</t>
    <phoneticPr fontId="12" type="noConversion"/>
  </si>
  <si>
    <t>[국내여비]</t>
    <phoneticPr fontId="12" type="noConversion"/>
  </si>
  <si>
    <t>[사업업무추진비]</t>
    <phoneticPr fontId="12" type="noConversion"/>
  </si>
  <si>
    <t>[국내여비]</t>
    <phoneticPr fontId="12" type="noConversion"/>
  </si>
  <si>
    <t>[국외업무여비]</t>
    <phoneticPr fontId="12" type="noConversion"/>
  </si>
  <si>
    <t>[일반수용비]</t>
    <phoneticPr fontId="12" type="noConversion"/>
  </si>
  <si>
    <t>202 여비</t>
    <phoneticPr fontId="12" type="noConversion"/>
  </si>
  <si>
    <t>홈페이지 유지관리</t>
    <phoneticPr fontId="48" type="noConversion"/>
  </si>
  <si>
    <t>214 수선유지교체비</t>
    <phoneticPr fontId="12" type="noConversion"/>
  </si>
  <si>
    <t>05 수선유지비</t>
    <phoneticPr fontId="12" type="noConversion"/>
  </si>
  <si>
    <t>[수선유지비]</t>
    <phoneticPr fontId="12" type="noConversion"/>
  </si>
  <si>
    <t>300 경상이전</t>
    <phoneticPr fontId="12" type="noConversion"/>
  </si>
  <si>
    <t>301 일반보상금</t>
    <phoneticPr fontId="12" type="noConversion"/>
  </si>
  <si>
    <t>201 일반운영비</t>
    <phoneticPr fontId="12" type="noConversion"/>
  </si>
  <si>
    <t>201 일반운영비</t>
    <phoneticPr fontId="12" type="noConversion"/>
  </si>
  <si>
    <t>[운영수당]</t>
    <phoneticPr fontId="12" type="noConversion"/>
  </si>
  <si>
    <t>03 행사운영비</t>
    <phoneticPr fontId="12" type="noConversion"/>
  </si>
  <si>
    <t>[행사운영비]</t>
    <phoneticPr fontId="12" type="noConversion"/>
  </si>
  <si>
    <t>[회의비]</t>
    <phoneticPr fontId="12" type="noConversion"/>
  </si>
  <si>
    <t>14 회의비</t>
    <phoneticPr fontId="12" type="noConversion"/>
  </si>
  <si>
    <t>사무국운영</t>
    <phoneticPr fontId="12" type="noConversion"/>
  </si>
  <si>
    <t>100 인건비</t>
    <phoneticPr fontId="12" type="noConversion"/>
  </si>
  <si>
    <t>101 인건비</t>
    <phoneticPr fontId="12" type="noConversion"/>
  </si>
  <si>
    <t>01 보수</t>
    <phoneticPr fontId="12" type="noConversion"/>
  </si>
  <si>
    <t>[직원파견수당]</t>
    <phoneticPr fontId="12" type="noConversion"/>
  </si>
  <si>
    <t>[주거지원비]</t>
    <phoneticPr fontId="12" type="noConversion"/>
  </si>
  <si>
    <t>200 물건비</t>
    <phoneticPr fontId="12" type="noConversion"/>
  </si>
  <si>
    <t>[일반수용비]</t>
    <phoneticPr fontId="12" type="noConversion"/>
  </si>
  <si>
    <t>[임차료]</t>
    <phoneticPr fontId="12" type="noConversion"/>
  </si>
  <si>
    <t>02 공공운영비</t>
    <phoneticPr fontId="12" type="noConversion"/>
  </si>
  <si>
    <t>[공공요금 및 제세]</t>
    <phoneticPr fontId="12" type="noConversion"/>
  </si>
  <si>
    <t xml:space="preserve"> ○ 차량 주유비 : 300,000원*1대*12월</t>
    <phoneticPr fontId="12" type="noConversion"/>
  </si>
  <si>
    <t>[국내여비]</t>
    <phoneticPr fontId="12" type="noConversion"/>
  </si>
  <si>
    <t>[국외업무여비]</t>
    <phoneticPr fontId="12" type="noConversion"/>
  </si>
  <si>
    <t>03 국외업무여비</t>
    <phoneticPr fontId="12" type="noConversion"/>
  </si>
  <si>
    <t>203 업무추진비</t>
    <phoneticPr fontId="12" type="noConversion"/>
  </si>
  <si>
    <t>07 사업업무추진비</t>
    <phoneticPr fontId="12" type="noConversion"/>
  </si>
  <si>
    <t>[기관운영업무추진비]</t>
    <phoneticPr fontId="12" type="noConversion"/>
  </si>
  <si>
    <t>[시책추진업무추진비]</t>
    <phoneticPr fontId="12" type="noConversion"/>
  </si>
  <si>
    <t>204 직무수행경비</t>
    <phoneticPr fontId="12" type="noConversion"/>
  </si>
  <si>
    <t>01 직급보조비</t>
    <phoneticPr fontId="12" type="noConversion"/>
  </si>
  <si>
    <t>[직책급업무수행경비]</t>
    <phoneticPr fontId="12" type="noConversion"/>
  </si>
  <si>
    <t>[특정업무경비]</t>
    <phoneticPr fontId="12" type="noConversion"/>
  </si>
  <si>
    <t>214 수선유지교체비</t>
    <phoneticPr fontId="12" type="noConversion"/>
  </si>
  <si>
    <t>217 관서업무비</t>
    <phoneticPr fontId="12" type="noConversion"/>
  </si>
  <si>
    <t>01 정원가산업무비</t>
    <phoneticPr fontId="12" type="noConversion"/>
  </si>
  <si>
    <t>[수선유지비]</t>
    <phoneticPr fontId="12" type="noConversion"/>
  </si>
  <si>
    <t>[정원가산업무비]</t>
    <phoneticPr fontId="12" type="noConversion"/>
  </si>
  <si>
    <t>02 부서업무비</t>
    <phoneticPr fontId="12" type="noConversion"/>
  </si>
  <si>
    <t>[부서업무비]</t>
    <phoneticPr fontId="12" type="noConversion"/>
  </si>
  <si>
    <t>예산공통 행정운영</t>
    <phoneticPr fontId="12" type="noConversion"/>
  </si>
  <si>
    <t>기관공통 운영경비</t>
    <phoneticPr fontId="48" type="noConversion"/>
  </si>
  <si>
    <t>예비비</t>
    <phoneticPr fontId="12" type="noConversion"/>
  </si>
  <si>
    <t>[공공운영비]</t>
    <phoneticPr fontId="12" type="noConversion"/>
  </si>
  <si>
    <t xml:space="preserve"> ○ 기관공통운영 공공운영비 : 5,000,000원*1식</t>
    <phoneticPr fontId="12" type="noConversion"/>
  </si>
  <si>
    <t xml:space="preserve"> ○ 기관공통운영 사무관리비 : 5,000,000원*1식</t>
    <phoneticPr fontId="12" type="noConversion"/>
  </si>
  <si>
    <t xml:space="preserve"> ○ 기관공통운영 국외업무여비 : 20,000,000원*1식</t>
    <phoneticPr fontId="12" type="noConversion"/>
  </si>
  <si>
    <t>[사무관리비]</t>
    <phoneticPr fontId="12" type="noConversion"/>
  </si>
  <si>
    <t xml:space="preserve"> ○ 기관공통운영 시책추진업무추진비 : 5,000,000원*1식</t>
    <phoneticPr fontId="12" type="noConversion"/>
  </si>
  <si>
    <t>[사업업무추진비]</t>
    <phoneticPr fontId="12" type="noConversion"/>
  </si>
  <si>
    <t xml:space="preserve"> ○ 기관공통운영 급식비 : 5,000,000원*1식</t>
    <phoneticPr fontId="12" type="noConversion"/>
  </si>
  <si>
    <t>2026여수세계섬박람회 기획</t>
    <phoneticPr fontId="12" type="noConversion"/>
  </si>
  <si>
    <t>교육훈련비</t>
    <phoneticPr fontId="12" type="noConversion"/>
  </si>
  <si>
    <t>교육훈련경비</t>
    <phoneticPr fontId="12" type="noConversion"/>
  </si>
  <si>
    <t>일반운영비</t>
    <phoneticPr fontId="12" type="noConversion"/>
  </si>
  <si>
    <t>사무관리비</t>
    <phoneticPr fontId="12" type="noConversion"/>
  </si>
  <si>
    <t>국내여비</t>
    <phoneticPr fontId="12" type="noConversion"/>
  </si>
  <si>
    <t>행사운영비</t>
    <phoneticPr fontId="12" type="noConversion"/>
  </si>
  <si>
    <t>회의비</t>
    <phoneticPr fontId="12" type="noConversion"/>
  </si>
  <si>
    <t>기본경비</t>
    <phoneticPr fontId="12" type="noConversion"/>
  </si>
  <si>
    <t>인건비</t>
    <phoneticPr fontId="12" type="noConversion"/>
  </si>
  <si>
    <t>보수</t>
    <phoneticPr fontId="12" type="noConversion"/>
  </si>
  <si>
    <t>일반운영비</t>
    <phoneticPr fontId="12" type="noConversion"/>
  </si>
  <si>
    <t>사무관리비</t>
    <phoneticPr fontId="12" type="noConversion"/>
  </si>
  <si>
    <t>공공운영비</t>
    <phoneticPr fontId="12" type="noConversion"/>
  </si>
  <si>
    <t>여비</t>
    <phoneticPr fontId="12" type="noConversion"/>
  </si>
  <si>
    <t>국외업무여비</t>
    <phoneticPr fontId="12" type="noConversion"/>
  </si>
  <si>
    <t>업무추진비</t>
    <phoneticPr fontId="12" type="noConversion"/>
  </si>
  <si>
    <t>사업업무추진비</t>
    <phoneticPr fontId="12" type="noConversion"/>
  </si>
  <si>
    <t>직무수행경비</t>
    <phoneticPr fontId="12" type="noConversion"/>
  </si>
  <si>
    <t>직급보조비</t>
    <phoneticPr fontId="12" type="noConversion"/>
  </si>
  <si>
    <t>수선유지교체비</t>
    <phoneticPr fontId="12" type="noConversion"/>
  </si>
  <si>
    <t>수선유지비</t>
    <phoneticPr fontId="12" type="noConversion"/>
  </si>
  <si>
    <t>관서업무비</t>
    <phoneticPr fontId="12" type="noConversion"/>
  </si>
  <si>
    <t>정원가산업무비</t>
    <phoneticPr fontId="12" type="noConversion"/>
  </si>
  <si>
    <t>부서업무비</t>
    <phoneticPr fontId="12" type="noConversion"/>
  </si>
  <si>
    <t>예비비</t>
    <phoneticPr fontId="12" type="noConversion"/>
  </si>
  <si>
    <t>일반예비비</t>
    <phoneticPr fontId="12" type="noConversion"/>
  </si>
  <si>
    <t>2026여수세계섬박람회 홍보</t>
    <phoneticPr fontId="12" type="noConversion"/>
  </si>
  <si>
    <t>일반보상금</t>
    <phoneticPr fontId="12" type="noConversion"/>
  </si>
  <si>
    <t>수선유지교체비</t>
    <phoneticPr fontId="12" type="noConversion"/>
  </si>
  <si>
    <t>기본경비</t>
    <phoneticPr fontId="12" type="noConversion"/>
  </si>
  <si>
    <t>일반운영비</t>
    <phoneticPr fontId="12" type="noConversion"/>
  </si>
  <si>
    <t>공공운영비</t>
    <phoneticPr fontId="12" type="noConversion"/>
  </si>
  <si>
    <t>사업예산</t>
    <phoneticPr fontId="12" type="noConversion"/>
  </si>
  <si>
    <t>02 특정업무경비</t>
    <phoneticPr fontId="12" type="noConversion"/>
  </si>
  <si>
    <t>[급량비]</t>
    <phoneticPr fontId="12" type="noConversion"/>
  </si>
  <si>
    <t>복리후생비</t>
    <phoneticPr fontId="12" type="noConversion"/>
  </si>
  <si>
    <t>총계</t>
    <phoneticPr fontId="12" type="noConversion"/>
  </si>
  <si>
    <t>특정업무경비</t>
    <phoneticPr fontId="12" type="noConversion"/>
  </si>
  <si>
    <t>복리후생비</t>
    <phoneticPr fontId="12" type="noConversion"/>
  </si>
  <si>
    <t>15 복리후생비</t>
    <phoneticPr fontId="12" type="noConversion"/>
  </si>
  <si>
    <t xml:space="preserve"> ○ 기관공통운영 국내여비 : 5,000,000원*1식</t>
    <phoneticPr fontId="12" type="noConversion"/>
  </si>
  <si>
    <t>총계(사업예산 + 자본예산)</t>
    <phoneticPr fontId="12" type="noConversion"/>
  </si>
  <si>
    <t>지출예산 총괄표</t>
    <phoneticPr fontId="12" type="noConversion"/>
  </si>
  <si>
    <t>지출예산(세부사업) - 유치협력부</t>
    <phoneticPr fontId="12" type="noConversion"/>
  </si>
  <si>
    <t>(단위 : 천 원)</t>
    <phoneticPr fontId="12" type="noConversion"/>
  </si>
  <si>
    <t>[사업업무추진비]</t>
    <phoneticPr fontId="12" type="noConversion"/>
  </si>
  <si>
    <t>수입예산 총괄표(출연금+위탁사업비)</t>
    <phoneticPr fontId="12" type="noConversion"/>
  </si>
  <si>
    <t>(단위 : 천 원)</t>
    <phoneticPr fontId="12" type="noConversion"/>
  </si>
  <si>
    <t>비교증감</t>
    <phoneticPr fontId="12" type="noConversion"/>
  </si>
  <si>
    <t>관</t>
    <phoneticPr fontId="12" type="noConversion"/>
  </si>
  <si>
    <t>항</t>
    <phoneticPr fontId="12" type="noConversion"/>
  </si>
  <si>
    <t>세항</t>
    <phoneticPr fontId="12" type="noConversion"/>
  </si>
  <si>
    <t>총계(사업예산+자본예산)</t>
    <phoneticPr fontId="12" type="noConversion"/>
  </si>
  <si>
    <t>자체수입금</t>
    <phoneticPr fontId="12" type="noConversion"/>
  </si>
  <si>
    <t>600 사업수익</t>
    <phoneticPr fontId="12" type="noConversion"/>
  </si>
  <si>
    <t>610 영업수익</t>
    <phoneticPr fontId="12" type="noConversion"/>
  </si>
  <si>
    <t>623 대행사업수익</t>
    <phoneticPr fontId="12" type="noConversion"/>
  </si>
  <si>
    <t>01 직접관리비수익</t>
    <phoneticPr fontId="12" type="noConversion"/>
  </si>
  <si>
    <t>01 기부금수익</t>
    <phoneticPr fontId="12" type="noConversion"/>
  </si>
  <si>
    <t>648 출연금 수익</t>
    <phoneticPr fontId="12" type="noConversion"/>
  </si>
  <si>
    <t>02 자치단체출연금수익</t>
    <phoneticPr fontId="12" type="noConversion"/>
  </si>
  <si>
    <t>670 영업외수익</t>
    <phoneticPr fontId="12" type="noConversion"/>
  </si>
  <si>
    <t>671 이자수익</t>
    <phoneticPr fontId="12" type="noConversion"/>
  </si>
  <si>
    <t>01 예금이자수익</t>
    <phoneticPr fontId="12" type="noConversion"/>
  </si>
  <si>
    <t>100 자본적수입</t>
    <phoneticPr fontId="12" type="noConversion"/>
  </si>
  <si>
    <t>170 자본잉여금수입</t>
    <phoneticPr fontId="12" type="noConversion"/>
  </si>
  <si>
    <t>177 출연금 수입</t>
    <phoneticPr fontId="12" type="noConversion"/>
  </si>
  <si>
    <t>01 정부출연금</t>
    <phoneticPr fontId="12" type="noConversion"/>
  </si>
  <si>
    <t>지출예산(세부사업) - 수익사업부</t>
    <phoneticPr fontId="12" type="noConversion"/>
  </si>
  <si>
    <t>지출예산(세부사업) - 기획홍보부</t>
    <phoneticPr fontId="12" type="noConversion"/>
  </si>
  <si>
    <t>지출예산(세부사업) - 행정관리부</t>
    <phoneticPr fontId="12" type="noConversion"/>
  </si>
  <si>
    <t>지출예산(세부사업) - 행사부</t>
    <phoneticPr fontId="12" type="noConversion"/>
  </si>
  <si>
    <t>지출예산(세부사업) - 시설조성부</t>
    <phoneticPr fontId="12" type="noConversion"/>
  </si>
  <si>
    <t>지출예산(세부사업) - 예비비</t>
    <phoneticPr fontId="12" type="noConversion"/>
  </si>
  <si>
    <t>단위 : 천원</t>
    <phoneticPr fontId="12" type="noConversion"/>
  </si>
  <si>
    <t>구
분</t>
    <phoneticPr fontId="48" type="noConversion"/>
  </si>
  <si>
    <t>편성목</t>
    <phoneticPr fontId="48" type="noConversion"/>
  </si>
  <si>
    <t>비교증감</t>
    <phoneticPr fontId="12" type="noConversion"/>
  </si>
  <si>
    <t>정책</t>
    <phoneticPr fontId="48" type="noConversion"/>
  </si>
  <si>
    <t>세부</t>
    <phoneticPr fontId="48" type="noConversion"/>
  </si>
  <si>
    <t>그룹</t>
    <phoneticPr fontId="48" type="noConversion"/>
  </si>
  <si>
    <t>세목</t>
    <phoneticPr fontId="48" type="noConversion"/>
  </si>
  <si>
    <t>총계(사업예산 + 자본예산)</t>
    <phoneticPr fontId="12" type="noConversion"/>
  </si>
  <si>
    <t>예비비</t>
    <phoneticPr fontId="12" type="noConversion"/>
  </si>
  <si>
    <t>예비비</t>
    <phoneticPr fontId="12" type="noConversion"/>
  </si>
  <si>
    <t>예비비</t>
    <phoneticPr fontId="48" type="noConversion"/>
  </si>
  <si>
    <t>800 예비비</t>
    <phoneticPr fontId="12" type="noConversion"/>
  </si>
  <si>
    <t>801 예비비</t>
    <phoneticPr fontId="12" type="noConversion"/>
  </si>
  <si>
    <t>01 일반예비비</t>
    <phoneticPr fontId="12" type="noConversion"/>
  </si>
  <si>
    <t>[일반예비비]</t>
    <phoneticPr fontId="12" type="noConversion"/>
  </si>
  <si>
    <t>자본예산</t>
    <phoneticPr fontId="12" type="noConversion"/>
  </si>
  <si>
    <t>자본예산</t>
    <phoneticPr fontId="12" type="noConversion"/>
  </si>
  <si>
    <t>예비비(자본)</t>
    <phoneticPr fontId="12" type="noConversion"/>
  </si>
  <si>
    <t>예비비(자본)</t>
    <phoneticPr fontId="12" type="noConversion"/>
  </si>
  <si>
    <t>예비비(자본)</t>
    <phoneticPr fontId="48" type="noConversion"/>
  </si>
  <si>
    <t>800 예비비</t>
    <phoneticPr fontId="12" type="noConversion"/>
  </si>
  <si>
    <t>01 일반예비비</t>
    <phoneticPr fontId="12" type="noConversion"/>
  </si>
  <si>
    <t>[일반예비비]</t>
    <phoneticPr fontId="12" type="noConversion"/>
  </si>
  <si>
    <t>=</t>
    <phoneticPr fontId="12" type="noConversion"/>
  </si>
  <si>
    <t>2026여수세계섬박람회 홍보</t>
    <phoneticPr fontId="12" type="noConversion"/>
  </si>
  <si>
    <t>박람회 홍보</t>
    <phoneticPr fontId="12" type="noConversion"/>
  </si>
  <si>
    <t>일반운영비</t>
    <phoneticPr fontId="12" type="noConversion"/>
  </si>
  <si>
    <t>사무관리비</t>
    <phoneticPr fontId="12" type="noConversion"/>
  </si>
  <si>
    <t>광고선전비</t>
    <phoneticPr fontId="12" type="noConversion"/>
  </si>
  <si>
    <t>단위 : 천 원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</si>
  <si>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</si>
  <si>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</si>
  <si>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</si>
  <si>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비교증감</t>
    <phoneticPr fontId="12" type="noConversion"/>
  </si>
  <si>
    <t>정책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</si>
  <si>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</si>
  <si>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</si>
  <si>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</si>
  <si>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</si>
  <si>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</si>
  <si>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</si>
  <si>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사업예산</t>
    <phoneticPr fontId="12" type="noConversion"/>
  </si>
  <si>
    <t>2026여수세계섬박람회 홍보</t>
    <phoneticPr fontId="12" type="noConversion"/>
  </si>
  <si>
    <t>박람회 홍보</t>
    <phoneticPr fontId="48" type="noConversion"/>
  </si>
  <si>
    <t>200 물건비</t>
    <phoneticPr fontId="12" type="noConversion"/>
  </si>
  <si>
    <t>201 일반운영비</t>
    <phoneticPr fontId="12" type="noConversion"/>
  </si>
  <si>
    <t>01 사무관리비</t>
    <phoneticPr fontId="12" type="noConversion"/>
  </si>
  <si>
    <t>[사무관리비]</t>
    <phoneticPr fontId="12" type="noConversion"/>
  </si>
  <si>
    <t>=</t>
    <phoneticPr fontId="12" type="noConversion"/>
  </si>
  <si>
    <t>03 행사운영비</t>
    <phoneticPr fontId="12" type="noConversion"/>
  </si>
  <si>
    <t>[행사운영비]</t>
    <phoneticPr fontId="12" type="noConversion"/>
  </si>
  <si>
    <t>[광고료]</t>
    <phoneticPr fontId="12" type="noConversion"/>
  </si>
  <si>
    <t>단위 : 천 원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</si>
  <si>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</si>
  <si>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</si>
  <si>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</si>
  <si>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비교증감</t>
    <phoneticPr fontId="12" type="noConversion"/>
  </si>
  <si>
    <t>정책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</si>
  <si>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</si>
  <si>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</si>
  <si>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</si>
  <si>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</si>
  <si>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</si>
  <si>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</si>
  <si>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사업예산</t>
    <phoneticPr fontId="12" type="noConversion"/>
  </si>
  <si>
    <t>200 물건비</t>
    <phoneticPr fontId="12" type="noConversion"/>
  </si>
  <si>
    <t>201 일반운영비</t>
    <phoneticPr fontId="12" type="noConversion"/>
  </si>
  <si>
    <t>=</t>
    <phoneticPr fontId="12" type="noConversion"/>
  </si>
  <si>
    <t>행사부 부서운영</t>
    <phoneticPr fontId="12" type="noConversion"/>
  </si>
  <si>
    <t>시설조성부 부서운영</t>
    <phoneticPr fontId="12" type="noConversion"/>
  </si>
  <si>
    <t>전시연출부 부서운영</t>
    <phoneticPr fontId="12" type="noConversion"/>
  </si>
  <si>
    <t>지출예산(위탁) - 본예산</t>
    <phoneticPr fontId="12" type="noConversion"/>
  </si>
  <si>
    <t>지출예산 - 기획본부(위탁)</t>
    <phoneticPr fontId="12" type="noConversion"/>
  </si>
  <si>
    <t>지출예산 - 운영본부(위탁)</t>
    <phoneticPr fontId="12" type="noConversion"/>
  </si>
  <si>
    <t>지출예산 총괄표(출연금+위탁사업비)</t>
    <phoneticPr fontId="12" type="noConversion"/>
  </si>
  <si>
    <t>비교증감</t>
    <phoneticPr fontId="12" type="noConversion"/>
  </si>
  <si>
    <t>구분</t>
    <phoneticPr fontId="12" type="noConversion"/>
  </si>
  <si>
    <t>총계(출연금+위탁사업비)</t>
    <phoneticPr fontId="12" type="noConversion"/>
  </si>
  <si>
    <t>2026여수세계섬박람회 유치협력</t>
    <phoneticPr fontId="12" type="noConversion"/>
  </si>
  <si>
    <t>예산액</t>
    <phoneticPr fontId="12" type="noConversion"/>
  </si>
  <si>
    <t>기정액</t>
    <phoneticPr fontId="12" type="noConversion"/>
  </si>
  <si>
    <t>2026여수세계섬박람회 수익사업</t>
    <phoneticPr fontId="12" type="noConversion"/>
  </si>
  <si>
    <t>수익사업부 부서운영</t>
    <phoneticPr fontId="12" type="noConversion"/>
  </si>
  <si>
    <t>기정액</t>
    <phoneticPr fontId="12" type="noConversion"/>
  </si>
  <si>
    <t>예산액</t>
    <phoneticPr fontId="12" type="noConversion"/>
  </si>
  <si>
    <t>기정액</t>
    <phoneticPr fontId="12" type="noConversion"/>
  </si>
  <si>
    <t>예산액</t>
    <phoneticPr fontId="12" type="noConversion"/>
  </si>
  <si>
    <t>2026여수세계섬박람회 행정관리</t>
    <phoneticPr fontId="12" type="noConversion"/>
  </si>
  <si>
    <t>2026여수세계섬박람회 기획홍보</t>
    <phoneticPr fontId="12" type="noConversion"/>
  </si>
  <si>
    <t>2026여수세계섬박람회 수익사업</t>
    <phoneticPr fontId="12" type="noConversion"/>
  </si>
  <si>
    <t>2026여수세계섬박람회 유치협력</t>
    <phoneticPr fontId="12" type="noConversion"/>
  </si>
  <si>
    <t>2026여수세계섬박람회 운영</t>
    <phoneticPr fontId="12" type="noConversion"/>
  </si>
  <si>
    <t>2026여수세계섬박람회 행사</t>
    <phoneticPr fontId="12" type="noConversion"/>
  </si>
  <si>
    <t>2026여수세계섬박람회 시설조성</t>
    <phoneticPr fontId="12" type="noConversion"/>
  </si>
  <si>
    <t>2026여수세계섬박람회 전시연출</t>
    <phoneticPr fontId="12" type="noConversion"/>
  </si>
  <si>
    <t>직원역랑강화 워크숍</t>
    <phoneticPr fontId="48" type="noConversion"/>
  </si>
  <si>
    <t>213 교육훈련비</t>
    <phoneticPr fontId="12" type="noConversion"/>
  </si>
  <si>
    <t>[교육훈련경비]</t>
    <phoneticPr fontId="12" type="noConversion"/>
  </si>
  <si>
    <t>2026여수세계섬박람회 행정관리</t>
    <phoneticPr fontId="12" type="noConversion"/>
  </si>
  <si>
    <t>2026여수세계섬박람회 기획홍보</t>
    <phoneticPr fontId="12" type="noConversion"/>
  </si>
  <si>
    <t>자본예산</t>
    <phoneticPr fontId="12" type="noConversion"/>
  </si>
  <si>
    <t>2026여수세계섬박람회 기획홍보(위탁)</t>
    <phoneticPr fontId="12" type="noConversion"/>
  </si>
  <si>
    <t>2026여수세계섬박람회 유치협력(위탁)</t>
    <phoneticPr fontId="12" type="noConversion"/>
  </si>
  <si>
    <t>2026여수세계섬박람회 유치</t>
    <phoneticPr fontId="12" type="noConversion"/>
  </si>
  <si>
    <t>2026여수세계섬박람회 행사(위탁)</t>
    <phoneticPr fontId="12" type="noConversion"/>
  </si>
  <si>
    <t>2026여수세계섬박람회 행사</t>
    <phoneticPr fontId="12" type="noConversion"/>
  </si>
  <si>
    <t>2026여수세계섬박람회 시설조성(위탁)</t>
    <phoneticPr fontId="12" type="noConversion"/>
  </si>
  <si>
    <t>2026여수세계섬박람회 시설조성(위탁)</t>
    <phoneticPr fontId="12" type="noConversion"/>
  </si>
  <si>
    <t>2026여수세계섬박람회 시설조성</t>
    <phoneticPr fontId="12" type="noConversion"/>
  </si>
  <si>
    <t>2026여수세계섬박람회 전시연출(위탁)</t>
    <phoneticPr fontId="12" type="noConversion"/>
  </si>
  <si>
    <t>2026여수세계섬박람회 전시연출</t>
    <phoneticPr fontId="12" type="noConversion"/>
  </si>
  <si>
    <t>자본예산</t>
    <phoneticPr fontId="12" type="noConversion"/>
  </si>
  <si>
    <t>자본예산</t>
    <phoneticPr fontId="12" type="noConversion"/>
  </si>
  <si>
    <t>2026여수세계섬박람회 기획홍보(위탁)</t>
    <phoneticPr fontId="12" type="noConversion"/>
  </si>
  <si>
    <t>2026여수세계섬박람회 전시연출(위탁)</t>
    <phoneticPr fontId="12" type="noConversion"/>
  </si>
  <si>
    <t>2026여수세계섬박람회 연출</t>
    <phoneticPr fontId="12" type="noConversion"/>
  </si>
  <si>
    <t>2026여수세계섬박람회 기획</t>
    <phoneticPr fontId="12" type="noConversion"/>
  </si>
  <si>
    <t>직원역량강화 워크숍</t>
    <phoneticPr fontId="12" type="noConversion"/>
  </si>
  <si>
    <t>사무국운영</t>
    <phoneticPr fontId="12" type="noConversion"/>
  </si>
  <si>
    <t>기본경비</t>
    <phoneticPr fontId="12" type="noConversion"/>
  </si>
  <si>
    <t>예산공통 행정운영</t>
    <phoneticPr fontId="12" type="noConversion"/>
  </si>
  <si>
    <t>기관공통 운영경비</t>
    <phoneticPr fontId="12" type="noConversion"/>
  </si>
  <si>
    <t>2026여수세계섬박람회 홍보</t>
    <phoneticPr fontId="12" type="noConversion"/>
  </si>
  <si>
    <t>홈페이지 유지관리</t>
    <phoneticPr fontId="12" type="noConversion"/>
  </si>
  <si>
    <t>2026여수세계섬박람회 전시연출</t>
    <phoneticPr fontId="12" type="noConversion"/>
  </si>
  <si>
    <t>2026여수세계섬박람회 시설조성</t>
    <phoneticPr fontId="12" type="noConversion"/>
  </si>
  <si>
    <t>2026여수세계섬박람회 행사</t>
    <phoneticPr fontId="12" type="noConversion"/>
  </si>
  <si>
    <t>2026여수세계섬박람회 행정관리</t>
    <phoneticPr fontId="12" type="noConversion"/>
  </si>
  <si>
    <t>2026여수세계섬박람회 수익사업</t>
    <phoneticPr fontId="12" type="noConversion"/>
  </si>
  <si>
    <t>2026여수세계섬박람회 박람회장 수익사업</t>
    <phoneticPr fontId="12" type="noConversion"/>
  </si>
  <si>
    <t>2026여수세계섬박람회 운영</t>
    <phoneticPr fontId="12" type="noConversion"/>
  </si>
  <si>
    <t>유치협력부 부서운영</t>
    <phoneticPr fontId="12" type="noConversion"/>
  </si>
  <si>
    <t>기획홍보부 부서운영</t>
    <phoneticPr fontId="12" type="noConversion"/>
  </si>
  <si>
    <t>기획홍보부 부서운영</t>
    <phoneticPr fontId="12" type="noConversion"/>
  </si>
  <si>
    <t>수익사업부 부서운영</t>
    <phoneticPr fontId="12" type="noConversion"/>
  </si>
  <si>
    <t>유치협력부 부서운영</t>
    <phoneticPr fontId="12" type="noConversion"/>
  </si>
  <si>
    <t>2026여수세계섬박람회 행사</t>
    <phoneticPr fontId="12" type="noConversion"/>
  </si>
  <si>
    <t>행사부 부서운영</t>
    <phoneticPr fontId="12" type="noConversion"/>
  </si>
  <si>
    <t>시설조성부 부서운영</t>
    <phoneticPr fontId="12" type="noConversion"/>
  </si>
  <si>
    <t>2026여수세계섬박람회 전시연출</t>
    <phoneticPr fontId="12" type="noConversion"/>
  </si>
  <si>
    <t>예비비(자본)</t>
    <phoneticPr fontId="12" type="noConversion"/>
  </si>
  <si>
    <t>일반예비비(자본)</t>
    <phoneticPr fontId="12" type="noConversion"/>
  </si>
  <si>
    <t>2026여수세계섬박람회 전시연출</t>
    <phoneticPr fontId="12" type="noConversion"/>
  </si>
  <si>
    <t>박람회 연출</t>
    <phoneticPr fontId="48" type="noConversion"/>
  </si>
  <si>
    <t>박람회 연출</t>
    <phoneticPr fontId="12" type="noConversion"/>
  </si>
  <si>
    <t>출연금(사업예산+자본예산)</t>
    <phoneticPr fontId="12" type="noConversion"/>
  </si>
  <si>
    <t>위탁사업비(사업예산+자본예산)</t>
    <phoneticPr fontId="12" type="noConversion"/>
  </si>
  <si>
    <t>15 복리후생비</t>
    <phoneticPr fontId="12" type="noConversion"/>
  </si>
  <si>
    <t>[급량비]</t>
    <phoneticPr fontId="12" type="noConversion"/>
  </si>
  <si>
    <t>복리후생비</t>
    <phoneticPr fontId="12" type="noConversion"/>
  </si>
  <si>
    <t>15 복리후생비</t>
    <phoneticPr fontId="12" type="noConversion"/>
  </si>
  <si>
    <t>[급량비]</t>
    <phoneticPr fontId="12" type="noConversion"/>
  </si>
  <si>
    <t>복리후생비</t>
    <phoneticPr fontId="12" type="noConversion"/>
  </si>
  <si>
    <t xml:space="preserve"> ○ 직원역량강화 교육 강사수당 : 370,000원*2명*4회</t>
    <phoneticPr fontId="12" type="noConversion"/>
  </si>
  <si>
    <t>자문위원회 운영</t>
    <phoneticPr fontId="48" type="noConversion"/>
  </si>
  <si>
    <t xml:space="preserve"> ○ 이사회 책자 제작 및 소모품 구입 : 20,000원*13명*6회</t>
    <phoneticPr fontId="12" type="noConversion"/>
  </si>
  <si>
    <t xml:space="preserve"> ○ 이사회 참석수당 : 150,000원*13명*6회</t>
    <phoneticPr fontId="12" type="noConversion"/>
  </si>
  <si>
    <t xml:space="preserve"> ○ 이사회 참석자 실비보상 : 110,000원*13명*6회</t>
    <phoneticPr fontId="12" type="noConversion"/>
  </si>
  <si>
    <t xml:space="preserve"> ○ 이사회 등 회의 운영비 : 400,000원*6회</t>
    <phoneticPr fontId="12" type="noConversion"/>
  </si>
  <si>
    <t xml:space="preserve"> ○ 4급이상 : 600,000원*2명*12월</t>
    <phoneticPr fontId="12" type="noConversion"/>
  </si>
  <si>
    <t>02 기타직 보수</t>
    <phoneticPr fontId="12" type="noConversion"/>
  </si>
  <si>
    <t>[총감독 급여]</t>
    <phoneticPr fontId="12" type="noConversion"/>
  </si>
  <si>
    <t xml:space="preserve"> ○ 월급여 : 7,000,000원*12월</t>
    <phoneticPr fontId="12" type="noConversion"/>
  </si>
  <si>
    <t>04 기간제근로자등보수</t>
    <phoneticPr fontId="12" type="noConversion"/>
  </si>
  <si>
    <t>[본부장실 관리요원]</t>
    <phoneticPr fontId="12" type="noConversion"/>
  </si>
  <si>
    <t>=</t>
    <phoneticPr fontId="12" type="noConversion"/>
  </si>
  <si>
    <t>107 퇴직급여</t>
    <phoneticPr fontId="12" type="noConversion"/>
  </si>
  <si>
    <t>퇴직급여충당금</t>
    <phoneticPr fontId="12" type="noConversion"/>
  </si>
  <si>
    <t>[퇴직급여충당금]</t>
    <phoneticPr fontId="12" type="noConversion"/>
  </si>
  <si>
    <t xml:space="preserve"> ○ 총감독 : 10,500,000원*1회</t>
    <phoneticPr fontId="12" type="noConversion"/>
  </si>
  <si>
    <t xml:space="preserve"> ○ 인부임 : 95,440원*1명*22일*12월</t>
    <phoneticPr fontId="12" type="noConversion"/>
  </si>
  <si>
    <t xml:space="preserve"> ○ 주휴수당 : 95,440원*1명*4일*12월</t>
    <phoneticPr fontId="12" type="noConversion"/>
  </si>
  <si>
    <t xml:space="preserve"> ○ 연차수당 : 95,440원*1명*11월</t>
    <phoneticPr fontId="12" type="noConversion"/>
  </si>
  <si>
    <t xml:space="preserve"> ○ 각종 보고서, 규정집 등 인쇄 : 3,000,000원*1식 </t>
    <phoneticPr fontId="12" type="noConversion"/>
  </si>
  <si>
    <t xml:space="preserve"> ○ 복사용지 등 사무용품 구입 : 5,000,000원*1식 </t>
    <phoneticPr fontId="12" type="noConversion"/>
  </si>
  <si>
    <t xml:space="preserve"> ○ 복사기 및 프린터토너 구입 : 3,000,000원*1식</t>
    <phoneticPr fontId="12" type="noConversion"/>
  </si>
  <si>
    <t xml:space="preserve"> ○ 사무실 환경정비용품 구입 : 5,000,000원*1식</t>
    <phoneticPr fontId="12" type="noConversion"/>
  </si>
  <si>
    <t xml:space="preserve"> ○ 방문차량 주차요금 : 3,000,000원*1식 </t>
    <phoneticPr fontId="12" type="noConversion"/>
  </si>
  <si>
    <t xml:space="preserve"> ○ 정수기 렌탈 요금 : 40,000원*5대*12월 </t>
    <phoneticPr fontId="12" type="noConversion"/>
  </si>
  <si>
    <t xml:space="preserve"> ○ 공기청정기 렌탈요금 : 350,000원*12월</t>
    <phoneticPr fontId="12" type="noConversion"/>
  </si>
  <si>
    <t xml:space="preserve"> ○ 무인경비시스템 이용료 : 330,000원*12월</t>
    <phoneticPr fontId="12" type="noConversion"/>
  </si>
  <si>
    <t xml:space="preserve"> ○ 웹하드사용료(사진 영상보관) : 100,000원*12월</t>
    <phoneticPr fontId="12" type="noConversion"/>
  </si>
  <si>
    <t xml:space="preserve"> ○ 업무용 차량 임차비 : 1,000,000원*1대*12월</t>
    <phoneticPr fontId="12" type="noConversion"/>
  </si>
  <si>
    <t xml:space="preserve"> ○ 전기요금 등 공공요금 납부 : 1,000,000원*12월</t>
    <phoneticPr fontId="12" type="noConversion"/>
  </si>
  <si>
    <t xml:space="preserve"> ○ 차량 유지관리비 : 100,000원*1대*12월 </t>
    <phoneticPr fontId="12" type="noConversion"/>
  </si>
  <si>
    <t xml:space="preserve"> ○ 기본업무수행 급량비 : 9,000원*10명*8일*12월</t>
    <phoneticPr fontId="12" type="noConversion"/>
  </si>
  <si>
    <t xml:space="preserve"> ○ 4급보조기관장(기획본부장) : 6,600,000원*1식 </t>
    <phoneticPr fontId="12" type="noConversion"/>
  </si>
  <si>
    <t>=</t>
    <phoneticPr fontId="12" type="noConversion"/>
  </si>
  <si>
    <t>=</t>
    <phoneticPr fontId="12" type="noConversion"/>
  </si>
  <si>
    <t xml:space="preserve"> ○ 본부장(4급) : 350,000원*2명*12월</t>
    <phoneticPr fontId="12" type="noConversion"/>
  </si>
  <si>
    <t xml:space="preserve"> ○ 예산결산계약 실무담당직원 : 80,000원*7명*12월</t>
    <phoneticPr fontId="12" type="noConversion"/>
  </si>
  <si>
    <t>300 경상이전</t>
    <phoneticPr fontId="12" type="noConversion"/>
  </si>
  <si>
    <t>304 연금부담금 등</t>
    <phoneticPr fontId="12" type="noConversion"/>
  </si>
  <si>
    <t>01 연금부담금</t>
    <phoneticPr fontId="12" type="noConversion"/>
  </si>
  <si>
    <t>[사무총장 사회보험 사용자 부담금]</t>
    <phoneticPr fontId="12" type="noConversion"/>
  </si>
  <si>
    <t>[총감독 사회보험 사용자 부담금]</t>
    <phoneticPr fontId="12" type="noConversion"/>
  </si>
  <si>
    <t>[본부장실 관리요원 사회보험 사용자 부담금]</t>
    <phoneticPr fontId="12" type="noConversion"/>
  </si>
  <si>
    <t xml:space="preserve"> ○ 건강보험 : 7,000,000원*3.6%*12월 </t>
    <phoneticPr fontId="12" type="noConversion"/>
  </si>
  <si>
    <t xml:space="preserve"> ○ 고용연금 : 7,000,000원*1.2%*12월 </t>
    <phoneticPr fontId="12" type="noConversion"/>
  </si>
  <si>
    <t xml:space="preserve"> ○ 산재보험 : 7,000,000원*1.0%*12월 </t>
    <phoneticPr fontId="12" type="noConversion"/>
  </si>
  <si>
    <t xml:space="preserve"> ○ 장기요양보험 : 3,024,000원*12.9% </t>
    <phoneticPr fontId="12" type="noConversion"/>
  </si>
  <si>
    <t xml:space="preserve"> ○ 인사위원회 참석수당 : 100,000원*3명*5회</t>
    <phoneticPr fontId="12" type="noConversion"/>
  </si>
  <si>
    <t>2026여수세계섬박람회 행정 업무추진</t>
    <phoneticPr fontId="12" type="noConversion"/>
  </si>
  <si>
    <t>이사회 및 각종 위원회 운영</t>
    <phoneticPr fontId="48" type="noConversion"/>
  </si>
  <si>
    <t>○ 사용자부담금 : 30,829,000원*11%</t>
    <phoneticPr fontId="12" type="noConversion"/>
  </si>
  <si>
    <t>2026여수세계섬박람회 행정 업무추진</t>
    <phoneticPr fontId="12" type="noConversion"/>
  </si>
  <si>
    <t>이사회 및 각종 위원회 운영</t>
    <phoneticPr fontId="12" type="noConversion"/>
  </si>
  <si>
    <t>기타직보수</t>
    <phoneticPr fontId="12" type="noConversion"/>
  </si>
  <si>
    <t>기간제근로자등보수</t>
    <phoneticPr fontId="12" type="noConversion"/>
  </si>
  <si>
    <t>퇴직급여</t>
    <phoneticPr fontId="12" type="noConversion"/>
  </si>
  <si>
    <t>퇴직급여충당금</t>
    <phoneticPr fontId="12" type="noConversion"/>
  </si>
  <si>
    <t>연금부담금 등</t>
    <phoneticPr fontId="12" type="noConversion"/>
  </si>
  <si>
    <t>연금부담금</t>
    <phoneticPr fontId="12" type="noConversion"/>
  </si>
  <si>
    <t>박람회장 운영</t>
    <phoneticPr fontId="12" type="noConversion"/>
  </si>
  <si>
    <t>대행사 선정</t>
    <phoneticPr fontId="12" type="noConversion"/>
  </si>
  <si>
    <t>일반운영비</t>
    <phoneticPr fontId="12" type="noConversion"/>
  </si>
  <si>
    <t>행사운영비</t>
    <phoneticPr fontId="12" type="noConversion"/>
  </si>
  <si>
    <t>지출예산(세부사업) - 운영부</t>
    <phoneticPr fontId="12" type="noConversion"/>
  </si>
  <si>
    <t>단위 : 천원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</si>
  <si>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</si>
  <si>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</si>
  <si>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</si>
  <si>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</si>
  <si>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</si>
  <si>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</si>
  <si>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</si>
  <si>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</si>
  <si>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</si>
  <si>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사업예산</t>
    <phoneticPr fontId="12" type="noConversion"/>
  </si>
  <si>
    <t>박람회장 운영</t>
    <phoneticPr fontId="12" type="noConversion"/>
  </si>
  <si>
    <t>대행사 선정</t>
    <phoneticPr fontId="48" type="noConversion"/>
  </si>
  <si>
    <t>200 물건비</t>
    <phoneticPr fontId="12" type="noConversion"/>
  </si>
  <si>
    <t>01 사무관리비</t>
    <phoneticPr fontId="12" type="noConversion"/>
  </si>
  <si>
    <t xml:space="preserve"> ○ 대행사 선정 제안서 평가위원 수당 : 250,000원*10명*2회</t>
    <phoneticPr fontId="12" type="noConversion"/>
  </si>
  <si>
    <t>=</t>
    <phoneticPr fontId="12" type="noConversion"/>
  </si>
  <si>
    <t>=</t>
    <phoneticPr fontId="12" type="noConversion"/>
  </si>
  <si>
    <t xml:space="preserve"> ○ 대행사 선정 평가위원 실비 : 500,000원*2회</t>
    <phoneticPr fontId="12" type="noConversion"/>
  </si>
  <si>
    <t>03 행사운영비</t>
    <phoneticPr fontId="12" type="noConversion"/>
  </si>
  <si>
    <t xml:space="preserve"> ○ 종합실행계획 수립 및 운영대행 용역비(1차분) : 300,000,000원*1식</t>
    <phoneticPr fontId="12" type="noConversion"/>
  </si>
  <si>
    <t>14 회의비</t>
    <phoneticPr fontId="12" type="noConversion"/>
  </si>
  <si>
    <t>[회의비]</t>
    <phoneticPr fontId="12" type="noConversion"/>
  </si>
  <si>
    <t xml:space="preserve"> ○ 대행사 선정 평가위원회 운영비 : 250,000원*2회</t>
    <phoneticPr fontId="12" type="noConversion"/>
  </si>
  <si>
    <t>운영부 사무국운영</t>
    <phoneticPr fontId="12" type="noConversion"/>
  </si>
  <si>
    <t>기본경비</t>
    <phoneticPr fontId="48" type="noConversion"/>
  </si>
  <si>
    <t>201 일반운영비</t>
    <phoneticPr fontId="12" type="noConversion"/>
  </si>
  <si>
    <t xml:space="preserve"> ○ 복사기 및 프린터토너 구입 : 3,000,000원*1식</t>
    <phoneticPr fontId="12" type="noConversion"/>
  </si>
  <si>
    <t xml:space="preserve"> ○ 사무실 환경정비용품 구입 : 5,000,000원*1식</t>
    <phoneticPr fontId="12" type="noConversion"/>
  </si>
  <si>
    <t>15 복리후생비</t>
    <phoneticPr fontId="12" type="noConversion"/>
  </si>
  <si>
    <t>[급량비]</t>
    <phoneticPr fontId="12" type="noConversion"/>
  </si>
  <si>
    <t>01 국내여비</t>
    <phoneticPr fontId="12" type="noConversion"/>
  </si>
  <si>
    <t>[국내여비]</t>
    <phoneticPr fontId="12" type="noConversion"/>
  </si>
  <si>
    <t>203 업무추진비</t>
    <phoneticPr fontId="12" type="noConversion"/>
  </si>
  <si>
    <t>07 사업업무추진비</t>
    <phoneticPr fontId="12" type="noConversion"/>
  </si>
  <si>
    <t>[기관운영업무추진비]</t>
    <phoneticPr fontId="12" type="noConversion"/>
  </si>
  <si>
    <t xml:space="preserve"> ○ 4급보조기관장(운영본부장) : 6,600,000원*1식 </t>
    <phoneticPr fontId="12" type="noConversion"/>
  </si>
  <si>
    <t>217 관서업무비</t>
    <phoneticPr fontId="12" type="noConversion"/>
  </si>
  <si>
    <t>[정원가산업무비]</t>
    <phoneticPr fontId="12" type="noConversion"/>
  </si>
  <si>
    <t>02 부서업무비</t>
    <phoneticPr fontId="12" type="noConversion"/>
  </si>
  <si>
    <t>운영부 사무국운영</t>
    <phoneticPr fontId="12" type="noConversion"/>
  </si>
  <si>
    <t>정원가산업무비</t>
    <phoneticPr fontId="12" type="noConversion"/>
  </si>
  <si>
    <t>부서업무비</t>
    <phoneticPr fontId="12" type="noConversion"/>
  </si>
  <si>
    <t>사전행사 개최</t>
    <phoneticPr fontId="48" type="noConversion"/>
  </si>
  <si>
    <t>2026여수세계섬박람회 전시연출(위탁)</t>
    <phoneticPr fontId="12" type="noConversion"/>
  </si>
  <si>
    <t>문화행사 추진</t>
    <phoneticPr fontId="48" type="noConversion"/>
  </si>
  <si>
    <t>[행사운영비]</t>
    <phoneticPr fontId="12" type="noConversion"/>
  </si>
  <si>
    <t xml:space="preserve"> ○ 섬박람회 문화행사 기획 및 프로그램 개발 : 600,000,000원*1식</t>
    <phoneticPr fontId="12" type="noConversion"/>
  </si>
  <si>
    <t>[행사운영비]</t>
    <phoneticPr fontId="12" type="noConversion"/>
  </si>
  <si>
    <t xml:space="preserve"> ○ 전시연출 콘텐츠 개발 : 1,500,000,000원*1식</t>
    <phoneticPr fontId="12" type="noConversion"/>
  </si>
  <si>
    <t xml:space="preserve"> ○ 누리집 유지관리 용역 : 50,000,000원*1식</t>
    <phoneticPr fontId="12" type="noConversion"/>
  </si>
  <si>
    <t xml:space="preserve"> ○ 기본업무수행 급량비 : 9,000원*7명*8일*12월</t>
    <phoneticPr fontId="12" type="noConversion"/>
  </si>
  <si>
    <t xml:space="preserve"> ○ 기본업무수행 급량비 : 9,000원*8명*8일*12월</t>
    <phoneticPr fontId="12" type="noConversion"/>
  </si>
  <si>
    <t xml:space="preserve"> ○ 부서운영을 위한 소모품 구입 : 210,000원*12월</t>
    <phoneticPr fontId="12" type="noConversion"/>
  </si>
  <si>
    <t xml:space="preserve"> ○ 5급이하 : 400,000원*60명*12월</t>
    <phoneticPr fontId="12" type="noConversion"/>
  </si>
  <si>
    <t xml:space="preserve"> ○ 타시군(도) 주거지원비 : 500,000원*15명*12월</t>
    <phoneticPr fontId="12" type="noConversion"/>
  </si>
  <si>
    <t xml:space="preserve"> ○ 현장체험 등 워크숍 운영 경비 : 15,000,000원*2회</t>
    <phoneticPr fontId="12" type="noConversion"/>
  </si>
  <si>
    <t xml:space="preserve"> ○ 명예위원장, 부위원장, 특별위원회 위원 등 행사 참석 실비 : 110,000원*13명*4회</t>
    <phoneticPr fontId="12" type="noConversion"/>
  </si>
  <si>
    <t xml:space="preserve"> ○ 행정관리부 부서운영 총액계상 : 175,000원*12월</t>
    <phoneticPr fontId="12" type="noConversion"/>
  </si>
  <si>
    <t xml:space="preserve"> ○ 사무실 통신선 등 수선유지비 : 5,000,000원*1식</t>
    <phoneticPr fontId="12" type="noConversion"/>
  </si>
  <si>
    <t xml:space="preserve"> ○ 기획본부 정원가산총액계상 : 80,000원*33명</t>
    <phoneticPr fontId="12" type="noConversion"/>
  </si>
  <si>
    <t>[부서업무비]</t>
    <phoneticPr fontId="12" type="noConversion"/>
  </si>
  <si>
    <t xml:space="preserve"> ○ 부장, 협력관(5급) : 100,000원*9명*12월</t>
    <phoneticPr fontId="12" type="noConversion"/>
  </si>
  <si>
    <t xml:space="preserve"> ○ 박람회 홍보 및 유치 업무추진(4급) : 4,800,000원*1식</t>
    <phoneticPr fontId="12" type="noConversion"/>
  </si>
  <si>
    <t xml:space="preserve"> ○ 기획홍보부 부서운영 총액계상 : 175,000원*12월</t>
    <phoneticPr fontId="12" type="noConversion"/>
  </si>
  <si>
    <t xml:space="preserve"> ○ 유치협력부 부서운영 총액계상 : 175,000원*12월</t>
    <phoneticPr fontId="12" type="noConversion"/>
  </si>
  <si>
    <t xml:space="preserve"> ○ 부서 운영을 위한 소모품 구입 : 210,000원*12월</t>
    <phoneticPr fontId="12" type="noConversion"/>
  </si>
  <si>
    <t xml:space="preserve"> ○ 부서 운영을 위한 소모품 구입 : 240,000원*12월</t>
    <phoneticPr fontId="12" type="noConversion"/>
  </si>
  <si>
    <t xml:space="preserve"> ○ 부서 운영을 위한 소모품 구입 : 270,000원*12월</t>
    <phoneticPr fontId="12" type="noConversion"/>
  </si>
  <si>
    <t xml:space="preserve"> ○ 행사부 부서운영 총액계상 : 175,000원*12월</t>
    <phoneticPr fontId="12" type="noConversion"/>
  </si>
  <si>
    <t xml:space="preserve"> ○ 시설조성부 부서운영 총액계상 : 175,000원*12월</t>
    <phoneticPr fontId="12" type="noConversion"/>
  </si>
  <si>
    <t xml:space="preserve"> ○ 전시연출부 부서운영 총액계상 : 175,000원*12월</t>
    <phoneticPr fontId="12" type="noConversion"/>
  </si>
  <si>
    <t xml:space="preserve"> ○ 기본업무수행 급량비 : 9,000원*8명*8일*12월</t>
    <phoneticPr fontId="12" type="noConversion"/>
  </si>
  <si>
    <t xml:space="preserve"> ○ 운영본부 정원가산총액계상 : 80,000원*29명</t>
    <phoneticPr fontId="12" type="noConversion"/>
  </si>
  <si>
    <t xml:space="preserve"> ○ 운영부 부서운영 총액계상 : 175,000원*12월</t>
    <phoneticPr fontId="12" type="noConversion"/>
  </si>
  <si>
    <t xml:space="preserve"> ○ 기본업무수행 급량비 : 9,000원*9명*8일*12월</t>
    <phoneticPr fontId="12" type="noConversion"/>
  </si>
  <si>
    <t xml:space="preserve"> ○ 기본업무수행 급량비 : 9,000원*7명*8일*12월</t>
    <phoneticPr fontId="12" type="noConversion"/>
  </si>
  <si>
    <t>섬박람회장 안전시설물 설치사업</t>
    <phoneticPr fontId="48" type="noConversion"/>
  </si>
  <si>
    <t>섬박람회 랜드마크 조성사업</t>
    <phoneticPr fontId="48" type="noConversion"/>
  </si>
  <si>
    <t>섬박람회장 입구게이트 조성</t>
    <phoneticPr fontId="48" type="noConversion"/>
  </si>
  <si>
    <t>섬박람회장 열린문화공간 조성</t>
    <phoneticPr fontId="48" type="noConversion"/>
  </si>
  <si>
    <t xml:space="preserve"> ○  D-365 기념행사 : 280,000,000원*1식</t>
    <phoneticPr fontId="12" type="noConversion"/>
  </si>
  <si>
    <t xml:space="preserve"> ○ 수익사업부 부서운영 총액계상 : 175,000원*12월</t>
    <phoneticPr fontId="12" type="noConversion"/>
  </si>
  <si>
    <t xml:space="preserve"> ○ 박람회 운영 및 조성 업무추진(4급) : 4,800,000원*1식</t>
    <phoneticPr fontId="12" type="noConversion"/>
  </si>
  <si>
    <t xml:space="preserve"> ○ 예비비(자본) : 0원</t>
    <phoneticPr fontId="12" type="noConversion"/>
  </si>
  <si>
    <t>자문위원회 운영</t>
    <phoneticPr fontId="12" type="noConversion"/>
  </si>
  <si>
    <t xml:space="preserve"> ○ 홍보물품 등 제작 : 140,000,000원*1식</t>
    <phoneticPr fontId="12" type="noConversion"/>
  </si>
  <si>
    <t>=</t>
    <phoneticPr fontId="12" type="noConversion"/>
  </si>
  <si>
    <t xml:space="preserve"> ○ 사전 홍보 이벤트 : 30,000,000원*1식</t>
    <phoneticPr fontId="12" type="noConversion"/>
  </si>
  <si>
    <t>=</t>
    <phoneticPr fontId="12" type="noConversion"/>
  </si>
  <si>
    <t xml:space="preserve"> ○ 홍보부스 운영 : 5,000,000원*1식</t>
    <phoneticPr fontId="12" type="noConversion"/>
  </si>
  <si>
    <t xml:space="preserve"> ○ 홍보대사, 서포터즈 운영 : 20,000,000원*1식</t>
    <phoneticPr fontId="12" type="noConversion"/>
  </si>
  <si>
    <t xml:space="preserve"> ○ 섬박람회 광고 홍보료 : 500,000,000원*1식</t>
    <phoneticPr fontId="12" type="noConversion"/>
  </si>
  <si>
    <t>300 경상이전</t>
    <phoneticPr fontId="12" type="noConversion"/>
  </si>
  <si>
    <t xml:space="preserve"> ○ 홍보부스 참가 : 5,000,000원*4회</t>
    <phoneticPr fontId="12" type="noConversion"/>
  </si>
  <si>
    <t xml:space="preserve"> ○ 종합홍보 대행 용역(1차분) : 1,000,000,000원*1식</t>
    <phoneticPr fontId="12" type="noConversion"/>
  </si>
  <si>
    <t xml:space="preserve"> ○ 온라인 홍보 대행 용역 : 150,000,000원*1식</t>
    <phoneticPr fontId="12" type="noConversion"/>
  </si>
  <si>
    <t xml:space="preserve"> ○ 홍보영상 제작 용역 : 100,000,000원*1식</t>
    <phoneticPr fontId="12" type="noConversion"/>
  </si>
  <si>
    <t>[기타보상금]</t>
    <phoneticPr fontId="12" type="noConversion"/>
  </si>
  <si>
    <t>2026여수세계섬박람회 기획홍보(위탁)</t>
    <phoneticPr fontId="12" type="noConversion"/>
  </si>
  <si>
    <t>2026여수세계섬박람회 유치협력(위탁)</t>
    <phoneticPr fontId="12" type="noConversion"/>
  </si>
  <si>
    <t>2026여수세계섬박람회 행사(위탁)</t>
    <phoneticPr fontId="12" type="noConversion"/>
  </si>
  <si>
    <t>2026여수세계섬박람회 시설조성(위탁)</t>
    <phoneticPr fontId="12" type="noConversion"/>
  </si>
  <si>
    <t xml:space="preserve"> ○ 공모전 시상금 : 7,000,000원*3회</t>
    <phoneticPr fontId="12" type="noConversion"/>
  </si>
  <si>
    <t xml:space="preserve"> ○ 각종 이벤트 경품 : 5,000,000원*1식</t>
    <phoneticPr fontId="12" type="noConversion"/>
  </si>
  <si>
    <t xml:space="preserve"> ○ 제안서, 공모전 평가위원 수당 : 7,000,000원*1식</t>
    <phoneticPr fontId="12" type="noConversion"/>
  </si>
  <si>
    <t xml:space="preserve"> ○ 제안서, 공모전 평가위원 교통비 등 기타 실비 : 2,000,000원*1식</t>
    <phoneticPr fontId="12" type="noConversion"/>
  </si>
  <si>
    <t>[행사운영비]</t>
    <phoneticPr fontId="12" type="noConversion"/>
  </si>
  <si>
    <t xml:space="preserve"> ○ 운영부 기본업무 수행 관외여비 : 110,000원*8명*12월</t>
    <phoneticPr fontId="12" type="noConversion"/>
  </si>
  <si>
    <t>01 시설비</t>
    <phoneticPr fontId="12" type="noConversion"/>
  </si>
  <si>
    <t>03 시설부대비</t>
    <phoneticPr fontId="12" type="noConversion"/>
  </si>
  <si>
    <t>400 자본지출</t>
    <phoneticPr fontId="12" type="noConversion"/>
  </si>
  <si>
    <t>401 시설비및부대비</t>
    <phoneticPr fontId="12" type="noConversion"/>
  </si>
  <si>
    <t>[시설비]</t>
    <phoneticPr fontId="12" type="noConversion"/>
  </si>
  <si>
    <t>[시설부대비]</t>
    <phoneticPr fontId="12" type="noConversion"/>
  </si>
  <si>
    <t xml:space="preserve"> ○ 섬박람회장 안전시설물 설치 시설비 : 3,000,000,000원*1식*99.64/100</t>
    <phoneticPr fontId="12" type="noConversion"/>
  </si>
  <si>
    <t xml:space="preserve"> ○ 섬박람회장 안전시설물 설치 시설부대비 : 3,000,000,000원*1식*0.36/100</t>
    <phoneticPr fontId="12" type="noConversion"/>
  </si>
  <si>
    <t xml:space="preserve"> ○ 섬박람회장 입구게이트 조성 시설비 : 500,000,000원*1식*99.28/100</t>
    <phoneticPr fontId="12" type="noConversion"/>
  </si>
  <si>
    <t xml:space="preserve"> ○ 섬박람회장 입구게이트 조성 시설부대비 : 500,000,000원*1식*0.72/100</t>
    <phoneticPr fontId="12" type="noConversion"/>
  </si>
  <si>
    <t>[시설비]</t>
    <phoneticPr fontId="12" type="noConversion"/>
  </si>
  <si>
    <t xml:space="preserve"> ○ 섬박람회장 열린문화공간 조성 시설비 : 1,800,000,000원*1식*99.64/100</t>
    <phoneticPr fontId="12" type="noConversion"/>
  </si>
  <si>
    <t xml:space="preserve"> ○ 섬박람회장 열린문화공간 조성 시설부대비 : 1,800,000,000원*1식*0.36/100</t>
    <phoneticPr fontId="12" type="noConversion"/>
  </si>
  <si>
    <t xml:space="preserve"> ○ 섬박람회 랜드마크 조성 시설비 : 5,000,000,000원*1식*99.73/100</t>
    <phoneticPr fontId="12" type="noConversion"/>
  </si>
  <si>
    <t xml:space="preserve"> ○ 사무용품 등 소모품 구입 : 5,000,000원*1식 </t>
    <phoneticPr fontId="12" type="noConversion"/>
  </si>
  <si>
    <t xml:space="preserve"> ○ 행사부 기본업무 수행 관외여비 : 110,000원*7명*12월</t>
    <phoneticPr fontId="12" type="noConversion"/>
  </si>
  <si>
    <t xml:space="preserve"> ○ '너와 나의 섬이야기' 성공개최 이벤트 : 120,000,000원*1식</t>
    <phoneticPr fontId="12" type="noConversion"/>
  </si>
  <si>
    <t xml:space="preserve"> ○ 운영부 기본업무 수행 관내여비 : 20,000원*8명*2일*12월</t>
    <phoneticPr fontId="12" type="noConversion"/>
  </si>
  <si>
    <t xml:space="preserve"> ○ 행사부 기본업무 수행 관내여비 : 20,000원*7명*2일*12월</t>
    <phoneticPr fontId="12" type="noConversion"/>
  </si>
  <si>
    <t xml:space="preserve"> ○ 시설조성부 기본업무 수행 관내여비 : 20,000원*7명*2일*12월</t>
    <phoneticPr fontId="12" type="noConversion"/>
  </si>
  <si>
    <t xml:space="preserve"> ○ 시설조성부 기본업무 수행 관외여비 : 110,000원*7명*12월</t>
    <phoneticPr fontId="12" type="noConversion"/>
  </si>
  <si>
    <t xml:space="preserve"> ○ 전시연출부 기본업무 수행 관내여비 : 20,000원*7명*2일*12월</t>
    <phoneticPr fontId="12" type="noConversion"/>
  </si>
  <si>
    <t xml:space="preserve"> ○ 전시연출부 기본업무 수행 관외여비 : 110,000원*7명*12월</t>
    <phoneticPr fontId="12" type="noConversion"/>
  </si>
  <si>
    <t xml:space="preserve"> ○ 유치협력 기본업무 수행 관내여비 : 20,000원*7명*2일*12월</t>
    <phoneticPr fontId="12" type="noConversion"/>
  </si>
  <si>
    <t xml:space="preserve"> ○ 유치협력 기본업무 수행 관외여비 : 110,000원*7명*12월</t>
    <phoneticPr fontId="12" type="noConversion"/>
  </si>
  <si>
    <t xml:space="preserve"> ○ 수익사업 기본업무 수행 관내여비 : 20,000원*9명*2일*12월</t>
    <phoneticPr fontId="12" type="noConversion"/>
  </si>
  <si>
    <t xml:space="preserve"> ○ 기획홍보부 기본업무 수행 관외여비 : 110,000원*8명*12월</t>
    <phoneticPr fontId="12" type="noConversion"/>
  </si>
  <si>
    <t xml:space="preserve"> ○ 기획홍보부 기본업무 수행 관내여비 : 20,000원*8명*2일*12월</t>
    <phoneticPr fontId="12" type="noConversion"/>
  </si>
  <si>
    <t xml:space="preserve"> ○ 섬박람회 랜드마크 조성 시설부대비 : 5,000,000,000원*1식*0.27/100</t>
    <phoneticPr fontId="12" type="noConversion"/>
  </si>
  <si>
    <t xml:space="preserve"> ○ 세계의 섬·한국의 섬 테마존 조성 시설부대비 : 5,000,000,000원*1식*0.27/100</t>
    <phoneticPr fontId="12" type="noConversion"/>
  </si>
  <si>
    <t xml:space="preserve"> ○ 세계의 섬·한국의 섬 테마존 조성 시설비 : 5,000,000,000원*1식*99.73/100</t>
    <phoneticPr fontId="12" type="noConversion"/>
  </si>
  <si>
    <t xml:space="preserve"> ○ 섬박람회장 상징 아트 포토존 조성 시설부대비 : 1,800,000,000원*1식*0.36/100</t>
    <phoneticPr fontId="12" type="noConversion"/>
  </si>
  <si>
    <t xml:space="preserve"> ○ 섬박람회장 상징 아트 포토존 조성 시설비 : 1,800,000,000원*1식*99.64/100</t>
    <phoneticPr fontId="12" type="noConversion"/>
  </si>
  <si>
    <t xml:space="preserve"> ○ 이사회 변경등기 및 법무사 수수료 : 1,000,000원*1식</t>
    <phoneticPr fontId="12" type="noConversion"/>
  </si>
  <si>
    <t>관서업무비</t>
    <phoneticPr fontId="12" type="noConversion"/>
  </si>
  <si>
    <t>부서운영비</t>
    <phoneticPr fontId="12" type="noConversion"/>
  </si>
  <si>
    <t xml:space="preserve"> ○ 자문위원회 참석자 실비 보상 : 4,000,000원*1식</t>
    <phoneticPr fontId="12" type="noConversion"/>
  </si>
  <si>
    <t xml:space="preserve"> ○ 자문위원회 자문수당(대면) : 150,000원*3회*32명</t>
    <phoneticPr fontId="12" type="noConversion"/>
  </si>
  <si>
    <t xml:space="preserve"> ○ 자문위원회 자문수당(서면) : 100,000원*3회*32명</t>
    <phoneticPr fontId="12" type="noConversion"/>
  </si>
  <si>
    <t xml:space="preserve"> ○ 자문위원회 운영 행사운영비 : 100,000원*3회  </t>
    <phoneticPr fontId="12" type="noConversion"/>
  </si>
  <si>
    <t xml:space="preserve"> ○ 관용차량 하이패스 이용료 : 100,000원*12월</t>
    <phoneticPr fontId="12" type="noConversion"/>
  </si>
  <si>
    <t>=</t>
    <phoneticPr fontId="12" type="noConversion"/>
  </si>
  <si>
    <t xml:space="preserve"> ○ 행정관리 업무추진 관외여비 : 110,000원*10명*12월</t>
    <phoneticPr fontId="12" type="noConversion"/>
  </si>
  <si>
    <t xml:space="preserve"> ○ 행정관리 기본업무 수행 관내여비 : 20,000원*10명*2일*12월</t>
    <phoneticPr fontId="12" type="noConversion"/>
  </si>
  <si>
    <t>01 국내여비</t>
    <phoneticPr fontId="12" type="noConversion"/>
  </si>
  <si>
    <t>기타보상금</t>
    <phoneticPr fontId="12" type="noConversion"/>
  </si>
  <si>
    <t>사전행사 개최</t>
    <phoneticPr fontId="12" type="noConversion"/>
  </si>
  <si>
    <t>문화행사 추진</t>
    <phoneticPr fontId="12" type="noConversion"/>
  </si>
  <si>
    <t>행사운영비</t>
    <phoneticPr fontId="12" type="noConversion"/>
  </si>
  <si>
    <t>섬박람회 랜드마크 조성사업</t>
    <phoneticPr fontId="12" type="noConversion"/>
  </si>
  <si>
    <t>시설비및부대비</t>
    <phoneticPr fontId="12" type="noConversion"/>
  </si>
  <si>
    <t>시설비</t>
    <phoneticPr fontId="12" type="noConversion"/>
  </si>
  <si>
    <t>시설부대비</t>
    <phoneticPr fontId="12" type="noConversion"/>
  </si>
  <si>
    <t>2026여수세계섬박람회 시설조성</t>
    <phoneticPr fontId="12" type="noConversion"/>
  </si>
  <si>
    <t>섬박람회장 열린문화공간 조성</t>
    <phoneticPr fontId="48" type="noConversion"/>
  </si>
  <si>
    <r>
      <t>세계 섬</t>
    </r>
    <r>
      <rPr>
        <b/>
        <sz val="10"/>
        <color rgb="FF000000"/>
        <rFont val="맑은 고딕 Semilight"/>
        <family val="3"/>
        <charset val="129"/>
      </rPr>
      <t>‧</t>
    </r>
    <r>
      <rPr>
        <b/>
        <sz val="10"/>
        <color rgb="FF000000"/>
        <rFont val="굴림"/>
        <family val="3"/>
        <charset val="129"/>
      </rPr>
      <t>한국의 섬 테마존 조성</t>
    </r>
    <phoneticPr fontId="48" type="noConversion"/>
  </si>
  <si>
    <t>섬박람회 상징 아트 포토존 조성</t>
  </si>
  <si>
    <t xml:space="preserve"> ○ 국내·외 관람객 홍보물 등 발송 우편료 : 2,500원*3,200개소</t>
    <phoneticPr fontId="12" type="noConversion"/>
  </si>
  <si>
    <t>03 국외업무여비</t>
    <phoneticPr fontId="12" type="noConversion"/>
  </si>
  <si>
    <t xml:space="preserve"> ○ 자매도시 등 국제교류 및 각종 국제행사 참가 : 3,000,000원*2명*4회</t>
    <phoneticPr fontId="12" type="noConversion"/>
  </si>
  <si>
    <t>학술회의 유치</t>
    <phoneticPr fontId="48" type="noConversion"/>
  </si>
  <si>
    <t>301 일반보상금</t>
    <phoneticPr fontId="12" type="noConversion"/>
  </si>
  <si>
    <t>13 외빈초청여비</t>
    <phoneticPr fontId="12" type="noConversion"/>
  </si>
  <si>
    <t>[외빈초청여비]</t>
    <phoneticPr fontId="12" type="noConversion"/>
  </si>
  <si>
    <t xml:space="preserve"> ○ 유치활동 추진을 위한 소책자, 협약서 등 제작(다국어) : 40,000,000원*1식</t>
    <phoneticPr fontId="12" type="noConversion"/>
  </si>
  <si>
    <t>[외빈초청여비]</t>
    <phoneticPr fontId="12" type="noConversion"/>
  </si>
  <si>
    <t xml:space="preserve"> ○ 유치활동 PPT, 영상 제작(다국어) : 16,000,000원*1식</t>
    <phoneticPr fontId="12" type="noConversion"/>
  </si>
  <si>
    <t>=</t>
    <phoneticPr fontId="12" type="noConversion"/>
  </si>
  <si>
    <t>=</t>
    <phoneticPr fontId="12" type="noConversion"/>
  </si>
  <si>
    <t xml:space="preserve"> ○ 유치활동 추진을 위한 통번역 수수료 : 600,000원*40회</t>
    <phoneticPr fontId="12" type="noConversion"/>
  </si>
  <si>
    <t xml:space="preserve"> ○ 유치활동 추진을 위한 유치홍보물 제작 : 20,000원*5,000개</t>
    <phoneticPr fontId="12" type="noConversion"/>
  </si>
  <si>
    <t xml:space="preserve"> ○ 전국 단위 축제·행사 홍보부스 참가비 : 5,000,000원*6회</t>
    <phoneticPr fontId="12" type="noConversion"/>
  </si>
  <si>
    <t xml:space="preserve"> ○ 국내 단체 관람객 유치를 위한 초청 : 2,000,000원*16식</t>
    <phoneticPr fontId="12" type="noConversion"/>
  </si>
  <si>
    <t xml:space="preserve"> ○ 국외 단체 관람객 유치를 위한 초청 : 10,000,000원*10식 </t>
    <phoneticPr fontId="12" type="noConversion"/>
  </si>
  <si>
    <t>14 기타보상금</t>
    <phoneticPr fontId="12" type="noConversion"/>
  </si>
  <si>
    <t>[기타보상금]</t>
    <phoneticPr fontId="12" type="noConversion"/>
  </si>
  <si>
    <t>학술회의 유치</t>
    <phoneticPr fontId="12" type="noConversion"/>
  </si>
  <si>
    <t>일반보상금</t>
    <phoneticPr fontId="12" type="noConversion"/>
  </si>
  <si>
    <t>외빈초청여비</t>
    <phoneticPr fontId="12" type="noConversion"/>
  </si>
  <si>
    <t>2026여수세계섬박람회 유치</t>
    <phoneticPr fontId="12" type="noConversion"/>
  </si>
  <si>
    <t>[임차료]</t>
    <phoneticPr fontId="12" type="noConversion"/>
  </si>
  <si>
    <t xml:space="preserve"> ○ 이사회 개최를 위한 회의실 임차료 : 300,000원*4회</t>
    <phoneticPr fontId="12" type="noConversion"/>
  </si>
  <si>
    <t>201 일반운영비</t>
    <phoneticPr fontId="12" type="noConversion"/>
  </si>
  <si>
    <t>649 후원금 수익</t>
    <phoneticPr fontId="12" type="noConversion"/>
  </si>
  <si>
    <t>01 지정후원금수익</t>
    <phoneticPr fontId="12" type="noConversion"/>
  </si>
  <si>
    <t>박람회 휘장업무 추진</t>
    <phoneticPr fontId="48" type="noConversion"/>
  </si>
  <si>
    <t>01 사무관리비</t>
    <phoneticPr fontId="12" type="noConversion"/>
  </si>
  <si>
    <t>=</t>
    <phoneticPr fontId="12" type="noConversion"/>
  </si>
  <si>
    <t xml:space="preserve"> ○ 후원·기부 유치를 위한 홍보물 제작 : 5,000,000원*1식 </t>
    <phoneticPr fontId="12" type="noConversion"/>
  </si>
  <si>
    <t xml:space="preserve"> ○ 공식상품화권자 선정 심사수당 : 250,000원*7명*1회 </t>
    <phoneticPr fontId="12" type="noConversion"/>
  </si>
  <si>
    <t xml:space="preserve"> ○ 박람회 인정상품 엠블럼 제작 : 3,000,000원*1식</t>
    <phoneticPr fontId="12" type="noConversion"/>
  </si>
  <si>
    <t>[행사운영비]</t>
    <phoneticPr fontId="12" type="noConversion"/>
  </si>
  <si>
    <t xml:space="preserve"> ○ 수익사업 관련 우편물 발송료 : 2,500원*400회 </t>
    <phoneticPr fontId="12" type="noConversion"/>
  </si>
  <si>
    <t>박람회 기부금품 관리</t>
    <phoneticPr fontId="48" type="noConversion"/>
  </si>
  <si>
    <t xml:space="preserve"> ○ 기부자 예우 물품 제작 : 20,000원*200개</t>
    <phoneticPr fontId="12" type="noConversion"/>
  </si>
  <si>
    <t>박람회 입장권 사업</t>
    <phoneticPr fontId="48" type="noConversion"/>
  </si>
  <si>
    <t xml:space="preserve"> ○ 입장권 판촉 홍보물 제작 : 20,000,000원*1식  </t>
    <phoneticPr fontId="12" type="noConversion"/>
  </si>
  <si>
    <t xml:space="preserve"> ○ 입장권 사업 추진 사무용품 구입 : 200,000원*12월</t>
    <phoneticPr fontId="12" type="noConversion"/>
  </si>
  <si>
    <t>14 기타보상금</t>
    <phoneticPr fontId="12" type="noConversion"/>
  </si>
  <si>
    <t>[기타보상금]</t>
    <phoneticPr fontId="12" type="noConversion"/>
  </si>
  <si>
    <t xml:space="preserve"> ○ 입장권 구매보상금 지급 : 10,000,000원*1식</t>
    <phoneticPr fontId="12" type="noConversion"/>
  </si>
  <si>
    <t xml:space="preserve"> ○ 후원 협약식 개최 : 800,000원*5회</t>
    <phoneticPr fontId="12" type="noConversion"/>
  </si>
  <si>
    <t xml:space="preserve"> ○ 기부금품 전달식 개최 : 300,000원*10회</t>
    <phoneticPr fontId="12" type="noConversion"/>
  </si>
  <si>
    <t>박람회 휘장업무 추진</t>
    <phoneticPr fontId="12" type="noConversion"/>
  </si>
  <si>
    <t>일반운영비</t>
    <phoneticPr fontId="12" type="noConversion"/>
  </si>
  <si>
    <t>사무관리비</t>
    <phoneticPr fontId="12" type="noConversion"/>
  </si>
  <si>
    <t>행사운영비</t>
    <phoneticPr fontId="12" type="noConversion"/>
  </si>
  <si>
    <t>박람회 기부금품 관리</t>
    <phoneticPr fontId="12" type="noConversion"/>
  </si>
  <si>
    <t>일반운영비</t>
    <phoneticPr fontId="12" type="noConversion"/>
  </si>
  <si>
    <t>사무관리비</t>
    <phoneticPr fontId="12" type="noConversion"/>
  </si>
  <si>
    <t>박람회 입장권 사업</t>
    <phoneticPr fontId="12" type="noConversion"/>
  </si>
  <si>
    <t>일반보상금</t>
    <phoneticPr fontId="12" type="noConversion"/>
  </si>
  <si>
    <t>기타보상금</t>
    <phoneticPr fontId="12" type="noConversion"/>
  </si>
  <si>
    <t xml:space="preserve"> ○ 공식상품화권자 선정 심사위원 교통비 등 기타실비 : 700,000원*1식</t>
    <phoneticPr fontId="12" type="noConversion"/>
  </si>
  <si>
    <t>공공운영비</t>
    <phoneticPr fontId="12" type="noConversion"/>
  </si>
  <si>
    <t xml:space="preserve"> ○ 자문위원회 회의 운영비 : 50,000원*6회</t>
    <phoneticPr fontId="12" type="noConversion"/>
  </si>
  <si>
    <t>정책</t>
    <phoneticPr fontId="48" type="noConversion"/>
  </si>
  <si>
    <t>=</t>
    <phoneticPr fontId="12" type="noConversion"/>
  </si>
  <si>
    <t xml:space="preserve"> ○ 연봉 : 8,468,460원*12월 </t>
    <phoneticPr fontId="12" type="noConversion"/>
  </si>
  <si>
    <t xml:space="preserve"> ○ 가족수당 : 40,000원*12월</t>
    <phoneticPr fontId="12" type="noConversion"/>
  </si>
  <si>
    <t>=</t>
    <phoneticPr fontId="12" type="noConversion"/>
  </si>
  <si>
    <t>[사무총장]</t>
    <phoneticPr fontId="12" type="noConversion"/>
  </si>
  <si>
    <t>[복리후생비]</t>
    <phoneticPr fontId="12" type="noConversion"/>
  </si>
  <si>
    <t xml:space="preserve"> ○ 사무총장 정액급식비 : 140,000원*12월</t>
    <phoneticPr fontId="12" type="noConversion"/>
  </si>
  <si>
    <t xml:space="preserve"> ○ 사무총장 직급보조비 : 300,000원*12월</t>
    <phoneticPr fontId="12" type="noConversion"/>
  </si>
  <si>
    <t xml:space="preserve"> ○ 사무총장 직책급업무수행비 : 600,000원*12월</t>
    <phoneticPr fontId="12" type="noConversion"/>
  </si>
  <si>
    <t xml:space="preserve"> ○ 계약심의위원회 수당 등 지급 : 100,000원*6명*5회</t>
    <phoneticPr fontId="12" type="noConversion"/>
  </si>
  <si>
    <t xml:space="preserve"> ○  2025 국제 섬 포럼 in Yeosu 개최 : 120,000,000원*1식</t>
    <phoneticPr fontId="12" type="noConversion"/>
  </si>
  <si>
    <t xml:space="preserve"> ○ 2025 국제 섬 포럼 in Yeosu 참가자 및 외빈 초청 : 170,000,000원*1식</t>
    <phoneticPr fontId="12" type="noConversion"/>
  </si>
  <si>
    <t xml:space="preserve"> ○ 해외박람회 참가비 : 10,000,000원*4회</t>
    <phoneticPr fontId="12" type="noConversion"/>
  </si>
  <si>
    <t xml:space="preserve"> ○ 3급기관장(사무총장) : 10,000,000원*1식</t>
    <phoneticPr fontId="12" type="noConversion"/>
  </si>
  <si>
    <t xml:space="preserve"> ○ 박람회 조직위원회 업무추진(3급) : 15,000,000원*1식</t>
    <phoneticPr fontId="12" type="noConversion"/>
  </si>
  <si>
    <t xml:space="preserve"> ○ 행정관리부 업무추진 : 2,000,000원*1식</t>
    <phoneticPr fontId="12" type="noConversion"/>
  </si>
  <si>
    <t xml:space="preserve"> ○ 기획홍보부 업무추진 : 2,000,000원*1식</t>
    <phoneticPr fontId="12" type="noConversion"/>
  </si>
  <si>
    <t xml:space="preserve"> ○ 수익사업부 업무추진 : 2,000,000원*1식</t>
    <phoneticPr fontId="12" type="noConversion"/>
  </si>
  <si>
    <t xml:space="preserve"> ○ 유치협력부 업무추진 : 2,000,000원*1식</t>
    <phoneticPr fontId="12" type="noConversion"/>
  </si>
  <si>
    <t xml:space="preserve"> ○ 협력관 업무추진 : 2,000,000원*1식</t>
    <phoneticPr fontId="12" type="noConversion"/>
  </si>
  <si>
    <t xml:space="preserve"> ○ 운영부 업무추진 : 2,000,000원*1식</t>
    <phoneticPr fontId="12" type="noConversion"/>
  </si>
  <si>
    <t xml:space="preserve"> ○ 행사부 업무추진 : 2,000,000원*1식</t>
    <phoneticPr fontId="12" type="noConversion"/>
  </si>
  <si>
    <t xml:space="preserve"> ○ 시설조성부 업무추진 : 2,000,000원*1식</t>
    <phoneticPr fontId="12" type="noConversion"/>
  </si>
  <si>
    <t xml:space="preserve"> ○ 전시연출부 업무추진 : 2,000,000원*1식</t>
    <phoneticPr fontId="12" type="noConversion"/>
  </si>
  <si>
    <t xml:space="preserve"> ○ 국민연금 : 8,468,460원*4.5%*12월</t>
    <phoneticPr fontId="12" type="noConversion"/>
  </si>
  <si>
    <t xml:space="preserve"> ○ 건강보험 : 8,468,460원*3.6%*12월</t>
    <phoneticPr fontId="12" type="noConversion"/>
  </si>
  <si>
    <t xml:space="preserve"> ○ 고용연금 : 8,468,460원*1.2%*12월</t>
    <phoneticPr fontId="12" type="noConversion"/>
  </si>
  <si>
    <t xml:space="preserve"> ○ 산재보험 : 8,468,460원*1.0%*12월</t>
    <phoneticPr fontId="12" type="noConversion"/>
  </si>
  <si>
    <t xml:space="preserve"> ○ 장기요양보험 : 3,659,000원*12.9% </t>
    <phoneticPr fontId="12" type="noConversion"/>
  </si>
  <si>
    <t>섬박람회 상징 아트 포토존 조성</t>
    <phoneticPr fontId="48" type="noConversion"/>
  </si>
  <si>
    <t>관람객 유치</t>
    <phoneticPr fontId="48" type="noConversion"/>
  </si>
  <si>
    <t xml:space="preserve"> ○ 단체 관광객 유치를 위한 시책개발 및 인센티브 등 : 30,000,000원*1식</t>
    <phoneticPr fontId="12" type="noConversion"/>
  </si>
  <si>
    <t>=</t>
    <phoneticPr fontId="12" type="noConversion"/>
  </si>
  <si>
    <t xml:space="preserve"> ○ 수익사업부 기본업무 수행 관외여비 : 110,000원*9명*12월</t>
    <phoneticPr fontId="12" type="noConversion"/>
  </si>
  <si>
    <t>교육훈련경비</t>
    <phoneticPr fontId="12" type="noConversion"/>
  </si>
  <si>
    <t>16 광고선전비</t>
    <phoneticPr fontId="12" type="noConversion"/>
  </si>
  <si>
    <r>
      <t>세계 섬</t>
    </r>
    <r>
      <rPr>
        <b/>
        <sz val="10"/>
        <color theme="1"/>
        <rFont val="맑은 고딕 Semilight"/>
        <family val="3"/>
        <charset val="129"/>
      </rPr>
      <t>‧</t>
    </r>
    <r>
      <rPr>
        <b/>
        <sz val="10"/>
        <color theme="1"/>
        <rFont val="굴림"/>
        <family val="3"/>
        <charset val="129"/>
      </rPr>
      <t>한국의 섬 테마존 조성</t>
    </r>
    <phoneticPr fontId="48" type="noConversion"/>
  </si>
  <si>
    <t xml:space="preserve"> ○ 국내·외 기관·기업·바이어 등 초청 유치 설명회 및 팸투어 : 48,000,000원*1식</t>
    <phoneticPr fontId="12" type="noConversion"/>
  </si>
  <si>
    <t xml:space="preserve"> ○ 국내·외 유치마케팅 대행 용역 : 200,000,000원*1식</t>
    <phoneticPr fontId="12" type="noConversion"/>
  </si>
  <si>
    <t xml:space="preserve"> ○ 국내외 유치마케팅 대행사 선정 심사수당 : 250,000원*9명*1회 </t>
    <phoneticPr fontId="12" type="noConversion"/>
  </si>
  <si>
    <t xml:space="preserve"> ○ 국내외 유치마케팅 대행사 선정 심사위원 교통비 등 기타실비 : 1,000,000원*1식</t>
    <phoneticPr fontId="12" type="noConversion"/>
  </si>
  <si>
    <t xml:space="preserve"> ○ 예비비 : 316,640,000원*1식</t>
    <phoneticPr fontId="12" type="noConversion"/>
  </si>
  <si>
    <t xml:space="preserve"> ○ 회계감사 및 세무조정 용역 : 28,000,000원*1식</t>
    <phoneticPr fontId="12" type="noConversion"/>
  </si>
  <si>
    <t xml:space="preserve"> ○ 인터넷 사용료 : 330,000원*12월</t>
    <phoneticPr fontId="12" type="noConversion"/>
  </si>
  <si>
    <t xml:space="preserve"> ○ 회계관계공무원 재정보증보험 : 1,000,000원*1식</t>
    <phoneticPr fontId="12" type="noConversion"/>
  </si>
  <si>
    <t xml:space="preserve"> ○ 조달청 이용 수수료 : 600,000원*1식</t>
    <phoneticPr fontId="12" type="noConversion"/>
  </si>
  <si>
    <t>예산액</t>
    <phoneticPr fontId="12" type="noConversion"/>
  </si>
  <si>
    <t>전년도예산액</t>
    <phoneticPr fontId="12" type="noConversion"/>
  </si>
  <si>
    <t>647 기부금수익</t>
    <phoneticPr fontId="12" type="noConversion"/>
  </si>
  <si>
    <t>지출예산(세부사업) - 전시연출부</t>
    <phoneticPr fontId="12" type="noConversion"/>
  </si>
  <si>
    <t>관람객 유치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</si>
</sst>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176" formatCode="#,##0;[Red]&quot;△&quot;#,##0;0"/>
    <numFmt numFmtId="177" formatCode="#,##0_ ;[Red]\-#,##0\ "/>
    <numFmt numFmtId="178" formatCode="#,##0_);[Red]\(#,##0\)"/>
    <numFmt numFmtId="179" formatCode="#,##0;[Red]&quot;△&quot;#,##0"/>
    <numFmt numFmtId="180" formatCode="#,##0_ "/>
    <numFmt numFmtId="181" formatCode="_-* #,##0.0_-;\-* #,##0.0_-;_-* &quot;-&quot;?_-;_-@_-"/>
    <numFmt numFmtId="182" formatCode="_-* #,##0_-;&quot;₩&quot;\!\-* #,##0_-;_-* &quot;-&quot;_-;_-@_-"/>
    <numFmt numFmtId="183" formatCode="mm&quot;월&quot;\ dd&quot;일&quot;"/>
    <numFmt numFmtId="184" formatCode="#,##0_);\(#,##0\)"/>
  </numFmts>
  <fonts count="53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10"/>
      <color rgb="FFFF0000"/>
      <name val="굴림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70C0"/>
      <name val="굴림"/>
      <family val="3"/>
      <charset val="129"/>
    </font>
    <font>
      <sz val="11"/>
      <color indexed="64"/>
      <name val="굴림"/>
      <family val="3"/>
      <charset val="129"/>
    </font>
    <font>
      <sz val="10"/>
      <color indexed="64"/>
      <name val="굴림"/>
      <family val="3"/>
      <charset val="129"/>
    </font>
    <font>
      <sz val="10"/>
      <color indexed="8"/>
      <name val="굴림"/>
      <family val="3"/>
      <charset val="129"/>
    </font>
    <font>
      <b/>
      <sz val="10"/>
      <color indexed="64"/>
      <name val="굴림"/>
      <family val="3"/>
      <charset val="129"/>
    </font>
    <font>
      <sz val="9"/>
      <color indexed="64"/>
      <name val="굴림"/>
      <family val="3"/>
      <charset val="129"/>
    </font>
    <font>
      <sz val="11"/>
      <color theme="1"/>
      <name val="돋움"/>
      <family val="3"/>
      <charset val="129"/>
    </font>
    <font>
      <b/>
      <sz val="11"/>
      <color indexed="64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theme="1"/>
      <name val="굴림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sz val="11"/>
      <color rgb="FFFA7D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C3D62"/>
      <name val="맑은 고딕"/>
      <family val="3"/>
      <charset val="129"/>
    </font>
    <font>
      <b/>
      <sz val="15"/>
      <color rgb="FF1C3D62"/>
      <name val="맑은 고딕"/>
      <family val="3"/>
      <charset val="129"/>
    </font>
    <font>
      <b/>
      <sz val="13"/>
      <color rgb="FF1C3D62"/>
      <name val="맑은 고딕"/>
      <family val="3"/>
      <charset val="129"/>
    </font>
    <font>
      <b/>
      <sz val="11"/>
      <color rgb="FF1C3D62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</font>
    <font>
      <b/>
      <sz val="10"/>
      <color rgb="FFFF0000"/>
      <name val="굴림"/>
      <family val="3"/>
      <charset val="129"/>
    </font>
    <font>
      <b/>
      <sz val="10"/>
      <color rgb="FF000000"/>
      <name val="맑은 고딕 Semilight"/>
      <family val="3"/>
      <charset val="129"/>
    </font>
    <font>
      <b/>
      <sz val="10"/>
      <color theme="1"/>
      <name val="맑은 고딕 Semilight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0DEEF"/>
        <bgColor indexed="64"/>
      </patternFill>
    </fill>
    <fill>
      <patternFill patternType="solid">
        <fgColor rgb="FFEABCD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3DCDC"/>
        <bgColor indexed="64"/>
      </patternFill>
    </fill>
    <fill>
      <patternFill patternType="solid">
        <fgColor rgb="FFFBEFD4"/>
        <bgColor indexed="64"/>
      </patternFill>
    </fill>
    <fill>
      <patternFill patternType="solid">
        <fgColor rgb="FFE1EFD3"/>
        <bgColor indexed="64"/>
      </patternFill>
    </fill>
    <fill>
      <patternFill patternType="solid">
        <fgColor rgb="FFD2EBEE"/>
        <bgColor indexed="64"/>
      </patternFill>
    </fill>
    <fill>
      <patternFill patternType="solid">
        <fgColor rgb="FFF4DEEE"/>
        <bgColor indexed="64"/>
      </patternFill>
    </fill>
    <fill>
      <patternFill patternType="solid">
        <fgColor rgb="FFA2BEE0"/>
        <bgColor indexed="64"/>
      </patternFill>
    </fill>
    <fill>
      <patternFill patternType="solid">
        <fgColor rgb="FFE9B9B9"/>
        <bgColor indexed="64"/>
      </patternFill>
    </fill>
    <fill>
      <patternFill patternType="solid">
        <fgColor rgb="FFF6DFAA"/>
        <bgColor indexed="64"/>
      </patternFill>
    </fill>
    <fill>
      <patternFill patternType="solid">
        <fgColor rgb="FFC3E0A6"/>
        <bgColor indexed="64"/>
      </patternFill>
    </fill>
    <fill>
      <patternFill patternType="solid">
        <fgColor rgb="FFA3D7DE"/>
        <bgColor indexed="64"/>
      </patternFill>
    </fill>
    <fill>
      <patternFill patternType="solid">
        <fgColor rgb="FF729DD2"/>
        <bgColor indexed="64"/>
      </patternFill>
    </fill>
    <fill>
      <patternFill patternType="solid">
        <fgColor rgb="FFDD9797"/>
        <bgColor indexed="64"/>
      </patternFill>
    </fill>
    <fill>
      <patternFill patternType="solid">
        <fgColor rgb="FFF2CE80"/>
        <bgColor indexed="64"/>
      </patternFill>
    </fill>
    <fill>
      <patternFill patternType="solid">
        <fgColor rgb="FFA5D07A"/>
        <bgColor indexed="64"/>
      </patternFill>
    </fill>
    <fill>
      <patternFill patternType="solid">
        <fgColor rgb="FF76C3CD"/>
        <bgColor indexed="64"/>
      </patternFill>
    </fill>
    <fill>
      <patternFill patternType="solid">
        <fgColor rgb="FFDF9ACA"/>
        <bgColor indexed="64"/>
      </patternFill>
    </fill>
    <fill>
      <patternFill patternType="solid">
        <fgColor rgb="FF315F97"/>
        <bgColor indexed="64"/>
      </patternFill>
    </fill>
    <fill>
      <patternFill patternType="solid">
        <fgColor rgb="FFC75252"/>
        <bgColor indexed="64"/>
      </patternFill>
    </fill>
    <fill>
      <patternFill patternType="solid">
        <fgColor rgb="FFE9AE2B"/>
        <bgColor indexed="64"/>
      </patternFill>
    </fill>
    <fill>
      <patternFill patternType="solid">
        <fgColor rgb="FF699B37"/>
        <bgColor indexed="64"/>
      </patternFill>
    </fill>
    <fill>
      <patternFill patternType="solid">
        <fgColor rgb="FF358791"/>
        <bgColor indexed="64"/>
      </patternFill>
    </fill>
    <fill>
      <patternFill patternType="solid">
        <fgColor rgb="FFCA56A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315F97"/>
      </top>
      <bottom style="double">
        <color rgb="FF315F97"/>
      </bottom>
      <diagonal/>
    </border>
    <border>
      <left/>
      <right/>
      <top/>
      <bottom style="thick">
        <color rgb="FF315F97"/>
      </bottom>
      <diagonal/>
    </border>
    <border>
      <left/>
      <right/>
      <top/>
      <bottom style="thick">
        <color rgb="FF8BAED9"/>
      </bottom>
      <diagonal/>
    </border>
    <border>
      <left/>
      <right/>
      <top/>
      <bottom style="medium">
        <color rgb="FF729DD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/>
      <bottom style="hair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93">
    <xf numFmtId="0" fontId="0" fillId="0" borderId="0">
      <alignment vertical="center"/>
    </xf>
    <xf numFmtId="41" fontId="11" fillId="0" borderId="0">
      <alignment vertical="center"/>
    </xf>
    <xf numFmtId="0" fontId="6" fillId="0" borderId="0"/>
    <xf numFmtId="41" fontId="6" fillId="0" borderId="0"/>
    <xf numFmtId="41" fontId="11" fillId="0" borderId="0">
      <alignment vertical="center"/>
    </xf>
    <xf numFmtId="0" fontId="11" fillId="0" borderId="0">
      <alignment vertical="center"/>
    </xf>
    <xf numFmtId="41" fontId="6" fillId="0" borderId="0"/>
    <xf numFmtId="0" fontId="11" fillId="0" borderId="0">
      <alignment vertical="center"/>
    </xf>
    <xf numFmtId="9" fontId="6" fillId="0" borderId="0"/>
    <xf numFmtId="0" fontId="13" fillId="0" borderId="0"/>
    <xf numFmtId="41" fontId="13" fillId="0" borderId="0" applyFont="0" applyFill="0" applyBorder="0" applyAlignment="0" applyProtection="0"/>
    <xf numFmtId="0" fontId="13" fillId="0" borderId="0"/>
    <xf numFmtId="41" fontId="13" fillId="0" borderId="0" applyFont="0" applyFill="0" applyBorder="0" applyAlignment="0" applyProtection="0"/>
    <xf numFmtId="0" fontId="21" fillId="0" borderId="0">
      <alignment vertical="center"/>
    </xf>
    <xf numFmtId="41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3" fillId="0" borderId="0"/>
    <xf numFmtId="0" fontId="30" fillId="0" borderId="0">
      <alignment vertical="center"/>
    </xf>
    <xf numFmtId="0" fontId="5" fillId="0" borderId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182" fontId="13" fillId="0" borderId="0" applyFont="0" applyFill="0" applyBorder="0" applyAlignment="0" applyProtection="0"/>
    <xf numFmtId="0" fontId="13" fillId="0" borderId="0"/>
    <xf numFmtId="0" fontId="13" fillId="0" borderId="0"/>
    <xf numFmtId="0" fontId="30" fillId="4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6" fillId="6" borderId="55" applyNumberFormat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13" fillId="7" borderId="59" applyNumberFormat="0" applyFont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33" borderId="58" applyNumberFormat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40" fillId="0" borderId="57" applyNumberFormat="0" applyFill="0" applyAlignment="0" applyProtection="0">
      <alignment vertical="center"/>
    </xf>
    <xf numFmtId="0" fontId="35" fillId="0" borderId="60" applyNumberFormat="0" applyFill="0" applyAlignment="0" applyProtection="0">
      <alignment vertical="center"/>
    </xf>
    <xf numFmtId="0" fontId="41" fillId="8" borderId="55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61" applyNumberFormat="0" applyFill="0" applyAlignment="0" applyProtection="0">
      <alignment vertical="center"/>
    </xf>
    <xf numFmtId="0" fontId="44" fillId="0" borderId="62" applyNumberFormat="0" applyFill="0" applyAlignment="0" applyProtection="0">
      <alignment vertical="center"/>
    </xf>
    <xf numFmtId="0" fontId="45" fillId="0" borderId="63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6" borderId="56" applyNumberFormat="0" applyAlignment="0" applyProtection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0" fontId="3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465">
    <xf numFmtId="0" fontId="0" fillId="0" borderId="0" xfId="0" applyNumberFormat="1">
      <alignment vertical="center"/>
    </xf>
    <xf numFmtId="0" fontId="8" fillId="0" borderId="0" xfId="2" applyNumberFormat="1" applyFont="1" applyBorder="1" applyAlignment="1">
      <alignment vertical="center"/>
    </xf>
    <xf numFmtId="0" fontId="8" fillId="0" borderId="0" xfId="3" applyNumberFormat="1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>
      <alignment vertical="center"/>
    </xf>
    <xf numFmtId="0" fontId="7" fillId="0" borderId="0" xfId="2" applyNumberFormat="1" applyFont="1" applyFill="1" applyBorder="1" applyAlignment="1">
      <alignment horizontal="center" vertical="center"/>
    </xf>
    <xf numFmtId="41" fontId="7" fillId="0" borderId="0" xfId="2" applyNumberFormat="1" applyFont="1" applyFill="1" applyBorder="1" applyAlignment="1">
      <alignment horizontal="right" vertical="center"/>
    </xf>
    <xf numFmtId="0" fontId="8" fillId="0" borderId="2" xfId="2" applyNumberFormat="1" applyFont="1" applyFill="1" applyBorder="1" applyAlignment="1">
      <alignment vertical="center"/>
    </xf>
    <xf numFmtId="0" fontId="8" fillId="0" borderId="3" xfId="2" applyNumberFormat="1" applyFont="1" applyFill="1" applyBorder="1" applyAlignment="1">
      <alignment vertical="center"/>
    </xf>
    <xf numFmtId="177" fontId="7" fillId="0" borderId="0" xfId="1" applyNumberFormat="1" applyFont="1" applyFill="1" applyBorder="1" applyAlignment="1">
      <alignment horizontal="center" vertical="center"/>
    </xf>
    <xf numFmtId="176" fontId="9" fillId="0" borderId="7" xfId="3" applyNumberFormat="1" applyFont="1" applyFill="1" applyBorder="1" applyAlignment="1">
      <alignment horizontal="right" vertical="center"/>
    </xf>
    <xf numFmtId="0" fontId="8" fillId="0" borderId="16" xfId="2" applyNumberFormat="1" applyFont="1" applyFill="1" applyBorder="1" applyAlignment="1">
      <alignment vertical="center"/>
    </xf>
    <xf numFmtId="177" fontId="8" fillId="0" borderId="0" xfId="1" applyNumberFormat="1" applyFont="1" applyFill="1" applyBorder="1" applyAlignment="1">
      <alignment horizontal="center" vertical="center"/>
    </xf>
    <xf numFmtId="41" fontId="8" fillId="0" borderId="0" xfId="3" applyNumberFormat="1" applyFont="1" applyFill="1" applyBorder="1" applyAlignment="1">
      <alignment horizontal="right" vertical="center"/>
    </xf>
    <xf numFmtId="0" fontId="7" fillId="0" borderId="0" xfId="2" applyNumberFormat="1" applyFont="1" applyFill="1" applyBorder="1" applyAlignment="1">
      <alignment horizontal="left" vertical="center"/>
    </xf>
    <xf numFmtId="176" fontId="15" fillId="0" borderId="3" xfId="12" applyNumberFormat="1" applyFont="1" applyFill="1" applyBorder="1" applyAlignment="1">
      <alignment vertical="center"/>
    </xf>
    <xf numFmtId="176" fontId="18" fillId="0" borderId="3" xfId="12" applyNumberFormat="1" applyFont="1" applyFill="1" applyBorder="1" applyAlignment="1">
      <alignment vertical="center"/>
    </xf>
    <xf numFmtId="176" fontId="15" fillId="2" borderId="3" xfId="12" applyNumberFormat="1" applyFont="1" applyFill="1" applyBorder="1" applyAlignment="1">
      <alignment vertical="center"/>
    </xf>
    <xf numFmtId="178" fontId="25" fillId="0" borderId="0" xfId="11" applyNumberFormat="1" applyFont="1" applyFill="1" applyBorder="1" applyAlignment="1">
      <alignment vertical="center"/>
    </xf>
    <xf numFmtId="177" fontId="22" fillId="0" borderId="0" xfId="11" applyNumberFormat="1" applyFont="1" applyFill="1" applyBorder="1" applyAlignment="1">
      <alignment vertical="center" shrinkToFit="1"/>
    </xf>
    <xf numFmtId="181" fontId="24" fillId="0" borderId="0" xfId="12" applyNumberFormat="1" applyFont="1" applyFill="1" applyBorder="1" applyAlignment="1">
      <alignment vertical="center" shrinkToFit="1"/>
    </xf>
    <xf numFmtId="178" fontId="24" fillId="0" borderId="0" xfId="11" applyNumberFormat="1" applyFont="1" applyFill="1" applyBorder="1" applyAlignment="1">
      <alignment vertical="center" shrinkToFit="1"/>
    </xf>
    <xf numFmtId="41" fontId="23" fillId="0" borderId="0" xfId="12" applyFont="1" applyFill="1" applyAlignment="1">
      <alignment vertical="center"/>
    </xf>
    <xf numFmtId="41" fontId="23" fillId="0" borderId="0" xfId="12" applyFont="1" applyFill="1" applyAlignment="1">
      <alignment horizontal="center" vertical="center"/>
    </xf>
    <xf numFmtId="0" fontId="23" fillId="2" borderId="0" xfId="11" applyFont="1" applyFill="1" applyAlignment="1">
      <alignment vertical="center"/>
    </xf>
    <xf numFmtId="0" fontId="27" fillId="0" borderId="0" xfId="11" applyFont="1" applyAlignment="1">
      <alignment vertical="center"/>
    </xf>
    <xf numFmtId="41" fontId="27" fillId="0" borderId="0" xfId="12" applyFont="1" applyFill="1" applyAlignment="1">
      <alignment vertical="center"/>
    </xf>
    <xf numFmtId="176" fontId="27" fillId="0" borderId="0" xfId="12" applyNumberFormat="1" applyFont="1" applyFill="1" applyAlignment="1">
      <alignment vertical="center"/>
    </xf>
    <xf numFmtId="177" fontId="16" fillId="0" borderId="0" xfId="0" applyNumberFormat="1" applyFont="1" applyAlignment="1">
      <alignment vertical="center"/>
    </xf>
    <xf numFmtId="177" fontId="17" fillId="0" borderId="0" xfId="0" applyNumberFormat="1" applyFont="1" applyAlignment="1">
      <alignment vertical="center"/>
    </xf>
    <xf numFmtId="177" fontId="17" fillId="0" borderId="0" xfId="12" applyNumberFormat="1" applyFont="1" applyAlignment="1">
      <alignment vertical="center"/>
    </xf>
    <xf numFmtId="177" fontId="14" fillId="0" borderId="20" xfId="0" applyNumberFormat="1" applyFont="1" applyBorder="1" applyAlignment="1">
      <alignment vertical="center"/>
    </xf>
    <xf numFmtId="177" fontId="14" fillId="0" borderId="0" xfId="12" applyNumberFormat="1" applyFont="1" applyAlignment="1">
      <alignment horizontal="right" vertical="center"/>
    </xf>
    <xf numFmtId="177" fontId="15" fillId="3" borderId="46" xfId="0" applyNumberFormat="1" applyFont="1" applyFill="1" applyBorder="1" applyAlignment="1">
      <alignment horizontal="center" vertical="center"/>
    </xf>
    <xf numFmtId="177" fontId="18" fillId="2" borderId="27" xfId="0" applyNumberFormat="1" applyFont="1" applyFill="1" applyBorder="1" applyAlignment="1">
      <alignment vertical="center"/>
    </xf>
    <xf numFmtId="0" fontId="23" fillId="0" borderId="0" xfId="11" applyFont="1" applyAlignment="1">
      <alignment vertical="center"/>
    </xf>
    <xf numFmtId="0" fontId="24" fillId="0" borderId="0" xfId="11" applyFont="1" applyAlignment="1">
      <alignment vertical="center"/>
    </xf>
    <xf numFmtId="0" fontId="19" fillId="0" borderId="27" xfId="65" applyNumberFormat="1" applyFont="1" applyFill="1" applyBorder="1" applyAlignment="1">
      <alignment horizontal="left" vertical="center"/>
    </xf>
    <xf numFmtId="41" fontId="19" fillId="0" borderId="15" xfId="65" applyFont="1" applyFill="1" applyBorder="1" applyAlignment="1">
      <alignment vertical="center"/>
    </xf>
    <xf numFmtId="0" fontId="20" fillId="0" borderId="6" xfId="65" applyNumberFormat="1" applyFont="1" applyFill="1" applyBorder="1" applyAlignment="1">
      <alignment horizontal="center" vertical="center" shrinkToFit="1"/>
    </xf>
    <xf numFmtId="0" fontId="20" fillId="0" borderId="1" xfId="65" applyNumberFormat="1" applyFont="1" applyFill="1" applyBorder="1" applyAlignment="1">
      <alignment horizontal="center" vertical="center" shrinkToFit="1"/>
    </xf>
    <xf numFmtId="41" fontId="24" fillId="0" borderId="15" xfId="65" applyNumberFormat="1" applyFont="1" applyFill="1" applyBorder="1" applyAlignment="1">
      <alignment horizontal="right" vertical="center"/>
    </xf>
    <xf numFmtId="179" fontId="15" fillId="0" borderId="3" xfId="65" applyNumberFormat="1" applyFont="1" applyFill="1" applyBorder="1" applyAlignment="1">
      <alignment horizontal="right" vertical="center"/>
    </xf>
    <xf numFmtId="0" fontId="13" fillId="0" borderId="0" xfId="11" applyNumberFormat="1" applyFill="1"/>
    <xf numFmtId="0" fontId="29" fillId="0" borderId="0" xfId="11" applyNumberFormat="1" applyFont="1" applyFill="1" applyAlignment="1">
      <alignment vertical="center"/>
    </xf>
    <xf numFmtId="0" fontId="20" fillId="0" borderId="1" xfId="11" applyNumberFormat="1" applyFont="1" applyFill="1" applyBorder="1" applyAlignment="1">
      <alignment horizontal="center" vertical="center"/>
    </xf>
    <xf numFmtId="0" fontId="20" fillId="0" borderId="0" xfId="11" applyNumberFormat="1" applyFont="1" applyFill="1" applyBorder="1" applyAlignment="1">
      <alignment horizontal="center" vertical="center"/>
    </xf>
    <xf numFmtId="0" fontId="10" fillId="0" borderId="0" xfId="11" applyNumberFormat="1" applyFont="1" applyFill="1" applyAlignment="1">
      <alignment vertical="center"/>
    </xf>
    <xf numFmtId="0" fontId="24" fillId="0" borderId="44" xfId="11" applyNumberFormat="1" applyFont="1" applyFill="1" applyBorder="1" applyAlignment="1">
      <alignment vertical="center"/>
    </xf>
    <xf numFmtId="179" fontId="24" fillId="0" borderId="2" xfId="65" applyNumberFormat="1" applyFont="1" applyFill="1" applyBorder="1" applyAlignment="1">
      <alignment horizontal="right" vertical="center"/>
    </xf>
    <xf numFmtId="179" fontId="24" fillId="0" borderId="8" xfId="65" applyNumberFormat="1" applyFont="1" applyFill="1" applyBorder="1" applyAlignment="1">
      <alignment horizontal="right" vertical="center"/>
    </xf>
    <xf numFmtId="179" fontId="15" fillId="0" borderId="2" xfId="65" applyNumberFormat="1" applyFont="1" applyFill="1" applyBorder="1" applyAlignment="1">
      <alignment horizontal="right" vertical="center"/>
    </xf>
    <xf numFmtId="0" fontId="20" fillId="0" borderId="1" xfId="11" applyFont="1" applyFill="1" applyBorder="1" applyAlignment="1">
      <alignment horizontal="center" vertical="center"/>
    </xf>
    <xf numFmtId="0" fontId="20" fillId="0" borderId="0" xfId="65" applyNumberFormat="1" applyFont="1" applyFill="1" applyBorder="1" applyAlignment="1">
      <alignment horizontal="center" vertical="center" shrinkToFit="1"/>
    </xf>
    <xf numFmtId="41" fontId="24" fillId="0" borderId="27" xfId="65" applyNumberFormat="1" applyFont="1" applyFill="1" applyBorder="1" applyAlignment="1">
      <alignment vertical="center"/>
    </xf>
    <xf numFmtId="41" fontId="24" fillId="0" borderId="1" xfId="65" applyNumberFormat="1" applyFont="1" applyFill="1" applyBorder="1" applyAlignment="1">
      <alignment horizontal="center" vertical="center"/>
    </xf>
    <xf numFmtId="0" fontId="15" fillId="0" borderId="0" xfId="11" applyNumberFormat="1" applyFont="1" applyAlignment="1">
      <alignment vertical="center"/>
    </xf>
    <xf numFmtId="0" fontId="20" fillId="0" borderId="53" xfId="11" applyFont="1" applyBorder="1" applyAlignment="1">
      <alignment vertical="center"/>
    </xf>
    <xf numFmtId="0" fontId="20" fillId="0" borderId="16" xfId="11" applyFont="1" applyBorder="1" applyAlignment="1">
      <alignment vertical="center"/>
    </xf>
    <xf numFmtId="0" fontId="20" fillId="0" borderId="2" xfId="17" applyFont="1" applyBorder="1" applyAlignment="1">
      <alignment vertical="center"/>
    </xf>
    <xf numFmtId="49" fontId="20" fillId="0" borderId="53" xfId="11" applyNumberFormat="1" applyFont="1" applyBorder="1" applyAlignment="1">
      <alignment vertical="center"/>
    </xf>
    <xf numFmtId="0" fontId="20" fillId="0" borderId="2" xfId="11" applyFont="1" applyBorder="1" applyAlignment="1">
      <alignment vertical="center"/>
    </xf>
    <xf numFmtId="41" fontId="20" fillId="2" borderId="5" xfId="65" applyNumberFormat="1" applyFont="1" applyFill="1" applyBorder="1" applyAlignment="1">
      <alignment horizontal="center" vertical="center" shrinkToFit="1"/>
    </xf>
    <xf numFmtId="0" fontId="20" fillId="2" borderId="53" xfId="11" applyFont="1" applyFill="1" applyBorder="1" applyAlignment="1">
      <alignment vertical="center"/>
    </xf>
    <xf numFmtId="41" fontId="19" fillId="2" borderId="15" xfId="65" applyFont="1" applyFill="1" applyBorder="1" applyAlignment="1">
      <alignment horizontal="right" vertical="center"/>
    </xf>
    <xf numFmtId="0" fontId="15" fillId="0" borderId="0" xfId="11" applyFont="1" applyAlignment="1">
      <alignment vertical="center"/>
    </xf>
    <xf numFmtId="0" fontId="15" fillId="0" borderId="0" xfId="11" applyFont="1" applyBorder="1" applyAlignment="1">
      <alignment vertical="center"/>
    </xf>
    <xf numFmtId="0" fontId="24" fillId="0" borderId="0" xfId="11" applyNumberFormat="1" applyFont="1" applyFill="1" applyAlignment="1">
      <alignment vertical="center"/>
    </xf>
    <xf numFmtId="0" fontId="24" fillId="0" borderId="0" xfId="11" applyNumberFormat="1" applyFont="1" applyFill="1" applyBorder="1" applyAlignment="1">
      <alignment vertical="center"/>
    </xf>
    <xf numFmtId="0" fontId="24" fillId="0" borderId="16" xfId="11" applyNumberFormat="1" applyFont="1" applyFill="1" applyBorder="1" applyAlignment="1">
      <alignment vertical="center"/>
    </xf>
    <xf numFmtId="0" fontId="24" fillId="0" borderId="3" xfId="11" applyNumberFormat="1" applyFont="1" applyFill="1" applyBorder="1" applyAlignment="1">
      <alignment vertical="center"/>
    </xf>
    <xf numFmtId="0" fontId="24" fillId="0" borderId="2" xfId="11" applyNumberFormat="1" applyFont="1" applyFill="1" applyBorder="1" applyAlignment="1">
      <alignment vertical="center"/>
    </xf>
    <xf numFmtId="0" fontId="24" fillId="0" borderId="0" xfId="11" applyNumberFormat="1" applyFont="1" applyFill="1" applyBorder="1" applyAlignment="1">
      <alignment horizontal="center" vertical="center"/>
    </xf>
    <xf numFmtId="0" fontId="24" fillId="0" borderId="8" xfId="11" applyNumberFormat="1" applyFont="1" applyFill="1" applyBorder="1" applyAlignment="1">
      <alignment vertical="center"/>
    </xf>
    <xf numFmtId="0" fontId="24" fillId="0" borderId="26" xfId="11" applyNumberFormat="1" applyFont="1" applyFill="1" applyBorder="1" applyAlignment="1">
      <alignment vertical="center"/>
    </xf>
    <xf numFmtId="0" fontId="24" fillId="0" borderId="19" xfId="11" applyNumberFormat="1" applyFont="1" applyFill="1" applyBorder="1" applyAlignment="1">
      <alignment vertical="center"/>
    </xf>
    <xf numFmtId="0" fontId="24" fillId="0" borderId="9" xfId="11" applyNumberFormat="1" applyFont="1" applyFill="1" applyBorder="1" applyAlignment="1">
      <alignment vertical="center"/>
    </xf>
    <xf numFmtId="179" fontId="20" fillId="0" borderId="8" xfId="65" applyNumberFormat="1" applyFont="1" applyFill="1" applyBorder="1" applyAlignment="1">
      <alignment horizontal="right" vertical="center"/>
    </xf>
    <xf numFmtId="179" fontId="20" fillId="0" borderId="7" xfId="65" applyNumberFormat="1" applyFont="1" applyFill="1" applyBorder="1" applyAlignment="1">
      <alignment horizontal="right" vertical="center"/>
    </xf>
    <xf numFmtId="179" fontId="20" fillId="0" borderId="3" xfId="65" applyNumberFormat="1" applyFont="1" applyFill="1" applyBorder="1" applyAlignment="1">
      <alignment horizontal="right" vertical="center"/>
    </xf>
    <xf numFmtId="179" fontId="20" fillId="0" borderId="2" xfId="65" applyNumberFormat="1" applyFont="1" applyFill="1" applyBorder="1" applyAlignment="1">
      <alignment horizontal="right" vertical="center"/>
    </xf>
    <xf numFmtId="179" fontId="20" fillId="0" borderId="31" xfId="65" applyNumberFormat="1" applyFont="1" applyFill="1" applyBorder="1" applyAlignment="1">
      <alignment horizontal="right" vertical="center"/>
    </xf>
    <xf numFmtId="179" fontId="20" fillId="0" borderId="26" xfId="65" applyNumberFormat="1" applyFont="1" applyFill="1" applyBorder="1" applyAlignment="1">
      <alignment horizontal="right" vertical="center"/>
    </xf>
    <xf numFmtId="179" fontId="20" fillId="0" borderId="9" xfId="65" applyNumberFormat="1" applyFont="1" applyFill="1" applyBorder="1" applyAlignment="1">
      <alignment horizontal="right" vertical="center"/>
    </xf>
    <xf numFmtId="41" fontId="31" fillId="0" borderId="0" xfId="12" applyFont="1" applyFill="1" applyAlignment="1">
      <alignment vertical="center"/>
    </xf>
    <xf numFmtId="41" fontId="20" fillId="0" borderId="5" xfId="3" applyNumberFormat="1" applyFont="1" applyFill="1" applyBorder="1" applyAlignment="1">
      <alignment horizontal="left" vertical="center"/>
    </xf>
    <xf numFmtId="41" fontId="20" fillId="0" borderId="5" xfId="3" applyNumberFormat="1" applyFont="1" applyFill="1" applyBorder="1" applyAlignment="1">
      <alignment horizontal="center" vertical="center"/>
    </xf>
    <xf numFmtId="41" fontId="20" fillId="0" borderId="11" xfId="3" applyNumberFormat="1" applyFont="1" applyFill="1" applyBorder="1" applyAlignment="1">
      <alignment horizontal="right" vertical="center"/>
    </xf>
    <xf numFmtId="0" fontId="20" fillId="0" borderId="0" xfId="3" applyNumberFormat="1" applyFont="1" applyFill="1" applyBorder="1" applyAlignment="1">
      <alignment horizontal="left" vertical="center"/>
    </xf>
    <xf numFmtId="41" fontId="19" fillId="0" borderId="15" xfId="3" applyNumberFormat="1" applyFont="1" applyFill="1" applyBorder="1" applyAlignment="1">
      <alignment vertical="center"/>
    </xf>
    <xf numFmtId="0" fontId="19" fillId="0" borderId="0" xfId="2" applyNumberFormat="1" applyFont="1" applyBorder="1" applyAlignment="1">
      <alignment horizontal="left" vertical="center" shrinkToFit="1"/>
    </xf>
    <xf numFmtId="0" fontId="19" fillId="0" borderId="6" xfId="2" applyNumberFormat="1" applyFont="1" applyFill="1" applyBorder="1" applyAlignment="1">
      <alignment horizontal="left" vertical="center" shrinkToFit="1"/>
    </xf>
    <xf numFmtId="177" fontId="15" fillId="3" borderId="39" xfId="0" applyNumberFormat="1" applyFont="1" applyFill="1" applyBorder="1" applyAlignment="1">
      <alignment horizontal="center" vertical="center"/>
    </xf>
    <xf numFmtId="177" fontId="15" fillId="2" borderId="44" xfId="0" applyNumberFormat="1" applyFont="1" applyFill="1" applyBorder="1" applyAlignment="1">
      <alignment vertical="center"/>
    </xf>
    <xf numFmtId="176" fontId="15" fillId="2" borderId="46" xfId="12" applyNumberFormat="1" applyFont="1" applyFill="1" applyBorder="1" applyAlignment="1">
      <alignment vertical="center"/>
    </xf>
    <xf numFmtId="0" fontId="29" fillId="0" borderId="0" xfId="11" applyNumberFormat="1" applyFont="1" applyFill="1" applyBorder="1" applyAlignment="1">
      <alignment vertical="center"/>
    </xf>
    <xf numFmtId="0" fontId="24" fillId="3" borderId="54" xfId="11" applyNumberFormat="1" applyFont="1" applyFill="1" applyBorder="1" applyAlignment="1">
      <alignment horizontal="center" vertical="center"/>
    </xf>
    <xf numFmtId="0" fontId="24" fillId="3" borderId="37" xfId="11" applyNumberFormat="1" applyFont="1" applyFill="1" applyBorder="1" applyAlignment="1">
      <alignment horizontal="center" vertical="center"/>
    </xf>
    <xf numFmtId="176" fontId="19" fillId="0" borderId="7" xfId="3" applyNumberFormat="1" applyFont="1" applyFill="1" applyBorder="1" applyAlignment="1">
      <alignment horizontal="right" vertical="center"/>
    </xf>
    <xf numFmtId="176" fontId="18" fillId="0" borderId="7" xfId="3" applyNumberFormat="1" applyFont="1" applyFill="1" applyBorder="1" applyAlignment="1">
      <alignment horizontal="right" vertical="center"/>
    </xf>
    <xf numFmtId="0" fontId="19" fillId="0" borderId="6" xfId="2" applyNumberFormat="1" applyFont="1" applyFill="1" applyBorder="1" applyAlignment="1">
      <alignment horizontal="center" vertical="center"/>
    </xf>
    <xf numFmtId="176" fontId="19" fillId="0" borderId="8" xfId="3" applyNumberFormat="1" applyFont="1" applyFill="1" applyBorder="1" applyAlignment="1">
      <alignment horizontal="right" vertical="center"/>
    </xf>
    <xf numFmtId="176" fontId="18" fillId="0" borderId="8" xfId="3" applyNumberFormat="1" applyFont="1" applyFill="1" applyBorder="1" applyAlignment="1">
      <alignment horizontal="right" vertical="center"/>
    </xf>
    <xf numFmtId="0" fontId="15" fillId="0" borderId="51" xfId="11" applyNumberFormat="1" applyFont="1" applyFill="1" applyBorder="1" applyAlignment="1">
      <alignment vertical="center"/>
    </xf>
    <xf numFmtId="0" fontId="20" fillId="0" borderId="0" xfId="17" applyFont="1" applyFill="1" applyBorder="1" applyAlignment="1">
      <alignment horizontal="center" vertical="center" shrinkToFit="1"/>
    </xf>
    <xf numFmtId="38" fontId="15" fillId="0" borderId="0" xfId="11" applyNumberFormat="1" applyFont="1" applyFill="1" applyBorder="1" applyAlignment="1">
      <alignment vertical="center"/>
    </xf>
    <xf numFmtId="0" fontId="24" fillId="0" borderId="52" xfId="11" applyNumberFormat="1" applyFont="1" applyFill="1" applyBorder="1" applyAlignment="1">
      <alignment vertical="center"/>
    </xf>
    <xf numFmtId="179" fontId="15" fillId="0" borderId="7" xfId="65" applyNumberFormat="1" applyFont="1" applyFill="1" applyBorder="1" applyAlignment="1">
      <alignment horizontal="right" vertical="center"/>
    </xf>
    <xf numFmtId="0" fontId="10" fillId="0" borderId="52" xfId="11" applyFont="1" applyFill="1" applyBorder="1" applyAlignment="1">
      <alignment vertical="center"/>
    </xf>
    <xf numFmtId="0" fontId="24" fillId="0" borderId="51" xfId="11" applyNumberFormat="1" applyFont="1" applyFill="1" applyBorder="1" applyAlignment="1">
      <alignment vertical="center"/>
    </xf>
    <xf numFmtId="38" fontId="15" fillId="0" borderId="0" xfId="11" applyNumberFormat="1" applyFont="1" applyFill="1" applyAlignment="1">
      <alignment vertical="center"/>
    </xf>
    <xf numFmtId="178" fontId="20" fillId="0" borderId="2" xfId="10" applyNumberFormat="1" applyFont="1" applyBorder="1" applyAlignment="1">
      <alignment horizontal="right" vertical="center"/>
    </xf>
    <xf numFmtId="0" fontId="15" fillId="0" borderId="0" xfId="5" applyNumberFormat="1" applyFont="1" applyAlignment="1">
      <alignment vertical="center"/>
    </xf>
    <xf numFmtId="179" fontId="20" fillId="0" borderId="2" xfId="10" applyNumberFormat="1" applyFont="1" applyBorder="1" applyAlignment="1">
      <alignment vertical="center"/>
    </xf>
    <xf numFmtId="0" fontId="20" fillId="0" borderId="51" xfId="5" applyFont="1" applyFill="1" applyBorder="1" applyAlignment="1">
      <alignment vertical="center" wrapText="1"/>
    </xf>
    <xf numFmtId="0" fontId="20" fillId="0" borderId="51" xfId="5" applyFont="1" applyFill="1" applyBorder="1" applyAlignment="1">
      <alignment vertical="center" shrinkToFit="1"/>
    </xf>
    <xf numFmtId="178" fontId="20" fillId="0" borderId="8" xfId="10" applyNumberFormat="1" applyFont="1" applyBorder="1" applyAlignment="1">
      <alignment horizontal="right" vertical="center"/>
    </xf>
    <xf numFmtId="0" fontId="20" fillId="2" borderId="53" xfId="5" applyFont="1" applyFill="1" applyBorder="1" applyAlignment="1">
      <alignment vertical="center"/>
    </xf>
    <xf numFmtId="178" fontId="20" fillId="0" borderId="26" xfId="12" applyNumberFormat="1" applyFont="1" applyBorder="1" applyAlignment="1">
      <alignment vertical="center"/>
    </xf>
    <xf numFmtId="0" fontId="20" fillId="2" borderId="51" xfId="5" applyFont="1" applyFill="1" applyBorder="1" applyAlignment="1">
      <alignment horizontal="justify" vertical="center" wrapText="1"/>
    </xf>
    <xf numFmtId="0" fontId="20" fillId="0" borderId="2" xfId="5" applyFont="1" applyBorder="1" applyAlignment="1">
      <alignment vertical="center"/>
    </xf>
    <xf numFmtId="178" fontId="20" fillId="0" borderId="2" xfId="12" applyNumberFormat="1" applyFont="1" applyBorder="1" applyAlignment="1">
      <alignment vertical="center"/>
    </xf>
    <xf numFmtId="176" fontId="20" fillId="0" borderId="2" xfId="12" applyNumberFormat="1" applyFont="1" applyBorder="1" applyAlignment="1">
      <alignment vertical="center"/>
    </xf>
    <xf numFmtId="0" fontId="20" fillId="0" borderId="53" xfId="5" applyFont="1" applyBorder="1" applyAlignment="1">
      <alignment horizontal="justify" vertical="center" wrapText="1"/>
    </xf>
    <xf numFmtId="0" fontId="20" fillId="0" borderId="51" xfId="5" applyFont="1" applyBorder="1" applyAlignment="1">
      <alignment horizontal="justify" vertical="center" wrapText="1"/>
    </xf>
    <xf numFmtId="178" fontId="20" fillId="0" borderId="8" xfId="12" applyNumberFormat="1" applyFont="1" applyBorder="1" applyAlignment="1">
      <alignment vertical="center"/>
    </xf>
    <xf numFmtId="0" fontId="20" fillId="0" borderId="3" xfId="5" applyFont="1" applyBorder="1" applyAlignment="1">
      <alignment vertical="center"/>
    </xf>
    <xf numFmtId="176" fontId="18" fillId="2" borderId="8" xfId="12" applyNumberFormat="1" applyFont="1" applyFill="1" applyBorder="1" applyAlignment="1">
      <alignment vertical="center"/>
    </xf>
    <xf numFmtId="176" fontId="18" fillId="2" borderId="7" xfId="12" applyNumberFormat="1" applyFont="1" applyFill="1" applyBorder="1" applyAlignment="1">
      <alignment vertical="center"/>
    </xf>
    <xf numFmtId="176" fontId="18" fillId="2" borderId="3" xfId="12" applyNumberFormat="1" applyFont="1" applyFill="1" applyBorder="1" applyAlignment="1">
      <alignment vertical="center"/>
    </xf>
    <xf numFmtId="176" fontId="18" fillId="35" borderId="7" xfId="12" applyNumberFormat="1" applyFont="1" applyFill="1" applyBorder="1" applyAlignment="1">
      <alignment vertical="center"/>
    </xf>
    <xf numFmtId="176" fontId="18" fillId="2" borderId="35" xfId="12" applyNumberFormat="1" applyFont="1" applyFill="1" applyBorder="1" applyAlignment="1">
      <alignment horizontal="right" vertical="center" shrinkToFit="1"/>
    </xf>
    <xf numFmtId="176" fontId="18" fillId="35" borderId="35" xfId="12" applyNumberFormat="1" applyFont="1" applyFill="1" applyBorder="1" applyAlignment="1">
      <alignment horizontal="right" vertical="center" shrinkToFit="1"/>
    </xf>
    <xf numFmtId="176" fontId="15" fillId="2" borderId="35" xfId="12" applyNumberFormat="1" applyFont="1" applyFill="1" applyBorder="1" applyAlignment="1">
      <alignment horizontal="right" vertical="center" shrinkToFit="1"/>
    </xf>
    <xf numFmtId="176" fontId="15" fillId="2" borderId="43" xfId="12" applyNumberFormat="1" applyFont="1" applyFill="1" applyBorder="1" applyAlignment="1">
      <alignment vertical="center"/>
    </xf>
    <xf numFmtId="176" fontId="15" fillId="2" borderId="40" xfId="12" applyNumberFormat="1" applyFont="1" applyFill="1" applyBorder="1" applyAlignment="1">
      <alignment horizontal="right" vertical="center" shrinkToFit="1"/>
    </xf>
    <xf numFmtId="0" fontId="8" fillId="3" borderId="46" xfId="2" applyNumberFormat="1" applyFont="1" applyFill="1" applyBorder="1" applyAlignment="1">
      <alignment horizontal="center" vertical="center"/>
    </xf>
    <xf numFmtId="176" fontId="26" fillId="3" borderId="50" xfId="12" applyNumberFormat="1" applyFont="1" applyFill="1" applyBorder="1" applyAlignment="1">
      <alignment horizontal="right" vertical="center"/>
    </xf>
    <xf numFmtId="41" fontId="24" fillId="3" borderId="38" xfId="11" applyNumberFormat="1" applyFont="1" applyFill="1" applyBorder="1" applyAlignment="1">
      <alignment horizontal="center" vertical="center"/>
    </xf>
    <xf numFmtId="0" fontId="9" fillId="0" borderId="33" xfId="2" applyNumberFormat="1" applyFont="1" applyFill="1" applyBorder="1" applyAlignment="1">
      <alignment vertical="center"/>
    </xf>
    <xf numFmtId="0" fontId="9" fillId="0" borderId="21" xfId="2" applyNumberFormat="1" applyFont="1" applyFill="1" applyBorder="1" applyAlignment="1">
      <alignment vertical="center"/>
    </xf>
    <xf numFmtId="0" fontId="9" fillId="0" borderId="30" xfId="2" applyNumberFormat="1" applyFont="1" applyFill="1" applyBorder="1" applyAlignment="1">
      <alignment vertical="center"/>
    </xf>
    <xf numFmtId="0" fontId="8" fillId="0" borderId="0" xfId="3" applyNumberFormat="1" applyFont="1" applyFill="1" applyBorder="1" applyAlignment="1">
      <alignment horizontal="left" vertical="center"/>
    </xf>
    <xf numFmtId="0" fontId="8" fillId="0" borderId="0" xfId="2" applyNumberFormat="1" applyFont="1" applyFill="1" applyBorder="1" applyAlignment="1">
      <alignment horizontal="center" vertical="center"/>
    </xf>
    <xf numFmtId="41" fontId="8" fillId="0" borderId="0" xfId="2" applyNumberFormat="1" applyFont="1" applyFill="1" applyBorder="1" applyAlignment="1">
      <alignment horizontal="right" vertical="center"/>
    </xf>
    <xf numFmtId="0" fontId="8" fillId="0" borderId="0" xfId="2" applyNumberFormat="1" applyFont="1" applyFill="1" applyBorder="1" applyAlignment="1">
      <alignment vertical="center"/>
    </xf>
    <xf numFmtId="0" fontId="9" fillId="0" borderId="23" xfId="2" applyNumberFormat="1" applyFont="1" applyFill="1" applyBorder="1" applyAlignment="1">
      <alignment vertical="center"/>
    </xf>
    <xf numFmtId="0" fontId="9" fillId="0" borderId="6" xfId="2" applyNumberFormat="1" applyFont="1" applyFill="1" applyBorder="1" applyAlignment="1">
      <alignment vertical="center"/>
    </xf>
    <xf numFmtId="0" fontId="9" fillId="0" borderId="29" xfId="2" applyNumberFormat="1" applyFont="1" applyFill="1" applyBorder="1" applyAlignment="1">
      <alignment vertical="center"/>
    </xf>
    <xf numFmtId="176" fontId="19" fillId="0" borderId="7" xfId="3" applyNumberFormat="1" applyFont="1" applyFill="1" applyBorder="1" applyAlignment="1">
      <alignment vertical="center"/>
    </xf>
    <xf numFmtId="41" fontId="20" fillId="0" borderId="0" xfId="3" applyNumberFormat="1" applyFont="1" applyFill="1" applyBorder="1" applyAlignment="1">
      <alignment horizontal="center" vertical="center"/>
    </xf>
    <xf numFmtId="0" fontId="9" fillId="0" borderId="65" xfId="2" applyNumberFormat="1" applyFont="1" applyFill="1" applyBorder="1" applyAlignment="1">
      <alignment vertical="center"/>
    </xf>
    <xf numFmtId="0" fontId="9" fillId="0" borderId="3" xfId="2" applyNumberFormat="1" applyFont="1" applyFill="1" applyBorder="1" applyAlignment="1">
      <alignment vertical="center"/>
    </xf>
    <xf numFmtId="0" fontId="24" fillId="0" borderId="23" xfId="11" applyNumberFormat="1" applyFont="1" applyFill="1" applyBorder="1" applyAlignment="1">
      <alignment vertical="center"/>
    </xf>
    <xf numFmtId="0" fontId="15" fillId="0" borderId="0" xfId="11" applyFont="1"/>
    <xf numFmtId="0" fontId="24" fillId="0" borderId="31" xfId="11" applyNumberFormat="1" applyFont="1" applyFill="1" applyBorder="1" applyAlignment="1">
      <alignment vertical="center"/>
    </xf>
    <xf numFmtId="178" fontId="15" fillId="0" borderId="0" xfId="5" applyNumberFormat="1" applyFont="1" applyFill="1" applyBorder="1" applyAlignment="1">
      <alignment vertical="center"/>
    </xf>
    <xf numFmtId="0" fontId="24" fillId="0" borderId="29" xfId="11" applyNumberFormat="1" applyFont="1" applyFill="1" applyBorder="1" applyAlignment="1">
      <alignment vertical="center"/>
    </xf>
    <xf numFmtId="0" fontId="15" fillId="0" borderId="0" xfId="11" applyFont="1" applyFill="1"/>
    <xf numFmtId="0" fontId="20" fillId="0" borderId="5" xfId="11" applyNumberFormat="1" applyFont="1" applyFill="1" applyBorder="1" applyAlignment="1">
      <alignment horizontal="center" vertical="center"/>
    </xf>
    <xf numFmtId="0" fontId="24" fillId="0" borderId="12" xfId="11" applyNumberFormat="1" applyFont="1" applyFill="1" applyBorder="1" applyAlignment="1">
      <alignment vertical="center"/>
    </xf>
    <xf numFmtId="0" fontId="19" fillId="0" borderId="6" xfId="11" applyFont="1" applyFill="1" applyBorder="1" applyAlignment="1">
      <alignment vertical="center" shrinkToFit="1"/>
    </xf>
    <xf numFmtId="0" fontId="24" fillId="0" borderId="2" xfId="11" applyNumberFormat="1" applyFont="1" applyFill="1" applyBorder="1" applyAlignment="1">
      <alignment vertical="top"/>
    </xf>
    <xf numFmtId="179" fontId="15" fillId="0" borderId="8" xfId="65" applyNumberFormat="1" applyFont="1" applyFill="1" applyBorder="1" applyAlignment="1">
      <alignment horizontal="right" vertical="center"/>
    </xf>
    <xf numFmtId="0" fontId="8" fillId="0" borderId="66" xfId="2" applyNumberFormat="1" applyFont="1" applyFill="1" applyBorder="1" applyAlignment="1">
      <alignment vertical="center"/>
    </xf>
    <xf numFmtId="0" fontId="20" fillId="0" borderId="6" xfId="3" applyNumberFormat="1" applyFont="1" applyFill="1" applyBorder="1" applyAlignment="1">
      <alignment horizontal="left" vertical="center"/>
    </xf>
    <xf numFmtId="41" fontId="20" fillId="0" borderId="6" xfId="3" applyNumberFormat="1" applyFont="1" applyFill="1" applyBorder="1" applyAlignment="1">
      <alignment horizontal="center" vertical="center"/>
    </xf>
    <xf numFmtId="41" fontId="20" fillId="0" borderId="15" xfId="3" applyNumberFormat="1" applyFont="1" applyFill="1" applyBorder="1" applyAlignment="1">
      <alignment horizontal="right" vertical="center"/>
    </xf>
    <xf numFmtId="0" fontId="15" fillId="0" borderId="0" xfId="5" applyFont="1" applyBorder="1" applyAlignment="1">
      <alignment vertical="center"/>
    </xf>
    <xf numFmtId="38" fontId="20" fillId="0" borderId="7" xfId="65" applyNumberFormat="1" applyFont="1" applyBorder="1" applyAlignment="1">
      <alignment vertical="center"/>
    </xf>
    <xf numFmtId="176" fontId="20" fillId="0" borderId="7" xfId="65" applyNumberFormat="1" applyFont="1" applyBorder="1" applyAlignment="1">
      <alignment horizontal="right" vertical="center"/>
    </xf>
    <xf numFmtId="41" fontId="20" fillId="2" borderId="4" xfId="65" applyNumberFormat="1" applyFont="1" applyFill="1" applyBorder="1" applyAlignment="1">
      <alignment vertical="center" shrinkToFit="1"/>
    </xf>
    <xf numFmtId="179" fontId="20" fillId="0" borderId="8" xfId="10" applyNumberFormat="1" applyFont="1" applyBorder="1" applyAlignment="1">
      <alignment vertical="center"/>
    </xf>
    <xf numFmtId="176" fontId="20" fillId="0" borderId="8" xfId="12" applyNumberFormat="1" applyFont="1" applyBorder="1" applyAlignment="1">
      <alignment vertical="center"/>
    </xf>
    <xf numFmtId="0" fontId="15" fillId="2" borderId="0" xfId="11" applyNumberFormat="1" applyFont="1" applyFill="1" applyAlignment="1">
      <alignment vertical="center"/>
    </xf>
    <xf numFmtId="0" fontId="15" fillId="2" borderId="0" xfId="11" applyFont="1" applyFill="1" applyAlignment="1">
      <alignment vertical="center"/>
    </xf>
    <xf numFmtId="41" fontId="20" fillId="0" borderId="6" xfId="3" applyNumberFormat="1" applyFont="1" applyFill="1" applyBorder="1" applyAlignment="1">
      <alignment horizontal="left" vertical="center"/>
    </xf>
    <xf numFmtId="0" fontId="20" fillId="0" borderId="23" xfId="3" applyNumberFormat="1" applyFont="1" applyFill="1" applyBorder="1" applyAlignment="1">
      <alignment horizontal="left" vertical="center"/>
    </xf>
    <xf numFmtId="41" fontId="18" fillId="3" borderId="50" xfId="12" applyFont="1" applyFill="1" applyBorder="1" applyAlignment="1">
      <alignment horizontal="right" vertical="center"/>
    </xf>
    <xf numFmtId="176" fontId="18" fillId="3" borderId="64" xfId="12" applyNumberFormat="1" applyFont="1" applyFill="1" applyBorder="1" applyAlignment="1">
      <alignment horizontal="right" vertical="center"/>
    </xf>
    <xf numFmtId="177" fontId="18" fillId="2" borderId="47" xfId="0" applyNumberFormat="1" applyFont="1" applyFill="1" applyBorder="1" applyAlignment="1">
      <alignment vertical="center"/>
    </xf>
    <xf numFmtId="177" fontId="18" fillId="2" borderId="44" xfId="0" applyNumberFormat="1" applyFont="1" applyFill="1" applyBorder="1" applyAlignment="1">
      <alignment vertical="center"/>
    </xf>
    <xf numFmtId="177" fontId="18" fillId="2" borderId="12" xfId="0" applyNumberFormat="1" applyFont="1" applyFill="1" applyBorder="1" applyAlignment="1">
      <alignment horizontal="left" vertical="center"/>
    </xf>
    <xf numFmtId="177" fontId="18" fillId="2" borderId="2" xfId="0" applyNumberFormat="1" applyFont="1" applyFill="1" applyBorder="1" applyAlignment="1">
      <alignment horizontal="left" vertical="center"/>
    </xf>
    <xf numFmtId="177" fontId="18" fillId="2" borderId="3" xfId="0" applyNumberFormat="1" applyFont="1" applyFill="1" applyBorder="1" applyAlignment="1">
      <alignment horizontal="left" vertical="center"/>
    </xf>
    <xf numFmtId="177" fontId="15" fillId="2" borderId="2" xfId="0" applyNumberFormat="1" applyFont="1" applyFill="1" applyBorder="1" applyAlignment="1">
      <alignment horizontal="left" vertical="center"/>
    </xf>
    <xf numFmtId="177" fontId="15" fillId="2" borderId="12" xfId="0" applyNumberFormat="1" applyFont="1" applyFill="1" applyBorder="1" applyAlignment="1">
      <alignment horizontal="left" vertical="center"/>
    </xf>
    <xf numFmtId="177" fontId="15" fillId="2" borderId="7" xfId="0" applyNumberFormat="1" applyFont="1" applyFill="1" applyBorder="1" applyAlignment="1">
      <alignment horizontal="left" vertical="center"/>
    </xf>
    <xf numFmtId="177" fontId="15" fillId="2" borderId="3" xfId="0" applyNumberFormat="1" applyFont="1" applyFill="1" applyBorder="1" applyAlignment="1">
      <alignment horizontal="left" vertical="center"/>
    </xf>
    <xf numFmtId="177" fontId="15" fillId="2" borderId="8" xfId="0" applyNumberFormat="1" applyFont="1" applyFill="1" applyBorder="1" applyAlignment="1">
      <alignment horizontal="left" vertical="center"/>
    </xf>
    <xf numFmtId="177" fontId="15" fillId="2" borderId="19" xfId="0" applyNumberFormat="1" applyFont="1" applyFill="1" applyBorder="1" applyAlignment="1">
      <alignment horizontal="left" vertical="center"/>
    </xf>
    <xf numFmtId="177" fontId="15" fillId="2" borderId="46" xfId="0" applyNumberFormat="1" applyFont="1" applyFill="1" applyBorder="1" applyAlignment="1">
      <alignment horizontal="left" vertical="center"/>
    </xf>
    <xf numFmtId="0" fontId="0" fillId="0" borderId="0" xfId="0" applyNumberFormat="1" applyAlignment="1">
      <alignment vertical="center"/>
    </xf>
    <xf numFmtId="177" fontId="18" fillId="35" borderId="23" xfId="0" applyNumberFormat="1" applyFont="1" applyFill="1" applyBorder="1" applyAlignment="1">
      <alignment vertical="center"/>
    </xf>
    <xf numFmtId="177" fontId="18" fillId="35" borderId="6" xfId="0" applyNumberFormat="1" applyFont="1" applyFill="1" applyBorder="1" applyAlignment="1">
      <alignment vertical="center"/>
    </xf>
    <xf numFmtId="177" fontId="18" fillId="35" borderId="29" xfId="0" applyNumberFormat="1" applyFont="1" applyFill="1" applyBorder="1" applyAlignment="1">
      <alignment vertical="center"/>
    </xf>
    <xf numFmtId="177" fontId="18" fillId="2" borderId="23" xfId="0" applyNumberFormat="1" applyFont="1" applyFill="1" applyBorder="1" applyAlignment="1">
      <alignment vertical="center"/>
    </xf>
    <xf numFmtId="177" fontId="18" fillId="2" borderId="6" xfId="0" applyNumberFormat="1" applyFont="1" applyFill="1" applyBorder="1" applyAlignment="1">
      <alignment vertical="center"/>
    </xf>
    <xf numFmtId="177" fontId="18" fillId="2" borderId="29" xfId="0" applyNumberFormat="1" applyFont="1" applyFill="1" applyBorder="1" applyAlignment="1">
      <alignment vertical="center"/>
    </xf>
    <xf numFmtId="41" fontId="31" fillId="0" borderId="20" xfId="3" applyNumberFormat="1" applyFont="1" applyFill="1" applyBorder="1" applyAlignment="1">
      <alignment horizontal="right" vertical="center"/>
    </xf>
    <xf numFmtId="0" fontId="13" fillId="0" borderId="0" xfId="11" applyNumberFormat="1" applyFill="1" applyAlignment="1"/>
    <xf numFmtId="0" fontId="28" fillId="0" borderId="0" xfId="11" applyNumberFormat="1" applyFont="1" applyFill="1" applyAlignment="1"/>
    <xf numFmtId="176" fontId="19" fillId="3" borderId="50" xfId="12" applyNumberFormat="1" applyFont="1" applyFill="1" applyBorder="1" applyAlignment="1">
      <alignment horizontal="right" vertical="center"/>
    </xf>
    <xf numFmtId="0" fontId="26" fillId="0" borderId="12" xfId="11" applyNumberFormat="1" applyFont="1" applyFill="1" applyBorder="1" applyAlignment="1">
      <alignment horizontal="left" vertical="center"/>
    </xf>
    <xf numFmtId="0" fontId="26" fillId="0" borderId="2" xfId="11" applyNumberFormat="1" applyFont="1" applyFill="1" applyBorder="1" applyAlignment="1">
      <alignment horizontal="left" vertical="center"/>
    </xf>
    <xf numFmtId="0" fontId="26" fillId="0" borderId="1" xfId="11" applyNumberFormat="1" applyFont="1" applyFill="1" applyBorder="1" applyAlignment="1">
      <alignment horizontal="left" vertical="center"/>
    </xf>
    <xf numFmtId="0" fontId="26" fillId="0" borderId="29" xfId="11" applyNumberFormat="1" applyFont="1" applyFill="1" applyBorder="1" applyAlignment="1">
      <alignment horizontal="left" vertical="center"/>
    </xf>
    <xf numFmtId="0" fontId="24" fillId="0" borderId="26" xfId="11" applyNumberFormat="1" applyFont="1" applyFill="1" applyBorder="1" applyAlignment="1">
      <alignment vertical="top"/>
    </xf>
    <xf numFmtId="3" fontId="20" fillId="0" borderId="10" xfId="5" applyNumberFormat="1" applyFont="1" applyFill="1" applyBorder="1" applyAlignment="1">
      <alignment horizontal="right" vertical="center"/>
    </xf>
    <xf numFmtId="0" fontId="20" fillId="0" borderId="3" xfId="17" applyFont="1" applyBorder="1" applyAlignment="1">
      <alignment horizontal="left" vertical="top"/>
    </xf>
    <xf numFmtId="0" fontId="20" fillId="0" borderId="12" xfId="5" quotePrefix="1" applyFont="1" applyBorder="1" applyAlignment="1">
      <alignment horizontal="justify" vertical="center"/>
    </xf>
    <xf numFmtId="3" fontId="19" fillId="0" borderId="10" xfId="5" applyNumberFormat="1" applyFont="1" applyFill="1" applyBorder="1" applyAlignment="1">
      <alignment horizontal="right" vertical="center"/>
    </xf>
    <xf numFmtId="0" fontId="20" fillId="0" borderId="2" xfId="5" applyFont="1" applyBorder="1" applyAlignment="1">
      <alignment vertical="top"/>
    </xf>
    <xf numFmtId="0" fontId="20" fillId="0" borderId="8" xfId="5" applyFont="1" applyBorder="1" applyAlignment="1">
      <alignment vertical="top"/>
    </xf>
    <xf numFmtId="3" fontId="20" fillId="0" borderId="11" xfId="5" applyNumberFormat="1" applyFont="1" applyFill="1" applyBorder="1" applyAlignment="1">
      <alignment horizontal="right" vertical="center"/>
    </xf>
    <xf numFmtId="0" fontId="20" fillId="0" borderId="26" xfId="5" applyFont="1" applyBorder="1" applyAlignment="1">
      <alignment vertical="top"/>
    </xf>
    <xf numFmtId="0" fontId="20" fillId="0" borderId="4" xfId="5" applyFont="1" applyFill="1" applyBorder="1" applyAlignment="1">
      <alignment horizontal="justify" vertical="center"/>
    </xf>
    <xf numFmtId="0" fontId="20" fillId="0" borderId="3" xfId="5" applyFont="1" applyBorder="1" applyAlignment="1">
      <alignment vertical="top"/>
    </xf>
    <xf numFmtId="0" fontId="20" fillId="0" borderId="19" xfId="5" applyFont="1" applyBorder="1" applyAlignment="1">
      <alignment vertical="top"/>
    </xf>
    <xf numFmtId="176" fontId="18" fillId="0" borderId="7" xfId="12" applyNumberFormat="1" applyFont="1" applyFill="1" applyBorder="1" applyAlignment="1">
      <alignment vertical="center"/>
    </xf>
    <xf numFmtId="176" fontId="20" fillId="0" borderId="3" xfId="12" applyNumberFormat="1" applyFont="1" applyBorder="1" applyAlignment="1">
      <alignment vertical="center"/>
    </xf>
    <xf numFmtId="0" fontId="20" fillId="0" borderId="0" xfId="11" applyFont="1" applyFill="1" applyBorder="1" applyAlignment="1">
      <alignment horizontal="center" vertical="center"/>
    </xf>
    <xf numFmtId="41" fontId="20" fillId="0" borderId="23" xfId="3" applyNumberFormat="1" applyFont="1" applyFill="1" applyBorder="1" applyAlignment="1">
      <alignment horizontal="left" vertical="center"/>
    </xf>
    <xf numFmtId="0" fontId="20" fillId="0" borderId="5" xfId="11" applyFont="1" applyFill="1" applyBorder="1" applyAlignment="1">
      <alignment horizontal="center" vertical="center"/>
    </xf>
    <xf numFmtId="0" fontId="9" fillId="0" borderId="32" xfId="2" applyNumberFormat="1" applyFont="1" applyFill="1" applyBorder="1" applyAlignment="1">
      <alignment vertical="center"/>
    </xf>
    <xf numFmtId="0" fontId="20" fillId="0" borderId="8" xfId="17" applyFont="1" applyBorder="1" applyAlignment="1">
      <alignment vertical="center"/>
    </xf>
    <xf numFmtId="0" fontId="20" fillId="0" borderId="4" xfId="5" quotePrefix="1" applyFont="1" applyBorder="1" applyAlignment="1">
      <alignment horizontal="justify" vertical="center"/>
    </xf>
    <xf numFmtId="0" fontId="20" fillId="0" borderId="3" xfId="17" applyFont="1" applyBorder="1" applyAlignment="1">
      <alignment vertical="center"/>
    </xf>
    <xf numFmtId="178" fontId="20" fillId="0" borderId="3" xfId="10" applyNumberFormat="1" applyFont="1" applyBorder="1" applyAlignment="1">
      <alignment horizontal="right" vertical="center"/>
    </xf>
    <xf numFmtId="179" fontId="20" fillId="0" borderId="3" xfId="10" applyNumberFormat="1" applyFont="1" applyBorder="1" applyAlignment="1">
      <alignment vertical="center"/>
    </xf>
    <xf numFmtId="0" fontId="20" fillId="0" borderId="1" xfId="17" applyFont="1" applyFill="1" applyBorder="1" applyAlignment="1">
      <alignment horizontal="center" vertical="center" shrinkToFit="1"/>
    </xf>
    <xf numFmtId="178" fontId="20" fillId="0" borderId="3" xfId="12" applyNumberFormat="1" applyFont="1" applyBorder="1" applyAlignment="1">
      <alignment vertical="center"/>
    </xf>
    <xf numFmtId="0" fontId="20" fillId="0" borderId="5" xfId="17" applyFont="1" applyFill="1" applyBorder="1" applyAlignment="1">
      <alignment horizontal="center" vertical="center" shrinkToFit="1"/>
    </xf>
    <xf numFmtId="176" fontId="20" fillId="0" borderId="1" xfId="12" applyNumberFormat="1" applyFont="1" applyBorder="1" applyAlignment="1">
      <alignment vertical="center"/>
    </xf>
    <xf numFmtId="0" fontId="19" fillId="0" borderId="27" xfId="5" applyFont="1" applyFill="1" applyBorder="1" applyAlignment="1">
      <alignment horizontal="justify" vertical="center"/>
    </xf>
    <xf numFmtId="178" fontId="20" fillId="0" borderId="19" xfId="10" applyNumberFormat="1" applyFont="1" applyBorder="1" applyAlignment="1">
      <alignment horizontal="right" vertical="center"/>
    </xf>
    <xf numFmtId="0" fontId="20" fillId="0" borderId="20" xfId="17" applyFont="1" applyFill="1" applyBorder="1" applyAlignment="1">
      <alignment horizontal="center" vertical="center" shrinkToFit="1"/>
    </xf>
    <xf numFmtId="0" fontId="19" fillId="0" borderId="12" xfId="65" applyNumberFormat="1" applyFont="1" applyFill="1" applyBorder="1" applyAlignment="1">
      <alignment horizontal="left" vertical="center"/>
    </xf>
    <xf numFmtId="0" fontId="20" fillId="0" borderId="12" xfId="65" applyNumberFormat="1" applyFont="1" applyFill="1" applyBorder="1" applyAlignment="1">
      <alignment horizontal="left" vertical="center"/>
    </xf>
    <xf numFmtId="0" fontId="19" fillId="0" borderId="27" xfId="2" applyNumberFormat="1" applyFont="1" applyBorder="1" applyAlignment="1">
      <alignment horizontal="left" vertical="center" shrinkToFit="1"/>
    </xf>
    <xf numFmtId="0" fontId="20" fillId="0" borderId="4" xfId="65" applyNumberFormat="1" applyFont="1" applyFill="1" applyBorder="1" applyAlignment="1">
      <alignment horizontal="left" vertical="center"/>
    </xf>
    <xf numFmtId="0" fontId="20" fillId="0" borderId="4" xfId="2" applyNumberFormat="1" applyFont="1" applyBorder="1" applyAlignment="1">
      <alignment horizontal="left" vertical="center" shrinkToFit="1"/>
    </xf>
    <xf numFmtId="0" fontId="20" fillId="0" borderId="0" xfId="65" applyNumberFormat="1" applyFont="1" applyFill="1" applyBorder="1" applyAlignment="1">
      <alignment horizontal="left" vertical="center"/>
    </xf>
    <xf numFmtId="3" fontId="19" fillId="0" borderId="17" xfId="5" applyNumberFormat="1" applyFont="1" applyFill="1" applyBorder="1" applyAlignment="1">
      <alignment horizontal="right" vertical="center"/>
    </xf>
    <xf numFmtId="0" fontId="26" fillId="0" borderId="0" xfId="11" applyNumberFormat="1" applyFont="1" applyFill="1" applyBorder="1" applyAlignment="1">
      <alignment horizontal="left" vertical="center"/>
    </xf>
    <xf numFmtId="41" fontId="24" fillId="0" borderId="23" xfId="65" applyNumberFormat="1" applyFont="1" applyFill="1" applyBorder="1" applyAlignment="1">
      <alignment horizontal="center" vertical="center"/>
    </xf>
    <xf numFmtId="0" fontId="20" fillId="0" borderId="12" xfId="2" applyNumberFormat="1" applyFont="1" applyBorder="1" applyAlignment="1">
      <alignment horizontal="left" vertical="center" shrinkToFit="1"/>
    </xf>
    <xf numFmtId="0" fontId="26" fillId="0" borderId="26" xfId="11" applyNumberFormat="1" applyFont="1" applyFill="1" applyBorder="1" applyAlignment="1">
      <alignment horizontal="left" vertical="center"/>
    </xf>
    <xf numFmtId="0" fontId="20" fillId="0" borderId="2" xfId="17" applyFont="1" applyBorder="1" applyAlignment="1">
      <alignment horizontal="left" vertical="top"/>
    </xf>
    <xf numFmtId="178" fontId="20" fillId="0" borderId="26" xfId="10" applyNumberFormat="1" applyFont="1" applyBorder="1" applyAlignment="1">
      <alignment horizontal="right" vertical="center"/>
    </xf>
    <xf numFmtId="176" fontId="20" fillId="0" borderId="0" xfId="12" applyNumberFormat="1" applyFont="1" applyBorder="1" applyAlignment="1">
      <alignment vertical="center"/>
    </xf>
    <xf numFmtId="0" fontId="20" fillId="0" borderId="8" xfId="5" applyFont="1" applyBorder="1" applyAlignment="1">
      <alignment vertical="center"/>
    </xf>
    <xf numFmtId="178" fontId="20" fillId="0" borderId="9" xfId="10" applyNumberFormat="1" applyFont="1" applyBorder="1" applyAlignment="1">
      <alignment horizontal="right" vertical="center"/>
    </xf>
    <xf numFmtId="0" fontId="20" fillId="0" borderId="18" xfId="11" applyFont="1" applyBorder="1" applyAlignment="1">
      <alignment vertical="center"/>
    </xf>
    <xf numFmtId="0" fontId="20" fillId="0" borderId="19" xfId="11" applyFont="1" applyBorder="1" applyAlignment="1">
      <alignment vertical="center"/>
    </xf>
    <xf numFmtId="0" fontId="20" fillId="0" borderId="19" xfId="17" applyFont="1" applyBorder="1" applyAlignment="1">
      <alignment horizontal="left" vertical="top"/>
    </xf>
    <xf numFmtId="0" fontId="20" fillId="0" borderId="19" xfId="17" applyFont="1" applyBorder="1" applyAlignment="1">
      <alignment vertical="center"/>
    </xf>
    <xf numFmtId="179" fontId="15" fillId="0" borderId="19" xfId="65" applyNumberFormat="1" applyFont="1" applyFill="1" applyBorder="1" applyAlignment="1">
      <alignment horizontal="right" vertical="center"/>
    </xf>
    <xf numFmtId="0" fontId="20" fillId="0" borderId="25" xfId="65" applyNumberFormat="1" applyFont="1" applyFill="1" applyBorder="1" applyAlignment="1">
      <alignment horizontal="left" vertical="center"/>
    </xf>
    <xf numFmtId="0" fontId="20" fillId="0" borderId="20" xfId="11" applyFont="1" applyFill="1" applyBorder="1" applyAlignment="1">
      <alignment horizontal="center" vertical="center"/>
    </xf>
    <xf numFmtId="3" fontId="20" fillId="0" borderId="11" xfId="11" applyNumberFormat="1" applyFont="1" applyFill="1" applyBorder="1" applyAlignment="1">
      <alignment horizontal="right" vertical="center"/>
    </xf>
    <xf numFmtId="41" fontId="24" fillId="3" borderId="38" xfId="11" applyNumberFormat="1" applyFont="1" applyFill="1" applyBorder="1" applyAlignment="1">
      <alignment horizontal="right" vertical="center"/>
    </xf>
    <xf numFmtId="41" fontId="19" fillId="0" borderId="15" xfId="3" applyNumberFormat="1" applyFont="1" applyFill="1" applyBorder="1" applyAlignment="1">
      <alignment horizontal="right" vertical="center"/>
    </xf>
    <xf numFmtId="41" fontId="19" fillId="0" borderId="15" xfId="65" applyFont="1" applyFill="1" applyBorder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177" fontId="15" fillId="2" borderId="24" xfId="0" applyNumberFormat="1" applyFont="1" applyFill="1" applyBorder="1" applyAlignment="1">
      <alignment vertical="center"/>
    </xf>
    <xf numFmtId="177" fontId="15" fillId="2" borderId="25" xfId="0" applyNumberFormat="1" applyFont="1" applyFill="1" applyBorder="1" applyAlignment="1">
      <alignment horizontal="left" vertical="center"/>
    </xf>
    <xf numFmtId="0" fontId="19" fillId="0" borderId="1" xfId="2" applyNumberFormat="1" applyFont="1" applyBorder="1" applyAlignment="1">
      <alignment horizontal="left" vertical="center" shrinkToFit="1"/>
    </xf>
    <xf numFmtId="177" fontId="18" fillId="2" borderId="42" xfId="0" applyNumberFormat="1" applyFont="1" applyFill="1" applyBorder="1" applyAlignment="1">
      <alignment vertical="center"/>
    </xf>
    <xf numFmtId="0" fontId="19" fillId="0" borderId="0" xfId="65" applyNumberFormat="1" applyFont="1" applyFill="1" applyBorder="1" applyAlignment="1">
      <alignment horizontal="left" vertical="center"/>
    </xf>
    <xf numFmtId="0" fontId="19" fillId="0" borderId="1" xfId="65" applyNumberFormat="1" applyFont="1" applyFill="1" applyBorder="1" applyAlignment="1">
      <alignment horizontal="left" vertical="center"/>
    </xf>
    <xf numFmtId="176" fontId="15" fillId="0" borderId="46" xfId="12" applyNumberFormat="1" applyFont="1" applyFill="1" applyBorder="1" applyAlignment="1">
      <alignment vertical="center"/>
    </xf>
    <xf numFmtId="3" fontId="20" fillId="0" borderId="28" xfId="5" applyNumberFormat="1" applyFont="1" applyFill="1" applyBorder="1" applyAlignment="1">
      <alignment horizontal="right" vertical="center"/>
    </xf>
    <xf numFmtId="176" fontId="20" fillId="0" borderId="3" xfId="12" applyNumberFormat="1" applyFont="1" applyFill="1" applyBorder="1" applyAlignment="1">
      <alignment vertical="center"/>
    </xf>
    <xf numFmtId="176" fontId="19" fillId="0" borderId="3" xfId="12" applyNumberFormat="1" applyFont="1" applyFill="1" applyBorder="1" applyAlignment="1">
      <alignment vertical="center"/>
    </xf>
    <xf numFmtId="176" fontId="19" fillId="35" borderId="7" xfId="12" applyNumberFormat="1" applyFont="1" applyFill="1" applyBorder="1" applyAlignment="1">
      <alignment vertical="center"/>
    </xf>
    <xf numFmtId="176" fontId="19" fillId="0" borderId="7" xfId="12" applyNumberFormat="1" applyFont="1" applyFill="1" applyBorder="1" applyAlignment="1">
      <alignment vertical="center"/>
    </xf>
    <xf numFmtId="177" fontId="15" fillId="2" borderId="4" xfId="0" applyNumberFormat="1" applyFont="1" applyFill="1" applyBorder="1" applyAlignment="1">
      <alignment horizontal="left" vertical="center"/>
    </xf>
    <xf numFmtId="0" fontId="24" fillId="0" borderId="8" xfId="11" applyNumberFormat="1" applyFont="1" applyFill="1" applyBorder="1" applyAlignment="1">
      <alignment vertical="top"/>
    </xf>
    <xf numFmtId="0" fontId="9" fillId="0" borderId="2" xfId="2" applyNumberFormat="1" applyFont="1" applyFill="1" applyBorder="1" applyAlignment="1">
      <alignment vertical="center"/>
    </xf>
    <xf numFmtId="0" fontId="49" fillId="0" borderId="0" xfId="0" applyNumberFormat="1" applyFont="1">
      <alignment vertical="center"/>
    </xf>
    <xf numFmtId="176" fontId="49" fillId="0" borderId="0" xfId="0" applyNumberFormat="1" applyFont="1">
      <alignment vertical="center"/>
    </xf>
    <xf numFmtId="177" fontId="18" fillId="35" borderId="47" xfId="0" applyNumberFormat="1" applyFont="1" applyFill="1" applyBorder="1" applyAlignment="1">
      <alignment vertical="center"/>
    </xf>
    <xf numFmtId="176" fontId="18" fillId="35" borderId="8" xfId="12" applyNumberFormat="1" applyFont="1" applyFill="1" applyBorder="1" applyAlignment="1">
      <alignment vertical="center"/>
    </xf>
    <xf numFmtId="3" fontId="49" fillId="0" borderId="0" xfId="0" applyNumberFormat="1" applyFont="1">
      <alignment vertical="center"/>
    </xf>
    <xf numFmtId="177" fontId="18" fillId="2" borderId="16" xfId="0" applyNumberFormat="1" applyFont="1" applyFill="1" applyBorder="1" applyAlignment="1">
      <alignment vertical="center"/>
    </xf>
    <xf numFmtId="177" fontId="18" fillId="0" borderId="27" xfId="0" applyNumberFormat="1" applyFont="1" applyFill="1" applyBorder="1" applyAlignment="1">
      <alignment vertical="center"/>
    </xf>
    <xf numFmtId="0" fontId="11" fillId="0" borderId="0" xfId="0" applyNumberFormat="1" applyFont="1">
      <alignment vertical="center"/>
    </xf>
    <xf numFmtId="177" fontId="18" fillId="2" borderId="1" xfId="0" applyNumberFormat="1" applyFont="1" applyFill="1" applyBorder="1" applyAlignment="1">
      <alignment vertical="center"/>
    </xf>
    <xf numFmtId="0" fontId="18" fillId="2" borderId="7" xfId="0" applyNumberFormat="1" applyFont="1" applyFill="1" applyBorder="1" applyAlignment="1">
      <alignment vertical="center"/>
    </xf>
    <xf numFmtId="176" fontId="50" fillId="2" borderId="29" xfId="12" applyNumberFormat="1" applyFont="1" applyFill="1" applyBorder="1" applyAlignment="1">
      <alignment vertical="center"/>
    </xf>
    <xf numFmtId="177" fontId="18" fillId="2" borderId="12" xfId="0" applyNumberFormat="1" applyFont="1" applyFill="1" applyBorder="1" applyAlignment="1">
      <alignment vertical="center"/>
    </xf>
    <xf numFmtId="0" fontId="18" fillId="2" borderId="23" xfId="0" applyNumberFormat="1" applyFont="1" applyFill="1" applyBorder="1" applyAlignment="1">
      <alignment vertical="center"/>
    </xf>
    <xf numFmtId="177" fontId="18" fillId="0" borderId="2" xfId="0" applyNumberFormat="1" applyFont="1" applyFill="1" applyBorder="1" applyAlignment="1">
      <alignment vertical="center"/>
    </xf>
    <xf numFmtId="177" fontId="18" fillId="35" borderId="5" xfId="0" applyNumberFormat="1" applyFont="1" applyFill="1" applyBorder="1" applyAlignment="1">
      <alignment vertical="center"/>
    </xf>
    <xf numFmtId="177" fontId="18" fillId="2" borderId="24" xfId="0" applyNumberFormat="1" applyFont="1" applyFill="1" applyBorder="1" applyAlignment="1">
      <alignment vertical="center"/>
    </xf>
    <xf numFmtId="177" fontId="18" fillId="2" borderId="19" xfId="0" applyNumberFormat="1" applyFont="1" applyFill="1" applyBorder="1" applyAlignment="1">
      <alignment horizontal="left" vertical="center"/>
    </xf>
    <xf numFmtId="177" fontId="18" fillId="2" borderId="25" xfId="0" applyNumberFormat="1" applyFont="1" applyFill="1" applyBorder="1" applyAlignment="1">
      <alignment horizontal="left" vertical="center"/>
    </xf>
    <xf numFmtId="0" fontId="18" fillId="2" borderId="46" xfId="0" applyNumberFormat="1" applyFont="1" applyFill="1" applyBorder="1" applyAlignment="1">
      <alignment vertical="center"/>
    </xf>
    <xf numFmtId="176" fontId="18" fillId="2" borderId="67" xfId="12" applyNumberFormat="1" applyFont="1" applyFill="1" applyBorder="1" applyAlignment="1">
      <alignment vertical="center"/>
    </xf>
    <xf numFmtId="176" fontId="18" fillId="2" borderId="46" xfId="12" applyNumberFormat="1" applyFont="1" applyFill="1" applyBorder="1" applyAlignment="1">
      <alignment vertical="center"/>
    </xf>
    <xf numFmtId="176" fontId="18" fillId="2" borderId="40" xfId="12" applyNumberFormat="1" applyFont="1" applyFill="1" applyBorder="1" applyAlignment="1">
      <alignment horizontal="right" vertical="center" shrinkToFit="1"/>
    </xf>
    <xf numFmtId="0" fontId="9" fillId="0" borderId="4" xfId="2" applyNumberFormat="1" applyFont="1" applyFill="1" applyBorder="1" applyAlignment="1">
      <alignment vertical="center"/>
    </xf>
    <xf numFmtId="0" fontId="9" fillId="0" borderId="5" xfId="2" applyNumberFormat="1" applyFont="1" applyFill="1" applyBorder="1" applyAlignment="1">
      <alignment vertical="center"/>
    </xf>
    <xf numFmtId="0" fontId="9" fillId="0" borderId="9" xfId="2" applyNumberFormat="1" applyFont="1" applyFill="1" applyBorder="1" applyAlignment="1">
      <alignment vertical="center"/>
    </xf>
    <xf numFmtId="0" fontId="24" fillId="0" borderId="9" xfId="11" applyNumberFormat="1" applyFont="1" applyFill="1" applyBorder="1" applyAlignment="1">
      <alignment vertical="top"/>
    </xf>
    <xf numFmtId="180" fontId="31" fillId="0" borderId="20" xfId="3" applyNumberFormat="1" applyFont="1" applyFill="1" applyBorder="1" applyAlignment="1">
      <alignment horizontal="right" vertical="center"/>
    </xf>
    <xf numFmtId="180" fontId="24" fillId="3" borderId="38" xfId="11" applyNumberFormat="1" applyFont="1" applyFill="1" applyBorder="1" applyAlignment="1">
      <alignment horizontal="right" vertical="center"/>
    </xf>
    <xf numFmtId="180" fontId="20" fillId="0" borderId="11" xfId="3" applyNumberFormat="1" applyFont="1" applyFill="1" applyBorder="1" applyAlignment="1">
      <alignment horizontal="right" vertical="center"/>
    </xf>
    <xf numFmtId="180" fontId="20" fillId="0" borderId="15" xfId="3" applyNumberFormat="1" applyFont="1" applyFill="1" applyBorder="1" applyAlignment="1">
      <alignment horizontal="right" vertical="center"/>
    </xf>
    <xf numFmtId="180" fontId="19" fillId="0" borderId="15" xfId="3" applyNumberFormat="1" applyFont="1" applyFill="1" applyBorder="1" applyAlignment="1">
      <alignment horizontal="right" vertical="center"/>
    </xf>
    <xf numFmtId="176" fontId="15" fillId="0" borderId="8" xfId="3" applyNumberFormat="1" applyFont="1" applyFill="1" applyBorder="1" applyAlignment="1">
      <alignment horizontal="right" vertical="center"/>
    </xf>
    <xf numFmtId="180" fontId="19" fillId="0" borderId="15" xfId="65" applyNumberFormat="1" applyFont="1" applyFill="1" applyBorder="1" applyAlignment="1">
      <alignment horizontal="right" vertical="center"/>
    </xf>
    <xf numFmtId="176" fontId="15" fillId="0" borderId="2" xfId="3" applyNumberFormat="1" applyFont="1" applyFill="1" applyBorder="1" applyAlignment="1">
      <alignment horizontal="right" vertical="center"/>
    </xf>
    <xf numFmtId="180" fontId="19" fillId="0" borderId="17" xfId="5" applyNumberFormat="1" applyFont="1" applyFill="1" applyBorder="1" applyAlignment="1">
      <alignment horizontal="right" vertical="center"/>
    </xf>
    <xf numFmtId="180" fontId="20" fillId="0" borderId="28" xfId="5" applyNumberFormat="1" applyFont="1" applyFill="1" applyBorder="1" applyAlignment="1">
      <alignment horizontal="right" vertical="center"/>
    </xf>
    <xf numFmtId="0" fontId="19" fillId="0" borderId="5" xfId="11" applyFont="1" applyFill="1" applyBorder="1" applyAlignment="1">
      <alignment vertical="center" shrinkToFit="1"/>
    </xf>
    <xf numFmtId="0" fontId="20" fillId="0" borderId="5" xfId="65" applyNumberFormat="1" applyFont="1" applyFill="1" applyBorder="1" applyAlignment="1">
      <alignment horizontal="center" vertical="center" shrinkToFit="1"/>
    </xf>
    <xf numFmtId="180" fontId="19" fillId="0" borderId="11" xfId="65" applyNumberFormat="1" applyFont="1" applyFill="1" applyBorder="1" applyAlignment="1">
      <alignment horizontal="right" vertical="center"/>
    </xf>
    <xf numFmtId="184" fontId="20" fillId="0" borderId="19" xfId="10" applyNumberFormat="1" applyFont="1" applyBorder="1" applyAlignment="1">
      <alignment horizontal="right" vertical="center"/>
    </xf>
    <xf numFmtId="180" fontId="0" fillId="0" borderId="0" xfId="0" applyNumberFormat="1">
      <alignment vertical="center"/>
    </xf>
    <xf numFmtId="180" fontId="0" fillId="0" borderId="0" xfId="0" applyNumberFormat="1" applyAlignment="1">
      <alignment horizontal="right" vertical="center"/>
    </xf>
    <xf numFmtId="176" fontId="18" fillId="3" borderId="50" xfId="12" applyNumberFormat="1" applyFont="1" applyFill="1" applyBorder="1" applyAlignment="1">
      <alignment vertical="center"/>
    </xf>
    <xf numFmtId="177" fontId="15" fillId="2" borderId="7" xfId="0" applyNumberFormat="1" applyFont="1" applyFill="1" applyBorder="1" applyAlignment="1">
      <alignment vertical="center"/>
    </xf>
    <xf numFmtId="41" fontId="20" fillId="0" borderId="20" xfId="3" applyNumberFormat="1" applyFont="1" applyFill="1" applyBorder="1" applyAlignment="1">
      <alignment horizontal="right" vertical="center"/>
    </xf>
    <xf numFmtId="176" fontId="18" fillId="3" borderId="45" xfId="3" applyNumberFormat="1" applyFont="1" applyFill="1" applyBorder="1" applyAlignment="1">
      <alignment horizontal="right" vertical="center"/>
    </xf>
    <xf numFmtId="176" fontId="18" fillId="0" borderId="22" xfId="3" applyNumberFormat="1" applyFont="1" applyFill="1" applyBorder="1" applyAlignment="1">
      <alignment horizontal="right" vertical="center"/>
    </xf>
    <xf numFmtId="0" fontId="19" fillId="0" borderId="72" xfId="2" applyNumberFormat="1" applyFont="1" applyFill="1" applyBorder="1" applyAlignment="1">
      <alignment vertical="center"/>
    </xf>
    <xf numFmtId="0" fontId="19" fillId="0" borderId="4" xfId="2" applyNumberFormat="1" applyFont="1" applyFill="1" applyBorder="1" applyAlignment="1">
      <alignment vertical="center"/>
    </xf>
    <xf numFmtId="176" fontId="26" fillId="0" borderId="8" xfId="12" applyNumberFormat="1" applyFont="1" applyFill="1" applyBorder="1" applyAlignment="1">
      <alignment horizontal="right" vertical="center"/>
    </xf>
    <xf numFmtId="0" fontId="20" fillId="0" borderId="16" xfId="2" applyNumberFormat="1" applyFont="1" applyFill="1" applyBorder="1" applyAlignment="1">
      <alignment vertical="center"/>
    </xf>
    <xf numFmtId="0" fontId="19" fillId="0" borderId="23" xfId="2" applyNumberFormat="1" applyFont="1" applyFill="1" applyBorder="1" applyAlignment="1">
      <alignment vertical="center"/>
    </xf>
    <xf numFmtId="0" fontId="24" fillId="0" borderId="18" xfId="11" applyNumberFormat="1" applyFont="1" applyFill="1" applyBorder="1" applyAlignment="1">
      <alignment vertical="center"/>
    </xf>
    <xf numFmtId="0" fontId="24" fillId="0" borderId="19" xfId="11" applyNumberFormat="1" applyFont="1" applyFill="1" applyBorder="1" applyAlignment="1">
      <alignment vertical="top"/>
    </xf>
    <xf numFmtId="0" fontId="24" fillId="0" borderId="73" xfId="11" applyNumberFormat="1" applyFont="1" applyFill="1" applyBorder="1" applyAlignment="1">
      <alignment vertical="top"/>
    </xf>
    <xf numFmtId="179" fontId="20" fillId="0" borderId="19" xfId="65" applyNumberFormat="1" applyFont="1" applyFill="1" applyBorder="1" applyAlignment="1">
      <alignment horizontal="right" vertical="center"/>
    </xf>
    <xf numFmtId="0" fontId="20" fillId="0" borderId="25" xfId="2" applyNumberFormat="1" applyFont="1" applyBorder="1" applyAlignment="1">
      <alignment horizontal="left" vertical="center" shrinkToFit="1"/>
    </xf>
    <xf numFmtId="176" fontId="18" fillId="3" borderId="2" xfId="12" applyNumberFormat="1" applyFont="1" applyFill="1" applyBorder="1" applyAlignment="1">
      <alignment vertical="center"/>
    </xf>
    <xf numFmtId="177" fontId="18" fillId="35" borderId="68" xfId="0" applyNumberFormat="1" applyFont="1" applyFill="1" applyBorder="1" applyAlignment="1">
      <alignment vertical="center"/>
    </xf>
    <xf numFmtId="177" fontId="18" fillId="35" borderId="21" xfId="0" applyNumberFormat="1" applyFont="1" applyFill="1" applyBorder="1" applyAlignment="1">
      <alignment vertical="center"/>
    </xf>
    <xf numFmtId="177" fontId="18" fillId="35" borderId="0" xfId="0" applyNumberFormat="1" applyFont="1" applyFill="1" applyBorder="1" applyAlignment="1">
      <alignment horizontal="center" vertical="center"/>
    </xf>
    <xf numFmtId="177" fontId="18" fillId="35" borderId="26" xfId="0" applyNumberFormat="1" applyFont="1" applyFill="1" applyBorder="1" applyAlignment="1">
      <alignment horizontal="center" vertical="center"/>
    </xf>
    <xf numFmtId="176" fontId="18" fillId="35" borderId="22" xfId="12" applyNumberFormat="1" applyFont="1" applyFill="1" applyBorder="1" applyAlignment="1">
      <alignment vertical="center"/>
    </xf>
    <xf numFmtId="176" fontId="18" fillId="35" borderId="69" xfId="12" applyNumberFormat="1" applyFont="1" applyFill="1" applyBorder="1" applyAlignment="1">
      <alignment horizontal="right" vertical="center"/>
    </xf>
    <xf numFmtId="177" fontId="18" fillId="35" borderId="74" xfId="0" applyNumberFormat="1" applyFont="1" applyFill="1" applyBorder="1" applyAlignment="1">
      <alignment vertical="center"/>
    </xf>
    <xf numFmtId="177" fontId="18" fillId="2" borderId="72" xfId="0" applyNumberFormat="1" applyFont="1" applyFill="1" applyBorder="1" applyAlignment="1">
      <alignment vertical="center"/>
    </xf>
    <xf numFmtId="0" fontId="0" fillId="0" borderId="0" xfId="0" applyNumberFormat="1" applyFill="1">
      <alignment vertical="center"/>
    </xf>
    <xf numFmtId="177" fontId="18" fillId="2" borderId="18" xfId="0" applyNumberFormat="1" applyFont="1" applyFill="1" applyBorder="1" applyAlignment="1">
      <alignment vertical="center"/>
    </xf>
    <xf numFmtId="177" fontId="18" fillId="35" borderId="75" xfId="0" applyNumberFormat="1" applyFont="1" applyFill="1" applyBorder="1" applyAlignment="1">
      <alignment vertical="center"/>
    </xf>
    <xf numFmtId="177" fontId="18" fillId="35" borderId="71" xfId="0" applyNumberFormat="1" applyFont="1" applyFill="1" applyBorder="1" applyAlignment="1">
      <alignment vertical="center"/>
    </xf>
    <xf numFmtId="176" fontId="18" fillId="35" borderId="46" xfId="12" applyNumberFormat="1" applyFont="1" applyFill="1" applyBorder="1" applyAlignment="1">
      <alignment vertical="center"/>
    </xf>
    <xf numFmtId="176" fontId="18" fillId="35" borderId="70" xfId="12" applyNumberFormat="1" applyFont="1" applyFill="1" applyBorder="1" applyAlignment="1">
      <alignment horizontal="right" vertical="center"/>
    </xf>
    <xf numFmtId="177" fontId="18" fillId="36" borderId="44" xfId="0" applyNumberFormat="1" applyFont="1" applyFill="1" applyBorder="1" applyAlignment="1">
      <alignment vertical="center"/>
    </xf>
    <xf numFmtId="177" fontId="18" fillId="36" borderId="5" xfId="0" applyNumberFormat="1" applyFont="1" applyFill="1" applyBorder="1" applyAlignment="1">
      <alignment vertical="center"/>
    </xf>
    <xf numFmtId="176" fontId="18" fillId="36" borderId="8" xfId="12" applyNumberFormat="1" applyFont="1" applyFill="1" applyBorder="1" applyAlignment="1">
      <alignment vertical="center"/>
    </xf>
    <xf numFmtId="176" fontId="18" fillId="36" borderId="76" xfId="12" applyNumberFormat="1" applyFont="1" applyFill="1" applyBorder="1" applyAlignment="1">
      <alignment horizontal="right" vertical="center"/>
    </xf>
    <xf numFmtId="177" fontId="18" fillId="36" borderId="47" xfId="0" applyNumberFormat="1" applyFont="1" applyFill="1" applyBorder="1" applyAlignment="1">
      <alignment vertical="center"/>
    </xf>
    <xf numFmtId="177" fontId="18" fillId="36" borderId="6" xfId="0" applyNumberFormat="1" applyFont="1" applyFill="1" applyBorder="1" applyAlignment="1">
      <alignment vertical="center"/>
    </xf>
    <xf numFmtId="177" fontId="18" fillId="36" borderId="29" xfId="0" applyNumberFormat="1" applyFont="1" applyFill="1" applyBorder="1" applyAlignment="1">
      <alignment vertical="center"/>
    </xf>
    <xf numFmtId="177" fontId="18" fillId="36" borderId="20" xfId="0" applyNumberFormat="1" applyFont="1" applyFill="1" applyBorder="1" applyAlignment="1">
      <alignment vertical="center"/>
    </xf>
    <xf numFmtId="177" fontId="18" fillId="36" borderId="73" xfId="0" applyNumberFormat="1" applyFont="1" applyFill="1" applyBorder="1" applyAlignment="1">
      <alignment vertical="center"/>
    </xf>
    <xf numFmtId="176" fontId="18" fillId="36" borderId="19" xfId="12" applyNumberFormat="1" applyFont="1" applyFill="1" applyBorder="1" applyAlignment="1">
      <alignment vertical="center"/>
    </xf>
    <xf numFmtId="177" fontId="18" fillId="36" borderId="23" xfId="0" applyNumberFormat="1" applyFont="1" applyFill="1" applyBorder="1" applyAlignment="1">
      <alignment vertical="center"/>
    </xf>
    <xf numFmtId="176" fontId="18" fillId="36" borderId="7" xfId="12" applyNumberFormat="1" applyFont="1" applyFill="1" applyBorder="1" applyAlignment="1">
      <alignment vertical="center"/>
    </xf>
    <xf numFmtId="176" fontId="18" fillId="36" borderId="35" xfId="12" applyNumberFormat="1" applyFont="1" applyFill="1" applyBorder="1" applyAlignment="1">
      <alignment horizontal="right" vertical="center"/>
    </xf>
    <xf numFmtId="177" fontId="18" fillId="2" borderId="31" xfId="0" applyNumberFormat="1" applyFont="1" applyFill="1" applyBorder="1" applyAlignment="1">
      <alignment vertical="center"/>
    </xf>
    <xf numFmtId="0" fontId="20" fillId="2" borderId="16" xfId="11" applyFont="1" applyFill="1" applyBorder="1" applyAlignment="1">
      <alignment vertical="center"/>
    </xf>
    <xf numFmtId="0" fontId="20" fillId="2" borderId="2" xfId="11" applyFont="1" applyFill="1" applyBorder="1" applyAlignment="1">
      <alignment vertical="center"/>
    </xf>
    <xf numFmtId="0" fontId="20" fillId="0" borderId="9" xfId="5" applyFont="1" applyBorder="1" applyAlignment="1">
      <alignment vertical="top"/>
    </xf>
    <xf numFmtId="176" fontId="18" fillId="0" borderId="2" xfId="3" applyNumberFormat="1" applyFont="1" applyFill="1" applyBorder="1" applyAlignment="1">
      <alignment horizontal="right" vertical="center"/>
    </xf>
    <xf numFmtId="176" fontId="19" fillId="0" borderId="8" xfId="3" applyNumberFormat="1" applyFont="1" applyFill="1" applyBorder="1" applyAlignment="1">
      <alignment vertical="center"/>
    </xf>
    <xf numFmtId="177" fontId="18" fillId="36" borderId="9" xfId="0" applyNumberFormat="1" applyFont="1" applyFill="1" applyBorder="1" applyAlignment="1">
      <alignment vertical="center"/>
    </xf>
    <xf numFmtId="3" fontId="0" fillId="0" borderId="0" xfId="0" applyNumberFormat="1">
      <alignment vertical="center"/>
    </xf>
    <xf numFmtId="176" fontId="18" fillId="3" borderId="50" xfId="3" applyNumberFormat="1" applyFont="1" applyFill="1" applyBorder="1" applyAlignment="1">
      <alignment horizontal="right" vertical="center"/>
    </xf>
    <xf numFmtId="177" fontId="15" fillId="2" borderId="16" xfId="0" applyNumberFormat="1" applyFont="1" applyFill="1" applyBorder="1" applyAlignment="1">
      <alignment vertical="center"/>
    </xf>
    <xf numFmtId="177" fontId="18" fillId="35" borderId="4" xfId="0" applyNumberFormat="1" applyFont="1" applyFill="1" applyBorder="1" applyAlignment="1">
      <alignment vertical="center"/>
    </xf>
    <xf numFmtId="177" fontId="18" fillId="35" borderId="9" xfId="0" applyNumberFormat="1" applyFont="1" applyFill="1" applyBorder="1" applyAlignment="1">
      <alignment vertical="center"/>
    </xf>
    <xf numFmtId="176" fontId="18" fillId="35" borderId="76" xfId="12" applyNumberFormat="1" applyFont="1" applyFill="1" applyBorder="1" applyAlignment="1">
      <alignment horizontal="right" vertical="center" shrinkToFit="1"/>
    </xf>
    <xf numFmtId="176" fontId="15" fillId="2" borderId="7" xfId="12" applyNumberFormat="1" applyFont="1" applyFill="1" applyBorder="1" applyAlignment="1">
      <alignment vertical="center"/>
    </xf>
    <xf numFmtId="0" fontId="20" fillId="0" borderId="20" xfId="11" applyNumberFormat="1" applyFont="1" applyFill="1" applyBorder="1" applyAlignment="1">
      <alignment horizontal="center" vertical="center"/>
    </xf>
    <xf numFmtId="176" fontId="18" fillId="35" borderId="19" xfId="12" applyNumberFormat="1" applyFont="1" applyFill="1" applyBorder="1" applyAlignment="1">
      <alignment vertical="center"/>
    </xf>
    <xf numFmtId="177" fontId="18" fillId="2" borderId="8" xfId="0" applyNumberFormat="1" applyFont="1" applyFill="1" applyBorder="1" applyAlignment="1">
      <alignment vertical="center"/>
    </xf>
    <xf numFmtId="177" fontId="18" fillId="2" borderId="2" xfId="0" applyNumberFormat="1" applyFont="1" applyFill="1" applyBorder="1" applyAlignment="1">
      <alignment vertical="center"/>
    </xf>
    <xf numFmtId="0" fontId="20" fillId="0" borderId="26" xfId="5" applyFont="1" applyFill="1" applyBorder="1" applyAlignment="1">
      <alignment vertical="top"/>
    </xf>
    <xf numFmtId="0" fontId="24" fillId="0" borderId="4" xfId="11" applyNumberFormat="1" applyFont="1" applyFill="1" applyBorder="1" applyAlignment="1">
      <alignment vertical="center"/>
    </xf>
    <xf numFmtId="41" fontId="19" fillId="0" borderId="11" xfId="65" applyFont="1" applyFill="1" applyBorder="1" applyAlignment="1">
      <alignment horizontal="right" vertical="center"/>
    </xf>
    <xf numFmtId="0" fontId="20" fillId="0" borderId="19" xfId="5" applyFont="1" applyBorder="1" applyAlignment="1">
      <alignment vertical="center"/>
    </xf>
    <xf numFmtId="178" fontId="20" fillId="0" borderId="19" xfId="12" applyNumberFormat="1" applyFont="1" applyBorder="1" applyAlignment="1">
      <alignment vertical="center"/>
    </xf>
    <xf numFmtId="178" fontId="20" fillId="0" borderId="73" xfId="10" applyNumberFormat="1" applyFont="1" applyBorder="1" applyAlignment="1">
      <alignment horizontal="right" vertical="center"/>
    </xf>
    <xf numFmtId="176" fontId="20" fillId="0" borderId="19" xfId="12" applyNumberFormat="1" applyFont="1" applyBorder="1" applyAlignment="1">
      <alignment vertical="center"/>
    </xf>
    <xf numFmtId="0" fontId="20" fillId="0" borderId="73" xfId="5" applyFont="1" applyBorder="1" applyAlignment="1">
      <alignment vertical="top"/>
    </xf>
    <xf numFmtId="3" fontId="19" fillId="0" borderId="10" xfId="11" applyNumberFormat="1" applyFont="1" applyFill="1" applyBorder="1" applyAlignment="1">
      <alignment horizontal="right" vertical="center"/>
    </xf>
    <xf numFmtId="3" fontId="20" fillId="0" borderId="10" xfId="11" applyNumberFormat="1" applyFont="1" applyFill="1" applyBorder="1" applyAlignment="1">
      <alignment horizontal="right" vertical="center"/>
    </xf>
    <xf numFmtId="178" fontId="0" fillId="0" borderId="0" xfId="0" applyNumberFormat="1">
      <alignment vertical="center"/>
    </xf>
    <xf numFmtId="177" fontId="18" fillId="2" borderId="26" xfId="0" applyNumberFormat="1" applyFont="1" applyFill="1" applyBorder="1" applyAlignment="1">
      <alignment vertical="center"/>
    </xf>
    <xf numFmtId="177" fontId="18" fillId="2" borderId="9" xfId="0" applyNumberFormat="1" applyFont="1" applyFill="1" applyBorder="1" applyAlignment="1">
      <alignment vertical="center"/>
    </xf>
    <xf numFmtId="177" fontId="18" fillId="36" borderId="0" xfId="0" applyNumberFormat="1" applyFont="1" applyFill="1" applyBorder="1" applyAlignment="1">
      <alignment vertical="center"/>
    </xf>
    <xf numFmtId="177" fontId="18" fillId="36" borderId="71" xfId="0" applyNumberFormat="1" applyFont="1" applyFill="1" applyBorder="1" applyAlignment="1">
      <alignment vertical="center"/>
    </xf>
    <xf numFmtId="177" fontId="18" fillId="36" borderId="75" xfId="0" applyNumberFormat="1" applyFont="1" applyFill="1" applyBorder="1" applyAlignment="1">
      <alignment vertical="center"/>
    </xf>
    <xf numFmtId="176" fontId="18" fillId="36" borderId="40" xfId="12" applyNumberFormat="1" applyFont="1" applyFill="1" applyBorder="1" applyAlignment="1">
      <alignment horizontal="right" vertical="center"/>
    </xf>
    <xf numFmtId="0" fontId="20" fillId="0" borderId="12" xfId="2" applyNumberFormat="1" applyFont="1" applyFill="1" applyBorder="1" applyAlignment="1">
      <alignment horizontal="left" vertical="center" shrinkToFit="1"/>
    </xf>
    <xf numFmtId="0" fontId="0" fillId="0" borderId="14" xfId="0" applyNumberFormat="1" applyBorder="1">
      <alignment vertical="center"/>
    </xf>
    <xf numFmtId="0" fontId="20" fillId="2" borderId="26" xfId="5" applyFont="1" applyFill="1" applyBorder="1" applyAlignment="1">
      <alignment vertical="top"/>
    </xf>
    <xf numFmtId="177" fontId="18" fillId="2" borderId="8" xfId="0" applyNumberFormat="1" applyFont="1" applyFill="1" applyBorder="1" applyAlignment="1">
      <alignment horizontal="left" vertical="center"/>
    </xf>
    <xf numFmtId="177" fontId="18" fillId="2" borderId="4" xfId="0" applyNumberFormat="1" applyFont="1" applyFill="1" applyBorder="1" applyAlignment="1">
      <alignment horizontal="left" vertical="center"/>
    </xf>
    <xf numFmtId="177" fontId="18" fillId="2" borderId="4" xfId="0" applyNumberFormat="1" applyFont="1" applyFill="1" applyBorder="1" applyAlignment="1">
      <alignment vertical="center"/>
    </xf>
    <xf numFmtId="41" fontId="20" fillId="2" borderId="23" xfId="65" applyNumberFormat="1" applyFont="1" applyFill="1" applyBorder="1" applyAlignment="1">
      <alignment vertical="center" shrinkToFit="1"/>
    </xf>
    <xf numFmtId="0" fontId="0" fillId="0" borderId="0" xfId="0" applyNumberFormat="1" applyBorder="1">
      <alignment vertical="center"/>
    </xf>
    <xf numFmtId="177" fontId="15" fillId="2" borderId="3" xfId="0" applyNumberFormat="1" applyFont="1" applyFill="1" applyBorder="1" applyAlignment="1">
      <alignment vertical="center"/>
    </xf>
    <xf numFmtId="0" fontId="24" fillId="0" borderId="73" xfId="11" applyNumberFormat="1" applyFont="1" applyFill="1" applyBorder="1" applyAlignment="1">
      <alignment vertical="center"/>
    </xf>
    <xf numFmtId="41" fontId="20" fillId="0" borderId="29" xfId="3" applyNumberFormat="1" applyFont="1" applyFill="1" applyBorder="1" applyAlignment="1">
      <alignment horizontal="right" vertical="center"/>
    </xf>
    <xf numFmtId="176" fontId="18" fillId="2" borderId="29" xfId="12" applyNumberFormat="1" applyFont="1" applyFill="1" applyBorder="1" applyAlignment="1">
      <alignment vertical="center"/>
    </xf>
    <xf numFmtId="0" fontId="20" fillId="0" borderId="12" xfId="5" applyFont="1" applyFill="1" applyBorder="1" applyAlignment="1">
      <alignment horizontal="justify" vertical="center"/>
    </xf>
    <xf numFmtId="0" fontId="11" fillId="0" borderId="0" xfId="0" applyNumberFormat="1" applyFont="1" applyAlignment="1">
      <alignment vertical="center"/>
    </xf>
    <xf numFmtId="0" fontId="20" fillId="0" borderId="4" xfId="2" applyNumberFormat="1" applyFont="1" applyFill="1" applyBorder="1" applyAlignment="1">
      <alignment horizontal="left" vertical="center" shrinkToFit="1"/>
    </xf>
    <xf numFmtId="0" fontId="18" fillId="0" borderId="23" xfId="2" applyNumberFormat="1" applyFont="1" applyFill="1" applyBorder="1" applyAlignment="1">
      <alignment vertical="center"/>
    </xf>
    <xf numFmtId="177" fontId="15" fillId="3" borderId="13" xfId="0" applyNumberFormat="1" applyFont="1" applyFill="1" applyBorder="1" applyAlignment="1">
      <alignment horizontal="center" vertical="center"/>
    </xf>
    <xf numFmtId="177" fontId="15" fillId="3" borderId="14" xfId="0" applyNumberFormat="1" applyFont="1" applyFill="1" applyBorder="1" applyAlignment="1">
      <alignment horizontal="center" vertical="center"/>
    </xf>
    <xf numFmtId="41" fontId="15" fillId="3" borderId="45" xfId="12" applyFont="1" applyFill="1" applyBorder="1" applyAlignment="1">
      <alignment horizontal="center" vertical="center" wrapText="1"/>
    </xf>
    <xf numFmtId="41" fontId="15" fillId="3" borderId="19" xfId="12" applyFont="1" applyFill="1" applyBorder="1" applyAlignment="1">
      <alignment horizontal="center" vertical="center"/>
    </xf>
    <xf numFmtId="177" fontId="15" fillId="3" borderId="34" xfId="12" applyNumberFormat="1" applyFont="1" applyFill="1" applyBorder="1" applyAlignment="1">
      <alignment horizontal="center" vertical="center" wrapText="1"/>
    </xf>
    <xf numFmtId="177" fontId="15" fillId="3" borderId="40" xfId="12" applyNumberFormat="1" applyFont="1" applyFill="1" applyBorder="1" applyAlignment="1">
      <alignment horizontal="center" vertical="center"/>
    </xf>
    <xf numFmtId="177" fontId="18" fillId="3" borderId="36" xfId="0" applyNumberFormat="1" applyFont="1" applyFill="1" applyBorder="1" applyAlignment="1">
      <alignment horizontal="center" vertical="center"/>
    </xf>
    <xf numFmtId="177" fontId="18" fillId="3" borderId="37" xfId="0" applyNumberFormat="1" applyFont="1" applyFill="1" applyBorder="1" applyAlignment="1">
      <alignment horizontal="center" vertical="center"/>
    </xf>
    <xf numFmtId="177" fontId="15" fillId="3" borderId="41" xfId="0" applyNumberFormat="1" applyFont="1" applyFill="1" applyBorder="1" applyAlignment="1">
      <alignment horizontal="center" vertical="center"/>
    </xf>
    <xf numFmtId="177" fontId="18" fillId="3" borderId="48" xfId="0" applyNumberFormat="1" applyFont="1" applyFill="1" applyBorder="1" applyAlignment="1">
      <alignment horizontal="center" vertical="center"/>
    </xf>
    <xf numFmtId="177" fontId="15" fillId="3" borderId="71" xfId="0" applyNumberFormat="1" applyFont="1" applyFill="1" applyBorder="1" applyAlignment="1">
      <alignment horizontal="center" vertical="center"/>
    </xf>
    <xf numFmtId="177" fontId="15" fillId="3" borderId="75" xfId="0" applyNumberFormat="1" applyFont="1" applyFill="1" applyBorder="1" applyAlignment="1">
      <alignment horizontal="center" vertical="center"/>
    </xf>
    <xf numFmtId="177" fontId="15" fillId="3" borderId="67" xfId="0" applyNumberFormat="1" applyFont="1" applyFill="1" applyBorder="1" applyAlignment="1">
      <alignment horizontal="center" vertical="center"/>
    </xf>
    <xf numFmtId="41" fontId="15" fillId="3" borderId="45" xfId="12" applyFont="1" applyFill="1" applyBorder="1" applyAlignment="1">
      <alignment horizontal="center" vertical="center"/>
    </xf>
    <xf numFmtId="177" fontId="15" fillId="3" borderId="34" xfId="12" applyNumberFormat="1" applyFont="1" applyFill="1" applyBorder="1" applyAlignment="1">
      <alignment horizontal="center" vertical="center"/>
    </xf>
    <xf numFmtId="0" fontId="20" fillId="3" borderId="30" xfId="2" applyNumberFormat="1" applyFont="1" applyFill="1" applyBorder="1" applyAlignment="1">
      <alignment horizontal="center" vertical="center"/>
    </xf>
    <xf numFmtId="0" fontId="20" fillId="3" borderId="22" xfId="2" applyNumberFormat="1" applyFont="1" applyFill="1" applyBorder="1" applyAlignment="1">
      <alignment horizontal="center" vertical="center"/>
    </xf>
    <xf numFmtId="0" fontId="20" fillId="3" borderId="34" xfId="2" applyNumberFormat="1" applyFont="1" applyFill="1" applyBorder="1" applyAlignment="1">
      <alignment horizontal="center" vertical="center"/>
    </xf>
    <xf numFmtId="0" fontId="20" fillId="3" borderId="31" xfId="2" applyNumberFormat="1" applyFont="1" applyFill="1" applyBorder="1" applyAlignment="1">
      <alignment horizontal="center" vertical="center"/>
    </xf>
    <xf numFmtId="0" fontId="20" fillId="3" borderId="3" xfId="2" applyNumberFormat="1" applyFont="1" applyFill="1" applyBorder="1" applyAlignment="1">
      <alignment horizontal="center" vertical="center"/>
    </xf>
    <xf numFmtId="0" fontId="20" fillId="3" borderId="43" xfId="2" applyNumberFormat="1" applyFont="1" applyFill="1" applyBorder="1" applyAlignment="1">
      <alignment horizontal="center" vertical="center"/>
    </xf>
    <xf numFmtId="0" fontId="26" fillId="3" borderId="36" xfId="11" applyNumberFormat="1" applyFont="1" applyFill="1" applyBorder="1" applyAlignment="1">
      <alignment horizontal="center" vertical="center"/>
    </xf>
    <xf numFmtId="0" fontId="26" fillId="3" borderId="37" xfId="11" applyNumberFormat="1" applyFont="1" applyFill="1" applyBorder="1" applyAlignment="1">
      <alignment horizontal="center" vertical="center"/>
    </xf>
    <xf numFmtId="0" fontId="26" fillId="3" borderId="48" xfId="11" applyNumberFormat="1" applyFont="1" applyFill="1" applyBorder="1" applyAlignment="1">
      <alignment horizontal="center" vertical="center"/>
    </xf>
    <xf numFmtId="0" fontId="8" fillId="3" borderId="49" xfId="2" applyNumberFormat="1" applyFont="1" applyFill="1" applyBorder="1" applyAlignment="1">
      <alignment horizontal="center" vertical="center"/>
    </xf>
    <xf numFmtId="0" fontId="8" fillId="3" borderId="18" xfId="2" applyNumberFormat="1" applyFont="1" applyFill="1" applyBorder="1" applyAlignment="1">
      <alignment horizontal="center" vertical="center"/>
    </xf>
    <xf numFmtId="0" fontId="8" fillId="3" borderId="33" xfId="2" applyNumberFormat="1" applyFont="1" applyFill="1" applyBorder="1" applyAlignment="1">
      <alignment horizontal="center" vertical="center"/>
    </xf>
    <xf numFmtId="0" fontId="8" fillId="3" borderId="21" xfId="2" applyNumberFormat="1" applyFont="1" applyFill="1" applyBorder="1" applyAlignment="1">
      <alignment horizontal="center" vertical="center"/>
    </xf>
    <xf numFmtId="0" fontId="8" fillId="3" borderId="30" xfId="2" applyNumberFormat="1" applyFont="1" applyFill="1" applyBorder="1" applyAlignment="1">
      <alignment horizontal="center" vertical="center"/>
    </xf>
    <xf numFmtId="41" fontId="20" fillId="3" borderId="33" xfId="3" applyNumberFormat="1" applyFont="1" applyFill="1" applyBorder="1" applyAlignment="1">
      <alignment horizontal="center" vertical="center"/>
    </xf>
    <xf numFmtId="41" fontId="20" fillId="3" borderId="27" xfId="3" applyNumberFormat="1" applyFont="1" applyFill="1" applyBorder="1" applyAlignment="1">
      <alignment horizontal="center" vertical="center"/>
    </xf>
    <xf numFmtId="41" fontId="20" fillId="3" borderId="22" xfId="3" applyNumberFormat="1" applyFont="1" applyFill="1" applyBorder="1" applyAlignment="1">
      <alignment horizontal="center" vertical="center"/>
    </xf>
    <xf numFmtId="41" fontId="20" fillId="3" borderId="3" xfId="3" applyNumberFormat="1" applyFont="1" applyFill="1" applyBorder="1" applyAlignment="1">
      <alignment horizontal="center" vertical="center"/>
    </xf>
    <xf numFmtId="176" fontId="8" fillId="3" borderId="22" xfId="3" applyNumberFormat="1" applyFont="1" applyFill="1" applyBorder="1" applyAlignment="1">
      <alignment horizontal="center" vertical="center"/>
    </xf>
    <xf numFmtId="176" fontId="8" fillId="3" borderId="3" xfId="3" applyNumberFormat="1" applyFont="1" applyFill="1" applyBorder="1" applyAlignment="1">
      <alignment horizontal="center" vertical="center"/>
    </xf>
    <xf numFmtId="0" fontId="20" fillId="0" borderId="23" xfId="11" applyFont="1" applyBorder="1" applyAlignment="1">
      <alignment horizontal="left" vertical="center"/>
    </xf>
    <xf numFmtId="0" fontId="20" fillId="0" borderId="29" xfId="11" applyFont="1" applyBorder="1" applyAlignment="1">
      <alignment horizontal="left" vertical="center"/>
    </xf>
    <xf numFmtId="0" fontId="9" fillId="0" borderId="44" xfId="3" applyNumberFormat="1" applyFont="1" applyFill="1" applyBorder="1" applyAlignment="1">
      <alignment horizontal="left" vertical="center"/>
    </xf>
    <xf numFmtId="0" fontId="9" fillId="0" borderId="0" xfId="3" applyNumberFormat="1" applyFont="1" applyFill="1" applyBorder="1" applyAlignment="1">
      <alignment horizontal="left" vertical="center"/>
    </xf>
    <xf numFmtId="177" fontId="15" fillId="3" borderId="22" xfId="12" applyNumberFormat="1" applyFont="1" applyFill="1" applyBorder="1" applyAlignment="1">
      <alignment horizontal="center" vertical="center" wrapText="1"/>
    </xf>
    <xf numFmtId="177" fontId="15" fillId="3" borderId="46" xfId="12" applyNumberFormat="1" applyFont="1" applyFill="1" applyBorder="1" applyAlignment="1">
      <alignment horizontal="center" vertical="center"/>
    </xf>
    <xf numFmtId="177" fontId="15" fillId="3" borderId="68" xfId="0" applyNumberFormat="1" applyFont="1" applyFill="1" applyBorder="1" applyAlignment="1">
      <alignment horizontal="center" vertical="center"/>
    </xf>
    <xf numFmtId="177" fontId="15" fillId="3" borderId="21" xfId="0" applyNumberFormat="1" applyFont="1" applyFill="1" applyBorder="1" applyAlignment="1">
      <alignment horizontal="center" vertical="center"/>
    </xf>
    <xf numFmtId="177" fontId="15" fillId="3" borderId="30" xfId="0" applyNumberFormat="1" applyFont="1" applyFill="1" applyBorder="1" applyAlignment="1">
      <alignment horizontal="center" vertical="center"/>
    </xf>
    <xf numFmtId="177" fontId="15" fillId="3" borderId="69" xfId="12" applyNumberFormat="1" applyFont="1" applyFill="1" applyBorder="1" applyAlignment="1">
      <alignment horizontal="center" vertical="center" wrapText="1"/>
    </xf>
    <xf numFmtId="177" fontId="15" fillId="3" borderId="70" xfId="12" applyNumberFormat="1" applyFont="1" applyFill="1" applyBorder="1" applyAlignment="1">
      <alignment horizontal="center" vertical="center" wrapText="1"/>
    </xf>
    <xf numFmtId="0" fontId="20" fillId="3" borderId="46" xfId="2" applyNumberFormat="1" applyFont="1" applyFill="1" applyBorder="1" applyAlignment="1">
      <alignment horizontal="center" vertical="center"/>
    </xf>
    <xf numFmtId="0" fontId="20" fillId="3" borderId="40" xfId="2" applyNumberFormat="1" applyFont="1" applyFill="1" applyBorder="1" applyAlignment="1">
      <alignment horizontal="center" vertical="center"/>
    </xf>
    <xf numFmtId="177" fontId="15" fillId="3" borderId="33" xfId="12" applyNumberFormat="1" applyFont="1" applyFill="1" applyBorder="1" applyAlignment="1">
      <alignment horizontal="center" vertical="center" wrapText="1"/>
    </xf>
    <xf numFmtId="177" fontId="15" fillId="3" borderId="71" xfId="12" applyNumberFormat="1" applyFont="1" applyFill="1" applyBorder="1" applyAlignment="1">
      <alignment horizontal="center" vertical="center"/>
    </xf>
  </cellXfs>
  <cellStyles count="93">
    <cellStyle name="20% - 강조색1 2" xfId="33"/>
    <cellStyle name="20% - 강조색2 2" xfId="34"/>
    <cellStyle name="20% - 강조색3 2" xfId="35"/>
    <cellStyle name="20% - 강조색4 2" xfId="36"/>
    <cellStyle name="20% - 강조색5 2" xfId="37"/>
    <cellStyle name="20% - 강조색6 2" xfId="38"/>
    <cellStyle name="40% - 강조색1 2" xfId="39"/>
    <cellStyle name="40% - 강조색2 2" xfId="40"/>
    <cellStyle name="40% - 강조색3 2" xfId="41"/>
    <cellStyle name="40% - 강조색4 2" xfId="42"/>
    <cellStyle name="40% - 강조색5 2" xfId="43"/>
    <cellStyle name="40% - 강조색6 2" xfId="44"/>
    <cellStyle name="60% - 강조색1 2" xfId="45"/>
    <cellStyle name="60% - 강조색2 2" xfId="46"/>
    <cellStyle name="60% - 강조색3 2" xfId="47"/>
    <cellStyle name="60% - 강조색4 2" xfId="48"/>
    <cellStyle name="60% - 강조색5 2" xfId="49"/>
    <cellStyle name="60% - 강조색6 2" xfId="50"/>
    <cellStyle name="강조색1 2" xfId="51"/>
    <cellStyle name="강조색2 2" xfId="52"/>
    <cellStyle name="강조색3 2" xfId="53"/>
    <cellStyle name="강조색4 2" xfId="54"/>
    <cellStyle name="강조색5 2" xfId="55"/>
    <cellStyle name="강조색6 2" xfId="56"/>
    <cellStyle name="경고문 2" xfId="57"/>
    <cellStyle name="계산 2" xfId="58"/>
    <cellStyle name="나쁨 2" xfId="59"/>
    <cellStyle name="메모 2" xfId="60"/>
    <cellStyle name="백분율 2" xfId="8"/>
    <cellStyle name="백분율 2 2" xfId="25"/>
    <cellStyle name="백분율 3" xfId="15"/>
    <cellStyle name="보통 2" xfId="61"/>
    <cellStyle name="설명 텍스트 2" xfId="62"/>
    <cellStyle name="셀 확인 2" xfId="63"/>
    <cellStyle name="쉼표 [0]" xfId="1" builtinId="6"/>
    <cellStyle name="쉼표 [0] 10" xfId="92"/>
    <cellStyle name="쉼표 [0] 2" xfId="3"/>
    <cellStyle name="쉼표 [0] 2 2" xfId="12"/>
    <cellStyle name="쉼표 [0] 2 2 2" xfId="28"/>
    <cellStyle name="쉼표 [0] 2 2 3" xfId="82"/>
    <cellStyle name="쉼표 [0] 2 3" xfId="16"/>
    <cellStyle name="쉼표 [0] 2 3 2" xfId="65"/>
    <cellStyle name="쉼표 [0] 2 4" xfId="22"/>
    <cellStyle name="쉼표 [0] 2 5" xfId="81"/>
    <cellStyle name="쉼표 [0] 3" xfId="10"/>
    <cellStyle name="쉼표 [0] 3 2" xfId="30"/>
    <cellStyle name="쉼표 [0] 3 3" xfId="21"/>
    <cellStyle name="쉼표 [0] 3 4" xfId="83"/>
    <cellStyle name="쉼표 [0] 4" xfId="4"/>
    <cellStyle name="쉼표 [0] 4 2" xfId="24"/>
    <cellStyle name="쉼표 [0] 4 3" xfId="84"/>
    <cellStyle name="쉼표 [0] 5" xfId="14"/>
    <cellStyle name="쉼표 [0] 5 2" xfId="26"/>
    <cellStyle name="쉼표 [0] 5 3" xfId="85"/>
    <cellStyle name="쉼표 [0] 6" xfId="6"/>
    <cellStyle name="쉼표 [0] 6 2" xfId="27"/>
    <cellStyle name="쉼표 [0] 7" xfId="64"/>
    <cellStyle name="쉼표 [0] 8" xfId="20"/>
    <cellStyle name="쉼표 [0] 9" xfId="80"/>
    <cellStyle name="연결된 셀 2" xfId="66"/>
    <cellStyle name="요약 2" xfId="67"/>
    <cellStyle name="입력 2" xfId="68"/>
    <cellStyle name="제목 1 2" xfId="70"/>
    <cellStyle name="제목 2 2" xfId="71"/>
    <cellStyle name="제목 3 2" xfId="72"/>
    <cellStyle name="제목 4 2" xfId="73"/>
    <cellStyle name="제목 5" xfId="69"/>
    <cellStyle name="좋음 2" xfId="74"/>
    <cellStyle name="출력 2" xfId="75"/>
    <cellStyle name="표준" xfId="0" builtinId="0"/>
    <cellStyle name="표준 2" xfId="5"/>
    <cellStyle name="표준 2 2" xfId="2"/>
    <cellStyle name="표준 2 2 2" xfId="11"/>
    <cellStyle name="표준 2 3" xfId="29"/>
    <cellStyle name="표준 2 4" xfId="76"/>
    <cellStyle name="표준 2 5" xfId="19"/>
    <cellStyle name="표준 2 5 2" xfId="78"/>
    <cellStyle name="표준 2 5 2 2" xfId="79"/>
    <cellStyle name="표준 2 5 2 2 2" xfId="89"/>
    <cellStyle name="표준 2 5 2 2 2 2" xfId="90"/>
    <cellStyle name="표준 2 5 2 2 2 2 3" xfId="91"/>
    <cellStyle name="표준 2 5 3" xfId="77"/>
    <cellStyle name="표준 2 6" xfId="23"/>
    <cellStyle name="표준 3" xfId="7"/>
    <cellStyle name="표준 3 2" xfId="13"/>
    <cellStyle name="표준 3 2 2" xfId="18"/>
    <cellStyle name="표준 3 3" xfId="31"/>
    <cellStyle name="표준 4" xfId="9"/>
    <cellStyle name="표준 4 2" xfId="86"/>
    <cellStyle name="표준 5" xfId="17"/>
    <cellStyle name="표준 5 2" xfId="87"/>
    <cellStyle name="표준 6" xfId="32"/>
    <cellStyle name="표준 7" xfId="88"/>
  </cellStyles>
  <dxfs count="1620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%20&#48376;&#50696;&#49328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40229)%202024&#45380;%202&#54924;%20&#52628;&#44221;(&#49464;&#4851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입예산 총괄표"/>
      <sheetName val="지출예산 총괄표"/>
      <sheetName val="지출예산"/>
      <sheetName val="행정관리부"/>
      <sheetName val="기획홍보부"/>
      <sheetName val="수익사업부"/>
      <sheetName val="유치협력부"/>
      <sheetName val="운영부"/>
      <sheetName val="행사부"/>
      <sheetName val="시설조성부"/>
      <sheetName val="전시연출부"/>
      <sheetName val="예비비"/>
      <sheetName val="지출예산(위탁)"/>
      <sheetName val="기획본부(위탁)"/>
      <sheetName val="운영본부(위탁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성연출부"/>
      <sheetName val="홍보사업부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R23"/>
  <sheetViews>
    <sheetView zoomScale="85" zoomScaleNormal="85" workbookViewId="0">
      <selection activeCell="D12" sqref="D12"/>
    </sheetView>
  </sheetViews>
  <sheetFormatPr defaultRowHeight="16.5" x14ac:dyDescent="0.3"/>
  <cols>
    <col min="1" max="4" width="4.625" customWidth="1"/>
    <col min="5" max="5" width="21" customWidth="1"/>
    <col min="6" max="7" width="14.375" customWidth="1"/>
    <col min="8" max="8" width="12.125" customWidth="1"/>
    <col min="14" max="14" width="16.125" customWidth="1"/>
    <col min="15" max="15" width="12.125" bestFit="1" customWidth="1"/>
    <col min="17" max="17" width="14.5" bestFit="1" customWidth="1"/>
    <col min="18" max="18" width="10.875" bestFit="1" customWidth="1"/>
  </cols>
  <sheetData>
    <row r="1" spans="1:18" ht="18" customHeight="1" x14ac:dyDescent="0.3">
      <c r="A1" s="27" t="s">
        <v>163</v>
      </c>
      <c r="B1" s="27"/>
      <c r="C1" s="28"/>
      <c r="D1" s="28"/>
      <c r="E1" s="28"/>
      <c r="F1" s="29"/>
      <c r="G1" s="29"/>
      <c r="H1" s="29"/>
    </row>
    <row r="2" spans="1:18" ht="17.25" thickBot="1" x14ac:dyDescent="0.35">
      <c r="A2" s="30"/>
      <c r="B2" s="30"/>
      <c r="C2" s="30"/>
      <c r="D2" s="30"/>
      <c r="E2" s="30"/>
      <c r="F2" s="30"/>
      <c r="G2" s="30"/>
      <c r="H2" s="31" t="s">
        <v>164</v>
      </c>
    </row>
    <row r="3" spans="1:18" ht="18" customHeight="1" x14ac:dyDescent="0.3">
      <c r="A3" s="415" t="s">
        <v>8</v>
      </c>
      <c r="B3" s="416"/>
      <c r="C3" s="416"/>
      <c r="D3" s="416"/>
      <c r="E3" s="416"/>
      <c r="F3" s="417" t="s">
        <v>271</v>
      </c>
      <c r="G3" s="417" t="s">
        <v>683</v>
      </c>
      <c r="H3" s="419" t="s">
        <v>165</v>
      </c>
    </row>
    <row r="4" spans="1:18" ht="18" thickBot="1" x14ac:dyDescent="0.35">
      <c r="A4" s="91" t="s">
        <v>18</v>
      </c>
      <c r="B4" s="32" t="s">
        <v>166</v>
      </c>
      <c r="C4" s="32" t="s">
        <v>167</v>
      </c>
      <c r="D4" s="32" t="s">
        <v>168</v>
      </c>
      <c r="E4" s="32" t="s">
        <v>12</v>
      </c>
      <c r="F4" s="418"/>
      <c r="G4" s="418"/>
      <c r="H4" s="420"/>
      <c r="K4" s="371"/>
      <c r="N4" s="279"/>
      <c r="O4" s="280"/>
      <c r="Q4" s="279"/>
      <c r="R4" s="280"/>
    </row>
    <row r="5" spans="1:18" ht="18" thickBot="1" x14ac:dyDescent="0.35">
      <c r="A5" s="421" t="s">
        <v>169</v>
      </c>
      <c r="B5" s="422"/>
      <c r="C5" s="422"/>
      <c r="D5" s="422"/>
      <c r="E5" s="422"/>
      <c r="F5" s="177">
        <f>F6</f>
        <v>24529000</v>
      </c>
      <c r="G5" s="177">
        <f>G6</f>
        <v>2420000</v>
      </c>
      <c r="H5" s="178">
        <f>F5-G5</f>
        <v>22109000</v>
      </c>
      <c r="J5" s="286"/>
      <c r="K5" s="392"/>
      <c r="N5" s="279"/>
      <c r="O5" s="280"/>
      <c r="Q5" s="279"/>
      <c r="R5" s="280"/>
    </row>
    <row r="6" spans="1:18" ht="17.25" x14ac:dyDescent="0.3">
      <c r="A6" s="281" t="s">
        <v>170</v>
      </c>
      <c r="B6" s="193"/>
      <c r="C6" s="193"/>
      <c r="D6" s="193"/>
      <c r="E6" s="193"/>
      <c r="F6" s="282">
        <f>SUM(F7,F20)</f>
        <v>24529000</v>
      </c>
      <c r="G6" s="282">
        <f>SUM(G7,G20)</f>
        <v>2420000</v>
      </c>
      <c r="H6" s="131">
        <f t="shared" ref="H6:H23" si="0">F6-G6</f>
        <v>22109000</v>
      </c>
      <c r="J6" s="286"/>
      <c r="K6" s="392"/>
      <c r="L6" s="371"/>
      <c r="N6" s="279"/>
      <c r="O6" s="283"/>
      <c r="Q6" s="279"/>
      <c r="R6" s="283"/>
    </row>
    <row r="7" spans="1:18" ht="17.25" x14ac:dyDescent="0.3">
      <c r="A7" s="267"/>
      <c r="B7" s="192" t="s">
        <v>171</v>
      </c>
      <c r="C7" s="193"/>
      <c r="D7" s="193"/>
      <c r="E7" s="193"/>
      <c r="F7" s="129">
        <f>SUM(F8,F17)</f>
        <v>24529000</v>
      </c>
      <c r="G7" s="129">
        <f>G8</f>
        <v>1560000</v>
      </c>
      <c r="H7" s="131">
        <f t="shared" si="0"/>
        <v>22969000</v>
      </c>
      <c r="J7" s="286"/>
      <c r="K7" s="392"/>
      <c r="Q7" s="279"/>
      <c r="R7" s="283"/>
    </row>
    <row r="8" spans="1:18" ht="18" customHeight="1" x14ac:dyDescent="0.3">
      <c r="A8" s="284"/>
      <c r="B8" s="285"/>
      <c r="C8" s="192" t="s">
        <v>172</v>
      </c>
      <c r="D8" s="193"/>
      <c r="E8" s="193"/>
      <c r="F8" s="129">
        <f>SUM(F9,F11,F13,F15)</f>
        <v>24511000</v>
      </c>
      <c r="G8" s="129">
        <f>G14</f>
        <v>1560000</v>
      </c>
      <c r="H8" s="131">
        <f t="shared" si="0"/>
        <v>22951000</v>
      </c>
      <c r="J8" s="286"/>
      <c r="K8" s="392"/>
      <c r="L8" s="371"/>
      <c r="N8" s="286"/>
      <c r="Q8" s="279"/>
      <c r="R8" s="283"/>
    </row>
    <row r="9" spans="1:18" ht="18" customHeight="1" x14ac:dyDescent="0.3">
      <c r="A9" s="180"/>
      <c r="B9" s="182"/>
      <c r="C9" s="33"/>
      <c r="D9" s="33" t="s">
        <v>173</v>
      </c>
      <c r="E9" s="287"/>
      <c r="F9" s="127">
        <f>F10</f>
        <v>22550000</v>
      </c>
      <c r="G9" s="127">
        <f>G10</f>
        <v>0</v>
      </c>
      <c r="H9" s="130">
        <f t="shared" si="0"/>
        <v>22550000</v>
      </c>
      <c r="J9" s="286"/>
      <c r="K9" s="392"/>
      <c r="L9" s="371"/>
    </row>
    <row r="10" spans="1:18" ht="18" customHeight="1" x14ac:dyDescent="0.3">
      <c r="A10" s="180"/>
      <c r="B10" s="182"/>
      <c r="C10" s="181"/>
      <c r="D10" s="288"/>
      <c r="E10" s="288" t="s">
        <v>174</v>
      </c>
      <c r="F10" s="289">
        <v>22550000</v>
      </c>
      <c r="G10" s="128">
        <v>0</v>
      </c>
      <c r="H10" s="130">
        <f t="shared" si="0"/>
        <v>22550000</v>
      </c>
      <c r="J10" s="286"/>
      <c r="K10" s="392"/>
      <c r="L10" s="371"/>
    </row>
    <row r="11" spans="1:18" ht="18" customHeight="1" x14ac:dyDescent="0.3">
      <c r="A11" s="180"/>
      <c r="B11" s="181"/>
      <c r="C11" s="290"/>
      <c r="D11" s="195" t="s">
        <v>684</v>
      </c>
      <c r="E11" s="197"/>
      <c r="F11" s="127">
        <f>F12</f>
        <v>0</v>
      </c>
      <c r="G11" s="127">
        <f>G12</f>
        <v>0</v>
      </c>
      <c r="H11" s="130">
        <f t="shared" si="0"/>
        <v>0</v>
      </c>
      <c r="J11" s="286"/>
      <c r="K11" s="392"/>
      <c r="L11" s="371"/>
      <c r="N11" s="286"/>
    </row>
    <row r="12" spans="1:18" ht="18" customHeight="1" x14ac:dyDescent="0.3">
      <c r="A12" s="180"/>
      <c r="B12" s="182"/>
      <c r="C12" s="181"/>
      <c r="D12" s="291"/>
      <c r="E12" s="288" t="s">
        <v>175</v>
      </c>
      <c r="F12" s="410">
        <v>0</v>
      </c>
      <c r="G12" s="128">
        <v>0</v>
      </c>
      <c r="H12" s="130">
        <f t="shared" si="0"/>
        <v>0</v>
      </c>
      <c r="J12" s="286"/>
      <c r="K12" s="392"/>
      <c r="L12" s="371"/>
      <c r="N12" s="412"/>
      <c r="O12" s="412"/>
      <c r="P12" s="412"/>
      <c r="Q12" s="412"/>
      <c r="R12" s="412"/>
    </row>
    <row r="13" spans="1:18" ht="18" customHeight="1" x14ac:dyDescent="0.3">
      <c r="A13" s="180"/>
      <c r="B13" s="181"/>
      <c r="C13" s="290"/>
      <c r="D13" s="195" t="s">
        <v>176</v>
      </c>
      <c r="E13" s="197"/>
      <c r="F13" s="127">
        <f>F14</f>
        <v>1861000</v>
      </c>
      <c r="G13" s="127">
        <f>G14</f>
        <v>1560000</v>
      </c>
      <c r="H13" s="130">
        <f t="shared" si="0"/>
        <v>301000</v>
      </c>
      <c r="J13" s="286"/>
      <c r="K13" s="392"/>
      <c r="N13" s="286"/>
    </row>
    <row r="14" spans="1:18" ht="18" customHeight="1" x14ac:dyDescent="0.3">
      <c r="A14" s="180"/>
      <c r="B14" s="182"/>
      <c r="C14" s="181"/>
      <c r="D14" s="291"/>
      <c r="E14" s="288" t="s">
        <v>177</v>
      </c>
      <c r="F14" s="289">
        <v>1861000</v>
      </c>
      <c r="G14" s="128">
        <v>1560000</v>
      </c>
      <c r="H14" s="130">
        <f t="shared" si="0"/>
        <v>301000</v>
      </c>
    </row>
    <row r="15" spans="1:18" ht="18" customHeight="1" x14ac:dyDescent="0.3">
      <c r="A15" s="180"/>
      <c r="B15" s="181"/>
      <c r="C15" s="290"/>
      <c r="D15" s="195" t="s">
        <v>602</v>
      </c>
      <c r="E15" s="197"/>
      <c r="F15" s="127">
        <f>F16</f>
        <v>100000</v>
      </c>
      <c r="G15" s="127">
        <f>G16</f>
        <v>0</v>
      </c>
      <c r="H15" s="130">
        <f t="shared" ref="H15:H16" si="1">F15-G15</f>
        <v>100000</v>
      </c>
    </row>
    <row r="16" spans="1:18" ht="18" customHeight="1" x14ac:dyDescent="0.3">
      <c r="A16" s="180"/>
      <c r="B16" s="182"/>
      <c r="C16" s="181"/>
      <c r="D16" s="291"/>
      <c r="E16" s="288" t="s">
        <v>603</v>
      </c>
      <c r="F16" s="289">
        <v>100000</v>
      </c>
      <c r="G16" s="128">
        <v>0</v>
      </c>
      <c r="H16" s="130">
        <f t="shared" si="1"/>
        <v>100000</v>
      </c>
    </row>
    <row r="17" spans="1:8" ht="18" customHeight="1" x14ac:dyDescent="0.3">
      <c r="A17" s="284"/>
      <c r="B17" s="292"/>
      <c r="C17" s="192" t="s">
        <v>178</v>
      </c>
      <c r="D17" s="193"/>
      <c r="E17" s="193"/>
      <c r="F17" s="129">
        <f>F18</f>
        <v>18000</v>
      </c>
      <c r="G17" s="129">
        <f>G18</f>
        <v>0</v>
      </c>
      <c r="H17" s="131">
        <f t="shared" si="0"/>
        <v>18000</v>
      </c>
    </row>
    <row r="18" spans="1:8" ht="18" customHeight="1" x14ac:dyDescent="0.3">
      <c r="A18" s="180"/>
      <c r="B18" s="182"/>
      <c r="C18" s="33"/>
      <c r="D18" s="33" t="s">
        <v>179</v>
      </c>
      <c r="E18" s="287"/>
      <c r="F18" s="127">
        <f>F19</f>
        <v>18000</v>
      </c>
      <c r="G18" s="127">
        <f>G19</f>
        <v>0</v>
      </c>
      <c r="H18" s="130">
        <f t="shared" si="0"/>
        <v>18000</v>
      </c>
    </row>
    <row r="19" spans="1:8" ht="18" customHeight="1" x14ac:dyDescent="0.3">
      <c r="A19" s="180"/>
      <c r="B19" s="182"/>
      <c r="C19" s="181"/>
      <c r="D19" s="288"/>
      <c r="E19" s="288" t="s">
        <v>180</v>
      </c>
      <c r="F19" s="289">
        <v>18000</v>
      </c>
      <c r="G19" s="128">
        <v>0</v>
      </c>
      <c r="H19" s="130">
        <f t="shared" si="0"/>
        <v>18000</v>
      </c>
    </row>
    <row r="20" spans="1:8" ht="18" customHeight="1" x14ac:dyDescent="0.3">
      <c r="A20" s="284"/>
      <c r="B20" s="192" t="s">
        <v>181</v>
      </c>
      <c r="C20" s="193"/>
      <c r="D20" s="293"/>
      <c r="E20" s="293"/>
      <c r="F20" s="129">
        <f>F21</f>
        <v>0</v>
      </c>
      <c r="G20" s="129">
        <v>860000</v>
      </c>
      <c r="H20" s="131">
        <f t="shared" si="0"/>
        <v>-860000</v>
      </c>
    </row>
    <row r="21" spans="1:8" x14ac:dyDescent="0.3">
      <c r="A21" s="284"/>
      <c r="B21" s="285"/>
      <c r="C21" s="192" t="s">
        <v>182</v>
      </c>
      <c r="D21" s="193"/>
      <c r="E21" s="193"/>
      <c r="F21" s="129">
        <f>F22</f>
        <v>0</v>
      </c>
      <c r="G21" s="129">
        <v>860000</v>
      </c>
      <c r="H21" s="131">
        <f t="shared" si="0"/>
        <v>-860000</v>
      </c>
    </row>
    <row r="22" spans="1:8" x14ac:dyDescent="0.3">
      <c r="A22" s="180"/>
      <c r="B22" s="182"/>
      <c r="C22" s="33"/>
      <c r="D22" s="33" t="s">
        <v>183</v>
      </c>
      <c r="E22" s="287"/>
      <c r="F22" s="127">
        <f>F23</f>
        <v>0</v>
      </c>
      <c r="G22" s="127">
        <v>860000</v>
      </c>
      <c r="H22" s="130">
        <f t="shared" si="0"/>
        <v>-860000</v>
      </c>
    </row>
    <row r="23" spans="1:8" ht="17.25" thickBot="1" x14ac:dyDescent="0.35">
      <c r="A23" s="294"/>
      <c r="B23" s="295"/>
      <c r="C23" s="296"/>
      <c r="D23" s="297"/>
      <c r="E23" s="297" t="s">
        <v>184</v>
      </c>
      <c r="F23" s="298">
        <v>0</v>
      </c>
      <c r="G23" s="299">
        <v>860000</v>
      </c>
      <c r="H23" s="300">
        <f t="shared" si="0"/>
        <v>-860000</v>
      </c>
    </row>
  </sheetData>
  <mergeCells count="5">
    <mergeCell ref="A3:E3"/>
    <mergeCell ref="F3:F4"/>
    <mergeCell ref="G3:G4"/>
    <mergeCell ref="H3:H4"/>
    <mergeCell ref="A5:E5"/>
  </mergeCells>
  <phoneticPr fontId="12" type="noConversion"/>
  <conditionalFormatting sqref="H3:H4">
    <cfRule type="containsText" dxfId="1619" priority="1" operator="containsText" text="허하나로">
      <formula>NOT(ISERROR(SEARCH("허하나로",F794)))</formula>
    </cfRule>
    <cfRule type="containsText" dxfId="1618" priority="2" operator="containsText" text="한별">
      <formula>NOT(ISERROR(SEARCH("한별",F794)))</formula>
    </cfRule>
    <cfRule type="containsText" dxfId="1617" priority="3" operator="containsText" text="정홍조">
      <formula>NOT(ISERROR(SEARCH("정홍조",F794)))</formula>
    </cfRule>
    <cfRule type="containsText" dxfId="1616" priority="4" operator="containsText" text="김지윤">
      <formula>NOT(ISERROR(SEARCH("김지윤",F794)))</formula>
    </cfRule>
    <cfRule type="containsText" dxfId="1615" priority="5" operator="containsText" text="전준영">
      <formula>NOT(ISERROR(SEARCH("전준영",F794)))</formula>
    </cfRule>
    <cfRule type="containsText" dxfId="1614" priority="6" operator="containsText" text="차재성">
      <formula>NOT(ISERROR(SEARCH("차재성",F794)))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N27"/>
  <sheetViews>
    <sheetView zoomScale="85" zoomScaleNormal="85" workbookViewId="0">
      <selection activeCell="E80" sqref="E80"/>
    </sheetView>
  </sheetViews>
  <sheetFormatPr defaultRowHeight="16.5" x14ac:dyDescent="0.3"/>
  <cols>
    <col min="1" max="1" width="5.625" style="191" customWidth="1"/>
    <col min="2" max="4" width="8" style="191" bestFit="1" customWidth="1"/>
    <col min="5" max="5" width="6.75" style="191" bestFit="1" customWidth="1"/>
    <col min="6" max="6" width="14.875" style="191" customWidth="1"/>
    <col min="7" max="8" width="14.375" style="191" customWidth="1"/>
    <col min="9" max="9" width="12.125" style="191" customWidth="1"/>
    <col min="12" max="12" width="10" bestFit="1" customWidth="1"/>
  </cols>
  <sheetData>
    <row r="1" spans="1:14" ht="18" customHeight="1" x14ac:dyDescent="0.3">
      <c r="A1" s="27" t="s">
        <v>266</v>
      </c>
      <c r="B1" s="28"/>
      <c r="C1" s="28"/>
      <c r="D1" s="28"/>
      <c r="E1" s="28"/>
      <c r="F1" s="28"/>
      <c r="G1" s="29"/>
      <c r="H1" s="29"/>
      <c r="I1" s="29"/>
    </row>
    <row r="2" spans="1:14" ht="17.25" thickBot="1" x14ac:dyDescent="0.35">
      <c r="A2" s="30"/>
      <c r="B2" s="30"/>
      <c r="C2" s="30"/>
      <c r="D2" s="30"/>
      <c r="E2" s="30"/>
      <c r="F2" s="30"/>
      <c r="G2" s="30">
        <v>1979000</v>
      </c>
      <c r="H2" s="30"/>
      <c r="I2" s="31" t="s">
        <v>164</v>
      </c>
    </row>
    <row r="3" spans="1:14" ht="18" customHeight="1" x14ac:dyDescent="0.3">
      <c r="A3" s="415" t="s">
        <v>8</v>
      </c>
      <c r="B3" s="416"/>
      <c r="C3" s="416"/>
      <c r="D3" s="416"/>
      <c r="E3" s="416"/>
      <c r="F3" s="423"/>
      <c r="G3" s="417" t="s">
        <v>682</v>
      </c>
      <c r="H3" s="417" t="s">
        <v>683</v>
      </c>
      <c r="I3" s="419" t="s">
        <v>267</v>
      </c>
    </row>
    <row r="4" spans="1:14" ht="17.25" thickBot="1" x14ac:dyDescent="0.35">
      <c r="A4" s="91" t="s">
        <v>268</v>
      </c>
      <c r="B4" s="32" t="s">
        <v>19</v>
      </c>
      <c r="C4" s="425"/>
      <c r="D4" s="426"/>
      <c r="E4" s="426"/>
      <c r="F4" s="427"/>
      <c r="G4" s="418"/>
      <c r="H4" s="418"/>
      <c r="I4" s="420"/>
      <c r="L4" s="371"/>
    </row>
    <row r="5" spans="1:14" ht="17.25" thickBot="1" x14ac:dyDescent="0.35">
      <c r="A5" s="421" t="s">
        <v>269</v>
      </c>
      <c r="B5" s="422"/>
      <c r="C5" s="422"/>
      <c r="D5" s="422"/>
      <c r="E5" s="422"/>
      <c r="F5" s="424"/>
      <c r="G5" s="336">
        <f>G6+G19</f>
        <v>24529000</v>
      </c>
      <c r="H5" s="336">
        <v>2420000</v>
      </c>
      <c r="I5" s="178">
        <f>G5-H5</f>
        <v>22109000</v>
      </c>
      <c r="K5" s="286"/>
      <c r="L5" s="392"/>
    </row>
    <row r="6" spans="1:14" ht="18" customHeight="1" x14ac:dyDescent="0.3">
      <c r="A6" s="337" t="s">
        <v>337</v>
      </c>
      <c r="B6" s="338"/>
      <c r="C6" s="339"/>
      <c r="D6" s="339"/>
      <c r="E6" s="339"/>
      <c r="F6" s="340"/>
      <c r="G6" s="341">
        <f>SUM(G7,G17)</f>
        <v>1979000</v>
      </c>
      <c r="H6" s="341">
        <v>2420000</v>
      </c>
      <c r="I6" s="342">
        <f>G6-H6</f>
        <v>-441000</v>
      </c>
      <c r="K6" s="286"/>
      <c r="L6" s="392"/>
      <c r="M6" s="371"/>
      <c r="N6" s="286"/>
    </row>
    <row r="7" spans="1:14" ht="18" customHeight="1" x14ac:dyDescent="0.3">
      <c r="A7" s="343" t="s">
        <v>5</v>
      </c>
      <c r="B7" s="193"/>
      <c r="C7" s="193"/>
      <c r="D7" s="193"/>
      <c r="E7" s="193"/>
      <c r="F7" s="194"/>
      <c r="G7" s="129">
        <f>SUM(G8:G16)</f>
        <v>1979000</v>
      </c>
      <c r="H7" s="129">
        <v>2420000</v>
      </c>
      <c r="I7" s="131">
        <f t="shared" ref="I7:I17" si="0">G7-H7</f>
        <v>-441000</v>
      </c>
      <c r="K7" s="286"/>
      <c r="L7" s="392"/>
    </row>
    <row r="8" spans="1:14" ht="18" customHeight="1" x14ac:dyDescent="0.3">
      <c r="A8" s="284"/>
      <c r="B8" s="192" t="s">
        <v>279</v>
      </c>
      <c r="C8" s="193"/>
      <c r="D8" s="193"/>
      <c r="E8" s="193"/>
      <c r="F8" s="194"/>
      <c r="G8" s="129">
        <f>행정관리부!H5</f>
        <v>927348</v>
      </c>
      <c r="H8" s="129">
        <v>306750</v>
      </c>
      <c r="I8" s="131">
        <f t="shared" si="0"/>
        <v>620598</v>
      </c>
      <c r="J8" s="286"/>
      <c r="K8" s="286"/>
      <c r="L8" s="392"/>
      <c r="M8" s="371"/>
    </row>
    <row r="9" spans="1:14" ht="18" customHeight="1" x14ac:dyDescent="0.3">
      <c r="A9" s="284"/>
      <c r="B9" s="192" t="s">
        <v>280</v>
      </c>
      <c r="C9" s="193"/>
      <c r="D9" s="193"/>
      <c r="E9" s="193"/>
      <c r="F9" s="194"/>
      <c r="G9" s="129">
        <f>기획홍보부!H5</f>
        <v>151892</v>
      </c>
      <c r="H9" s="129">
        <v>864500</v>
      </c>
      <c r="I9" s="131">
        <f t="shared" si="0"/>
        <v>-712608</v>
      </c>
      <c r="J9" s="286"/>
      <c r="K9" s="286"/>
      <c r="L9" s="392"/>
      <c r="M9" s="371"/>
    </row>
    <row r="10" spans="1:14" ht="18" customHeight="1" x14ac:dyDescent="0.3">
      <c r="A10" s="180"/>
      <c r="B10" s="192" t="s">
        <v>281</v>
      </c>
      <c r="C10" s="193"/>
      <c r="D10" s="193"/>
      <c r="E10" s="193"/>
      <c r="F10" s="194"/>
      <c r="G10" s="129">
        <f>수익사업부!H5</f>
        <v>86166</v>
      </c>
      <c r="H10" s="129">
        <v>47200</v>
      </c>
      <c r="I10" s="131">
        <f t="shared" si="0"/>
        <v>38966</v>
      </c>
      <c r="K10" s="286"/>
      <c r="L10" s="392"/>
      <c r="M10" s="371"/>
    </row>
    <row r="11" spans="1:14" ht="18" customHeight="1" x14ac:dyDescent="0.3">
      <c r="A11" s="180"/>
      <c r="B11" s="192" t="s">
        <v>282</v>
      </c>
      <c r="C11" s="193"/>
      <c r="D11" s="193"/>
      <c r="E11" s="193"/>
      <c r="F11" s="194"/>
      <c r="G11" s="129">
        <f>유치협력부!H5</f>
        <v>62518</v>
      </c>
      <c r="H11" s="129">
        <v>221270</v>
      </c>
      <c r="I11" s="131">
        <f t="shared" si="0"/>
        <v>-158752</v>
      </c>
      <c r="K11" s="286"/>
      <c r="L11" s="392"/>
      <c r="M11" s="371"/>
    </row>
    <row r="12" spans="1:14" ht="18" customHeight="1" x14ac:dyDescent="0.3">
      <c r="A12" s="284"/>
      <c r="B12" s="192" t="s">
        <v>283</v>
      </c>
      <c r="C12" s="193"/>
      <c r="D12" s="193"/>
      <c r="E12" s="193"/>
      <c r="F12" s="194"/>
      <c r="G12" s="129">
        <f>운영부!H5</f>
        <v>358632</v>
      </c>
      <c r="H12" s="129">
        <v>104400</v>
      </c>
      <c r="I12" s="131">
        <f t="shared" ref="I12:I15" si="1">G12-H12</f>
        <v>254232</v>
      </c>
      <c r="K12" s="286"/>
      <c r="L12" s="392"/>
      <c r="M12" s="371"/>
    </row>
    <row r="13" spans="1:14" ht="18" customHeight="1" x14ac:dyDescent="0.3">
      <c r="A13" s="284"/>
      <c r="B13" s="192" t="s">
        <v>284</v>
      </c>
      <c r="C13" s="193"/>
      <c r="D13" s="193"/>
      <c r="E13" s="193"/>
      <c r="F13" s="194"/>
      <c r="G13" s="129">
        <f>행사부!H5</f>
        <v>25268</v>
      </c>
      <c r="H13" s="129">
        <v>0</v>
      </c>
      <c r="I13" s="131">
        <f t="shared" si="1"/>
        <v>25268</v>
      </c>
      <c r="K13" s="286"/>
      <c r="L13" s="392"/>
    </row>
    <row r="14" spans="1:14" ht="18" customHeight="1" x14ac:dyDescent="0.3">
      <c r="A14" s="180"/>
      <c r="B14" s="192" t="s">
        <v>285</v>
      </c>
      <c r="C14" s="193"/>
      <c r="D14" s="193"/>
      <c r="E14" s="193"/>
      <c r="F14" s="194"/>
      <c r="G14" s="129">
        <f>시설조성부!H5</f>
        <v>25268</v>
      </c>
      <c r="H14" s="129">
        <v>47200</v>
      </c>
      <c r="I14" s="131">
        <f t="shared" si="1"/>
        <v>-21932</v>
      </c>
    </row>
    <row r="15" spans="1:14" ht="18" customHeight="1" x14ac:dyDescent="0.3">
      <c r="A15" s="180"/>
      <c r="B15" s="192" t="s">
        <v>286</v>
      </c>
      <c r="C15" s="193"/>
      <c r="D15" s="193"/>
      <c r="E15" s="193"/>
      <c r="F15" s="194"/>
      <c r="G15" s="129">
        <f>전시연출부!H5</f>
        <v>25268</v>
      </c>
      <c r="H15" s="129">
        <v>104400</v>
      </c>
      <c r="I15" s="131">
        <f t="shared" si="1"/>
        <v>-79132</v>
      </c>
    </row>
    <row r="16" spans="1:14" ht="18" customHeight="1" x14ac:dyDescent="0.3">
      <c r="A16" s="344"/>
      <c r="B16" s="192" t="s">
        <v>6</v>
      </c>
      <c r="C16" s="193"/>
      <c r="D16" s="193"/>
      <c r="E16" s="193"/>
      <c r="F16" s="194"/>
      <c r="G16" s="129">
        <f>예비비!H6</f>
        <v>316640</v>
      </c>
      <c r="H16" s="129">
        <v>724280</v>
      </c>
      <c r="I16" s="131">
        <f t="shared" si="0"/>
        <v>-407640</v>
      </c>
    </row>
    <row r="17" spans="1:9" s="345" customFormat="1" ht="18" customHeight="1" x14ac:dyDescent="0.3">
      <c r="A17" s="343" t="s">
        <v>207</v>
      </c>
      <c r="B17" s="193"/>
      <c r="C17" s="193"/>
      <c r="D17" s="193"/>
      <c r="E17" s="193"/>
      <c r="F17" s="194"/>
      <c r="G17" s="129">
        <f>G18</f>
        <v>0</v>
      </c>
      <c r="H17" s="129">
        <v>0</v>
      </c>
      <c r="I17" s="131">
        <f t="shared" si="0"/>
        <v>0</v>
      </c>
    </row>
    <row r="18" spans="1:9" ht="17.25" thickBot="1" x14ac:dyDescent="0.35">
      <c r="A18" s="346"/>
      <c r="B18" s="347" t="s">
        <v>209</v>
      </c>
      <c r="C18" s="348"/>
      <c r="D18" s="347"/>
      <c r="E18" s="347"/>
      <c r="F18" s="347"/>
      <c r="G18" s="379">
        <f>예비비!H13</f>
        <v>0</v>
      </c>
      <c r="H18" s="349">
        <v>0</v>
      </c>
      <c r="I18" s="350">
        <f t="shared" ref="I18:I21" si="2">G18-H18</f>
        <v>0</v>
      </c>
    </row>
    <row r="19" spans="1:9" ht="18" customHeight="1" x14ac:dyDescent="0.3">
      <c r="A19" s="351" t="s">
        <v>338</v>
      </c>
      <c r="B19" s="352"/>
      <c r="C19" s="352"/>
      <c r="D19" s="352"/>
      <c r="E19" s="352"/>
      <c r="F19" s="352"/>
      <c r="G19" s="353">
        <f>G20+G25</f>
        <v>22550000</v>
      </c>
      <c r="H19" s="353">
        <v>0</v>
      </c>
      <c r="I19" s="354">
        <f t="shared" si="2"/>
        <v>22550000</v>
      </c>
    </row>
    <row r="20" spans="1:9" ht="18" customHeight="1" x14ac:dyDescent="0.3">
      <c r="A20" s="355" t="s">
        <v>5</v>
      </c>
      <c r="B20" s="356"/>
      <c r="C20" s="356"/>
      <c r="D20" s="356"/>
      <c r="E20" s="356"/>
      <c r="F20" s="357"/>
      <c r="G20" s="353">
        <f>SUM(G21:G24)</f>
        <v>5450000</v>
      </c>
      <c r="H20" s="353">
        <v>0</v>
      </c>
      <c r="I20" s="354">
        <f t="shared" si="2"/>
        <v>5450000</v>
      </c>
    </row>
    <row r="21" spans="1:9" x14ac:dyDescent="0.3">
      <c r="A21" s="364"/>
      <c r="B21" s="361" t="s">
        <v>509</v>
      </c>
      <c r="C21" s="356"/>
      <c r="D21" s="356"/>
      <c r="E21" s="356"/>
      <c r="F21" s="357"/>
      <c r="G21" s="362">
        <f>'기획본부(위탁)'!H6</f>
        <v>2000000</v>
      </c>
      <c r="H21" s="362">
        <v>0</v>
      </c>
      <c r="I21" s="363">
        <f t="shared" si="2"/>
        <v>2000000</v>
      </c>
    </row>
    <row r="22" spans="1:9" x14ac:dyDescent="0.3">
      <c r="A22" s="393"/>
      <c r="B22" s="361" t="s">
        <v>510</v>
      </c>
      <c r="C22" s="356"/>
      <c r="D22" s="356"/>
      <c r="E22" s="356"/>
      <c r="F22" s="357"/>
      <c r="G22" s="362">
        <f>'기획본부(위탁)'!H30</f>
        <v>950000</v>
      </c>
      <c r="H22" s="362">
        <v>0</v>
      </c>
      <c r="I22" s="363">
        <f t="shared" ref="I22:I27" si="3">G22-H22</f>
        <v>950000</v>
      </c>
    </row>
    <row r="23" spans="1:9" x14ac:dyDescent="0.3">
      <c r="A23" s="393"/>
      <c r="B23" s="361" t="s">
        <v>511</v>
      </c>
      <c r="C23" s="352"/>
      <c r="D23" s="352"/>
      <c r="E23" s="352"/>
      <c r="F23" s="370"/>
      <c r="G23" s="362">
        <f>'운영본부(위탁)'!H6</f>
        <v>1000000</v>
      </c>
      <c r="H23" s="353">
        <v>0</v>
      </c>
      <c r="I23" s="354">
        <f t="shared" si="3"/>
        <v>1000000</v>
      </c>
    </row>
    <row r="24" spans="1:9" x14ac:dyDescent="0.3">
      <c r="A24" s="394"/>
      <c r="B24" s="361" t="s">
        <v>454</v>
      </c>
      <c r="C24" s="352"/>
      <c r="D24" s="352"/>
      <c r="E24" s="352"/>
      <c r="F24" s="370"/>
      <c r="G24" s="362">
        <f>'운영본부(위탁)'!H19</f>
        <v>1500000</v>
      </c>
      <c r="H24" s="353">
        <v>0</v>
      </c>
      <c r="I24" s="354">
        <f t="shared" si="3"/>
        <v>1500000</v>
      </c>
    </row>
    <row r="25" spans="1:9" ht="18" customHeight="1" x14ac:dyDescent="0.3">
      <c r="A25" s="351" t="s">
        <v>304</v>
      </c>
      <c r="B25" s="352"/>
      <c r="C25" s="352"/>
      <c r="D25" s="352"/>
      <c r="E25" s="352"/>
      <c r="F25" s="370"/>
      <c r="G25" s="353">
        <f>SUM(G26:G27)</f>
        <v>17100000</v>
      </c>
      <c r="H25" s="353">
        <v>0</v>
      </c>
      <c r="I25" s="354">
        <f t="shared" si="3"/>
        <v>17100000</v>
      </c>
    </row>
    <row r="26" spans="1:9" ht="18" customHeight="1" x14ac:dyDescent="0.3">
      <c r="A26" s="267"/>
      <c r="B26" s="361" t="s">
        <v>512</v>
      </c>
      <c r="C26" s="395"/>
      <c r="D26" s="356"/>
      <c r="E26" s="356"/>
      <c r="F26" s="357"/>
      <c r="G26" s="362">
        <f>'운영본부(위탁)'!H27</f>
        <v>10300000</v>
      </c>
      <c r="H26" s="362">
        <v>0</v>
      </c>
      <c r="I26" s="354">
        <f t="shared" si="3"/>
        <v>10300000</v>
      </c>
    </row>
    <row r="27" spans="1:9" ht="17.25" thickBot="1" x14ac:dyDescent="0.35">
      <c r="A27" s="346"/>
      <c r="B27" s="396" t="s">
        <v>454</v>
      </c>
      <c r="C27" s="397"/>
      <c r="D27" s="358"/>
      <c r="E27" s="358"/>
      <c r="F27" s="359"/>
      <c r="G27" s="360">
        <f>'운영본부(위탁)'!H57</f>
        <v>6800000</v>
      </c>
      <c r="H27" s="360">
        <v>0</v>
      </c>
      <c r="I27" s="398">
        <f t="shared" si="3"/>
        <v>6800000</v>
      </c>
    </row>
  </sheetData>
  <mergeCells count="6">
    <mergeCell ref="A3:F3"/>
    <mergeCell ref="G3:G4"/>
    <mergeCell ref="H3:H4"/>
    <mergeCell ref="I3:I4"/>
    <mergeCell ref="A5:F5"/>
    <mergeCell ref="C4:F4"/>
  </mergeCells>
  <phoneticPr fontId="12" type="noConversion"/>
  <conditionalFormatting sqref="I3:I4">
    <cfRule type="containsText" dxfId="1613" priority="1" operator="containsText" text="허하나로">
      <formula>NOT(ISERROR(SEARCH("허하나로",G655)))</formula>
    </cfRule>
    <cfRule type="containsText" dxfId="1612" priority="2" operator="containsText" text="한별">
      <formula>NOT(ISERROR(SEARCH("한별",G655)))</formula>
    </cfRule>
    <cfRule type="containsText" dxfId="1611" priority="3" operator="containsText" text="정홍조">
      <formula>NOT(ISERROR(SEARCH("정홍조",G655)))</formula>
    </cfRule>
    <cfRule type="containsText" dxfId="1610" priority="4" operator="containsText" text="김지윤">
      <formula>NOT(ISERROR(SEARCH("김지윤",G655)))</formula>
    </cfRule>
    <cfRule type="containsText" dxfId="1609" priority="5" operator="containsText" text="전준영">
      <formula>NOT(ISERROR(SEARCH("전준영",G655)))</formula>
    </cfRule>
    <cfRule type="containsText" dxfId="1608" priority="6" operator="containsText" text="차재성">
      <formula>NOT(ISERROR(SEARCH("차재성",G655)))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7" tint="0.79998168889431442"/>
    <pageSetUpPr fitToPage="1"/>
  </sheetPr>
  <dimension ref="A1:I179"/>
  <sheetViews>
    <sheetView zoomScale="85" zoomScaleNormal="85" workbookViewId="0">
      <selection activeCell="F35" sqref="F35"/>
    </sheetView>
  </sheetViews>
  <sheetFormatPr defaultRowHeight="16.5" x14ac:dyDescent="0.3"/>
  <cols>
    <col min="1" max="5" width="3.875" style="191" customWidth="1"/>
    <col min="6" max="6" width="32.625" style="191" customWidth="1"/>
    <col min="7" max="9" width="14.625" style="191" customWidth="1"/>
  </cols>
  <sheetData>
    <row r="1" spans="1:9" ht="18" customHeight="1" x14ac:dyDescent="0.3">
      <c r="A1" s="27" t="s">
        <v>159</v>
      </c>
      <c r="B1" s="28"/>
      <c r="C1" s="28"/>
      <c r="D1" s="28"/>
      <c r="E1" s="28"/>
      <c r="F1" s="28"/>
      <c r="G1" s="29"/>
      <c r="H1" s="29"/>
      <c r="I1" s="29"/>
    </row>
    <row r="2" spans="1:9" ht="18" customHeight="1" thickBot="1" x14ac:dyDescent="0.35">
      <c r="A2" s="30"/>
      <c r="B2" s="30"/>
      <c r="C2" s="30"/>
      <c r="D2" s="30"/>
      <c r="E2" s="30"/>
      <c r="F2" s="30"/>
      <c r="G2" s="30">
        <v>1979000</v>
      </c>
      <c r="H2" s="30"/>
      <c r="I2" s="31" t="s">
        <v>161</v>
      </c>
    </row>
    <row r="3" spans="1:9" ht="18" customHeight="1" x14ac:dyDescent="0.3">
      <c r="A3" s="415" t="s">
        <v>8</v>
      </c>
      <c r="B3" s="416"/>
      <c r="C3" s="416"/>
      <c r="D3" s="416"/>
      <c r="E3" s="416"/>
      <c r="F3" s="423"/>
      <c r="G3" s="428" t="s">
        <v>9</v>
      </c>
      <c r="H3" s="428" t="s">
        <v>10</v>
      </c>
      <c r="I3" s="429" t="s">
        <v>11</v>
      </c>
    </row>
    <row r="4" spans="1:9" ht="18" customHeight="1" thickBot="1" x14ac:dyDescent="0.35">
      <c r="A4" s="91" t="s">
        <v>18</v>
      </c>
      <c r="B4" s="32" t="s">
        <v>19</v>
      </c>
      <c r="C4" s="32" t="s">
        <v>20</v>
      </c>
      <c r="D4" s="32" t="s">
        <v>21</v>
      </c>
      <c r="E4" s="32" t="s">
        <v>12</v>
      </c>
      <c r="F4" s="32" t="s">
        <v>25</v>
      </c>
      <c r="G4" s="418"/>
      <c r="H4" s="418"/>
      <c r="I4" s="420"/>
    </row>
    <row r="5" spans="1:9" ht="18" customHeight="1" thickBot="1" x14ac:dyDescent="0.35">
      <c r="A5" s="421" t="s">
        <v>153</v>
      </c>
      <c r="B5" s="422"/>
      <c r="C5" s="422"/>
      <c r="D5" s="422"/>
      <c r="E5" s="422"/>
      <c r="F5" s="424"/>
      <c r="G5" s="177">
        <f>G6+G174</f>
        <v>1979000</v>
      </c>
      <c r="H5" s="178">
        <v>2420000</v>
      </c>
      <c r="I5" s="178">
        <f>G5-H5</f>
        <v>-441000</v>
      </c>
    </row>
    <row r="6" spans="1:9" ht="18" customHeight="1" x14ac:dyDescent="0.3">
      <c r="A6" s="179" t="s">
        <v>149</v>
      </c>
      <c r="B6" s="196"/>
      <c r="C6" s="196"/>
      <c r="D6" s="196"/>
      <c r="E6" s="196"/>
      <c r="F6" s="197"/>
      <c r="G6" s="126">
        <f>SUM(G42,G101,G75,G7,G114,G133,G145,G157,G169)</f>
        <v>1979000</v>
      </c>
      <c r="H6" s="126">
        <v>2420000</v>
      </c>
      <c r="I6" s="130">
        <f t="shared" ref="I6:I49" si="0">G6-H6</f>
        <v>-441000</v>
      </c>
    </row>
    <row r="7" spans="1:9" ht="18" customHeight="1" x14ac:dyDescent="0.3">
      <c r="A7" s="267"/>
      <c r="B7" s="192" t="s">
        <v>319</v>
      </c>
      <c r="C7" s="193"/>
      <c r="D7" s="193"/>
      <c r="E7" s="193"/>
      <c r="F7" s="194"/>
      <c r="G7" s="129">
        <f>SUM(G8,G16)</f>
        <v>927348</v>
      </c>
      <c r="H7" s="129">
        <v>306750</v>
      </c>
      <c r="I7" s="131">
        <f>G7-H7</f>
        <v>620598</v>
      </c>
    </row>
    <row r="8" spans="1:9" ht="18" customHeight="1" x14ac:dyDescent="0.3">
      <c r="A8" s="180"/>
      <c r="B8" s="181"/>
      <c r="C8" s="195" t="s">
        <v>397</v>
      </c>
      <c r="D8" s="196"/>
      <c r="E8" s="196"/>
      <c r="F8" s="197"/>
      <c r="G8" s="218">
        <f>SUM(G9,G12)</f>
        <v>80420</v>
      </c>
      <c r="H8" s="218">
        <f>SUM(H9,H12)</f>
        <v>44930</v>
      </c>
      <c r="I8" s="130">
        <f>G8-H8</f>
        <v>35490</v>
      </c>
    </row>
    <row r="9" spans="1:9" ht="18" customHeight="1" x14ac:dyDescent="0.3">
      <c r="A9" s="180"/>
      <c r="B9" s="182"/>
      <c r="C9" s="182"/>
      <c r="D9" s="195" t="s">
        <v>309</v>
      </c>
      <c r="E9" s="196"/>
      <c r="F9" s="197"/>
      <c r="G9" s="273">
        <f>G10</f>
        <v>32960</v>
      </c>
      <c r="H9" s="273">
        <f>H10</f>
        <v>18180</v>
      </c>
      <c r="I9" s="130">
        <f>G9-H9</f>
        <v>14780</v>
      </c>
    </row>
    <row r="10" spans="1:9" ht="18" customHeight="1" x14ac:dyDescent="0.3">
      <c r="A10" s="180"/>
      <c r="B10" s="182"/>
      <c r="C10" s="181"/>
      <c r="D10" s="183"/>
      <c r="E10" s="195" t="s">
        <v>117</v>
      </c>
      <c r="F10" s="197"/>
      <c r="G10" s="273">
        <f>행정관리부!H10</f>
        <v>32960</v>
      </c>
      <c r="H10" s="273">
        <f>H11</f>
        <v>18180</v>
      </c>
      <c r="I10" s="130">
        <f>G10-H10</f>
        <v>14780</v>
      </c>
    </row>
    <row r="11" spans="1:9" ht="18" customHeight="1" x14ac:dyDescent="0.3">
      <c r="A11" s="92"/>
      <c r="B11" s="184"/>
      <c r="C11" s="185"/>
      <c r="D11" s="184"/>
      <c r="E11" s="186"/>
      <c r="F11" s="187" t="s">
        <v>118</v>
      </c>
      <c r="G11" s="272">
        <f>행정관리부!H11</f>
        <v>32960</v>
      </c>
      <c r="H11" s="272">
        <f>행정관리부!I11</f>
        <v>18180</v>
      </c>
      <c r="I11" s="132">
        <f>G11-H11</f>
        <v>14780</v>
      </c>
    </row>
    <row r="12" spans="1:9" ht="18" customHeight="1" x14ac:dyDescent="0.3">
      <c r="A12" s="180"/>
      <c r="B12" s="182"/>
      <c r="C12" s="182"/>
      <c r="D12" s="195" t="s">
        <v>398</v>
      </c>
      <c r="E12" s="196"/>
      <c r="F12" s="197"/>
      <c r="G12" s="273">
        <f>G13</f>
        <v>47460</v>
      </c>
      <c r="H12" s="273">
        <f>SUM(H13)</f>
        <v>26750</v>
      </c>
      <c r="I12" s="130">
        <f t="shared" ref="I12:I24" si="1">G12-H12</f>
        <v>20710</v>
      </c>
    </row>
    <row r="13" spans="1:9" ht="18" customHeight="1" x14ac:dyDescent="0.3">
      <c r="A13" s="180"/>
      <c r="B13" s="182"/>
      <c r="C13" s="181"/>
      <c r="D13" s="183"/>
      <c r="E13" s="195" t="s">
        <v>119</v>
      </c>
      <c r="F13" s="197"/>
      <c r="G13" s="273">
        <f>행정관리부!H16</f>
        <v>47460</v>
      </c>
      <c r="H13" s="273">
        <f>행정관리부!I16</f>
        <v>26750</v>
      </c>
      <c r="I13" s="130">
        <f t="shared" si="1"/>
        <v>20710</v>
      </c>
    </row>
    <row r="14" spans="1:9" ht="18" customHeight="1" x14ac:dyDescent="0.3">
      <c r="A14" s="92"/>
      <c r="B14" s="184"/>
      <c r="C14" s="185"/>
      <c r="D14" s="184"/>
      <c r="E14" s="187"/>
      <c r="F14" s="187" t="s">
        <v>120</v>
      </c>
      <c r="G14" s="272">
        <f>행정관리부!H17</f>
        <v>45060</v>
      </c>
      <c r="H14" s="272">
        <f>행정관리부!I17</f>
        <v>25100</v>
      </c>
      <c r="I14" s="132">
        <f t="shared" si="1"/>
        <v>19960</v>
      </c>
    </row>
    <row r="15" spans="1:9" ht="18" customHeight="1" x14ac:dyDescent="0.3">
      <c r="A15" s="92"/>
      <c r="B15" s="184"/>
      <c r="C15" s="185"/>
      <c r="D15" s="184"/>
      <c r="E15" s="188"/>
      <c r="F15" s="187" t="s">
        <v>123</v>
      </c>
      <c r="G15" s="272">
        <f>행정관리부!H28</f>
        <v>2400</v>
      </c>
      <c r="H15" s="272">
        <f>행정관리부!I28</f>
        <v>250</v>
      </c>
      <c r="I15" s="132">
        <f t="shared" si="1"/>
        <v>2150</v>
      </c>
    </row>
    <row r="16" spans="1:9" ht="18" customHeight="1" x14ac:dyDescent="0.3">
      <c r="A16" s="180"/>
      <c r="B16" s="181"/>
      <c r="C16" s="195" t="s">
        <v>310</v>
      </c>
      <c r="D16" s="196"/>
      <c r="E16" s="196"/>
      <c r="F16" s="197"/>
      <c r="G16" s="273">
        <f>G17</f>
        <v>846928</v>
      </c>
      <c r="H16" s="273">
        <f>H17</f>
        <v>254000</v>
      </c>
      <c r="I16" s="130">
        <f t="shared" si="1"/>
        <v>592928</v>
      </c>
    </row>
    <row r="17" spans="1:9" ht="18" customHeight="1" x14ac:dyDescent="0.3">
      <c r="A17" s="180"/>
      <c r="B17" s="182"/>
      <c r="C17" s="183"/>
      <c r="D17" s="195" t="s">
        <v>311</v>
      </c>
      <c r="E17" s="196"/>
      <c r="F17" s="197"/>
      <c r="G17" s="273">
        <f>SUM(G18,G22,G24,G28,G30,G32,G35,G37,G40)</f>
        <v>846928</v>
      </c>
      <c r="H17" s="273">
        <f>SUM(H18,H22,H24,H28,H30,H32,H35,H37,H40)</f>
        <v>254000</v>
      </c>
      <c r="I17" s="130">
        <f t="shared" si="1"/>
        <v>592928</v>
      </c>
    </row>
    <row r="18" spans="1:9" ht="18" customHeight="1" x14ac:dyDescent="0.3">
      <c r="A18" s="180"/>
      <c r="B18" s="182"/>
      <c r="C18" s="181"/>
      <c r="D18" s="183"/>
      <c r="E18" s="195" t="s">
        <v>125</v>
      </c>
      <c r="F18" s="197"/>
      <c r="G18" s="273">
        <f>행정관리부!H33</f>
        <v>609331</v>
      </c>
      <c r="H18" s="273">
        <f>행정관리부!I33</f>
        <v>94800</v>
      </c>
      <c r="I18" s="130">
        <f t="shared" si="1"/>
        <v>514531</v>
      </c>
    </row>
    <row r="19" spans="1:9" ht="18" customHeight="1" x14ac:dyDescent="0.3">
      <c r="A19" s="92"/>
      <c r="B19" s="184"/>
      <c r="C19" s="185"/>
      <c r="D19" s="184"/>
      <c r="E19" s="187"/>
      <c r="F19" s="187" t="s">
        <v>126</v>
      </c>
      <c r="G19" s="272">
        <f>행정관리부!H34</f>
        <v>392400</v>
      </c>
      <c r="H19" s="272">
        <f>행정관리부!I34</f>
        <v>94800</v>
      </c>
      <c r="I19" s="132">
        <f t="shared" si="1"/>
        <v>297600</v>
      </c>
    </row>
    <row r="20" spans="1:9" ht="18" customHeight="1" x14ac:dyDescent="0.3">
      <c r="A20" s="92"/>
      <c r="B20" s="184"/>
      <c r="C20" s="185"/>
      <c r="D20" s="184"/>
      <c r="E20" s="184"/>
      <c r="F20" s="187" t="s">
        <v>399</v>
      </c>
      <c r="G20" s="272">
        <f>행정관리부!H39</f>
        <v>186102</v>
      </c>
      <c r="H20" s="272">
        <f>행정관리부!I39</f>
        <v>0</v>
      </c>
      <c r="I20" s="132">
        <f t="shared" si="1"/>
        <v>186102</v>
      </c>
    </row>
    <row r="21" spans="1:9" ht="18" customHeight="1" x14ac:dyDescent="0.3">
      <c r="A21" s="92"/>
      <c r="B21" s="184"/>
      <c r="C21" s="185"/>
      <c r="D21" s="184"/>
      <c r="E21" s="188"/>
      <c r="F21" s="187" t="s">
        <v>400</v>
      </c>
      <c r="G21" s="272">
        <f>행정관리부!H44</f>
        <v>30829</v>
      </c>
      <c r="H21" s="272">
        <f>행정관리부!I44</f>
        <v>0</v>
      </c>
      <c r="I21" s="132">
        <f t="shared" ref="I21:I23" si="2">G21-H21</f>
        <v>30829</v>
      </c>
    </row>
    <row r="22" spans="1:9" ht="18" customHeight="1" x14ac:dyDescent="0.3">
      <c r="A22" s="180"/>
      <c r="B22" s="182"/>
      <c r="C22" s="181"/>
      <c r="D22" s="182"/>
      <c r="E22" s="195" t="s">
        <v>401</v>
      </c>
      <c r="F22" s="197"/>
      <c r="G22" s="273">
        <f>행정관리부!H48</f>
        <v>10500</v>
      </c>
      <c r="H22" s="273">
        <f>행정관리부!I48</f>
        <v>0</v>
      </c>
      <c r="I22" s="130">
        <f t="shared" si="2"/>
        <v>10500</v>
      </c>
    </row>
    <row r="23" spans="1:9" ht="18" customHeight="1" x14ac:dyDescent="0.3">
      <c r="A23" s="92"/>
      <c r="B23" s="184"/>
      <c r="C23" s="185"/>
      <c r="D23" s="184"/>
      <c r="E23" s="187"/>
      <c r="F23" s="187" t="s">
        <v>402</v>
      </c>
      <c r="G23" s="272">
        <f>행정관리부!H49</f>
        <v>10500</v>
      </c>
      <c r="H23" s="272">
        <f>행정관리부!I49</f>
        <v>0</v>
      </c>
      <c r="I23" s="132">
        <f t="shared" si="2"/>
        <v>10500</v>
      </c>
    </row>
    <row r="24" spans="1:9" ht="18" customHeight="1" x14ac:dyDescent="0.3">
      <c r="A24" s="180"/>
      <c r="B24" s="182"/>
      <c r="C24" s="181"/>
      <c r="D24" s="182"/>
      <c r="E24" s="195" t="s">
        <v>127</v>
      </c>
      <c r="F24" s="197"/>
      <c r="G24" s="273">
        <f>행정관리부!H52</f>
        <v>115440</v>
      </c>
      <c r="H24" s="273">
        <f>행정관리부!I52</f>
        <v>93320</v>
      </c>
      <c r="I24" s="130">
        <f t="shared" si="1"/>
        <v>22120</v>
      </c>
    </row>
    <row r="25" spans="1:9" ht="18" customHeight="1" x14ac:dyDescent="0.3">
      <c r="A25" s="92"/>
      <c r="B25" s="184"/>
      <c r="C25" s="185"/>
      <c r="D25" s="184"/>
      <c r="E25" s="187"/>
      <c r="F25" s="187" t="s">
        <v>128</v>
      </c>
      <c r="G25" s="272">
        <f>행정관리부!H53</f>
        <v>72560</v>
      </c>
      <c r="H25" s="272">
        <f>행정관리부!I53</f>
        <v>40400</v>
      </c>
      <c r="I25" s="132">
        <f>G25-H25</f>
        <v>32160</v>
      </c>
    </row>
    <row r="26" spans="1:9" ht="18" customHeight="1" x14ac:dyDescent="0.3">
      <c r="A26" s="92"/>
      <c r="B26" s="184"/>
      <c r="C26" s="185"/>
      <c r="D26" s="184"/>
      <c r="E26" s="184"/>
      <c r="F26" s="187" t="s">
        <v>129</v>
      </c>
      <c r="G26" s="272">
        <f>행정관리부!H68</f>
        <v>21760</v>
      </c>
      <c r="H26" s="272">
        <f>행정관리부!I68</f>
        <v>11160</v>
      </c>
      <c r="I26" s="132">
        <f t="shared" ref="I26:I27" si="3">G26-H26</f>
        <v>10600</v>
      </c>
    </row>
    <row r="27" spans="1:9" ht="18" customHeight="1" x14ac:dyDescent="0.3">
      <c r="A27" s="92"/>
      <c r="B27" s="184"/>
      <c r="C27" s="185"/>
      <c r="D27" s="184"/>
      <c r="E27" s="188"/>
      <c r="F27" s="187" t="s">
        <v>152</v>
      </c>
      <c r="G27" s="272">
        <f>행정관리부!H75</f>
        <v>21120</v>
      </c>
      <c r="H27" s="272">
        <f>행정관리부!I75</f>
        <v>41760</v>
      </c>
      <c r="I27" s="132">
        <f t="shared" si="3"/>
        <v>-20640</v>
      </c>
    </row>
    <row r="28" spans="1:9" ht="18" customHeight="1" x14ac:dyDescent="0.3">
      <c r="A28" s="180"/>
      <c r="B28" s="182"/>
      <c r="C28" s="181"/>
      <c r="D28" s="182"/>
      <c r="E28" s="195" t="s">
        <v>130</v>
      </c>
      <c r="F28" s="197"/>
      <c r="G28" s="273">
        <f>행정관리부!H81</f>
        <v>18000</v>
      </c>
      <c r="H28" s="273">
        <f>행정관리부!I81</f>
        <v>15400</v>
      </c>
      <c r="I28" s="130">
        <f t="shared" ref="I28" si="4">G28-H28</f>
        <v>2600</v>
      </c>
    </row>
    <row r="29" spans="1:9" ht="18" customHeight="1" x14ac:dyDescent="0.3">
      <c r="A29" s="92"/>
      <c r="B29" s="184"/>
      <c r="C29" s="185"/>
      <c r="D29" s="184"/>
      <c r="E29" s="187"/>
      <c r="F29" s="187" t="s">
        <v>121</v>
      </c>
      <c r="G29" s="272">
        <f>행정관리부!H82</f>
        <v>18000</v>
      </c>
      <c r="H29" s="272">
        <f>행정관리부!I82</f>
        <v>15400</v>
      </c>
      <c r="I29" s="132">
        <f>G29-H29</f>
        <v>2600</v>
      </c>
    </row>
    <row r="30" spans="1:9" ht="18" customHeight="1" x14ac:dyDescent="0.3">
      <c r="A30" s="180"/>
      <c r="B30" s="182"/>
      <c r="C30" s="181"/>
      <c r="D30" s="182"/>
      <c r="E30" s="195" t="s">
        <v>132</v>
      </c>
      <c r="F30" s="197"/>
      <c r="G30" s="273">
        <f>행정관리부!H85</f>
        <v>38400</v>
      </c>
      <c r="H30" s="273">
        <f>행정관리부!I85</f>
        <v>26600</v>
      </c>
      <c r="I30" s="130">
        <f t="shared" ref="I30:I32" si="5">G30-H30</f>
        <v>11800</v>
      </c>
    </row>
    <row r="31" spans="1:9" ht="18" customHeight="1" x14ac:dyDescent="0.3">
      <c r="A31" s="92"/>
      <c r="B31" s="184"/>
      <c r="C31" s="185"/>
      <c r="D31" s="184"/>
      <c r="E31" s="186"/>
      <c r="F31" s="187" t="s">
        <v>133</v>
      </c>
      <c r="G31" s="14">
        <f>행정관리부!H86</f>
        <v>38400</v>
      </c>
      <c r="H31" s="14">
        <f>행정관리부!I86</f>
        <v>26600</v>
      </c>
      <c r="I31" s="132">
        <f t="shared" si="5"/>
        <v>11800</v>
      </c>
    </row>
    <row r="32" spans="1:9" ht="18" customHeight="1" x14ac:dyDescent="0.3">
      <c r="A32" s="180"/>
      <c r="B32" s="182"/>
      <c r="C32" s="181"/>
      <c r="D32" s="182"/>
      <c r="E32" s="195" t="s">
        <v>134</v>
      </c>
      <c r="F32" s="197"/>
      <c r="G32" s="15">
        <f>행정관리부!H93</f>
        <v>25920</v>
      </c>
      <c r="H32" s="15">
        <f>행정관리부!I93</f>
        <v>14760</v>
      </c>
      <c r="I32" s="130">
        <f t="shared" si="5"/>
        <v>11160</v>
      </c>
    </row>
    <row r="33" spans="1:9" ht="18" customHeight="1" x14ac:dyDescent="0.3">
      <c r="A33" s="180"/>
      <c r="B33" s="182"/>
      <c r="C33" s="181"/>
      <c r="D33" s="182"/>
      <c r="E33" s="33"/>
      <c r="F33" s="187" t="s">
        <v>135</v>
      </c>
      <c r="G33" s="14">
        <f>행정관리부!H94</f>
        <v>19200</v>
      </c>
      <c r="H33" s="14">
        <f>행정관리부!I94</f>
        <v>9000</v>
      </c>
      <c r="I33" s="132">
        <f>G33-H33</f>
        <v>10200</v>
      </c>
    </row>
    <row r="34" spans="1:9" ht="18" customHeight="1" x14ac:dyDescent="0.3">
      <c r="A34" s="92"/>
      <c r="B34" s="184"/>
      <c r="C34" s="185"/>
      <c r="D34" s="184"/>
      <c r="E34" s="188"/>
      <c r="F34" s="187" t="s">
        <v>154</v>
      </c>
      <c r="G34" s="14">
        <f>행정관리부!H97</f>
        <v>6720</v>
      </c>
      <c r="H34" s="14">
        <f>행정관리부!I97</f>
        <v>5760</v>
      </c>
      <c r="I34" s="132">
        <f>G34-H34</f>
        <v>960</v>
      </c>
    </row>
    <row r="35" spans="1:9" ht="18" customHeight="1" x14ac:dyDescent="0.3">
      <c r="A35" s="180"/>
      <c r="B35" s="182"/>
      <c r="C35" s="181"/>
      <c r="D35" s="182"/>
      <c r="E35" s="195" t="s">
        <v>136</v>
      </c>
      <c r="F35" s="197"/>
      <c r="G35" s="15">
        <f>행정관리부!H99</f>
        <v>5000</v>
      </c>
      <c r="H35" s="15">
        <f>행정관리부!I99</f>
        <v>2000</v>
      </c>
      <c r="I35" s="130">
        <f t="shared" ref="I35" si="6">G35-H35</f>
        <v>3000</v>
      </c>
    </row>
    <row r="36" spans="1:9" ht="18" customHeight="1" x14ac:dyDescent="0.3">
      <c r="A36" s="92"/>
      <c r="B36" s="184"/>
      <c r="C36" s="185"/>
      <c r="D36" s="184"/>
      <c r="E36" s="186"/>
      <c r="F36" s="187" t="s">
        <v>137</v>
      </c>
      <c r="G36" s="14">
        <f>행정관리부!H100</f>
        <v>5000</v>
      </c>
      <c r="H36" s="14">
        <f>행정관리부!I100</f>
        <v>2000</v>
      </c>
      <c r="I36" s="132">
        <f>G36-H36</f>
        <v>3000</v>
      </c>
    </row>
    <row r="37" spans="1:9" ht="18" customHeight="1" x14ac:dyDescent="0.3">
      <c r="A37" s="180"/>
      <c r="B37" s="182"/>
      <c r="C37" s="181"/>
      <c r="D37" s="182"/>
      <c r="E37" s="195" t="s">
        <v>138</v>
      </c>
      <c r="F37" s="197"/>
      <c r="G37" s="15">
        <f>행정관리부!H102</f>
        <v>4740</v>
      </c>
      <c r="H37" s="15">
        <f>행정관리부!I102</f>
        <v>7120</v>
      </c>
      <c r="I37" s="130">
        <f t="shared" ref="I37" si="7">G37-H37</f>
        <v>-2380</v>
      </c>
    </row>
    <row r="38" spans="1:9" ht="18" customHeight="1" x14ac:dyDescent="0.3">
      <c r="A38" s="92"/>
      <c r="B38" s="184"/>
      <c r="C38" s="185"/>
      <c r="D38" s="184"/>
      <c r="E38" s="187"/>
      <c r="F38" s="187" t="s">
        <v>139</v>
      </c>
      <c r="G38" s="14">
        <f>행정관리부!H103</f>
        <v>2640</v>
      </c>
      <c r="H38" s="14">
        <f>행정관리부!I103</f>
        <v>2320</v>
      </c>
      <c r="I38" s="133">
        <f>G38-H38</f>
        <v>320</v>
      </c>
    </row>
    <row r="39" spans="1:9" ht="18" customHeight="1" x14ac:dyDescent="0.3">
      <c r="A39" s="92"/>
      <c r="B39" s="184"/>
      <c r="C39" s="185"/>
      <c r="D39" s="184"/>
      <c r="E39" s="188"/>
      <c r="F39" s="187" t="s">
        <v>140</v>
      </c>
      <c r="G39" s="14">
        <f>행정관리부!H105</f>
        <v>2100</v>
      </c>
      <c r="H39" s="14">
        <f>행정관리부!I105</f>
        <v>4800</v>
      </c>
      <c r="I39" s="133">
        <f>G39-H39</f>
        <v>-2700</v>
      </c>
    </row>
    <row r="40" spans="1:9" ht="18" customHeight="1" x14ac:dyDescent="0.3">
      <c r="A40" s="180"/>
      <c r="B40" s="182"/>
      <c r="C40" s="181"/>
      <c r="D40" s="182"/>
      <c r="E40" s="195" t="s">
        <v>403</v>
      </c>
      <c r="F40" s="197"/>
      <c r="G40" s="15">
        <f>행정관리부!H108</f>
        <v>19597</v>
      </c>
      <c r="H40" s="15">
        <f>행정관리부!I108</f>
        <v>0</v>
      </c>
      <c r="I40" s="130">
        <f t="shared" ref="I40" si="8">G40-H40</f>
        <v>19597</v>
      </c>
    </row>
    <row r="41" spans="1:9" ht="18" customHeight="1" x14ac:dyDescent="0.3">
      <c r="A41" s="92"/>
      <c r="B41" s="184"/>
      <c r="C41" s="185"/>
      <c r="D41" s="184"/>
      <c r="E41" s="187"/>
      <c r="F41" s="187" t="s">
        <v>404</v>
      </c>
      <c r="G41" s="14">
        <f>행정관리부!H109</f>
        <v>19597</v>
      </c>
      <c r="H41" s="14">
        <f>행정관리부!I109</f>
        <v>0</v>
      </c>
      <c r="I41" s="133">
        <f>G41-H41</f>
        <v>19597</v>
      </c>
    </row>
    <row r="42" spans="1:9" ht="18" customHeight="1" x14ac:dyDescent="0.3">
      <c r="A42" s="284"/>
      <c r="B42" s="192" t="s">
        <v>291</v>
      </c>
      <c r="C42" s="193"/>
      <c r="D42" s="193"/>
      <c r="E42" s="193"/>
      <c r="F42" s="194"/>
      <c r="G42" s="129">
        <f>SUM(G43,G49,G53,G64)</f>
        <v>151892</v>
      </c>
      <c r="H42" s="129">
        <v>911700</v>
      </c>
      <c r="I42" s="131">
        <f t="shared" si="0"/>
        <v>-759808</v>
      </c>
    </row>
    <row r="43" spans="1:9" ht="18" customHeight="1" x14ac:dyDescent="0.3">
      <c r="A43" s="180"/>
      <c r="B43" s="181"/>
      <c r="C43" s="195" t="s">
        <v>308</v>
      </c>
      <c r="D43" s="196"/>
      <c r="E43" s="196"/>
      <c r="F43" s="197"/>
      <c r="G43" s="15">
        <f>기획홍보부!H7</f>
        <v>28600</v>
      </c>
      <c r="H43" s="127">
        <v>372800</v>
      </c>
      <c r="I43" s="130">
        <f>G43-H43</f>
        <v>-344200</v>
      </c>
    </row>
    <row r="44" spans="1:9" ht="18" customHeight="1" x14ac:dyDescent="0.3">
      <c r="A44" s="180"/>
      <c r="B44" s="182"/>
      <c r="C44" s="182"/>
      <c r="D44" s="195" t="s">
        <v>495</v>
      </c>
      <c r="E44" s="196"/>
      <c r="F44" s="197"/>
      <c r="G44" s="15">
        <f>기획홍보부!H8</f>
        <v>28600</v>
      </c>
      <c r="H44" s="128">
        <v>31500</v>
      </c>
      <c r="I44" s="130">
        <f t="shared" ref="I44:I46" si="9">G44-H44</f>
        <v>-2900</v>
      </c>
    </row>
    <row r="45" spans="1:9" ht="18" customHeight="1" x14ac:dyDescent="0.3">
      <c r="A45" s="180"/>
      <c r="B45" s="182"/>
      <c r="C45" s="181"/>
      <c r="D45" s="183"/>
      <c r="E45" s="195" t="s">
        <v>119</v>
      </c>
      <c r="F45" s="197"/>
      <c r="G45" s="15">
        <f>기획홍보부!H10</f>
        <v>28600</v>
      </c>
      <c r="H45" s="128">
        <v>31500</v>
      </c>
      <c r="I45" s="130">
        <f t="shared" si="9"/>
        <v>-2900</v>
      </c>
    </row>
    <row r="46" spans="1:9" ht="18" customHeight="1" x14ac:dyDescent="0.3">
      <c r="A46" s="92"/>
      <c r="B46" s="184"/>
      <c r="C46" s="185"/>
      <c r="D46" s="184"/>
      <c r="E46" s="187"/>
      <c r="F46" s="187" t="s">
        <v>120</v>
      </c>
      <c r="G46" s="14">
        <f>기획홍보부!H11</f>
        <v>28000</v>
      </c>
      <c r="H46" s="16">
        <v>30000</v>
      </c>
      <c r="I46" s="132">
        <f t="shared" si="9"/>
        <v>-2000</v>
      </c>
    </row>
    <row r="47" spans="1:9" ht="18" customHeight="1" x14ac:dyDescent="0.3">
      <c r="A47" s="92"/>
      <c r="B47" s="184"/>
      <c r="C47" s="185"/>
      <c r="D47" s="184"/>
      <c r="E47" s="184"/>
      <c r="F47" s="187" t="s">
        <v>122</v>
      </c>
      <c r="G47" s="14">
        <f>기획홍보부!H15</f>
        <v>300</v>
      </c>
      <c r="H47" s="16">
        <v>1000</v>
      </c>
      <c r="I47" s="132">
        <f t="shared" ref="I47" si="10">G47-H47</f>
        <v>-700</v>
      </c>
    </row>
    <row r="48" spans="1:9" ht="18" customHeight="1" x14ac:dyDescent="0.3">
      <c r="A48" s="92"/>
      <c r="B48" s="184"/>
      <c r="C48" s="185"/>
      <c r="D48" s="184"/>
      <c r="E48" s="184"/>
      <c r="F48" s="187" t="s">
        <v>123</v>
      </c>
      <c r="G48" s="14">
        <f>기획홍보부!H17</f>
        <v>300</v>
      </c>
      <c r="H48" s="16">
        <v>500</v>
      </c>
      <c r="I48" s="132">
        <f>G48-H48</f>
        <v>-200</v>
      </c>
    </row>
    <row r="49" spans="1:9" ht="18" customHeight="1" x14ac:dyDescent="0.3">
      <c r="A49" s="180"/>
      <c r="B49" s="181"/>
      <c r="C49" s="195" t="s">
        <v>314</v>
      </c>
      <c r="D49" s="196"/>
      <c r="E49" s="196"/>
      <c r="F49" s="197"/>
      <c r="G49" s="128">
        <f>기획홍보부!H19</f>
        <v>50000</v>
      </c>
      <c r="H49" s="127">
        <v>526850</v>
      </c>
      <c r="I49" s="130">
        <f t="shared" si="0"/>
        <v>-476850</v>
      </c>
    </row>
    <row r="50" spans="1:9" ht="18" customHeight="1" x14ac:dyDescent="0.3">
      <c r="A50" s="180"/>
      <c r="B50" s="182"/>
      <c r="C50" s="182"/>
      <c r="D50" s="195" t="s">
        <v>315</v>
      </c>
      <c r="E50" s="196"/>
      <c r="F50" s="197"/>
      <c r="G50" s="128">
        <f>기획홍보부!H20</f>
        <v>50000</v>
      </c>
      <c r="H50" s="128">
        <v>25000</v>
      </c>
      <c r="I50" s="130">
        <f t="shared" ref="I50:I55" si="11">G50-H50</f>
        <v>25000</v>
      </c>
    </row>
    <row r="51" spans="1:9" ht="18" customHeight="1" x14ac:dyDescent="0.3">
      <c r="A51" s="180"/>
      <c r="B51" s="182"/>
      <c r="C51" s="181"/>
      <c r="D51" s="183"/>
      <c r="E51" s="195" t="s">
        <v>145</v>
      </c>
      <c r="F51" s="197"/>
      <c r="G51" s="128">
        <f>기획홍보부!H22</f>
        <v>50000</v>
      </c>
      <c r="H51" s="128">
        <v>25000</v>
      </c>
      <c r="I51" s="130">
        <f t="shared" si="11"/>
        <v>25000</v>
      </c>
    </row>
    <row r="52" spans="1:9" ht="18" customHeight="1" x14ac:dyDescent="0.3">
      <c r="A52" s="92"/>
      <c r="B52" s="184"/>
      <c r="C52" s="185"/>
      <c r="D52" s="184"/>
      <c r="E52" s="186"/>
      <c r="F52" s="187" t="s">
        <v>137</v>
      </c>
      <c r="G52" s="16">
        <f>기획홍보부!H23</f>
        <v>50000</v>
      </c>
      <c r="H52" s="16">
        <v>25000</v>
      </c>
      <c r="I52" s="132">
        <f t="shared" si="11"/>
        <v>25000</v>
      </c>
    </row>
    <row r="53" spans="1:9" ht="18" customHeight="1" x14ac:dyDescent="0.3">
      <c r="A53" s="180"/>
      <c r="B53" s="181"/>
      <c r="C53" s="195" t="s">
        <v>325</v>
      </c>
      <c r="D53" s="196"/>
      <c r="E53" s="196"/>
      <c r="F53" s="197"/>
      <c r="G53" s="128">
        <f>기획홍보부!H25</f>
        <v>28292</v>
      </c>
      <c r="H53" s="127">
        <v>19800</v>
      </c>
      <c r="I53" s="130">
        <f t="shared" si="11"/>
        <v>8492</v>
      </c>
    </row>
    <row r="54" spans="1:9" ht="18" customHeight="1" x14ac:dyDescent="0.3">
      <c r="A54" s="180"/>
      <c r="B54" s="182"/>
      <c r="C54" s="183"/>
      <c r="D54" s="195" t="s">
        <v>124</v>
      </c>
      <c r="E54" s="196"/>
      <c r="F54" s="197"/>
      <c r="G54" s="128">
        <f>기획홍보부!H26</f>
        <v>28292</v>
      </c>
      <c r="H54" s="128">
        <v>19800</v>
      </c>
      <c r="I54" s="130">
        <f t="shared" si="11"/>
        <v>8492</v>
      </c>
    </row>
    <row r="55" spans="1:9" ht="18" customHeight="1" x14ac:dyDescent="0.3">
      <c r="A55" s="180"/>
      <c r="B55" s="182"/>
      <c r="C55" s="181"/>
      <c r="D55" s="183"/>
      <c r="E55" s="195" t="s">
        <v>127</v>
      </c>
      <c r="F55" s="197"/>
      <c r="G55" s="15">
        <f>기획홍보부!H28</f>
        <v>9792</v>
      </c>
      <c r="H55" s="128">
        <v>3600</v>
      </c>
      <c r="I55" s="130">
        <f t="shared" si="11"/>
        <v>6192</v>
      </c>
    </row>
    <row r="56" spans="1:9" ht="18" customHeight="1" x14ac:dyDescent="0.3">
      <c r="A56" s="92"/>
      <c r="B56" s="184"/>
      <c r="C56" s="185"/>
      <c r="D56" s="184"/>
      <c r="E56" s="187"/>
      <c r="F56" s="187" t="s">
        <v>128</v>
      </c>
      <c r="G56" s="272">
        <f>기획홍보부!H29</f>
        <v>2880</v>
      </c>
      <c r="H56" s="16">
        <v>3600</v>
      </c>
      <c r="I56" s="132">
        <f>G56-H56</f>
        <v>-720</v>
      </c>
    </row>
    <row r="57" spans="1:9" ht="18" customHeight="1" x14ac:dyDescent="0.3">
      <c r="A57" s="92"/>
      <c r="B57" s="184"/>
      <c r="C57" s="185"/>
      <c r="D57" s="184"/>
      <c r="E57" s="188"/>
      <c r="F57" s="187" t="s">
        <v>341</v>
      </c>
      <c r="G57" s="272">
        <f>기획홍보부!H31</f>
        <v>6912</v>
      </c>
      <c r="H57" s="16">
        <v>0</v>
      </c>
      <c r="I57" s="132">
        <f>G57-H57</f>
        <v>6912</v>
      </c>
    </row>
    <row r="58" spans="1:9" ht="18" customHeight="1" x14ac:dyDescent="0.3">
      <c r="A58" s="180"/>
      <c r="B58" s="182"/>
      <c r="C58" s="181"/>
      <c r="D58" s="182"/>
      <c r="E58" s="195" t="s">
        <v>130</v>
      </c>
      <c r="F58" s="197"/>
      <c r="G58" s="273">
        <f>기획홍보부!H33</f>
        <v>14400</v>
      </c>
      <c r="H58" s="128">
        <v>13200</v>
      </c>
      <c r="I58" s="130">
        <f t="shared" ref="I58" si="12">G58-H58</f>
        <v>1200</v>
      </c>
    </row>
    <row r="59" spans="1:9" ht="18" customHeight="1" x14ac:dyDescent="0.3">
      <c r="A59" s="92"/>
      <c r="B59" s="184"/>
      <c r="C59" s="185"/>
      <c r="D59" s="184"/>
      <c r="E59" s="186"/>
      <c r="F59" s="187" t="s">
        <v>121</v>
      </c>
      <c r="G59" s="272">
        <f>기획홍보부!H34</f>
        <v>14400</v>
      </c>
      <c r="H59" s="16">
        <v>13200</v>
      </c>
      <c r="I59" s="132">
        <f>G59-H59</f>
        <v>1200</v>
      </c>
    </row>
    <row r="60" spans="1:9" ht="18" customHeight="1" x14ac:dyDescent="0.3">
      <c r="A60" s="180"/>
      <c r="B60" s="182"/>
      <c r="C60" s="181"/>
      <c r="D60" s="182"/>
      <c r="E60" s="195" t="s">
        <v>132</v>
      </c>
      <c r="F60" s="197"/>
      <c r="G60" s="273">
        <f>기획홍보부!H37</f>
        <v>2000</v>
      </c>
      <c r="H60" s="128">
        <v>3000</v>
      </c>
      <c r="I60" s="130">
        <f t="shared" ref="I60:I63" si="13">G60-H60</f>
        <v>-1000</v>
      </c>
    </row>
    <row r="61" spans="1:9" ht="18" customHeight="1" x14ac:dyDescent="0.3">
      <c r="A61" s="92"/>
      <c r="B61" s="184"/>
      <c r="C61" s="185"/>
      <c r="D61" s="184"/>
      <c r="E61" s="186"/>
      <c r="F61" s="187" t="s">
        <v>133</v>
      </c>
      <c r="G61" s="272">
        <f>기획홍보부!H38</f>
        <v>2000</v>
      </c>
      <c r="H61" s="16">
        <v>3000</v>
      </c>
      <c r="I61" s="132">
        <f t="shared" si="13"/>
        <v>-1000</v>
      </c>
    </row>
    <row r="62" spans="1:9" ht="18" customHeight="1" x14ac:dyDescent="0.3">
      <c r="A62" s="180"/>
      <c r="B62" s="182"/>
      <c r="C62" s="181"/>
      <c r="D62" s="182"/>
      <c r="E62" s="195" t="s">
        <v>553</v>
      </c>
      <c r="F62" s="197"/>
      <c r="G62" s="273">
        <f>기획홍보부!H40</f>
        <v>2100</v>
      </c>
      <c r="H62" s="128">
        <v>0</v>
      </c>
      <c r="I62" s="130">
        <f t="shared" si="13"/>
        <v>2100</v>
      </c>
    </row>
    <row r="63" spans="1:9" ht="18" customHeight="1" x14ac:dyDescent="0.3">
      <c r="A63" s="92"/>
      <c r="B63" s="184"/>
      <c r="C63" s="185"/>
      <c r="D63" s="184"/>
      <c r="E63" s="186"/>
      <c r="F63" s="187" t="s">
        <v>554</v>
      </c>
      <c r="G63" s="272">
        <f>기획홍보부!H41</f>
        <v>2100</v>
      </c>
      <c r="H63" s="16">
        <v>0</v>
      </c>
      <c r="I63" s="132">
        <f t="shared" si="13"/>
        <v>2100</v>
      </c>
    </row>
    <row r="64" spans="1:9" ht="18" customHeight="1" x14ac:dyDescent="0.3">
      <c r="A64" s="180"/>
      <c r="B64" s="181"/>
      <c r="C64" s="195" t="s">
        <v>312</v>
      </c>
      <c r="D64" s="196"/>
      <c r="E64" s="196"/>
      <c r="F64" s="197"/>
      <c r="G64" s="128">
        <f>기획홍보부!H43</f>
        <v>45000</v>
      </c>
      <c r="H64" s="127">
        <v>45000</v>
      </c>
      <c r="I64" s="130">
        <f t="shared" ref="I64:I69" si="14">G64-H64</f>
        <v>0</v>
      </c>
    </row>
    <row r="65" spans="1:9" ht="18" customHeight="1" x14ac:dyDescent="0.3">
      <c r="A65" s="180"/>
      <c r="B65" s="182"/>
      <c r="C65" s="183"/>
      <c r="D65" s="195" t="s">
        <v>313</v>
      </c>
      <c r="E65" s="196"/>
      <c r="F65" s="197"/>
      <c r="G65" s="128">
        <f>기획홍보부!H44</f>
        <v>45000</v>
      </c>
      <c r="H65" s="128">
        <v>45000</v>
      </c>
      <c r="I65" s="130">
        <f t="shared" si="14"/>
        <v>0</v>
      </c>
    </row>
    <row r="66" spans="1:9" ht="18" customHeight="1" x14ac:dyDescent="0.3">
      <c r="A66" s="180"/>
      <c r="B66" s="182"/>
      <c r="C66" s="181"/>
      <c r="D66" s="183"/>
      <c r="E66" s="195" t="s">
        <v>127</v>
      </c>
      <c r="F66" s="197"/>
      <c r="G66" s="15">
        <f>기획홍보부!H46</f>
        <v>15000</v>
      </c>
      <c r="H66" s="128">
        <v>15000</v>
      </c>
      <c r="I66" s="130">
        <f t="shared" si="14"/>
        <v>0</v>
      </c>
    </row>
    <row r="67" spans="1:9" ht="18" customHeight="1" x14ac:dyDescent="0.3">
      <c r="A67" s="92"/>
      <c r="B67" s="184"/>
      <c r="C67" s="185"/>
      <c r="D67" s="184"/>
      <c r="E67" s="187"/>
      <c r="F67" s="187" t="s">
        <v>128</v>
      </c>
      <c r="G67" s="272">
        <f>기획홍보부!H47</f>
        <v>5000</v>
      </c>
      <c r="H67" s="16">
        <v>5000</v>
      </c>
      <c r="I67" s="132">
        <f t="shared" ref="I67:I68" si="15">G67-H67</f>
        <v>0</v>
      </c>
    </row>
    <row r="68" spans="1:9" ht="18" customHeight="1" x14ac:dyDescent="0.3">
      <c r="A68" s="92"/>
      <c r="B68" s="184"/>
      <c r="C68" s="185"/>
      <c r="D68" s="184"/>
      <c r="E68" s="184"/>
      <c r="F68" s="187" t="s">
        <v>129</v>
      </c>
      <c r="G68" s="272">
        <f>기획홍보부!H49</f>
        <v>5000</v>
      </c>
      <c r="H68" s="16">
        <v>5000</v>
      </c>
      <c r="I68" s="132">
        <f t="shared" si="15"/>
        <v>0</v>
      </c>
    </row>
    <row r="69" spans="1:9" ht="18" customHeight="1" x14ac:dyDescent="0.3">
      <c r="A69" s="92"/>
      <c r="B69" s="184"/>
      <c r="C69" s="185"/>
      <c r="D69" s="184"/>
      <c r="E69" s="188"/>
      <c r="F69" s="187" t="s">
        <v>155</v>
      </c>
      <c r="G69" s="272">
        <f>기획홍보부!H51</f>
        <v>5000</v>
      </c>
      <c r="H69" s="16">
        <v>5000</v>
      </c>
      <c r="I69" s="132">
        <f t="shared" si="14"/>
        <v>0</v>
      </c>
    </row>
    <row r="70" spans="1:9" ht="18" customHeight="1" x14ac:dyDescent="0.3">
      <c r="A70" s="180"/>
      <c r="B70" s="182"/>
      <c r="C70" s="181"/>
      <c r="D70" s="182"/>
      <c r="E70" s="195" t="s">
        <v>130</v>
      </c>
      <c r="F70" s="197"/>
      <c r="G70" s="15">
        <f>기획홍보부!H53</f>
        <v>25000</v>
      </c>
      <c r="H70" s="128">
        <v>25000</v>
      </c>
      <c r="I70" s="130">
        <f t="shared" ref="I70" si="16">G70-H70</f>
        <v>0</v>
      </c>
    </row>
    <row r="71" spans="1:9" ht="18" customHeight="1" x14ac:dyDescent="0.3">
      <c r="A71" s="92"/>
      <c r="B71" s="184"/>
      <c r="C71" s="185"/>
      <c r="D71" s="184"/>
      <c r="E71" s="187"/>
      <c r="F71" s="187" t="s">
        <v>121</v>
      </c>
      <c r="G71" s="272">
        <f>기획홍보부!H54</f>
        <v>5000</v>
      </c>
      <c r="H71" s="16">
        <v>5000</v>
      </c>
      <c r="I71" s="132">
        <f>G71-H71</f>
        <v>0</v>
      </c>
    </row>
    <row r="72" spans="1:9" ht="18" customHeight="1" x14ac:dyDescent="0.3">
      <c r="A72" s="92"/>
      <c r="B72" s="184"/>
      <c r="C72" s="185"/>
      <c r="D72" s="184"/>
      <c r="E72" s="188"/>
      <c r="F72" s="187" t="s">
        <v>131</v>
      </c>
      <c r="G72" s="14">
        <f>기획홍보부!H56</f>
        <v>20000</v>
      </c>
      <c r="H72" s="16">
        <v>20000</v>
      </c>
      <c r="I72" s="132">
        <f>G72-H72</f>
        <v>0</v>
      </c>
    </row>
    <row r="73" spans="1:9" ht="18" customHeight="1" x14ac:dyDescent="0.3">
      <c r="A73" s="180"/>
      <c r="B73" s="182"/>
      <c r="C73" s="181"/>
      <c r="D73" s="182"/>
      <c r="E73" s="195" t="s">
        <v>132</v>
      </c>
      <c r="F73" s="197"/>
      <c r="G73" s="15">
        <f>기획홍보부!H58</f>
        <v>5000</v>
      </c>
      <c r="H73" s="128">
        <v>5000</v>
      </c>
      <c r="I73" s="130">
        <f t="shared" ref="I73:I74" si="17">G73-H73</f>
        <v>0</v>
      </c>
    </row>
    <row r="74" spans="1:9" ht="18" customHeight="1" x14ac:dyDescent="0.3">
      <c r="A74" s="92"/>
      <c r="B74" s="184"/>
      <c r="C74" s="185"/>
      <c r="D74" s="184"/>
      <c r="E74" s="186"/>
      <c r="F74" s="187" t="s">
        <v>133</v>
      </c>
      <c r="G74" s="14">
        <f>기획홍보부!H59</f>
        <v>5000</v>
      </c>
      <c r="H74" s="16">
        <v>5000</v>
      </c>
      <c r="I74" s="132">
        <f t="shared" si="17"/>
        <v>0</v>
      </c>
    </row>
    <row r="75" spans="1:9" ht="18" customHeight="1" x14ac:dyDescent="0.3">
      <c r="A75" s="180"/>
      <c r="B75" s="192" t="s">
        <v>320</v>
      </c>
      <c r="C75" s="193"/>
      <c r="D75" s="193"/>
      <c r="E75" s="193"/>
      <c r="F75" s="194"/>
      <c r="G75" s="129">
        <f>수익사업부!H6</f>
        <v>86166</v>
      </c>
      <c r="H75" s="129">
        <f>수익사업부!I6</f>
        <v>47200</v>
      </c>
      <c r="I75" s="131">
        <f t="shared" ref="I75:I78" si="18">G75-H75</f>
        <v>38966</v>
      </c>
    </row>
    <row r="76" spans="1:9" ht="18" customHeight="1" x14ac:dyDescent="0.3">
      <c r="A76" s="180"/>
      <c r="B76" s="181"/>
      <c r="C76" s="195" t="s">
        <v>321</v>
      </c>
      <c r="D76" s="196"/>
      <c r="E76" s="196"/>
      <c r="F76" s="197"/>
      <c r="G76" s="273">
        <f>수익사업부!H7</f>
        <v>53850</v>
      </c>
      <c r="H76" s="273">
        <f>수익사업부!I7</f>
        <v>0</v>
      </c>
      <c r="I76" s="130">
        <f t="shared" si="18"/>
        <v>53850</v>
      </c>
    </row>
    <row r="77" spans="1:9" ht="18" customHeight="1" x14ac:dyDescent="0.3">
      <c r="A77" s="180"/>
      <c r="B77" s="182"/>
      <c r="C77" s="183"/>
      <c r="D77" s="195" t="s">
        <v>622</v>
      </c>
      <c r="E77" s="196"/>
      <c r="F77" s="197"/>
      <c r="G77" s="273">
        <f>수익사업부!H8</f>
        <v>14450</v>
      </c>
      <c r="H77" s="273">
        <f>수익사업부!I8</f>
        <v>0</v>
      </c>
      <c r="I77" s="130">
        <f t="shared" si="18"/>
        <v>14450</v>
      </c>
    </row>
    <row r="78" spans="1:9" ht="18" customHeight="1" x14ac:dyDescent="0.3">
      <c r="A78" s="180"/>
      <c r="B78" s="182"/>
      <c r="C78" s="181"/>
      <c r="D78" s="183"/>
      <c r="E78" s="195" t="s">
        <v>623</v>
      </c>
      <c r="F78" s="197"/>
      <c r="G78" s="273">
        <f>수익사업부!H10</f>
        <v>14450</v>
      </c>
      <c r="H78" s="273">
        <f>수익사업부!I10</f>
        <v>0</v>
      </c>
      <c r="I78" s="130">
        <f t="shared" si="18"/>
        <v>14450</v>
      </c>
    </row>
    <row r="79" spans="1:9" ht="18" customHeight="1" x14ac:dyDescent="0.3">
      <c r="A79" s="180"/>
      <c r="B79" s="182"/>
      <c r="C79" s="181"/>
      <c r="D79" s="182"/>
      <c r="E79" s="195"/>
      <c r="F79" s="187" t="s">
        <v>624</v>
      </c>
      <c r="G79" s="272">
        <f>수익사업부!H11</f>
        <v>10450</v>
      </c>
      <c r="H79" s="272">
        <f>수익사업부!I11</f>
        <v>0</v>
      </c>
      <c r="I79" s="132">
        <f>G79-H79</f>
        <v>10450</v>
      </c>
    </row>
    <row r="80" spans="1:9" ht="18" customHeight="1" x14ac:dyDescent="0.3">
      <c r="A80" s="180"/>
      <c r="B80" s="182"/>
      <c r="C80" s="181"/>
      <c r="D80" s="182"/>
      <c r="E80" s="195"/>
      <c r="F80" s="187" t="s">
        <v>625</v>
      </c>
      <c r="G80" s="272">
        <f>수익사업부!H16</f>
        <v>4000</v>
      </c>
      <c r="H80" s="272">
        <f>수익사업부!I16</f>
        <v>0</v>
      </c>
      <c r="I80" s="132">
        <f>G80-H80</f>
        <v>4000</v>
      </c>
    </row>
    <row r="81" spans="1:9" ht="18" customHeight="1" x14ac:dyDescent="0.3">
      <c r="A81" s="180"/>
      <c r="B81" s="182"/>
      <c r="C81" s="182"/>
      <c r="D81" s="195" t="s">
        <v>626</v>
      </c>
      <c r="E81" s="196"/>
      <c r="F81" s="197"/>
      <c r="G81" s="273">
        <f>수익사업부!H18</f>
        <v>7000</v>
      </c>
      <c r="H81" s="273">
        <f>수익사업부!I18</f>
        <v>0</v>
      </c>
      <c r="I81" s="130">
        <f t="shared" ref="I81:I82" si="19">G81-H81</f>
        <v>7000</v>
      </c>
    </row>
    <row r="82" spans="1:9" ht="18" customHeight="1" x14ac:dyDescent="0.3">
      <c r="A82" s="180"/>
      <c r="B82" s="182"/>
      <c r="C82" s="181"/>
      <c r="D82" s="183"/>
      <c r="E82" s="195" t="s">
        <v>627</v>
      </c>
      <c r="F82" s="197"/>
      <c r="G82" s="273">
        <f>수익사업부!H20</f>
        <v>7000</v>
      </c>
      <c r="H82" s="273">
        <f>수익사업부!I20</f>
        <v>0</v>
      </c>
      <c r="I82" s="130">
        <f t="shared" si="19"/>
        <v>7000</v>
      </c>
    </row>
    <row r="83" spans="1:9" ht="18" customHeight="1" x14ac:dyDescent="0.3">
      <c r="A83" s="180"/>
      <c r="B83" s="182"/>
      <c r="C83" s="181"/>
      <c r="D83" s="182"/>
      <c r="E83" s="195"/>
      <c r="F83" s="187" t="s">
        <v>628</v>
      </c>
      <c r="G83" s="272">
        <f>수익사업부!H21</f>
        <v>7000</v>
      </c>
      <c r="H83" s="272">
        <f>수익사업부!I21</f>
        <v>0</v>
      </c>
      <c r="I83" s="132">
        <f>G83-H83</f>
        <v>7000</v>
      </c>
    </row>
    <row r="84" spans="1:9" ht="18" customHeight="1" x14ac:dyDescent="0.3">
      <c r="A84" s="180"/>
      <c r="B84" s="182"/>
      <c r="C84" s="182"/>
      <c r="D84" s="195" t="s">
        <v>629</v>
      </c>
      <c r="E84" s="196"/>
      <c r="F84" s="197"/>
      <c r="G84" s="273">
        <f>수익사업부!H24</f>
        <v>32400</v>
      </c>
      <c r="H84" s="273">
        <f>수익사업부!I24</f>
        <v>0</v>
      </c>
      <c r="I84" s="130">
        <f t="shared" ref="I84:I95" si="20">G84-H84</f>
        <v>32400</v>
      </c>
    </row>
    <row r="85" spans="1:9" ht="18" customHeight="1" x14ac:dyDescent="0.3">
      <c r="A85" s="180"/>
      <c r="B85" s="182"/>
      <c r="C85" s="181"/>
      <c r="D85" s="183"/>
      <c r="E85" s="195" t="s">
        <v>623</v>
      </c>
      <c r="F85" s="197"/>
      <c r="G85" s="273">
        <f>수익사업부!H26</f>
        <v>22400</v>
      </c>
      <c r="H85" s="273">
        <f>수익사업부!I26</f>
        <v>0</v>
      </c>
      <c r="I85" s="130">
        <f t="shared" si="20"/>
        <v>22400</v>
      </c>
    </row>
    <row r="86" spans="1:9" ht="18" customHeight="1" x14ac:dyDescent="0.3">
      <c r="A86" s="180"/>
      <c r="B86" s="182"/>
      <c r="C86" s="181"/>
      <c r="D86" s="182"/>
      <c r="E86" s="195"/>
      <c r="F86" s="187" t="s">
        <v>628</v>
      </c>
      <c r="G86" s="272">
        <f>수익사업부!H27</f>
        <v>22400</v>
      </c>
      <c r="H86" s="272">
        <f>수익사업부!I27</f>
        <v>0</v>
      </c>
      <c r="I86" s="132">
        <f>G86-H86</f>
        <v>22400</v>
      </c>
    </row>
    <row r="87" spans="1:9" ht="18" customHeight="1" x14ac:dyDescent="0.3">
      <c r="A87" s="92"/>
      <c r="B87" s="184"/>
      <c r="C87" s="185"/>
      <c r="D87" s="184"/>
      <c r="E87" s="195" t="s">
        <v>630</v>
      </c>
      <c r="F87" s="187"/>
      <c r="G87" s="273">
        <f>수익사업부!H31</f>
        <v>10000</v>
      </c>
      <c r="H87" s="273">
        <f>수익사업부!I31</f>
        <v>0</v>
      </c>
      <c r="I87" s="130">
        <f t="shared" ref="I87:I88" si="21">G87-H87</f>
        <v>10000</v>
      </c>
    </row>
    <row r="88" spans="1:9" ht="18" customHeight="1" x14ac:dyDescent="0.3">
      <c r="A88" s="92"/>
      <c r="B88" s="184"/>
      <c r="C88" s="184"/>
      <c r="D88" s="184"/>
      <c r="E88" s="186"/>
      <c r="F88" s="187" t="s">
        <v>631</v>
      </c>
      <c r="G88" s="272">
        <f>수익사업부!H32</f>
        <v>10000</v>
      </c>
      <c r="H88" s="272">
        <f>수익사업부!I32</f>
        <v>0</v>
      </c>
      <c r="I88" s="132">
        <f t="shared" si="21"/>
        <v>10000</v>
      </c>
    </row>
    <row r="89" spans="1:9" ht="18" customHeight="1" x14ac:dyDescent="0.3">
      <c r="A89" s="180"/>
      <c r="B89" s="181"/>
      <c r="C89" s="195" t="s">
        <v>326</v>
      </c>
      <c r="D89" s="196"/>
      <c r="E89" s="196"/>
      <c r="F89" s="197"/>
      <c r="G89" s="273">
        <f>SUM(G90)</f>
        <v>32316</v>
      </c>
      <c r="H89" s="273">
        <f>SUM(H90)</f>
        <v>47200</v>
      </c>
      <c r="I89" s="130">
        <f t="shared" si="20"/>
        <v>-14884</v>
      </c>
    </row>
    <row r="90" spans="1:9" ht="18" customHeight="1" x14ac:dyDescent="0.3">
      <c r="A90" s="180"/>
      <c r="B90" s="182"/>
      <c r="C90" s="183"/>
      <c r="D90" s="195" t="s">
        <v>146</v>
      </c>
      <c r="E90" s="196"/>
      <c r="F90" s="197"/>
      <c r="G90" s="273">
        <f>SUM(G91,G95,G97,G99)</f>
        <v>32316</v>
      </c>
      <c r="H90" s="273">
        <f>SUM(H91,H95,H97,H99)</f>
        <v>47200</v>
      </c>
      <c r="I90" s="130">
        <f t="shared" si="20"/>
        <v>-14884</v>
      </c>
    </row>
    <row r="91" spans="1:9" ht="18" customHeight="1" x14ac:dyDescent="0.3">
      <c r="A91" s="180"/>
      <c r="B91" s="182"/>
      <c r="C91" s="181"/>
      <c r="D91" s="183"/>
      <c r="E91" s="195" t="s">
        <v>147</v>
      </c>
      <c r="F91" s="197"/>
      <c r="G91" s="273">
        <f>수익사업부!H37</f>
        <v>12016</v>
      </c>
      <c r="H91" s="273">
        <f>수익사업부!I37</f>
        <v>21100</v>
      </c>
      <c r="I91" s="130">
        <f t="shared" si="20"/>
        <v>-9084</v>
      </c>
    </row>
    <row r="92" spans="1:9" ht="18" customHeight="1" x14ac:dyDescent="0.3">
      <c r="A92" s="92"/>
      <c r="B92" s="184"/>
      <c r="C92" s="185"/>
      <c r="D92" s="184"/>
      <c r="E92" s="187"/>
      <c r="F92" s="187" t="s">
        <v>128</v>
      </c>
      <c r="G92" s="272">
        <f>수익사업부!H38</f>
        <v>3240</v>
      </c>
      <c r="H92" s="272">
        <f>수익사업부!I38</f>
        <v>20350</v>
      </c>
      <c r="I92" s="132">
        <f t="shared" ref="I92" si="22">G92-H92</f>
        <v>-17110</v>
      </c>
    </row>
    <row r="93" spans="1:9" ht="18" customHeight="1" x14ac:dyDescent="0.3">
      <c r="A93" s="92"/>
      <c r="B93" s="184"/>
      <c r="C93" s="185"/>
      <c r="D93" s="184"/>
      <c r="E93" s="184"/>
      <c r="F93" s="187" t="s">
        <v>148</v>
      </c>
      <c r="G93" s="272">
        <f>수익사업부!H40</f>
        <v>1000</v>
      </c>
      <c r="H93" s="272">
        <f>수익사업부!I40</f>
        <v>750</v>
      </c>
      <c r="I93" s="132">
        <f t="shared" si="20"/>
        <v>250</v>
      </c>
    </row>
    <row r="94" spans="1:9" ht="18" customHeight="1" x14ac:dyDescent="0.3">
      <c r="A94" s="92"/>
      <c r="B94" s="184"/>
      <c r="C94" s="185"/>
      <c r="D94" s="184"/>
      <c r="E94" s="188"/>
      <c r="F94" s="187" t="s">
        <v>341</v>
      </c>
      <c r="G94" s="272">
        <f>수익사업부!H42</f>
        <v>7776</v>
      </c>
      <c r="H94" s="272">
        <f>수익사업부!I42</f>
        <v>750</v>
      </c>
      <c r="I94" s="132">
        <f>G94-H94</f>
        <v>7026</v>
      </c>
    </row>
    <row r="95" spans="1:9" ht="18" customHeight="1" x14ac:dyDescent="0.3">
      <c r="A95" s="180"/>
      <c r="B95" s="182"/>
      <c r="C95" s="181"/>
      <c r="D95" s="182"/>
      <c r="E95" s="195" t="s">
        <v>130</v>
      </c>
      <c r="F95" s="197"/>
      <c r="G95" s="15">
        <f>수익사업부!H44</f>
        <v>16200</v>
      </c>
      <c r="H95" s="15">
        <f>수익사업부!I44</f>
        <v>23100</v>
      </c>
      <c r="I95" s="130">
        <f t="shared" si="20"/>
        <v>-6900</v>
      </c>
    </row>
    <row r="96" spans="1:9" ht="18" customHeight="1" x14ac:dyDescent="0.3">
      <c r="A96" s="92"/>
      <c r="B96" s="184"/>
      <c r="C96" s="185"/>
      <c r="D96" s="184"/>
      <c r="E96" s="187"/>
      <c r="F96" s="187" t="s">
        <v>121</v>
      </c>
      <c r="G96" s="272">
        <f>수익사업부!H45</f>
        <v>16200</v>
      </c>
      <c r="H96" s="272">
        <f>수익사업부!I45</f>
        <v>23100</v>
      </c>
      <c r="I96" s="132">
        <f>G96-H96</f>
        <v>-6900</v>
      </c>
    </row>
    <row r="97" spans="1:9" ht="18" customHeight="1" x14ac:dyDescent="0.3">
      <c r="A97" s="180"/>
      <c r="B97" s="182"/>
      <c r="C97" s="181"/>
      <c r="D97" s="182"/>
      <c r="E97" s="195" t="s">
        <v>132</v>
      </c>
      <c r="F97" s="197"/>
      <c r="G97" s="15">
        <f>수익사업부!H48</f>
        <v>2000</v>
      </c>
      <c r="H97" s="15">
        <f>수익사업부!I48</f>
        <v>3000</v>
      </c>
      <c r="I97" s="130">
        <f t="shared" ref="I97:I100" si="23">G97-H97</f>
        <v>-1000</v>
      </c>
    </row>
    <row r="98" spans="1:9" ht="18" customHeight="1" x14ac:dyDescent="0.3">
      <c r="A98" s="92"/>
      <c r="B98" s="184"/>
      <c r="C98" s="185"/>
      <c r="D98" s="184"/>
      <c r="E98" s="186"/>
      <c r="F98" s="187" t="s">
        <v>133</v>
      </c>
      <c r="G98" s="14">
        <f>수익사업부!H49</f>
        <v>2000</v>
      </c>
      <c r="H98" s="14">
        <f>수익사업부!I49</f>
        <v>3000</v>
      </c>
      <c r="I98" s="132">
        <f t="shared" si="23"/>
        <v>-1000</v>
      </c>
    </row>
    <row r="99" spans="1:9" ht="18" customHeight="1" x14ac:dyDescent="0.3">
      <c r="A99" s="180"/>
      <c r="B99" s="182"/>
      <c r="C99" s="181"/>
      <c r="D99" s="182"/>
      <c r="E99" s="195" t="s">
        <v>553</v>
      </c>
      <c r="F99" s="197"/>
      <c r="G99" s="273">
        <f>수익사업부!H51</f>
        <v>2100</v>
      </c>
      <c r="H99" s="273">
        <f>수익사업부!I51</f>
        <v>0</v>
      </c>
      <c r="I99" s="130">
        <f t="shared" si="23"/>
        <v>2100</v>
      </c>
    </row>
    <row r="100" spans="1:9" ht="18" customHeight="1" x14ac:dyDescent="0.3">
      <c r="A100" s="92"/>
      <c r="B100" s="184"/>
      <c r="C100" s="185"/>
      <c r="D100" s="184"/>
      <c r="E100" s="186"/>
      <c r="F100" s="187" t="s">
        <v>554</v>
      </c>
      <c r="G100" s="272">
        <f>수익사업부!H52</f>
        <v>2100</v>
      </c>
      <c r="H100" s="272">
        <f>수익사업부!I52</f>
        <v>0</v>
      </c>
      <c r="I100" s="132">
        <f t="shared" si="23"/>
        <v>2100</v>
      </c>
    </row>
    <row r="101" spans="1:9" ht="18" customHeight="1" x14ac:dyDescent="0.3">
      <c r="A101" s="180"/>
      <c r="B101" s="192" t="s">
        <v>270</v>
      </c>
      <c r="C101" s="193"/>
      <c r="D101" s="193"/>
      <c r="E101" s="193"/>
      <c r="F101" s="194"/>
      <c r="G101" s="274">
        <f>G102</f>
        <v>62518</v>
      </c>
      <c r="H101" s="129">
        <v>221270</v>
      </c>
      <c r="I101" s="131">
        <f t="shared" ref="I101" si="24">G101-H101</f>
        <v>-158752</v>
      </c>
    </row>
    <row r="102" spans="1:9" ht="18" customHeight="1" x14ac:dyDescent="0.3">
      <c r="A102" s="180"/>
      <c r="B102" s="181"/>
      <c r="C102" s="195" t="s">
        <v>327</v>
      </c>
      <c r="D102" s="196"/>
      <c r="E102" s="196"/>
      <c r="F102" s="197"/>
      <c r="G102" s="273">
        <f>유치협력부!H7</f>
        <v>62518</v>
      </c>
      <c r="H102" s="127">
        <v>17600</v>
      </c>
      <c r="I102" s="130">
        <f t="shared" ref="I102:I105" si="25">G102-H102</f>
        <v>44918</v>
      </c>
    </row>
    <row r="103" spans="1:9" ht="18" customHeight="1" x14ac:dyDescent="0.3">
      <c r="A103" s="180"/>
      <c r="B103" s="182"/>
      <c r="C103" s="183"/>
      <c r="D103" s="195" t="s">
        <v>146</v>
      </c>
      <c r="E103" s="196"/>
      <c r="F103" s="197"/>
      <c r="G103" s="273">
        <f>유치협력부!H8</f>
        <v>62518</v>
      </c>
      <c r="H103" s="128">
        <v>17600</v>
      </c>
      <c r="I103" s="130">
        <f t="shared" si="25"/>
        <v>44918</v>
      </c>
    </row>
    <row r="104" spans="1:9" ht="18" customHeight="1" x14ac:dyDescent="0.3">
      <c r="A104" s="180"/>
      <c r="B104" s="182"/>
      <c r="C104" s="181"/>
      <c r="D104" s="183"/>
      <c r="E104" s="195" t="s">
        <v>147</v>
      </c>
      <c r="F104" s="197"/>
      <c r="G104" s="273">
        <f>유치협력부!H10</f>
        <v>19818</v>
      </c>
      <c r="H104" s="128">
        <v>3600</v>
      </c>
      <c r="I104" s="130">
        <f t="shared" si="25"/>
        <v>16218</v>
      </c>
    </row>
    <row r="105" spans="1:9" ht="18" customHeight="1" x14ac:dyDescent="0.3">
      <c r="A105" s="92"/>
      <c r="B105" s="184"/>
      <c r="C105" s="185"/>
      <c r="D105" s="184"/>
      <c r="E105" s="187"/>
      <c r="F105" s="187" t="s">
        <v>128</v>
      </c>
      <c r="G105" s="272">
        <f>유치협력부!H11</f>
        <v>5770</v>
      </c>
      <c r="H105" s="16">
        <v>3600</v>
      </c>
      <c r="I105" s="132">
        <f t="shared" si="25"/>
        <v>2170</v>
      </c>
    </row>
    <row r="106" spans="1:9" ht="18" customHeight="1" x14ac:dyDescent="0.3">
      <c r="A106" s="92"/>
      <c r="B106" s="184"/>
      <c r="C106" s="185"/>
      <c r="D106" s="184"/>
      <c r="E106" s="184"/>
      <c r="F106" s="187" t="s">
        <v>633</v>
      </c>
      <c r="G106" s="272">
        <f>유치협력부!H15</f>
        <v>8000</v>
      </c>
      <c r="H106" s="272">
        <f>유치협력부!I15</f>
        <v>15000</v>
      </c>
      <c r="I106" s="272">
        <f>유치협력부!J15</f>
        <v>-7000</v>
      </c>
    </row>
    <row r="107" spans="1:9" ht="18" customHeight="1" x14ac:dyDescent="0.3">
      <c r="A107" s="92"/>
      <c r="B107" s="184"/>
      <c r="C107" s="185"/>
      <c r="D107" s="184"/>
      <c r="E107" s="188"/>
      <c r="F107" s="187" t="s">
        <v>341</v>
      </c>
      <c r="G107" s="272">
        <f>유치협력부!H17</f>
        <v>6048</v>
      </c>
      <c r="H107" s="16">
        <v>750</v>
      </c>
      <c r="I107" s="132">
        <f>G107-H107</f>
        <v>5298</v>
      </c>
    </row>
    <row r="108" spans="1:9" ht="18" customHeight="1" x14ac:dyDescent="0.3">
      <c r="A108" s="180"/>
      <c r="B108" s="182"/>
      <c r="C108" s="181"/>
      <c r="D108" s="182"/>
      <c r="E108" s="195" t="s">
        <v>130</v>
      </c>
      <c r="F108" s="197"/>
      <c r="G108" s="273">
        <f>유치협력부!H19</f>
        <v>36600</v>
      </c>
      <c r="H108" s="128">
        <v>11000</v>
      </c>
      <c r="I108" s="130">
        <f t="shared" ref="I108" si="26">G108-H108</f>
        <v>25600</v>
      </c>
    </row>
    <row r="109" spans="1:9" ht="18" customHeight="1" x14ac:dyDescent="0.3">
      <c r="A109" s="92"/>
      <c r="B109" s="184"/>
      <c r="C109" s="185"/>
      <c r="D109" s="184"/>
      <c r="E109" s="187"/>
      <c r="F109" s="187" t="s">
        <v>121</v>
      </c>
      <c r="G109" s="272">
        <f>유치협력부!H20</f>
        <v>12600</v>
      </c>
      <c r="H109" s="16">
        <v>11000</v>
      </c>
      <c r="I109" s="132">
        <f>G109-H109</f>
        <v>1600</v>
      </c>
    </row>
    <row r="110" spans="1:9" ht="18" customHeight="1" x14ac:dyDescent="0.3">
      <c r="A110" s="180"/>
      <c r="B110" s="182"/>
      <c r="C110" s="181"/>
      <c r="D110" s="182"/>
      <c r="E110" s="195" t="s">
        <v>132</v>
      </c>
      <c r="F110" s="197"/>
      <c r="G110" s="273">
        <f>유치협력부!H25</f>
        <v>4000</v>
      </c>
      <c r="H110" s="128">
        <v>3000</v>
      </c>
      <c r="I110" s="130">
        <f>G110-H110</f>
        <v>1000</v>
      </c>
    </row>
    <row r="111" spans="1:9" ht="18" customHeight="1" x14ac:dyDescent="0.3">
      <c r="A111" s="92"/>
      <c r="B111" s="184"/>
      <c r="C111" s="185"/>
      <c r="D111" s="184"/>
      <c r="E111" s="186"/>
      <c r="F111" s="187" t="s">
        <v>133</v>
      </c>
      <c r="G111" s="272">
        <f>유치협력부!H26</f>
        <v>4000</v>
      </c>
      <c r="H111" s="16">
        <v>3000</v>
      </c>
      <c r="I111" s="132">
        <f>G111-H111</f>
        <v>1000</v>
      </c>
    </row>
    <row r="112" spans="1:9" ht="18" customHeight="1" x14ac:dyDescent="0.3">
      <c r="A112" s="180"/>
      <c r="B112" s="182"/>
      <c r="C112" s="181"/>
      <c r="D112" s="182"/>
      <c r="E112" s="195" t="s">
        <v>553</v>
      </c>
      <c r="F112" s="197"/>
      <c r="G112" s="273">
        <f>유치협력부!H29</f>
        <v>2100</v>
      </c>
      <c r="H112" s="128">
        <v>0</v>
      </c>
      <c r="I112" s="130">
        <f t="shared" ref="I112:I113" si="27">G112-H112</f>
        <v>2100</v>
      </c>
    </row>
    <row r="113" spans="1:9" ht="18" customHeight="1" x14ac:dyDescent="0.3">
      <c r="A113" s="92"/>
      <c r="B113" s="184"/>
      <c r="C113" s="185"/>
      <c r="D113" s="184"/>
      <c r="E113" s="186"/>
      <c r="F113" s="187" t="s">
        <v>554</v>
      </c>
      <c r="G113" s="272">
        <f>유치협력부!H30</f>
        <v>2100</v>
      </c>
      <c r="H113" s="272">
        <f>유치협력부!I30</f>
        <v>0</v>
      </c>
      <c r="I113" s="132">
        <f t="shared" si="27"/>
        <v>2100</v>
      </c>
    </row>
    <row r="114" spans="1:9" ht="18" customHeight="1" x14ac:dyDescent="0.3">
      <c r="A114" s="180"/>
      <c r="B114" s="192" t="s">
        <v>322</v>
      </c>
      <c r="C114" s="193"/>
      <c r="D114" s="193"/>
      <c r="E114" s="193"/>
      <c r="F114" s="194"/>
      <c r="G114" s="274">
        <f>SUM(G115,G121)</f>
        <v>358632</v>
      </c>
      <c r="H114" s="274">
        <f>SUM(H115,H121)</f>
        <v>10425</v>
      </c>
      <c r="I114" s="131">
        <f t="shared" ref="I114:I117" si="28">G114-H114</f>
        <v>348207</v>
      </c>
    </row>
    <row r="115" spans="1:9" ht="18" customHeight="1" x14ac:dyDescent="0.3">
      <c r="A115" s="180"/>
      <c r="B115" s="181"/>
      <c r="C115" s="195" t="s">
        <v>405</v>
      </c>
      <c r="D115" s="196"/>
      <c r="E115" s="196"/>
      <c r="F115" s="197"/>
      <c r="G115" s="275">
        <f>SUM(G116)</f>
        <v>306500</v>
      </c>
      <c r="H115" s="275">
        <f>SUM(H116)</f>
        <v>0</v>
      </c>
      <c r="I115" s="130">
        <f t="shared" si="28"/>
        <v>306500</v>
      </c>
    </row>
    <row r="116" spans="1:9" ht="18" customHeight="1" x14ac:dyDescent="0.3">
      <c r="A116" s="180"/>
      <c r="B116" s="182"/>
      <c r="C116" s="183"/>
      <c r="D116" s="195" t="s">
        <v>406</v>
      </c>
      <c r="E116" s="196"/>
      <c r="F116" s="197"/>
      <c r="G116" s="273">
        <f>운영부!H8</f>
        <v>306500</v>
      </c>
      <c r="H116" s="273">
        <f>운영부!I8</f>
        <v>0</v>
      </c>
      <c r="I116" s="130">
        <f t="shared" si="28"/>
        <v>306500</v>
      </c>
    </row>
    <row r="117" spans="1:9" ht="18" customHeight="1" x14ac:dyDescent="0.3">
      <c r="A117" s="180"/>
      <c r="B117" s="182"/>
      <c r="C117" s="181"/>
      <c r="D117" s="183"/>
      <c r="E117" s="195" t="s">
        <v>407</v>
      </c>
      <c r="F117" s="197"/>
      <c r="G117" s="273">
        <f>운영부!H10</f>
        <v>306500</v>
      </c>
      <c r="H117" s="273">
        <f>운영부!I10</f>
        <v>0</v>
      </c>
      <c r="I117" s="130">
        <f t="shared" si="28"/>
        <v>306500</v>
      </c>
    </row>
    <row r="118" spans="1:9" ht="18" customHeight="1" x14ac:dyDescent="0.3">
      <c r="A118" s="180"/>
      <c r="B118" s="182"/>
      <c r="C118" s="181"/>
      <c r="D118" s="182"/>
      <c r="E118" s="33"/>
      <c r="F118" s="187" t="s">
        <v>120</v>
      </c>
      <c r="G118" s="272">
        <f>운영부!H11</f>
        <v>6000</v>
      </c>
      <c r="H118" s="272">
        <f>운영부!I11</f>
        <v>0</v>
      </c>
      <c r="I118" s="132">
        <f>G118-H118</f>
        <v>6000</v>
      </c>
    </row>
    <row r="119" spans="1:9" ht="18" customHeight="1" x14ac:dyDescent="0.3">
      <c r="A119" s="180"/>
      <c r="B119" s="182"/>
      <c r="C119" s="181"/>
      <c r="D119" s="182"/>
      <c r="E119" s="381"/>
      <c r="F119" s="187" t="s">
        <v>408</v>
      </c>
      <c r="G119" s="272">
        <f>운영부!H14</f>
        <v>300000</v>
      </c>
      <c r="H119" s="272">
        <f>운영부!I14</f>
        <v>0</v>
      </c>
      <c r="I119" s="132">
        <f>G119-H119</f>
        <v>300000</v>
      </c>
    </row>
    <row r="120" spans="1:9" ht="18" customHeight="1" x14ac:dyDescent="0.3">
      <c r="A120" s="180"/>
      <c r="B120" s="182"/>
      <c r="C120" s="181"/>
      <c r="D120" s="182"/>
      <c r="E120" s="380"/>
      <c r="F120" s="187" t="s">
        <v>123</v>
      </c>
      <c r="G120" s="272">
        <f>운영부!H16</f>
        <v>500</v>
      </c>
      <c r="H120" s="272">
        <f>운영부!I16</f>
        <v>0</v>
      </c>
      <c r="I120" s="132">
        <f>G120-H120</f>
        <v>500</v>
      </c>
    </row>
    <row r="121" spans="1:9" ht="18" customHeight="1" x14ac:dyDescent="0.3">
      <c r="A121" s="180"/>
      <c r="B121" s="181"/>
      <c r="C121" s="195" t="s">
        <v>450</v>
      </c>
      <c r="D121" s="196"/>
      <c r="E121" s="196"/>
      <c r="F121" s="197"/>
      <c r="G121" s="273">
        <f>운영부!H18</f>
        <v>52132</v>
      </c>
      <c r="H121" s="273">
        <f>운영부!I18</f>
        <v>10425</v>
      </c>
      <c r="I121" s="130">
        <f t="shared" ref="I121:I126" si="29">G121-H121</f>
        <v>41707</v>
      </c>
    </row>
    <row r="122" spans="1:9" ht="18" customHeight="1" x14ac:dyDescent="0.3">
      <c r="A122" s="180"/>
      <c r="B122" s="182"/>
      <c r="C122" s="183"/>
      <c r="D122" s="195" t="s">
        <v>146</v>
      </c>
      <c r="E122" s="196"/>
      <c r="F122" s="197"/>
      <c r="G122" s="273">
        <f>운영부!H19</f>
        <v>52132</v>
      </c>
      <c r="H122" s="273">
        <f>운영부!I19</f>
        <v>10425</v>
      </c>
      <c r="I122" s="130">
        <f t="shared" si="29"/>
        <v>41707</v>
      </c>
    </row>
    <row r="123" spans="1:9" ht="18" customHeight="1" x14ac:dyDescent="0.3">
      <c r="A123" s="180"/>
      <c r="B123" s="182"/>
      <c r="C123" s="181"/>
      <c r="D123" s="183"/>
      <c r="E123" s="195" t="s">
        <v>147</v>
      </c>
      <c r="F123" s="197"/>
      <c r="G123" s="273">
        <f>운영부!H21</f>
        <v>19912</v>
      </c>
      <c r="H123" s="273">
        <f>운영부!I21</f>
        <v>5275</v>
      </c>
      <c r="I123" s="130">
        <f t="shared" si="29"/>
        <v>14637</v>
      </c>
    </row>
    <row r="124" spans="1:9" ht="18" customHeight="1" x14ac:dyDescent="0.3">
      <c r="A124" s="92"/>
      <c r="B124" s="184"/>
      <c r="C124" s="185"/>
      <c r="D124" s="184"/>
      <c r="E124" s="187"/>
      <c r="F124" s="187" t="s">
        <v>128</v>
      </c>
      <c r="G124" s="272">
        <f>운영부!H22</f>
        <v>13000</v>
      </c>
      <c r="H124" s="272">
        <f>운영부!I22</f>
        <v>5275</v>
      </c>
      <c r="I124" s="132">
        <f t="shared" si="29"/>
        <v>7725</v>
      </c>
    </row>
    <row r="125" spans="1:9" ht="18" customHeight="1" x14ac:dyDescent="0.3">
      <c r="A125" s="92"/>
      <c r="B125" s="184"/>
      <c r="C125" s="185"/>
      <c r="D125" s="184"/>
      <c r="E125" s="188"/>
      <c r="F125" s="187" t="s">
        <v>341</v>
      </c>
      <c r="G125" s="272">
        <f>운영부!H26</f>
        <v>6912</v>
      </c>
      <c r="H125" s="272">
        <f>운영부!I26</f>
        <v>0</v>
      </c>
      <c r="I125" s="132">
        <f>G125-H125</f>
        <v>6912</v>
      </c>
    </row>
    <row r="126" spans="1:9" ht="18" customHeight="1" x14ac:dyDescent="0.3">
      <c r="A126" s="180"/>
      <c r="B126" s="182"/>
      <c r="C126" s="181"/>
      <c r="D126" s="182"/>
      <c r="E126" s="195" t="s">
        <v>130</v>
      </c>
      <c r="F126" s="197"/>
      <c r="G126" s="273">
        <f>운영부!H28</f>
        <v>14400</v>
      </c>
      <c r="H126" s="273">
        <f>운영부!I28</f>
        <v>4400</v>
      </c>
      <c r="I126" s="130">
        <f t="shared" si="29"/>
        <v>10000</v>
      </c>
    </row>
    <row r="127" spans="1:9" ht="18" customHeight="1" x14ac:dyDescent="0.3">
      <c r="A127" s="92"/>
      <c r="B127" s="184"/>
      <c r="C127" s="185"/>
      <c r="D127" s="184"/>
      <c r="E127" s="187"/>
      <c r="F127" s="187" t="s">
        <v>121</v>
      </c>
      <c r="G127" s="272">
        <f>운영부!H29</f>
        <v>14400</v>
      </c>
      <c r="H127" s="272">
        <f>운영부!I29</f>
        <v>4400</v>
      </c>
      <c r="I127" s="132">
        <f>G127-H127</f>
        <v>10000</v>
      </c>
    </row>
    <row r="128" spans="1:9" ht="18" customHeight="1" x14ac:dyDescent="0.3">
      <c r="A128" s="180"/>
      <c r="B128" s="182"/>
      <c r="C128" s="181"/>
      <c r="D128" s="182"/>
      <c r="E128" s="195" t="s">
        <v>132</v>
      </c>
      <c r="F128" s="197"/>
      <c r="G128" s="273">
        <f>운영부!H32</f>
        <v>13400</v>
      </c>
      <c r="H128" s="273">
        <f>운영부!I32</f>
        <v>750</v>
      </c>
      <c r="I128" s="130">
        <f t="shared" ref="I128:I129" si="30">G128-H128</f>
        <v>12650</v>
      </c>
    </row>
    <row r="129" spans="1:9" ht="18" customHeight="1" x14ac:dyDescent="0.3">
      <c r="A129" s="92"/>
      <c r="B129" s="184"/>
      <c r="C129" s="185"/>
      <c r="D129" s="184"/>
      <c r="E129" s="186"/>
      <c r="F129" s="187" t="s">
        <v>133</v>
      </c>
      <c r="G129" s="272">
        <f>운영부!H33</f>
        <v>13400</v>
      </c>
      <c r="H129" s="272">
        <f>운영부!I33</f>
        <v>750</v>
      </c>
      <c r="I129" s="132">
        <f t="shared" si="30"/>
        <v>12650</v>
      </c>
    </row>
    <row r="130" spans="1:9" ht="18" customHeight="1" x14ac:dyDescent="0.3">
      <c r="A130" s="180"/>
      <c r="B130" s="182"/>
      <c r="C130" s="181"/>
      <c r="D130" s="182"/>
      <c r="E130" s="195" t="s">
        <v>138</v>
      </c>
      <c r="F130" s="197"/>
      <c r="G130" s="273">
        <f>운영부!H38</f>
        <v>4420</v>
      </c>
      <c r="H130" s="273">
        <f>운영부!I38</f>
        <v>0</v>
      </c>
      <c r="I130" s="130">
        <f t="shared" ref="I130:I132" si="31">G130-H130</f>
        <v>4420</v>
      </c>
    </row>
    <row r="131" spans="1:9" ht="18" customHeight="1" x14ac:dyDescent="0.3">
      <c r="A131" s="180"/>
      <c r="B131" s="182"/>
      <c r="C131" s="181"/>
      <c r="D131" s="182"/>
      <c r="E131" s="33"/>
      <c r="F131" s="322" t="s">
        <v>451</v>
      </c>
      <c r="G131" s="272">
        <f>운영부!H39</f>
        <v>2320</v>
      </c>
      <c r="H131" s="272">
        <f>운영부!I39</f>
        <v>0</v>
      </c>
      <c r="I131" s="132">
        <f t="shared" si="31"/>
        <v>2320</v>
      </c>
    </row>
    <row r="132" spans="1:9" ht="18" customHeight="1" x14ac:dyDescent="0.3">
      <c r="A132" s="92"/>
      <c r="B132" s="184"/>
      <c r="C132" s="185"/>
      <c r="D132" s="184"/>
      <c r="E132" s="188"/>
      <c r="F132" s="187" t="s">
        <v>452</v>
      </c>
      <c r="G132" s="272">
        <f>운영부!H41</f>
        <v>2100</v>
      </c>
      <c r="H132" s="272">
        <f>운영부!I41</f>
        <v>0</v>
      </c>
      <c r="I132" s="132">
        <f t="shared" si="31"/>
        <v>2100</v>
      </c>
    </row>
    <row r="133" spans="1:9" ht="18" customHeight="1" x14ac:dyDescent="0.3">
      <c r="A133" s="180"/>
      <c r="B133" s="192" t="s">
        <v>328</v>
      </c>
      <c r="C133" s="193"/>
      <c r="D133" s="193"/>
      <c r="E133" s="193"/>
      <c r="F133" s="194"/>
      <c r="G133" s="274">
        <f>G134</f>
        <v>25268</v>
      </c>
      <c r="H133" s="274">
        <f>H134</f>
        <v>0</v>
      </c>
      <c r="I133" s="131">
        <f t="shared" ref="I133" si="32">G133-H133</f>
        <v>25268</v>
      </c>
    </row>
    <row r="134" spans="1:9" ht="18" customHeight="1" x14ac:dyDescent="0.3">
      <c r="A134" s="180"/>
      <c r="B134" s="181"/>
      <c r="C134" s="195" t="s">
        <v>329</v>
      </c>
      <c r="D134" s="196"/>
      <c r="E134" s="196"/>
      <c r="F134" s="197"/>
      <c r="G134" s="273">
        <f>행사부!H7</f>
        <v>25268</v>
      </c>
      <c r="H134" s="127">
        <v>0</v>
      </c>
      <c r="I134" s="130">
        <f t="shared" ref="I134:I139" si="33">G134-H134</f>
        <v>25268</v>
      </c>
    </row>
    <row r="135" spans="1:9" ht="18" customHeight="1" x14ac:dyDescent="0.3">
      <c r="A135" s="180"/>
      <c r="B135" s="182"/>
      <c r="C135" s="183"/>
      <c r="D135" s="195" t="s">
        <v>146</v>
      </c>
      <c r="E135" s="196"/>
      <c r="F135" s="197"/>
      <c r="G135" s="273">
        <f>행사부!H8</f>
        <v>25268</v>
      </c>
      <c r="H135" s="128">
        <v>0</v>
      </c>
      <c r="I135" s="130">
        <f t="shared" si="33"/>
        <v>25268</v>
      </c>
    </row>
    <row r="136" spans="1:9" ht="18" customHeight="1" x14ac:dyDescent="0.3">
      <c r="A136" s="180"/>
      <c r="B136" s="182"/>
      <c r="C136" s="181"/>
      <c r="D136" s="183"/>
      <c r="E136" s="195" t="s">
        <v>147</v>
      </c>
      <c r="F136" s="197"/>
      <c r="G136" s="273">
        <f>행사부!H10</f>
        <v>8568</v>
      </c>
      <c r="H136" s="128">
        <v>0</v>
      </c>
      <c r="I136" s="130">
        <f t="shared" si="33"/>
        <v>8568</v>
      </c>
    </row>
    <row r="137" spans="1:9" ht="18" customHeight="1" x14ac:dyDescent="0.3">
      <c r="A137" s="92"/>
      <c r="B137" s="184"/>
      <c r="C137" s="185"/>
      <c r="D137" s="184"/>
      <c r="E137" s="187"/>
      <c r="F137" s="187" t="s">
        <v>128</v>
      </c>
      <c r="G137" s="272">
        <f>행사부!H11</f>
        <v>2520</v>
      </c>
      <c r="H137" s="16">
        <v>0</v>
      </c>
      <c r="I137" s="132">
        <f t="shared" si="33"/>
        <v>2520</v>
      </c>
    </row>
    <row r="138" spans="1:9" ht="18" customHeight="1" x14ac:dyDescent="0.3">
      <c r="A138" s="92"/>
      <c r="B138" s="184"/>
      <c r="C138" s="185"/>
      <c r="D138" s="184"/>
      <c r="E138" s="188"/>
      <c r="F138" s="187" t="s">
        <v>344</v>
      </c>
      <c r="G138" s="272">
        <f>행사부!H13</f>
        <v>6048</v>
      </c>
      <c r="H138" s="16">
        <v>0</v>
      </c>
      <c r="I138" s="132">
        <f t="shared" ref="I138" si="34">G138-H138</f>
        <v>6048</v>
      </c>
    </row>
    <row r="139" spans="1:9" ht="18" customHeight="1" x14ac:dyDescent="0.3">
      <c r="A139" s="180"/>
      <c r="B139" s="182"/>
      <c r="C139" s="181"/>
      <c r="D139" s="182"/>
      <c r="E139" s="195" t="s">
        <v>130</v>
      </c>
      <c r="F139" s="197"/>
      <c r="G139" s="273">
        <f>행사부!H15</f>
        <v>12600</v>
      </c>
      <c r="H139" s="128">
        <v>0</v>
      </c>
      <c r="I139" s="130">
        <f t="shared" si="33"/>
        <v>12600</v>
      </c>
    </row>
    <row r="140" spans="1:9" ht="18" customHeight="1" x14ac:dyDescent="0.3">
      <c r="A140" s="92"/>
      <c r="B140" s="184"/>
      <c r="C140" s="185"/>
      <c r="D140" s="184"/>
      <c r="E140" s="187"/>
      <c r="F140" s="187" t="s">
        <v>121</v>
      </c>
      <c r="G140" s="272">
        <f>행사부!H16</f>
        <v>12600</v>
      </c>
      <c r="H140" s="16">
        <v>0</v>
      </c>
      <c r="I140" s="132">
        <f>G140-H140</f>
        <v>12600</v>
      </c>
    </row>
    <row r="141" spans="1:9" ht="18" customHeight="1" x14ac:dyDescent="0.3">
      <c r="A141" s="180"/>
      <c r="B141" s="182"/>
      <c r="C141" s="181"/>
      <c r="D141" s="182"/>
      <c r="E141" s="195" t="s">
        <v>132</v>
      </c>
      <c r="F141" s="197"/>
      <c r="G141" s="273">
        <f>행사부!H19</f>
        <v>2000</v>
      </c>
      <c r="H141" s="128">
        <v>0</v>
      </c>
      <c r="I141" s="130">
        <f t="shared" ref="I141:I145" si="35">G141-H141</f>
        <v>2000</v>
      </c>
    </row>
    <row r="142" spans="1:9" ht="18" customHeight="1" x14ac:dyDescent="0.3">
      <c r="A142" s="92"/>
      <c r="B142" s="184"/>
      <c r="C142" s="185"/>
      <c r="D142" s="184"/>
      <c r="E142" s="186"/>
      <c r="F142" s="187" t="s">
        <v>133</v>
      </c>
      <c r="G142" s="272">
        <f>행사부!H20</f>
        <v>2000</v>
      </c>
      <c r="H142" s="16">
        <v>0</v>
      </c>
      <c r="I142" s="132">
        <f t="shared" si="35"/>
        <v>2000</v>
      </c>
    </row>
    <row r="143" spans="1:9" ht="18" customHeight="1" x14ac:dyDescent="0.3">
      <c r="A143" s="180"/>
      <c r="B143" s="182"/>
      <c r="C143" s="181"/>
      <c r="D143" s="182"/>
      <c r="E143" s="195" t="s">
        <v>553</v>
      </c>
      <c r="F143" s="197"/>
      <c r="G143" s="273">
        <f>행사부!H22</f>
        <v>2100</v>
      </c>
      <c r="H143" s="128">
        <v>0</v>
      </c>
      <c r="I143" s="130">
        <f t="shared" ref="I143:I144" si="36">G143-H143</f>
        <v>2100</v>
      </c>
    </row>
    <row r="144" spans="1:9" ht="18" customHeight="1" x14ac:dyDescent="0.3">
      <c r="A144" s="92"/>
      <c r="B144" s="184"/>
      <c r="C144" s="185"/>
      <c r="D144" s="184"/>
      <c r="E144" s="186"/>
      <c r="F144" s="187" t="s">
        <v>554</v>
      </c>
      <c r="G144" s="272">
        <f>행사부!H23</f>
        <v>2100</v>
      </c>
      <c r="H144" s="16">
        <v>0</v>
      </c>
      <c r="I144" s="132">
        <f t="shared" si="36"/>
        <v>2100</v>
      </c>
    </row>
    <row r="145" spans="1:9" ht="18" customHeight="1" x14ac:dyDescent="0.3">
      <c r="A145" s="180"/>
      <c r="B145" s="192" t="s">
        <v>300</v>
      </c>
      <c r="C145" s="193"/>
      <c r="D145" s="193"/>
      <c r="E145" s="193"/>
      <c r="F145" s="194"/>
      <c r="G145" s="274">
        <f>G146</f>
        <v>25268</v>
      </c>
      <c r="H145" s="274">
        <f>H146</f>
        <v>47200</v>
      </c>
      <c r="I145" s="131">
        <f t="shared" si="35"/>
        <v>-21932</v>
      </c>
    </row>
    <row r="146" spans="1:9" ht="18" customHeight="1" x14ac:dyDescent="0.3">
      <c r="A146" s="180"/>
      <c r="B146" s="181"/>
      <c r="C146" s="195" t="s">
        <v>330</v>
      </c>
      <c r="D146" s="196"/>
      <c r="E146" s="196"/>
      <c r="F146" s="197"/>
      <c r="G146" s="273">
        <f>시설조성부!H7</f>
        <v>25268</v>
      </c>
      <c r="H146" s="273">
        <f>시설조성부!I7</f>
        <v>47200</v>
      </c>
      <c r="I146" s="130">
        <f t="shared" ref="I146:I151" si="37">G146-H146</f>
        <v>-21932</v>
      </c>
    </row>
    <row r="147" spans="1:9" ht="18" customHeight="1" x14ac:dyDescent="0.3">
      <c r="A147" s="180"/>
      <c r="B147" s="182"/>
      <c r="C147" s="183"/>
      <c r="D147" s="195" t="s">
        <v>146</v>
      </c>
      <c r="E147" s="196"/>
      <c r="F147" s="197"/>
      <c r="G147" s="273">
        <f>시설조성부!H8</f>
        <v>25268</v>
      </c>
      <c r="H147" s="273">
        <f>시설조성부!I8</f>
        <v>47200</v>
      </c>
      <c r="I147" s="130">
        <f t="shared" si="37"/>
        <v>-21932</v>
      </c>
    </row>
    <row r="148" spans="1:9" ht="18" customHeight="1" x14ac:dyDescent="0.3">
      <c r="A148" s="180"/>
      <c r="B148" s="182"/>
      <c r="C148" s="181"/>
      <c r="D148" s="183"/>
      <c r="E148" s="195" t="s">
        <v>147</v>
      </c>
      <c r="F148" s="197"/>
      <c r="G148" s="273">
        <f>시설조성부!H10</f>
        <v>8568</v>
      </c>
      <c r="H148" s="273">
        <f>시설조성부!I10</f>
        <v>21100</v>
      </c>
      <c r="I148" s="130">
        <f t="shared" si="37"/>
        <v>-12532</v>
      </c>
    </row>
    <row r="149" spans="1:9" ht="18" customHeight="1" x14ac:dyDescent="0.3">
      <c r="A149" s="92"/>
      <c r="B149" s="184"/>
      <c r="C149" s="185"/>
      <c r="D149" s="184"/>
      <c r="E149" s="187"/>
      <c r="F149" s="187" t="s">
        <v>128</v>
      </c>
      <c r="G149" s="272">
        <f>시설조성부!H11</f>
        <v>2520</v>
      </c>
      <c r="H149" s="272">
        <f>시설조성부!I11</f>
        <v>21100</v>
      </c>
      <c r="I149" s="132">
        <f t="shared" si="37"/>
        <v>-18580</v>
      </c>
    </row>
    <row r="150" spans="1:9" ht="18" customHeight="1" x14ac:dyDescent="0.3">
      <c r="A150" s="92"/>
      <c r="B150" s="184"/>
      <c r="C150" s="185"/>
      <c r="D150" s="184"/>
      <c r="E150" s="188"/>
      <c r="F150" s="187" t="s">
        <v>341</v>
      </c>
      <c r="G150" s="272">
        <f>시설조성부!H13</f>
        <v>6048</v>
      </c>
      <c r="H150" s="272">
        <f>시설조성부!I13</f>
        <v>0</v>
      </c>
      <c r="I150" s="132">
        <f>G150-H150</f>
        <v>6048</v>
      </c>
    </row>
    <row r="151" spans="1:9" ht="18" customHeight="1" x14ac:dyDescent="0.3">
      <c r="A151" s="180"/>
      <c r="B151" s="182"/>
      <c r="C151" s="181"/>
      <c r="D151" s="182"/>
      <c r="E151" s="195" t="s">
        <v>130</v>
      </c>
      <c r="F151" s="197"/>
      <c r="G151" s="273">
        <f>시설조성부!H15</f>
        <v>12600</v>
      </c>
      <c r="H151" s="273">
        <f>시설조성부!I15</f>
        <v>23100</v>
      </c>
      <c r="I151" s="130">
        <f t="shared" si="37"/>
        <v>-10500</v>
      </c>
    </row>
    <row r="152" spans="1:9" ht="18" customHeight="1" x14ac:dyDescent="0.3">
      <c r="A152" s="92"/>
      <c r="B152" s="184"/>
      <c r="C152" s="185"/>
      <c r="D152" s="184"/>
      <c r="E152" s="187"/>
      <c r="F152" s="187" t="s">
        <v>121</v>
      </c>
      <c r="G152" s="272">
        <f>시설조성부!H16</f>
        <v>12600</v>
      </c>
      <c r="H152" s="272">
        <f>시설조성부!I16</f>
        <v>23100</v>
      </c>
      <c r="I152" s="132">
        <f>G152-H152</f>
        <v>-10500</v>
      </c>
    </row>
    <row r="153" spans="1:9" ht="18" customHeight="1" x14ac:dyDescent="0.3">
      <c r="A153" s="180"/>
      <c r="B153" s="182"/>
      <c r="C153" s="181"/>
      <c r="D153" s="182"/>
      <c r="E153" s="195" t="s">
        <v>132</v>
      </c>
      <c r="F153" s="197"/>
      <c r="G153" s="273">
        <f>시설조성부!H19</f>
        <v>2000</v>
      </c>
      <c r="H153" s="273">
        <f>시설조성부!I19</f>
        <v>3000</v>
      </c>
      <c r="I153" s="130">
        <f t="shared" ref="I153:I157" si="38">G153-H153</f>
        <v>-1000</v>
      </c>
    </row>
    <row r="154" spans="1:9" ht="18" customHeight="1" x14ac:dyDescent="0.3">
      <c r="A154" s="92"/>
      <c r="B154" s="184"/>
      <c r="C154" s="185"/>
      <c r="D154" s="184"/>
      <c r="E154" s="186"/>
      <c r="F154" s="187" t="s">
        <v>133</v>
      </c>
      <c r="G154" s="272">
        <f>시설조성부!H20</f>
        <v>2000</v>
      </c>
      <c r="H154" s="272">
        <f>시설조성부!I20</f>
        <v>3000</v>
      </c>
      <c r="I154" s="132">
        <f t="shared" si="38"/>
        <v>-1000</v>
      </c>
    </row>
    <row r="155" spans="1:9" ht="18" customHeight="1" x14ac:dyDescent="0.3">
      <c r="A155" s="180"/>
      <c r="B155" s="182"/>
      <c r="C155" s="181"/>
      <c r="D155" s="182"/>
      <c r="E155" s="195" t="s">
        <v>553</v>
      </c>
      <c r="F155" s="197"/>
      <c r="G155" s="273">
        <f>시설조성부!H22</f>
        <v>2100</v>
      </c>
      <c r="H155" s="273">
        <f>시설조성부!I22</f>
        <v>0</v>
      </c>
      <c r="I155" s="130">
        <f t="shared" si="38"/>
        <v>2100</v>
      </c>
    </row>
    <row r="156" spans="1:9" ht="18" customHeight="1" x14ac:dyDescent="0.3">
      <c r="A156" s="92"/>
      <c r="B156" s="184"/>
      <c r="C156" s="185"/>
      <c r="D156" s="184"/>
      <c r="E156" s="186"/>
      <c r="F156" s="187" t="s">
        <v>554</v>
      </c>
      <c r="G156" s="272">
        <f>시설조성부!H23</f>
        <v>2100</v>
      </c>
      <c r="H156" s="272">
        <f>시설조성부!I23</f>
        <v>0</v>
      </c>
      <c r="I156" s="132">
        <f t="shared" si="38"/>
        <v>2100</v>
      </c>
    </row>
    <row r="157" spans="1:9" ht="18" customHeight="1" x14ac:dyDescent="0.3">
      <c r="A157" s="180"/>
      <c r="B157" s="192" t="s">
        <v>331</v>
      </c>
      <c r="C157" s="193"/>
      <c r="D157" s="193"/>
      <c r="E157" s="193"/>
      <c r="F157" s="194"/>
      <c r="G157" s="274">
        <f>G158</f>
        <v>25268</v>
      </c>
      <c r="H157" s="274">
        <f>H158</f>
        <v>10425</v>
      </c>
      <c r="I157" s="131">
        <f t="shared" si="38"/>
        <v>14843</v>
      </c>
    </row>
    <row r="158" spans="1:9" ht="18" customHeight="1" x14ac:dyDescent="0.3">
      <c r="A158" s="180"/>
      <c r="B158" s="181"/>
      <c r="C158" s="195" t="s">
        <v>262</v>
      </c>
      <c r="D158" s="196"/>
      <c r="E158" s="196"/>
      <c r="F158" s="197"/>
      <c r="G158" s="273">
        <f>전시연출부!H7</f>
        <v>25268</v>
      </c>
      <c r="H158" s="273">
        <f>전시연출부!I7</f>
        <v>10425</v>
      </c>
      <c r="I158" s="130">
        <f t="shared" ref="I158:I163" si="39">G158-H158</f>
        <v>14843</v>
      </c>
    </row>
    <row r="159" spans="1:9" ht="18" customHeight="1" x14ac:dyDescent="0.3">
      <c r="A159" s="180"/>
      <c r="B159" s="182"/>
      <c r="C159" s="183"/>
      <c r="D159" s="195" t="s">
        <v>146</v>
      </c>
      <c r="E159" s="196"/>
      <c r="F159" s="197"/>
      <c r="G159" s="273">
        <f>전시연출부!H8</f>
        <v>25268</v>
      </c>
      <c r="H159" s="273">
        <f>전시연출부!I8</f>
        <v>10425</v>
      </c>
      <c r="I159" s="130">
        <f t="shared" si="39"/>
        <v>14843</v>
      </c>
    </row>
    <row r="160" spans="1:9" ht="18" customHeight="1" x14ac:dyDescent="0.3">
      <c r="A160" s="180"/>
      <c r="B160" s="182"/>
      <c r="C160" s="181"/>
      <c r="D160" s="183"/>
      <c r="E160" s="195" t="s">
        <v>147</v>
      </c>
      <c r="F160" s="197"/>
      <c r="G160" s="273">
        <f>전시연출부!H10</f>
        <v>8568</v>
      </c>
      <c r="H160" s="273">
        <f>전시연출부!I10</f>
        <v>5275</v>
      </c>
      <c r="I160" s="130">
        <f t="shared" si="39"/>
        <v>3293</v>
      </c>
    </row>
    <row r="161" spans="1:9" ht="18" customHeight="1" x14ac:dyDescent="0.3">
      <c r="A161" s="92"/>
      <c r="B161" s="184"/>
      <c r="C161" s="185"/>
      <c r="D161" s="184"/>
      <c r="E161" s="187"/>
      <c r="F161" s="187" t="s">
        <v>128</v>
      </c>
      <c r="G161" s="272">
        <f>전시연출부!H11</f>
        <v>2520</v>
      </c>
      <c r="H161" s="272">
        <f>전시연출부!I11</f>
        <v>5275</v>
      </c>
      <c r="I161" s="132">
        <f t="shared" si="39"/>
        <v>-2755</v>
      </c>
    </row>
    <row r="162" spans="1:9" ht="18" customHeight="1" x14ac:dyDescent="0.3">
      <c r="A162" s="92"/>
      <c r="B162" s="184"/>
      <c r="C162" s="185"/>
      <c r="D162" s="184"/>
      <c r="E162" s="188"/>
      <c r="F162" s="187" t="s">
        <v>341</v>
      </c>
      <c r="G162" s="272">
        <f>전시연출부!H13</f>
        <v>6048</v>
      </c>
      <c r="H162" s="272">
        <f>전시연출부!I13</f>
        <v>0</v>
      </c>
      <c r="I162" s="132">
        <f>G162-H162</f>
        <v>6048</v>
      </c>
    </row>
    <row r="163" spans="1:9" ht="18" customHeight="1" x14ac:dyDescent="0.3">
      <c r="A163" s="180"/>
      <c r="B163" s="182"/>
      <c r="C163" s="181"/>
      <c r="D163" s="182"/>
      <c r="E163" s="195" t="s">
        <v>130</v>
      </c>
      <c r="F163" s="197"/>
      <c r="G163" s="273">
        <f>전시연출부!H15</f>
        <v>12600</v>
      </c>
      <c r="H163" s="273">
        <f>전시연출부!I15</f>
        <v>4400</v>
      </c>
      <c r="I163" s="130">
        <f t="shared" si="39"/>
        <v>8200</v>
      </c>
    </row>
    <row r="164" spans="1:9" ht="18" customHeight="1" x14ac:dyDescent="0.3">
      <c r="A164" s="92"/>
      <c r="B164" s="184"/>
      <c r="C164" s="185"/>
      <c r="D164" s="184"/>
      <c r="E164" s="187"/>
      <c r="F164" s="187" t="s">
        <v>121</v>
      </c>
      <c r="G164" s="272">
        <f>전시연출부!H16</f>
        <v>12600</v>
      </c>
      <c r="H164" s="272">
        <f>전시연출부!I16</f>
        <v>4400</v>
      </c>
      <c r="I164" s="132">
        <f>G164-H164</f>
        <v>8200</v>
      </c>
    </row>
    <row r="165" spans="1:9" ht="18" customHeight="1" x14ac:dyDescent="0.3">
      <c r="A165" s="180"/>
      <c r="B165" s="182"/>
      <c r="C165" s="181"/>
      <c r="D165" s="182"/>
      <c r="E165" s="195" t="s">
        <v>132</v>
      </c>
      <c r="F165" s="197"/>
      <c r="G165" s="273">
        <f>전시연출부!H19</f>
        <v>2000</v>
      </c>
      <c r="H165" s="273">
        <f>전시연출부!I19</f>
        <v>750</v>
      </c>
      <c r="I165" s="130">
        <f t="shared" ref="I165:I168" si="40">G165-H165</f>
        <v>1250</v>
      </c>
    </row>
    <row r="166" spans="1:9" ht="18" customHeight="1" x14ac:dyDescent="0.3">
      <c r="A166" s="92"/>
      <c r="B166" s="184"/>
      <c r="C166" s="185"/>
      <c r="D166" s="184"/>
      <c r="E166" s="186"/>
      <c r="F166" s="187" t="s">
        <v>133</v>
      </c>
      <c r="G166" s="272">
        <f>전시연출부!H20</f>
        <v>2000</v>
      </c>
      <c r="H166" s="272">
        <f>전시연출부!I20</f>
        <v>750</v>
      </c>
      <c r="I166" s="132">
        <f t="shared" si="40"/>
        <v>1250</v>
      </c>
    </row>
    <row r="167" spans="1:9" ht="18" customHeight="1" x14ac:dyDescent="0.3">
      <c r="A167" s="180"/>
      <c r="B167" s="182"/>
      <c r="C167" s="181"/>
      <c r="D167" s="182"/>
      <c r="E167" s="195" t="s">
        <v>553</v>
      </c>
      <c r="F167" s="197"/>
      <c r="G167" s="273">
        <f>전시연출부!H22</f>
        <v>2100</v>
      </c>
      <c r="H167" s="273">
        <f>전시연출부!I22</f>
        <v>0</v>
      </c>
      <c r="I167" s="130">
        <f t="shared" si="40"/>
        <v>2100</v>
      </c>
    </row>
    <row r="168" spans="1:9" ht="18" customHeight="1" x14ac:dyDescent="0.3">
      <c r="A168" s="92"/>
      <c r="B168" s="184"/>
      <c r="C168" s="185"/>
      <c r="D168" s="184"/>
      <c r="E168" s="186"/>
      <c r="F168" s="187" t="s">
        <v>554</v>
      </c>
      <c r="G168" s="272">
        <f>전시연출부!H23</f>
        <v>2100</v>
      </c>
      <c r="H168" s="272">
        <f>전시연출부!I23</f>
        <v>0</v>
      </c>
      <c r="I168" s="132">
        <f t="shared" si="40"/>
        <v>2100</v>
      </c>
    </row>
    <row r="169" spans="1:9" ht="18" customHeight="1" x14ac:dyDescent="0.3">
      <c r="A169" s="180"/>
      <c r="B169" s="192" t="s">
        <v>6</v>
      </c>
      <c r="C169" s="193"/>
      <c r="D169" s="193"/>
      <c r="E169" s="193"/>
      <c r="F169" s="194"/>
      <c r="G169" s="129">
        <f>G170</f>
        <v>316640</v>
      </c>
      <c r="H169" s="129">
        <v>724280</v>
      </c>
      <c r="I169" s="131">
        <f t="shared" ref="I169:I174" si="41">G169-H169</f>
        <v>-407640</v>
      </c>
    </row>
    <row r="170" spans="1:9" ht="18" customHeight="1" x14ac:dyDescent="0.3">
      <c r="A170" s="180"/>
      <c r="B170" s="181"/>
      <c r="C170" s="195" t="s">
        <v>141</v>
      </c>
      <c r="D170" s="196"/>
      <c r="E170" s="196"/>
      <c r="F170" s="197"/>
      <c r="G170" s="15">
        <f>예비비!H7</f>
        <v>316640</v>
      </c>
      <c r="H170" s="127">
        <v>724280</v>
      </c>
      <c r="I170" s="130">
        <f t="shared" si="41"/>
        <v>-407640</v>
      </c>
    </row>
    <row r="171" spans="1:9" ht="18" customHeight="1" x14ac:dyDescent="0.3">
      <c r="A171" s="180"/>
      <c r="B171" s="182"/>
      <c r="C171" s="183"/>
      <c r="D171" s="195" t="s">
        <v>107</v>
      </c>
      <c r="E171" s="196"/>
      <c r="F171" s="197"/>
      <c r="G171" s="15">
        <f>예비비!H8</f>
        <v>316640</v>
      </c>
      <c r="H171" s="128">
        <v>724280</v>
      </c>
      <c r="I171" s="130">
        <f t="shared" si="41"/>
        <v>-407640</v>
      </c>
    </row>
    <row r="172" spans="1:9" ht="18" customHeight="1" x14ac:dyDescent="0.3">
      <c r="A172" s="180"/>
      <c r="B172" s="182"/>
      <c r="C172" s="181"/>
      <c r="D172" s="183"/>
      <c r="E172" s="195" t="s">
        <v>6</v>
      </c>
      <c r="F172" s="197"/>
      <c r="G172" s="15">
        <f>예비비!H9</f>
        <v>316640</v>
      </c>
      <c r="H172" s="128">
        <v>724280</v>
      </c>
      <c r="I172" s="130">
        <f t="shared" si="41"/>
        <v>-407640</v>
      </c>
    </row>
    <row r="173" spans="1:9" ht="18" customHeight="1" thickBot="1" x14ac:dyDescent="0.35">
      <c r="A173" s="264"/>
      <c r="B173" s="189"/>
      <c r="C173" s="265"/>
      <c r="D173" s="189"/>
      <c r="E173" s="190"/>
      <c r="F173" s="190" t="s">
        <v>142</v>
      </c>
      <c r="G173" s="270">
        <f>예비비!H11</f>
        <v>316640</v>
      </c>
      <c r="H173" s="93">
        <v>724280</v>
      </c>
      <c r="I173" s="134">
        <f t="shared" si="41"/>
        <v>-407640</v>
      </c>
    </row>
    <row r="174" spans="1:9" ht="18" customHeight="1" x14ac:dyDescent="0.3">
      <c r="A174" s="179" t="s">
        <v>292</v>
      </c>
      <c r="B174" s="196"/>
      <c r="C174" s="196"/>
      <c r="D174" s="196"/>
      <c r="E174" s="196"/>
      <c r="F174" s="197"/>
      <c r="G174" s="126">
        <f>G175</f>
        <v>0</v>
      </c>
      <c r="H174" s="126">
        <v>0</v>
      </c>
      <c r="I174" s="130">
        <f t="shared" si="41"/>
        <v>0</v>
      </c>
    </row>
    <row r="175" spans="1:9" ht="18" customHeight="1" x14ac:dyDescent="0.3">
      <c r="A175" s="284"/>
      <c r="B175" s="192" t="s">
        <v>332</v>
      </c>
      <c r="C175" s="193"/>
      <c r="D175" s="193"/>
      <c r="E175" s="193"/>
      <c r="F175" s="194"/>
      <c r="G175" s="129">
        <f>G176</f>
        <v>0</v>
      </c>
      <c r="H175" s="129">
        <v>0</v>
      </c>
      <c r="I175" s="131">
        <f t="shared" ref="I175:I179" si="42">G175-H175</f>
        <v>0</v>
      </c>
    </row>
    <row r="176" spans="1:9" ht="18" customHeight="1" x14ac:dyDescent="0.3">
      <c r="A176" s="180"/>
      <c r="B176" s="181"/>
      <c r="C176" s="195" t="s">
        <v>141</v>
      </c>
      <c r="D176" s="196"/>
      <c r="E176" s="196"/>
      <c r="F176" s="197"/>
      <c r="G176" s="15">
        <f>예비비!H15</f>
        <v>0</v>
      </c>
      <c r="H176" s="127">
        <v>0</v>
      </c>
      <c r="I176" s="130">
        <f t="shared" si="42"/>
        <v>0</v>
      </c>
    </row>
    <row r="177" spans="1:9" ht="18" customHeight="1" x14ac:dyDescent="0.3">
      <c r="A177" s="180"/>
      <c r="B177" s="182"/>
      <c r="C177" s="183"/>
      <c r="D177" s="195" t="s">
        <v>107</v>
      </c>
      <c r="E177" s="196"/>
      <c r="F177" s="197"/>
      <c r="G177" s="15">
        <f>예비비!H16</f>
        <v>0</v>
      </c>
      <c r="H177" s="128">
        <v>0</v>
      </c>
      <c r="I177" s="130">
        <f t="shared" si="42"/>
        <v>0</v>
      </c>
    </row>
    <row r="178" spans="1:9" ht="18" customHeight="1" x14ac:dyDescent="0.3">
      <c r="A178" s="180"/>
      <c r="B178" s="182"/>
      <c r="C178" s="181"/>
      <c r="D178" s="183"/>
      <c r="E178" s="195" t="s">
        <v>6</v>
      </c>
      <c r="F178" s="197"/>
      <c r="G178" s="15">
        <f>예비비!H17</f>
        <v>0</v>
      </c>
      <c r="H178" s="128">
        <v>0</v>
      </c>
      <c r="I178" s="130">
        <f t="shared" si="42"/>
        <v>0</v>
      </c>
    </row>
    <row r="179" spans="1:9" ht="18" customHeight="1" thickBot="1" x14ac:dyDescent="0.35">
      <c r="A179" s="264"/>
      <c r="B179" s="189"/>
      <c r="C179" s="265"/>
      <c r="D179" s="189"/>
      <c r="E179" s="190"/>
      <c r="F179" s="190" t="s">
        <v>333</v>
      </c>
      <c r="G179" s="270">
        <f>예비비!H19</f>
        <v>0</v>
      </c>
      <c r="H179" s="93">
        <v>0</v>
      </c>
      <c r="I179" s="134">
        <f t="shared" si="42"/>
        <v>0</v>
      </c>
    </row>
  </sheetData>
  <autoFilter ref="A4:I179"/>
  <mergeCells count="5">
    <mergeCell ref="G3:G4"/>
    <mergeCell ref="H3:H4"/>
    <mergeCell ref="I3:I4"/>
    <mergeCell ref="A3:F3"/>
    <mergeCell ref="A5:F5"/>
  </mergeCells>
  <phoneticPr fontId="12" type="noConversion"/>
  <pageMargins left="0.94488188976377963" right="0.78740157480314965" top="0.6692913385826772" bottom="0.98425196850393704" header="0.51181102362204722" footer="0.51181102362204722"/>
  <pageSetup paperSize="8" fitToHeight="0" orientation="portrait" useFirstPageNumber="1" r:id="rId1"/>
  <headerFooter alignWithMargins="0">
    <oddHeader xml:space="preserve">&amp;L&amp;"돋움,굵게"
</oddHead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O145"/>
  <sheetViews>
    <sheetView zoomScale="85" zoomScaleNormal="85" workbookViewId="0"/>
  </sheetViews>
  <sheetFormatPr defaultRowHeight="16.5" x14ac:dyDescent="0.3"/>
  <cols>
    <col min="1" max="6" width="3.875" customWidth="1"/>
    <col min="7" max="7" width="32.625" customWidth="1"/>
    <col min="8" max="10" width="14.625" customWidth="1"/>
    <col min="11" max="11" width="63.125" customWidth="1"/>
    <col min="12" max="12" width="3.875" customWidth="1"/>
    <col min="13" max="13" width="11.625" style="263" customWidth="1"/>
    <col min="14" max="14" width="9.875" bestFit="1" customWidth="1"/>
    <col min="15" max="15" width="12" bestFit="1" customWidth="1"/>
  </cols>
  <sheetData>
    <row r="1" spans="1:13" ht="17.25" thickBot="1" x14ac:dyDescent="0.2">
      <c r="A1" s="94" t="s">
        <v>187</v>
      </c>
      <c r="B1" s="43"/>
      <c r="C1" s="94"/>
      <c r="D1" s="94"/>
      <c r="E1" s="94"/>
      <c r="F1" s="94"/>
      <c r="G1" s="199"/>
      <c r="H1" s="200"/>
      <c r="I1" s="200"/>
      <c r="J1" s="199"/>
      <c r="K1" s="199"/>
      <c r="L1" s="199"/>
      <c r="M1" s="198" t="s">
        <v>38</v>
      </c>
    </row>
    <row r="2" spans="1:13" x14ac:dyDescent="0.3">
      <c r="A2" s="439" t="s">
        <v>27</v>
      </c>
      <c r="B2" s="441" t="s">
        <v>28</v>
      </c>
      <c r="C2" s="442"/>
      <c r="D2" s="443"/>
      <c r="E2" s="441" t="s">
        <v>29</v>
      </c>
      <c r="F2" s="442"/>
      <c r="G2" s="443"/>
      <c r="H2" s="444" t="s">
        <v>1</v>
      </c>
      <c r="I2" s="446" t="s">
        <v>2</v>
      </c>
      <c r="J2" s="448" t="s">
        <v>3</v>
      </c>
      <c r="K2" s="430" t="s">
        <v>4</v>
      </c>
      <c r="L2" s="431"/>
      <c r="M2" s="432"/>
    </row>
    <row r="3" spans="1:13" ht="17.25" thickBot="1" x14ac:dyDescent="0.35">
      <c r="A3" s="440"/>
      <c r="B3" s="135" t="s">
        <v>30</v>
      </c>
      <c r="C3" s="135" t="s">
        <v>31</v>
      </c>
      <c r="D3" s="135" t="s">
        <v>32</v>
      </c>
      <c r="E3" s="135" t="s">
        <v>33</v>
      </c>
      <c r="F3" s="135" t="s">
        <v>34</v>
      </c>
      <c r="G3" s="135" t="s">
        <v>35</v>
      </c>
      <c r="H3" s="445"/>
      <c r="I3" s="447"/>
      <c r="J3" s="449"/>
      <c r="K3" s="433"/>
      <c r="L3" s="434"/>
      <c r="M3" s="435"/>
    </row>
    <row r="4" spans="1:13" ht="17.25" thickBot="1" x14ac:dyDescent="0.35">
      <c r="A4" s="436" t="s">
        <v>36</v>
      </c>
      <c r="B4" s="437"/>
      <c r="C4" s="437"/>
      <c r="D4" s="437"/>
      <c r="E4" s="437"/>
      <c r="F4" s="437"/>
      <c r="G4" s="438"/>
      <c r="H4" s="201">
        <f>H5</f>
        <v>927348</v>
      </c>
      <c r="I4" s="201">
        <f>I5</f>
        <v>306750</v>
      </c>
      <c r="J4" s="136">
        <f>H4-I4</f>
        <v>620598</v>
      </c>
      <c r="K4" s="95"/>
      <c r="L4" s="96"/>
      <c r="M4" s="260"/>
    </row>
    <row r="5" spans="1:13" x14ac:dyDescent="0.3">
      <c r="A5" s="223" t="s">
        <v>5</v>
      </c>
      <c r="B5" s="138"/>
      <c r="C5" s="139"/>
      <c r="D5" s="139"/>
      <c r="E5" s="139"/>
      <c r="F5" s="139"/>
      <c r="G5" s="140"/>
      <c r="H5" s="100">
        <f>H6</f>
        <v>927348</v>
      </c>
      <c r="I5" s="100">
        <f>I6</f>
        <v>306750</v>
      </c>
      <c r="J5" s="101">
        <f>H5-I5</f>
        <v>620598</v>
      </c>
      <c r="K5" s="84"/>
      <c r="L5" s="85"/>
      <c r="M5" s="86"/>
    </row>
    <row r="6" spans="1:13" x14ac:dyDescent="0.3">
      <c r="A6" s="10"/>
      <c r="B6" s="145" t="s">
        <v>290</v>
      </c>
      <c r="C6" s="145"/>
      <c r="D6" s="146"/>
      <c r="E6" s="146"/>
      <c r="F6" s="146"/>
      <c r="G6" s="147"/>
      <c r="H6" s="100">
        <f>SUM(H7,H30)</f>
        <v>927348</v>
      </c>
      <c r="I6" s="100">
        <f>SUM(I7,I30)</f>
        <v>306750</v>
      </c>
      <c r="J6" s="101">
        <f>H6-I6</f>
        <v>620598</v>
      </c>
      <c r="K6" s="84"/>
      <c r="L6" s="85"/>
      <c r="M6" s="86"/>
    </row>
    <row r="7" spans="1:13" x14ac:dyDescent="0.3">
      <c r="A7" s="10"/>
      <c r="B7" s="6"/>
      <c r="C7" s="145" t="s">
        <v>394</v>
      </c>
      <c r="D7" s="146"/>
      <c r="E7" s="146"/>
      <c r="F7" s="146"/>
      <c r="G7" s="147"/>
      <c r="H7" s="100">
        <f>SUM(H8,H14)</f>
        <v>80420</v>
      </c>
      <c r="I7" s="100">
        <f>SUM(I8,I14)</f>
        <v>52750</v>
      </c>
      <c r="J7" s="101">
        <f t="shared" ref="J7:J11" si="0">H7-I7</f>
        <v>27670</v>
      </c>
      <c r="K7" s="84"/>
      <c r="L7" s="85"/>
      <c r="M7" s="86"/>
    </row>
    <row r="8" spans="1:13" x14ac:dyDescent="0.3">
      <c r="A8" s="10"/>
      <c r="B8" s="6"/>
      <c r="C8" s="6"/>
      <c r="D8" s="145" t="s">
        <v>287</v>
      </c>
      <c r="E8" s="146"/>
      <c r="F8" s="146"/>
      <c r="G8" s="147"/>
      <c r="H8" s="148">
        <f>H9</f>
        <v>32960</v>
      </c>
      <c r="I8" s="148">
        <v>18180</v>
      </c>
      <c r="J8" s="101">
        <f t="shared" si="0"/>
        <v>14780</v>
      </c>
      <c r="K8" s="87"/>
      <c r="L8" s="149"/>
      <c r="M8" s="86"/>
    </row>
    <row r="9" spans="1:13" x14ac:dyDescent="0.3">
      <c r="A9" s="10"/>
      <c r="B9" s="6"/>
      <c r="C9" s="150"/>
      <c r="D9" s="151"/>
      <c r="E9" s="145" t="s">
        <v>37</v>
      </c>
      <c r="F9" s="146"/>
      <c r="G9" s="147"/>
      <c r="H9" s="97">
        <f>H10</f>
        <v>32960</v>
      </c>
      <c r="I9" s="97">
        <v>18180</v>
      </c>
      <c r="J9" s="101">
        <f t="shared" si="0"/>
        <v>14780</v>
      </c>
      <c r="K9" s="90"/>
      <c r="L9" s="99"/>
      <c r="M9" s="261"/>
    </row>
    <row r="10" spans="1:13" x14ac:dyDescent="0.3">
      <c r="A10" s="68"/>
      <c r="B10" s="70"/>
      <c r="C10" s="202"/>
      <c r="D10" s="203"/>
      <c r="E10" s="204"/>
      <c r="F10" s="152" t="s">
        <v>288</v>
      </c>
      <c r="G10" s="205"/>
      <c r="H10" s="77">
        <f>H11</f>
        <v>32960</v>
      </c>
      <c r="I10" s="77">
        <v>18180</v>
      </c>
      <c r="J10" s="77">
        <f t="shared" si="0"/>
        <v>14780</v>
      </c>
      <c r="K10" s="54"/>
      <c r="L10" s="54"/>
      <c r="M10" s="40"/>
    </row>
    <row r="11" spans="1:13" x14ac:dyDescent="0.3">
      <c r="A11" s="68"/>
      <c r="B11" s="70"/>
      <c r="C11" s="70"/>
      <c r="D11" s="161"/>
      <c r="E11" s="206"/>
      <c r="F11" s="206"/>
      <c r="G11" s="154" t="s">
        <v>670</v>
      </c>
      <c r="H11" s="78">
        <f>M11</f>
        <v>32960</v>
      </c>
      <c r="I11" s="78">
        <v>18180</v>
      </c>
      <c r="J11" s="78">
        <f t="shared" si="0"/>
        <v>14780</v>
      </c>
      <c r="K11" s="238" t="s">
        <v>289</v>
      </c>
      <c r="L11" s="44"/>
      <c r="M11" s="242">
        <f>SUM(M12:M13)</f>
        <v>32960</v>
      </c>
    </row>
    <row r="12" spans="1:13" x14ac:dyDescent="0.3">
      <c r="A12" s="68"/>
      <c r="B12" s="70"/>
      <c r="C12" s="70"/>
      <c r="D12" s="161"/>
      <c r="E12" s="206"/>
      <c r="F12" s="206"/>
      <c r="G12" s="73"/>
      <c r="H12" s="79"/>
      <c r="I12" s="79"/>
      <c r="J12" s="79"/>
      <c r="K12" s="237" t="s">
        <v>345</v>
      </c>
      <c r="L12" s="45" t="s">
        <v>0</v>
      </c>
      <c r="M12" s="207">
        <v>2960</v>
      </c>
    </row>
    <row r="13" spans="1:13" x14ac:dyDescent="0.3">
      <c r="A13" s="68"/>
      <c r="B13" s="70"/>
      <c r="C13" s="70"/>
      <c r="D13" s="161"/>
      <c r="E13" s="206"/>
      <c r="F13" s="206"/>
      <c r="G13" s="73"/>
      <c r="H13" s="79"/>
      <c r="I13" s="79"/>
      <c r="J13" s="79"/>
      <c r="K13" s="239" t="s">
        <v>466</v>
      </c>
      <c r="L13" s="158" t="s">
        <v>0</v>
      </c>
      <c r="M13" s="213">
        <v>30000</v>
      </c>
    </row>
    <row r="14" spans="1:13" x14ac:dyDescent="0.3">
      <c r="A14" s="10"/>
      <c r="B14" s="6"/>
      <c r="C14" s="6"/>
      <c r="D14" s="145" t="s">
        <v>395</v>
      </c>
      <c r="E14" s="146"/>
      <c r="F14" s="146"/>
      <c r="G14" s="147"/>
      <c r="H14" s="148">
        <f>H15</f>
        <v>47460</v>
      </c>
      <c r="I14" s="148">
        <v>34570</v>
      </c>
      <c r="J14" s="98">
        <f>H14-I14</f>
        <v>12890</v>
      </c>
      <c r="K14" s="87"/>
      <c r="L14" s="149"/>
      <c r="M14" s="86"/>
    </row>
    <row r="15" spans="1:13" x14ac:dyDescent="0.3">
      <c r="A15" s="10"/>
      <c r="B15" s="6"/>
      <c r="C15" s="150"/>
      <c r="D15" s="151"/>
      <c r="E15" s="145" t="s">
        <v>37</v>
      </c>
      <c r="F15" s="146"/>
      <c r="G15" s="147"/>
      <c r="H15" s="97">
        <f>H16</f>
        <v>47460</v>
      </c>
      <c r="I15" s="97">
        <v>34570</v>
      </c>
      <c r="J15" s="98">
        <f>H15-I15</f>
        <v>12890</v>
      </c>
      <c r="K15" s="90"/>
      <c r="L15" s="99"/>
      <c r="M15" s="261"/>
    </row>
    <row r="16" spans="1:13" x14ac:dyDescent="0.3">
      <c r="A16" s="68"/>
      <c r="B16" s="70"/>
      <c r="C16" s="70"/>
      <c r="D16" s="70"/>
      <c r="E16" s="70"/>
      <c r="F16" s="152" t="s">
        <v>69</v>
      </c>
      <c r="G16" s="156"/>
      <c r="H16" s="77">
        <f>SUM(H17,H28)</f>
        <v>47460</v>
      </c>
      <c r="I16" s="77">
        <v>26750</v>
      </c>
      <c r="J16" s="106">
        <f>H16-I16</f>
        <v>20710</v>
      </c>
      <c r="K16" s="160"/>
      <c r="L16" s="38"/>
      <c r="M16" s="262"/>
    </row>
    <row r="17" spans="1:13" x14ac:dyDescent="0.3">
      <c r="A17" s="68"/>
      <c r="B17" s="70"/>
      <c r="C17" s="70"/>
      <c r="D17" s="70"/>
      <c r="E17" s="70"/>
      <c r="F17" s="159"/>
      <c r="G17" s="70" t="s">
        <v>42</v>
      </c>
      <c r="H17" s="81">
        <f>SUM(M17,M20,M26)</f>
        <v>45060</v>
      </c>
      <c r="I17" s="81">
        <v>25100</v>
      </c>
      <c r="J17" s="48">
        <f>H17-I17</f>
        <v>19960</v>
      </c>
      <c r="K17" s="36" t="s">
        <v>54</v>
      </c>
      <c r="L17" s="39"/>
      <c r="M17" s="242">
        <f>SUM(M18:M19)</f>
        <v>2560</v>
      </c>
    </row>
    <row r="18" spans="1:13" x14ac:dyDescent="0.3">
      <c r="A18" s="68"/>
      <c r="B18" s="70"/>
      <c r="C18" s="70"/>
      <c r="D18" s="70"/>
      <c r="E18" s="70"/>
      <c r="F18" s="159"/>
      <c r="G18" s="70"/>
      <c r="H18" s="81"/>
      <c r="I18" s="81"/>
      <c r="J18" s="48"/>
      <c r="K18" s="237" t="s">
        <v>347</v>
      </c>
      <c r="L18" s="220" t="s">
        <v>0</v>
      </c>
      <c r="M18" s="207">
        <v>1560</v>
      </c>
    </row>
    <row r="19" spans="1:13" x14ac:dyDescent="0.3">
      <c r="A19" s="68"/>
      <c r="B19" s="70"/>
      <c r="C19" s="70"/>
      <c r="D19" s="70"/>
      <c r="E19" s="70"/>
      <c r="F19" s="159"/>
      <c r="G19" s="70"/>
      <c r="H19" s="81"/>
      <c r="I19" s="81"/>
      <c r="J19" s="48"/>
      <c r="K19" s="237" t="s">
        <v>552</v>
      </c>
      <c r="L19" s="220" t="s">
        <v>0</v>
      </c>
      <c r="M19" s="207">
        <v>1000</v>
      </c>
    </row>
    <row r="20" spans="1:13" x14ac:dyDescent="0.3">
      <c r="A20" s="68"/>
      <c r="B20" s="70"/>
      <c r="C20" s="70"/>
      <c r="D20" s="70"/>
      <c r="E20" s="70"/>
      <c r="F20" s="159"/>
      <c r="G20" s="70"/>
      <c r="H20" s="81"/>
      <c r="I20" s="81"/>
      <c r="J20" s="48"/>
      <c r="K20" s="236" t="s">
        <v>70</v>
      </c>
      <c r="L20" s="220"/>
      <c r="M20" s="210">
        <f>SUM(M21:M25)</f>
        <v>30500</v>
      </c>
    </row>
    <row r="21" spans="1:13" x14ac:dyDescent="0.3">
      <c r="A21" s="68"/>
      <c r="B21" s="70"/>
      <c r="C21" s="70"/>
      <c r="D21" s="70"/>
      <c r="E21" s="70"/>
      <c r="F21" s="159"/>
      <c r="G21" s="70"/>
      <c r="H21" s="81"/>
      <c r="I21" s="81"/>
      <c r="J21" s="48"/>
      <c r="K21" s="237" t="s">
        <v>348</v>
      </c>
      <c r="L21" s="220" t="s">
        <v>0</v>
      </c>
      <c r="M21" s="207">
        <v>11700</v>
      </c>
    </row>
    <row r="22" spans="1:13" x14ac:dyDescent="0.3">
      <c r="A22" s="68"/>
      <c r="B22" s="70"/>
      <c r="C22" s="70"/>
      <c r="D22" s="70"/>
      <c r="E22" s="70"/>
      <c r="F22" s="159"/>
      <c r="G22" s="70"/>
      <c r="H22" s="81"/>
      <c r="I22" s="81"/>
      <c r="J22" s="48"/>
      <c r="K22" s="237" t="s">
        <v>349</v>
      </c>
      <c r="L22" s="220" t="s">
        <v>0</v>
      </c>
      <c r="M22" s="207">
        <v>8580</v>
      </c>
    </row>
    <row r="23" spans="1:13" x14ac:dyDescent="0.3">
      <c r="A23" s="68"/>
      <c r="B23" s="70"/>
      <c r="C23" s="70"/>
      <c r="D23" s="70"/>
      <c r="E23" s="70"/>
      <c r="F23" s="159"/>
      <c r="G23" s="70"/>
      <c r="H23" s="81"/>
      <c r="I23" s="81"/>
      <c r="J23" s="48"/>
      <c r="K23" s="237" t="s">
        <v>393</v>
      </c>
      <c r="L23" s="220" t="s">
        <v>0</v>
      </c>
      <c r="M23" s="207">
        <v>1500</v>
      </c>
    </row>
    <row r="24" spans="1:13" x14ac:dyDescent="0.3">
      <c r="A24" s="68"/>
      <c r="B24" s="70"/>
      <c r="C24" s="70"/>
      <c r="D24" s="70"/>
      <c r="E24" s="70"/>
      <c r="F24" s="159"/>
      <c r="G24" s="70"/>
      <c r="H24" s="81"/>
      <c r="I24" s="81"/>
      <c r="J24" s="48"/>
      <c r="K24" s="237" t="s">
        <v>467</v>
      </c>
      <c r="L24" s="220" t="s">
        <v>0</v>
      </c>
      <c r="M24" s="207">
        <v>5720</v>
      </c>
    </row>
    <row r="25" spans="1:13" x14ac:dyDescent="0.3">
      <c r="A25" s="68"/>
      <c r="B25" s="70"/>
      <c r="C25" s="70"/>
      <c r="D25" s="70"/>
      <c r="E25" s="70"/>
      <c r="F25" s="159"/>
      <c r="G25" s="70"/>
      <c r="H25" s="81"/>
      <c r="I25" s="81"/>
      <c r="J25" s="48"/>
      <c r="K25" s="237" t="s">
        <v>645</v>
      </c>
      <c r="L25" s="220" t="s">
        <v>636</v>
      </c>
      <c r="M25" s="207">
        <v>3000</v>
      </c>
    </row>
    <row r="26" spans="1:13" x14ac:dyDescent="0.3">
      <c r="A26" s="68"/>
      <c r="B26" s="70"/>
      <c r="C26" s="70"/>
      <c r="D26" s="70"/>
      <c r="E26" s="70"/>
      <c r="F26" s="159"/>
      <c r="G26" s="70"/>
      <c r="H26" s="79"/>
      <c r="I26" s="79"/>
      <c r="J26" s="48"/>
      <c r="K26" s="236" t="s">
        <v>599</v>
      </c>
      <c r="L26" s="220"/>
      <c r="M26" s="210">
        <f>M27</f>
        <v>12000</v>
      </c>
    </row>
    <row r="27" spans="1:13" x14ac:dyDescent="0.3">
      <c r="A27" s="68"/>
      <c r="B27" s="70"/>
      <c r="C27" s="70"/>
      <c r="D27" s="70"/>
      <c r="E27" s="70"/>
      <c r="F27" s="159"/>
      <c r="G27" s="72"/>
      <c r="H27" s="82"/>
      <c r="I27" s="82"/>
      <c r="J27" s="49"/>
      <c r="K27" s="239" t="s">
        <v>600</v>
      </c>
      <c r="L27" s="222" t="s">
        <v>0</v>
      </c>
      <c r="M27" s="207">
        <v>12000</v>
      </c>
    </row>
    <row r="28" spans="1:13" x14ac:dyDescent="0.3">
      <c r="A28" s="68"/>
      <c r="B28" s="70"/>
      <c r="C28" s="70"/>
      <c r="D28" s="70"/>
      <c r="E28" s="70"/>
      <c r="F28" s="159"/>
      <c r="G28" s="70" t="s">
        <v>74</v>
      </c>
      <c r="H28" s="81">
        <f>M28</f>
        <v>2400</v>
      </c>
      <c r="I28" s="81">
        <v>250</v>
      </c>
      <c r="J28" s="48">
        <f>H28-I28</f>
        <v>2150</v>
      </c>
      <c r="K28" s="36" t="s">
        <v>73</v>
      </c>
      <c r="L28" s="52"/>
      <c r="M28" s="242">
        <f>M29</f>
        <v>2400</v>
      </c>
    </row>
    <row r="29" spans="1:13" x14ac:dyDescent="0.3">
      <c r="A29" s="68"/>
      <c r="B29" s="70"/>
      <c r="C29" s="70"/>
      <c r="D29" s="70"/>
      <c r="E29" s="70"/>
      <c r="F29" s="159"/>
      <c r="G29" s="72"/>
      <c r="H29" s="82"/>
      <c r="I29" s="82"/>
      <c r="J29" s="49"/>
      <c r="K29" s="239" t="s">
        <v>350</v>
      </c>
      <c r="L29" s="222" t="s">
        <v>0</v>
      </c>
      <c r="M29" s="207">
        <v>2400</v>
      </c>
    </row>
    <row r="30" spans="1:13" x14ac:dyDescent="0.3">
      <c r="A30" s="10"/>
      <c r="B30" s="6"/>
      <c r="C30" s="195" t="s">
        <v>75</v>
      </c>
      <c r="D30" s="146"/>
      <c r="E30" s="146"/>
      <c r="F30" s="146"/>
      <c r="G30" s="147"/>
      <c r="H30" s="97">
        <f>H31</f>
        <v>846928</v>
      </c>
      <c r="I30" s="97">
        <v>254000</v>
      </c>
      <c r="J30" s="98">
        <f>H30-I30</f>
        <v>592928</v>
      </c>
      <c r="K30" s="175"/>
      <c r="L30" s="165"/>
      <c r="M30" s="166"/>
    </row>
    <row r="31" spans="1:13" x14ac:dyDescent="0.3">
      <c r="A31" s="10"/>
      <c r="B31" s="6"/>
      <c r="C31" s="163"/>
      <c r="D31" s="145" t="s">
        <v>40</v>
      </c>
      <c r="E31" s="146"/>
      <c r="F31" s="146"/>
      <c r="G31" s="147"/>
      <c r="H31" s="148">
        <f>SUM(H32,H51,H107)</f>
        <v>846928</v>
      </c>
      <c r="I31" s="148">
        <v>254000</v>
      </c>
      <c r="J31" s="9">
        <f>H31-I31</f>
        <v>592928</v>
      </c>
      <c r="K31" s="164"/>
      <c r="L31" s="165"/>
      <c r="M31" s="166"/>
    </row>
    <row r="32" spans="1:13" x14ac:dyDescent="0.3">
      <c r="A32" s="10"/>
      <c r="B32" s="6"/>
      <c r="C32" s="150"/>
      <c r="D32" s="151"/>
      <c r="E32" s="145" t="s">
        <v>76</v>
      </c>
      <c r="F32" s="146"/>
      <c r="G32" s="147"/>
      <c r="H32" s="97">
        <f>SUM(H33,H48)</f>
        <v>619831</v>
      </c>
      <c r="I32" s="97">
        <v>94800</v>
      </c>
      <c r="J32" s="98">
        <f>H32-I32</f>
        <v>525031</v>
      </c>
      <c r="K32" s="90"/>
      <c r="L32" s="99"/>
      <c r="M32" s="261"/>
    </row>
    <row r="33" spans="1:15" x14ac:dyDescent="0.3">
      <c r="A33" s="68"/>
      <c r="B33" s="70"/>
      <c r="C33" s="70"/>
      <c r="D33" s="70"/>
      <c r="E33" s="70"/>
      <c r="F33" s="152" t="s">
        <v>77</v>
      </c>
      <c r="G33" s="156"/>
      <c r="H33" s="77">
        <f>SUM(H34,H39,H44)</f>
        <v>609331</v>
      </c>
      <c r="I33" s="77">
        <v>94800</v>
      </c>
      <c r="J33" s="106">
        <f>H33-I33</f>
        <v>514531</v>
      </c>
      <c r="K33" s="160"/>
      <c r="L33" s="38"/>
      <c r="M33" s="262"/>
    </row>
    <row r="34" spans="1:15" x14ac:dyDescent="0.3">
      <c r="A34" s="57"/>
      <c r="B34" s="60"/>
      <c r="C34" s="70"/>
      <c r="D34" s="70"/>
      <c r="E34" s="70"/>
      <c r="F34" s="208"/>
      <c r="G34" s="226" t="s">
        <v>78</v>
      </c>
      <c r="H34" s="227">
        <f>SUM(M34,M37)</f>
        <v>392400</v>
      </c>
      <c r="I34" s="227">
        <v>94800</v>
      </c>
      <c r="J34" s="41">
        <f>H34-I34</f>
        <v>297600</v>
      </c>
      <c r="K34" s="36" t="s">
        <v>79</v>
      </c>
      <c r="L34" s="229"/>
      <c r="M34" s="242">
        <f>SUM(M35:M36)</f>
        <v>302400</v>
      </c>
    </row>
    <row r="35" spans="1:15" x14ac:dyDescent="0.3">
      <c r="A35" s="57"/>
      <c r="B35" s="60"/>
      <c r="C35" s="70"/>
      <c r="D35" s="70"/>
      <c r="E35" s="70"/>
      <c r="F35" s="247"/>
      <c r="G35" s="58"/>
      <c r="H35" s="110"/>
      <c r="I35" s="110"/>
      <c r="J35" s="50"/>
      <c r="K35" s="237" t="s">
        <v>351</v>
      </c>
      <c r="L35" s="220" t="s">
        <v>0</v>
      </c>
      <c r="M35" s="207">
        <v>14400</v>
      </c>
    </row>
    <row r="36" spans="1:15" x14ac:dyDescent="0.3">
      <c r="A36" s="57"/>
      <c r="B36" s="60"/>
      <c r="C36" s="70"/>
      <c r="D36" s="70"/>
      <c r="E36" s="70"/>
      <c r="F36" s="247"/>
      <c r="G36" s="58"/>
      <c r="H36" s="110"/>
      <c r="I36" s="110"/>
      <c r="J36" s="50"/>
      <c r="K36" s="237" t="s">
        <v>464</v>
      </c>
      <c r="L36" s="220" t="s">
        <v>0</v>
      </c>
      <c r="M36" s="207">
        <v>288000</v>
      </c>
    </row>
    <row r="37" spans="1:15" x14ac:dyDescent="0.3">
      <c r="A37" s="57"/>
      <c r="B37" s="60"/>
      <c r="C37" s="70"/>
      <c r="D37" s="70"/>
      <c r="E37" s="70"/>
      <c r="F37" s="247"/>
      <c r="G37" s="58"/>
      <c r="H37" s="110"/>
      <c r="I37" s="110"/>
      <c r="J37" s="50"/>
      <c r="K37" s="236" t="s">
        <v>80</v>
      </c>
      <c r="L37" s="220"/>
      <c r="M37" s="210">
        <f>M38</f>
        <v>90000</v>
      </c>
    </row>
    <row r="38" spans="1:15" x14ac:dyDescent="0.3">
      <c r="A38" s="57"/>
      <c r="B38" s="60"/>
      <c r="C38" s="70"/>
      <c r="D38" s="70"/>
      <c r="E38" s="70"/>
      <c r="F38" s="247"/>
      <c r="G38" s="58"/>
      <c r="H38" s="110"/>
      <c r="I38" s="110"/>
      <c r="J38" s="50"/>
      <c r="K38" s="237" t="s">
        <v>465</v>
      </c>
      <c r="L38" s="220" t="s">
        <v>0</v>
      </c>
      <c r="M38" s="207">
        <v>90000</v>
      </c>
    </row>
    <row r="39" spans="1:15" x14ac:dyDescent="0.3">
      <c r="A39" s="57"/>
      <c r="B39" s="60"/>
      <c r="C39" s="70"/>
      <c r="D39" s="70"/>
      <c r="E39" s="70"/>
      <c r="F39" s="247"/>
      <c r="G39" s="226" t="s">
        <v>352</v>
      </c>
      <c r="H39" s="227">
        <f>SUM(M39,M42)</f>
        <v>186102</v>
      </c>
      <c r="I39" s="227">
        <v>0</v>
      </c>
      <c r="J39" s="41">
        <f>H39-I39</f>
        <v>186102</v>
      </c>
      <c r="K39" s="36" t="s">
        <v>640</v>
      </c>
      <c r="L39" s="229"/>
      <c r="M39" s="242">
        <f>SUM(M40:M41)</f>
        <v>102102</v>
      </c>
    </row>
    <row r="40" spans="1:15" x14ac:dyDescent="0.3">
      <c r="A40" s="57"/>
      <c r="B40" s="60"/>
      <c r="C40" s="70"/>
      <c r="D40" s="70"/>
      <c r="E40" s="70"/>
      <c r="F40" s="247"/>
      <c r="G40" s="58"/>
      <c r="H40" s="110"/>
      <c r="I40" s="110"/>
      <c r="J40" s="50"/>
      <c r="K40" s="237" t="s">
        <v>637</v>
      </c>
      <c r="L40" s="220" t="s">
        <v>0</v>
      </c>
      <c r="M40" s="207">
        <v>101622</v>
      </c>
      <c r="N40" s="371"/>
      <c r="O40" s="371"/>
    </row>
    <row r="41" spans="1:15" x14ac:dyDescent="0.3">
      <c r="A41" s="57"/>
      <c r="B41" s="60"/>
      <c r="C41" s="70"/>
      <c r="D41" s="70"/>
      <c r="E41" s="70"/>
      <c r="F41" s="247"/>
      <c r="G41" s="58"/>
      <c r="H41" s="110"/>
      <c r="I41" s="110"/>
      <c r="J41" s="50"/>
      <c r="K41" s="237" t="s">
        <v>638</v>
      </c>
      <c r="L41" s="220" t="s">
        <v>639</v>
      </c>
      <c r="M41" s="207">
        <v>480</v>
      </c>
      <c r="N41" s="371"/>
      <c r="O41" s="371"/>
    </row>
    <row r="42" spans="1:15" x14ac:dyDescent="0.3">
      <c r="A42" s="57"/>
      <c r="B42" s="60"/>
      <c r="C42" s="70"/>
      <c r="D42" s="70"/>
      <c r="E42" s="70"/>
      <c r="F42" s="247"/>
      <c r="G42" s="58"/>
      <c r="H42" s="110"/>
      <c r="I42" s="110"/>
      <c r="J42" s="50"/>
      <c r="K42" s="236" t="s">
        <v>353</v>
      </c>
      <c r="L42" s="220"/>
      <c r="M42" s="210">
        <f>M43</f>
        <v>84000</v>
      </c>
    </row>
    <row r="43" spans="1:15" x14ac:dyDescent="0.3">
      <c r="A43" s="57"/>
      <c r="B43" s="60"/>
      <c r="C43" s="70"/>
      <c r="D43" s="70"/>
      <c r="E43" s="70"/>
      <c r="F43" s="247"/>
      <c r="G43" s="58"/>
      <c r="H43" s="110"/>
      <c r="I43" s="110"/>
      <c r="J43" s="50"/>
      <c r="K43" s="237" t="s">
        <v>354</v>
      </c>
      <c r="L43" s="220" t="s">
        <v>0</v>
      </c>
      <c r="M43" s="207">
        <v>84000</v>
      </c>
    </row>
    <row r="44" spans="1:15" x14ac:dyDescent="0.3">
      <c r="A44" s="57"/>
      <c r="B44" s="60"/>
      <c r="C44" s="70"/>
      <c r="D44" s="70"/>
      <c r="E44" s="70"/>
      <c r="F44" s="247"/>
      <c r="G44" s="226" t="s">
        <v>355</v>
      </c>
      <c r="H44" s="227">
        <f>M44</f>
        <v>30829</v>
      </c>
      <c r="I44" s="227">
        <v>0</v>
      </c>
      <c r="J44" s="41">
        <f>H44-I44</f>
        <v>30829</v>
      </c>
      <c r="K44" s="36" t="s">
        <v>356</v>
      </c>
      <c r="L44" s="229"/>
      <c r="M44" s="242">
        <f>SUM(M45:M47)</f>
        <v>30829</v>
      </c>
    </row>
    <row r="45" spans="1:15" x14ac:dyDescent="0.3">
      <c r="A45" s="57"/>
      <c r="B45" s="60"/>
      <c r="C45" s="70"/>
      <c r="D45" s="70"/>
      <c r="E45" s="70"/>
      <c r="F45" s="247"/>
      <c r="G45" s="58"/>
      <c r="H45" s="110"/>
      <c r="I45" s="110"/>
      <c r="J45" s="50"/>
      <c r="K45" s="237" t="s">
        <v>362</v>
      </c>
      <c r="L45" s="103" t="s">
        <v>357</v>
      </c>
      <c r="M45" s="207">
        <v>25197</v>
      </c>
    </row>
    <row r="46" spans="1:15" x14ac:dyDescent="0.3">
      <c r="A46" s="57"/>
      <c r="B46" s="60"/>
      <c r="C46" s="70"/>
      <c r="D46" s="70"/>
      <c r="E46" s="70"/>
      <c r="F46" s="247"/>
      <c r="G46" s="58"/>
      <c r="H46" s="110"/>
      <c r="I46" s="110"/>
      <c r="J46" s="50"/>
      <c r="K46" s="237" t="s">
        <v>363</v>
      </c>
      <c r="L46" s="220" t="s">
        <v>0</v>
      </c>
      <c r="M46" s="207">
        <v>4582</v>
      </c>
    </row>
    <row r="47" spans="1:15" x14ac:dyDescent="0.3">
      <c r="A47" s="57"/>
      <c r="B47" s="60"/>
      <c r="C47" s="70"/>
      <c r="D47" s="70"/>
      <c r="E47" s="70"/>
      <c r="F47" s="247"/>
      <c r="G47" s="58"/>
      <c r="H47" s="110"/>
      <c r="I47" s="110"/>
      <c r="J47" s="50"/>
      <c r="K47" s="237" t="s">
        <v>364</v>
      </c>
      <c r="L47" s="220" t="s">
        <v>0</v>
      </c>
      <c r="M47" s="207">
        <v>1050</v>
      </c>
    </row>
    <row r="48" spans="1:15" x14ac:dyDescent="0.3">
      <c r="A48" s="68"/>
      <c r="B48" s="70"/>
      <c r="C48" s="70"/>
      <c r="D48" s="70"/>
      <c r="E48" s="70"/>
      <c r="F48" s="152" t="s">
        <v>358</v>
      </c>
      <c r="G48" s="156"/>
      <c r="H48" s="77">
        <f>SUM(H49,H54)</f>
        <v>10500</v>
      </c>
      <c r="I48" s="77">
        <v>0</v>
      </c>
      <c r="J48" s="106">
        <f>H48-I48</f>
        <v>10500</v>
      </c>
      <c r="K48" s="160"/>
      <c r="L48" s="38"/>
      <c r="M48" s="262"/>
    </row>
    <row r="49" spans="1:13" x14ac:dyDescent="0.3">
      <c r="A49" s="57"/>
      <c r="B49" s="60"/>
      <c r="C49" s="70"/>
      <c r="D49" s="70"/>
      <c r="E49" s="70"/>
      <c r="F49" s="208"/>
      <c r="G49" s="226" t="s">
        <v>359</v>
      </c>
      <c r="H49" s="227">
        <f>M49</f>
        <v>10500</v>
      </c>
      <c r="I49" s="227">
        <v>0</v>
      </c>
      <c r="J49" s="41">
        <f>H49-I49</f>
        <v>10500</v>
      </c>
      <c r="K49" s="36" t="s">
        <v>360</v>
      </c>
      <c r="L49" s="229"/>
      <c r="M49" s="242">
        <f>SUM(M50:M51)</f>
        <v>10500</v>
      </c>
    </row>
    <row r="50" spans="1:13" x14ac:dyDescent="0.3">
      <c r="A50" s="57"/>
      <c r="B50" s="60"/>
      <c r="C50" s="70"/>
      <c r="D50" s="70"/>
      <c r="E50" s="70"/>
      <c r="F50" s="247"/>
      <c r="G50" s="58"/>
      <c r="H50" s="110"/>
      <c r="I50" s="110"/>
      <c r="J50" s="50"/>
      <c r="K50" s="237" t="s">
        <v>361</v>
      </c>
      <c r="L50" s="220" t="s">
        <v>0</v>
      </c>
      <c r="M50" s="207">
        <v>10500</v>
      </c>
    </row>
    <row r="51" spans="1:13" x14ac:dyDescent="0.3">
      <c r="A51" s="10"/>
      <c r="B51" s="6"/>
      <c r="C51" s="150"/>
      <c r="D51" s="278"/>
      <c r="E51" s="145" t="s">
        <v>81</v>
      </c>
      <c r="F51" s="146"/>
      <c r="G51" s="147"/>
      <c r="H51" s="97">
        <f>SUM(H52,H81,H85,H93,H99,H102)</f>
        <v>207500</v>
      </c>
      <c r="I51" s="97">
        <v>159200</v>
      </c>
      <c r="J51" s="98">
        <f>H51-I51</f>
        <v>48300</v>
      </c>
      <c r="K51" s="90"/>
      <c r="L51" s="99"/>
      <c r="M51" s="261"/>
    </row>
    <row r="52" spans="1:13" x14ac:dyDescent="0.3">
      <c r="A52" s="68"/>
      <c r="B52" s="70"/>
      <c r="C52" s="70"/>
      <c r="D52" s="70"/>
      <c r="E52" s="70"/>
      <c r="F52" s="152" t="s">
        <v>69</v>
      </c>
      <c r="G52" s="156"/>
      <c r="H52" s="77">
        <f>SUM(H53,H68,H75)</f>
        <v>115440</v>
      </c>
      <c r="I52" s="77">
        <v>93320</v>
      </c>
      <c r="J52" s="106">
        <f>H52-I52</f>
        <v>22120</v>
      </c>
      <c r="K52" s="160"/>
      <c r="L52" s="38"/>
      <c r="M52" s="262"/>
    </row>
    <row r="53" spans="1:13" x14ac:dyDescent="0.3">
      <c r="A53" s="68"/>
      <c r="B53" s="70"/>
      <c r="C53" s="70"/>
      <c r="D53" s="70"/>
      <c r="E53" s="70"/>
      <c r="F53" s="159"/>
      <c r="G53" s="70" t="s">
        <v>42</v>
      </c>
      <c r="H53" s="81">
        <f>SUM(M53,M66)</f>
        <v>72560</v>
      </c>
      <c r="I53" s="81">
        <v>40400</v>
      </c>
      <c r="J53" s="48">
        <f>H53-I53</f>
        <v>32160</v>
      </c>
      <c r="K53" s="36" t="s">
        <v>82</v>
      </c>
      <c r="L53" s="39"/>
      <c r="M53" s="242">
        <f>SUM(M54:M65)</f>
        <v>60560</v>
      </c>
    </row>
    <row r="54" spans="1:13" x14ac:dyDescent="0.3">
      <c r="A54" s="57"/>
      <c r="B54" s="60"/>
      <c r="C54" s="70"/>
      <c r="D54" s="70"/>
      <c r="E54" s="70"/>
      <c r="F54" s="247"/>
      <c r="G54" s="58"/>
      <c r="H54" s="110"/>
      <c r="I54" s="110"/>
      <c r="J54" s="50"/>
      <c r="K54" s="237" t="s">
        <v>365</v>
      </c>
      <c r="L54" s="220" t="s">
        <v>0</v>
      </c>
      <c r="M54" s="207">
        <v>3000</v>
      </c>
    </row>
    <row r="55" spans="1:13" x14ac:dyDescent="0.3">
      <c r="A55" s="57"/>
      <c r="B55" s="60"/>
      <c r="C55" s="70"/>
      <c r="D55" s="70"/>
      <c r="E55" s="70"/>
      <c r="F55" s="247"/>
      <c r="G55" s="58"/>
      <c r="H55" s="110"/>
      <c r="I55" s="110"/>
      <c r="J55" s="50"/>
      <c r="K55" s="237" t="s">
        <v>366</v>
      </c>
      <c r="L55" s="220" t="s">
        <v>0</v>
      </c>
      <c r="M55" s="207">
        <v>5000</v>
      </c>
    </row>
    <row r="56" spans="1:13" x14ac:dyDescent="0.3">
      <c r="A56" s="57"/>
      <c r="B56" s="60"/>
      <c r="C56" s="70"/>
      <c r="D56" s="70"/>
      <c r="E56" s="70"/>
      <c r="F56" s="247"/>
      <c r="G56" s="58"/>
      <c r="H56" s="110"/>
      <c r="I56" s="110"/>
      <c r="J56" s="50"/>
      <c r="K56" s="237" t="s">
        <v>367</v>
      </c>
      <c r="L56" s="220" t="s">
        <v>0</v>
      </c>
      <c r="M56" s="207">
        <v>3000</v>
      </c>
    </row>
    <row r="57" spans="1:13" x14ac:dyDescent="0.3">
      <c r="A57" s="57"/>
      <c r="B57" s="60"/>
      <c r="C57" s="70"/>
      <c r="D57" s="70"/>
      <c r="E57" s="70"/>
      <c r="F57" s="247"/>
      <c r="G57" s="58"/>
      <c r="H57" s="110"/>
      <c r="I57" s="110"/>
      <c r="J57" s="50"/>
      <c r="K57" s="237" t="s">
        <v>368</v>
      </c>
      <c r="L57" s="220" t="s">
        <v>0</v>
      </c>
      <c r="M57" s="207">
        <v>5000</v>
      </c>
    </row>
    <row r="58" spans="1:13" x14ac:dyDescent="0.3">
      <c r="A58" s="57"/>
      <c r="B58" s="60"/>
      <c r="C58" s="70"/>
      <c r="D58" s="70"/>
      <c r="E58" s="70"/>
      <c r="F58" s="247"/>
      <c r="G58" s="58"/>
      <c r="H58" s="110"/>
      <c r="I58" s="110"/>
      <c r="J58" s="50"/>
      <c r="K58" s="237" t="s">
        <v>369</v>
      </c>
      <c r="L58" s="220" t="s">
        <v>0</v>
      </c>
      <c r="M58" s="207">
        <v>3000</v>
      </c>
    </row>
    <row r="59" spans="1:13" x14ac:dyDescent="0.3">
      <c r="A59" s="57"/>
      <c r="B59" s="60"/>
      <c r="C59" s="70"/>
      <c r="D59" s="70"/>
      <c r="E59" s="70"/>
      <c r="F59" s="247"/>
      <c r="G59" s="58"/>
      <c r="H59" s="110"/>
      <c r="I59" s="110"/>
      <c r="J59" s="50"/>
      <c r="K59" s="237" t="s">
        <v>370</v>
      </c>
      <c r="L59" s="220" t="s">
        <v>0</v>
      </c>
      <c r="M59" s="207">
        <v>2400</v>
      </c>
    </row>
    <row r="60" spans="1:13" x14ac:dyDescent="0.3">
      <c r="A60" s="57"/>
      <c r="B60" s="60"/>
      <c r="C60" s="70"/>
      <c r="D60" s="70"/>
      <c r="E60" s="70"/>
      <c r="F60" s="247"/>
      <c r="G60" s="58"/>
      <c r="H60" s="110"/>
      <c r="I60" s="110"/>
      <c r="J60" s="50"/>
      <c r="K60" s="237" t="s">
        <v>371</v>
      </c>
      <c r="L60" s="220" t="s">
        <v>0</v>
      </c>
      <c r="M60" s="207">
        <v>4200</v>
      </c>
    </row>
    <row r="61" spans="1:13" x14ac:dyDescent="0.3">
      <c r="A61" s="57"/>
      <c r="B61" s="60"/>
      <c r="C61" s="70"/>
      <c r="D61" s="70"/>
      <c r="E61" s="70"/>
      <c r="F61" s="247"/>
      <c r="G61" s="58"/>
      <c r="H61" s="110"/>
      <c r="I61" s="110"/>
      <c r="J61" s="50"/>
      <c r="K61" s="237" t="s">
        <v>372</v>
      </c>
      <c r="L61" s="220" t="s">
        <v>0</v>
      </c>
      <c r="M61" s="207">
        <v>3960</v>
      </c>
    </row>
    <row r="62" spans="1:13" x14ac:dyDescent="0.3">
      <c r="A62" s="57"/>
      <c r="B62" s="60"/>
      <c r="C62" s="70"/>
      <c r="D62" s="70"/>
      <c r="E62" s="70"/>
      <c r="F62" s="247"/>
      <c r="G62" s="58"/>
      <c r="H62" s="110"/>
      <c r="I62" s="110"/>
      <c r="J62" s="50"/>
      <c r="K62" s="237" t="s">
        <v>373</v>
      </c>
      <c r="L62" s="220" t="s">
        <v>0</v>
      </c>
      <c r="M62" s="207">
        <v>1200</v>
      </c>
    </row>
    <row r="63" spans="1:13" x14ac:dyDescent="0.3">
      <c r="A63" s="57"/>
      <c r="B63" s="60"/>
      <c r="C63" s="70"/>
      <c r="D63" s="70"/>
      <c r="E63" s="70"/>
      <c r="F63" s="247"/>
      <c r="G63" s="58"/>
      <c r="H63" s="110"/>
      <c r="I63" s="110"/>
      <c r="J63" s="50"/>
      <c r="K63" s="237" t="s">
        <v>559</v>
      </c>
      <c r="L63" s="220" t="s">
        <v>560</v>
      </c>
      <c r="M63" s="207">
        <v>1200</v>
      </c>
    </row>
    <row r="64" spans="1:13" x14ac:dyDescent="0.3">
      <c r="A64" s="57"/>
      <c r="B64" s="60"/>
      <c r="C64" s="70"/>
      <c r="D64" s="70"/>
      <c r="E64" s="70"/>
      <c r="F64" s="247"/>
      <c r="G64" s="58"/>
      <c r="H64" s="110"/>
      <c r="I64" s="110"/>
      <c r="J64" s="50"/>
      <c r="K64" s="237" t="s">
        <v>678</v>
      </c>
      <c r="L64" s="220" t="s">
        <v>0</v>
      </c>
      <c r="M64" s="207">
        <v>28000</v>
      </c>
    </row>
    <row r="65" spans="1:13" x14ac:dyDescent="0.3">
      <c r="A65" s="57"/>
      <c r="B65" s="60"/>
      <c r="C65" s="70"/>
      <c r="D65" s="70"/>
      <c r="E65" s="70"/>
      <c r="F65" s="247"/>
      <c r="G65" s="58"/>
      <c r="H65" s="110"/>
      <c r="I65" s="110"/>
      <c r="J65" s="50"/>
      <c r="K65" s="237" t="s">
        <v>681</v>
      </c>
      <c r="L65" s="220" t="s">
        <v>0</v>
      </c>
      <c r="M65" s="207">
        <v>600</v>
      </c>
    </row>
    <row r="66" spans="1:13" x14ac:dyDescent="0.3">
      <c r="A66" s="57"/>
      <c r="B66" s="60"/>
      <c r="C66" s="70"/>
      <c r="D66" s="70"/>
      <c r="E66" s="70"/>
      <c r="F66" s="247"/>
      <c r="G66" s="58"/>
      <c r="H66" s="110"/>
      <c r="I66" s="110"/>
      <c r="J66" s="50"/>
      <c r="K66" s="236" t="s">
        <v>83</v>
      </c>
      <c r="L66" s="103"/>
      <c r="M66" s="210">
        <f>M67</f>
        <v>12000</v>
      </c>
    </row>
    <row r="67" spans="1:13" x14ac:dyDescent="0.3">
      <c r="A67" s="57"/>
      <c r="B67" s="60"/>
      <c r="C67" s="70"/>
      <c r="D67" s="70"/>
      <c r="E67" s="70"/>
      <c r="F67" s="58"/>
      <c r="G67" s="224"/>
      <c r="H67" s="110"/>
      <c r="I67" s="110"/>
      <c r="J67" s="112"/>
      <c r="K67" s="225" t="s">
        <v>374</v>
      </c>
      <c r="L67" s="222" t="s">
        <v>43</v>
      </c>
      <c r="M67" s="207">
        <v>12000</v>
      </c>
    </row>
    <row r="68" spans="1:13" x14ac:dyDescent="0.3">
      <c r="A68" s="70"/>
      <c r="B68" s="70"/>
      <c r="C68" s="70"/>
      <c r="D68" s="70"/>
      <c r="E68" s="70"/>
      <c r="F68" s="119"/>
      <c r="G68" s="216" t="s">
        <v>84</v>
      </c>
      <c r="H68" s="230">
        <f>SUM(M68,M72)</f>
        <v>21760</v>
      </c>
      <c r="I68" s="78">
        <v>11160</v>
      </c>
      <c r="J68" s="219">
        <f>H68-I68</f>
        <v>10600</v>
      </c>
      <c r="K68" s="36" t="s">
        <v>85</v>
      </c>
      <c r="L68" s="232"/>
      <c r="M68" s="242">
        <f>SUM(M69:M71)</f>
        <v>16960</v>
      </c>
    </row>
    <row r="69" spans="1:13" x14ac:dyDescent="0.3">
      <c r="A69" s="70"/>
      <c r="B69" s="70"/>
      <c r="C69" s="70"/>
      <c r="D69" s="70"/>
      <c r="E69" s="70"/>
      <c r="F69" s="119"/>
      <c r="G69" s="211"/>
      <c r="H69" s="120"/>
      <c r="I69" s="248"/>
      <c r="J69" s="121"/>
      <c r="K69" s="237" t="s">
        <v>679</v>
      </c>
      <c r="L69" s="220" t="s">
        <v>0</v>
      </c>
      <c r="M69" s="207">
        <v>3960</v>
      </c>
    </row>
    <row r="70" spans="1:13" x14ac:dyDescent="0.3">
      <c r="A70" s="70"/>
      <c r="B70" s="70"/>
      <c r="C70" s="70"/>
      <c r="D70" s="70"/>
      <c r="E70" s="70"/>
      <c r="F70" s="119"/>
      <c r="G70" s="211"/>
      <c r="H70" s="120"/>
      <c r="I70" s="248"/>
      <c r="J70" s="121"/>
      <c r="K70" s="237" t="s">
        <v>375</v>
      </c>
      <c r="L70" s="220" t="s">
        <v>0</v>
      </c>
      <c r="M70" s="207">
        <v>12000</v>
      </c>
    </row>
    <row r="71" spans="1:13" x14ac:dyDescent="0.3">
      <c r="A71" s="57"/>
      <c r="B71" s="60"/>
      <c r="C71" s="70"/>
      <c r="D71" s="70"/>
      <c r="E71" s="70"/>
      <c r="F71" s="247"/>
      <c r="G71" s="58"/>
      <c r="H71" s="110"/>
      <c r="I71" s="110"/>
      <c r="J71" s="50"/>
      <c r="K71" s="237" t="s">
        <v>680</v>
      </c>
      <c r="L71" s="220" t="s">
        <v>0</v>
      </c>
      <c r="M71" s="207">
        <v>1000</v>
      </c>
    </row>
    <row r="72" spans="1:13" x14ac:dyDescent="0.3">
      <c r="A72" s="70"/>
      <c r="B72" s="70"/>
      <c r="C72" s="70"/>
      <c r="D72" s="70"/>
      <c r="E72" s="70"/>
      <c r="F72" s="119"/>
      <c r="G72" s="211"/>
      <c r="H72" s="120"/>
      <c r="I72" s="248"/>
      <c r="J72" s="121"/>
      <c r="K72" s="236" t="s">
        <v>51</v>
      </c>
      <c r="L72" s="249"/>
      <c r="M72" s="210">
        <f>SUM(M73:M74)</f>
        <v>4800</v>
      </c>
    </row>
    <row r="73" spans="1:13" x14ac:dyDescent="0.3">
      <c r="A73" s="70"/>
      <c r="B73" s="70"/>
      <c r="C73" s="70"/>
      <c r="D73" s="70"/>
      <c r="E73" s="70"/>
      <c r="F73" s="119"/>
      <c r="G73" s="211"/>
      <c r="H73" s="120"/>
      <c r="I73" s="248"/>
      <c r="J73" s="121"/>
      <c r="K73" s="237" t="s">
        <v>86</v>
      </c>
      <c r="L73" s="220" t="s">
        <v>0</v>
      </c>
      <c r="M73" s="207">
        <v>3600</v>
      </c>
    </row>
    <row r="74" spans="1:13" x14ac:dyDescent="0.3">
      <c r="A74" s="70"/>
      <c r="B74" s="70"/>
      <c r="C74" s="70"/>
      <c r="D74" s="70"/>
      <c r="E74" s="70"/>
      <c r="F74" s="119"/>
      <c r="G74" s="212"/>
      <c r="H74" s="124"/>
      <c r="I74" s="251"/>
      <c r="J74" s="172"/>
      <c r="K74" s="239" t="s">
        <v>376</v>
      </c>
      <c r="L74" s="222" t="s">
        <v>0</v>
      </c>
      <c r="M74" s="213">
        <v>1200</v>
      </c>
    </row>
    <row r="75" spans="1:13" x14ac:dyDescent="0.3">
      <c r="A75" s="73"/>
      <c r="B75" s="70"/>
      <c r="C75" s="70"/>
      <c r="D75" s="70"/>
      <c r="E75" s="70"/>
      <c r="F75" s="119"/>
      <c r="G75" s="216" t="s">
        <v>14</v>
      </c>
      <c r="H75" s="120">
        <f>M75+M79</f>
        <v>21120</v>
      </c>
      <c r="I75" s="81">
        <v>41760</v>
      </c>
      <c r="J75" s="121">
        <f>H75-I75</f>
        <v>-20640</v>
      </c>
      <c r="K75" s="268" t="s">
        <v>641</v>
      </c>
      <c r="L75" s="220"/>
      <c r="M75" s="210">
        <f>SUM(M76:M78)</f>
        <v>12480</v>
      </c>
    </row>
    <row r="76" spans="1:13" x14ac:dyDescent="0.3">
      <c r="A76" s="73"/>
      <c r="B76" s="70"/>
      <c r="C76" s="70"/>
      <c r="D76" s="70"/>
      <c r="E76" s="70"/>
      <c r="F76" s="119"/>
      <c r="G76" s="214"/>
      <c r="H76" s="120"/>
      <c r="I76" s="248"/>
      <c r="J76" s="121"/>
      <c r="K76" s="237" t="s">
        <v>642</v>
      </c>
      <c r="L76" s="220" t="s">
        <v>0</v>
      </c>
      <c r="M76" s="207">
        <v>1680</v>
      </c>
    </row>
    <row r="77" spans="1:13" x14ac:dyDescent="0.3">
      <c r="A77" s="73"/>
      <c r="B77" s="70"/>
      <c r="C77" s="70"/>
      <c r="D77" s="70"/>
      <c r="E77" s="70"/>
      <c r="F77" s="119"/>
      <c r="G77" s="214"/>
      <c r="H77" s="120"/>
      <c r="I77" s="248"/>
      <c r="J77" s="121"/>
      <c r="K77" s="237" t="s">
        <v>643</v>
      </c>
      <c r="L77" s="220" t="s">
        <v>639</v>
      </c>
      <c r="M77" s="207">
        <v>3600</v>
      </c>
    </row>
    <row r="78" spans="1:13" x14ac:dyDescent="0.3">
      <c r="A78" s="73"/>
      <c r="B78" s="70"/>
      <c r="C78" s="70"/>
      <c r="D78" s="70"/>
      <c r="E78" s="70"/>
      <c r="F78" s="119"/>
      <c r="G78" s="214"/>
      <c r="H78" s="120"/>
      <c r="I78" s="248"/>
      <c r="J78" s="121"/>
      <c r="K78" s="237" t="s">
        <v>644</v>
      </c>
      <c r="L78" s="220" t="s">
        <v>636</v>
      </c>
      <c r="M78" s="207">
        <v>7200</v>
      </c>
    </row>
    <row r="79" spans="1:13" x14ac:dyDescent="0.3">
      <c r="A79" s="73"/>
      <c r="B79" s="70"/>
      <c r="C79" s="70"/>
      <c r="D79" s="70"/>
      <c r="E79" s="70"/>
      <c r="F79" s="119"/>
      <c r="G79" s="214"/>
      <c r="H79" s="120"/>
      <c r="I79" s="248"/>
      <c r="J79" s="121"/>
      <c r="K79" s="268" t="s">
        <v>151</v>
      </c>
      <c r="L79" s="220"/>
      <c r="M79" s="210">
        <v>8640</v>
      </c>
    </row>
    <row r="80" spans="1:13" x14ac:dyDescent="0.3">
      <c r="A80" s="73"/>
      <c r="B80" s="70"/>
      <c r="C80" s="70"/>
      <c r="D80" s="70"/>
      <c r="E80" s="70"/>
      <c r="F80" s="250"/>
      <c r="G80" s="214"/>
      <c r="H80" s="120"/>
      <c r="I80" s="248"/>
      <c r="J80" s="121"/>
      <c r="K80" s="237" t="s">
        <v>377</v>
      </c>
      <c r="L80" s="220" t="s">
        <v>43</v>
      </c>
      <c r="M80" s="207">
        <v>8640</v>
      </c>
    </row>
    <row r="81" spans="1:13" x14ac:dyDescent="0.3">
      <c r="A81" s="68"/>
      <c r="B81" s="70"/>
      <c r="C81" s="70"/>
      <c r="D81" s="70"/>
      <c r="E81" s="70"/>
      <c r="F81" s="152" t="s">
        <v>61</v>
      </c>
      <c r="G81" s="156"/>
      <c r="H81" s="77">
        <f>SUM(H82)</f>
        <v>18000</v>
      </c>
      <c r="I81" s="77">
        <v>15400</v>
      </c>
      <c r="J81" s="106">
        <f>H81-I81</f>
        <v>2600</v>
      </c>
      <c r="K81" s="160"/>
      <c r="L81" s="38"/>
      <c r="M81" s="262"/>
    </row>
    <row r="82" spans="1:13" x14ac:dyDescent="0.3">
      <c r="A82" s="68"/>
      <c r="B82" s="70"/>
      <c r="C82" s="70"/>
      <c r="D82" s="70"/>
      <c r="E82" s="70"/>
      <c r="F82" s="159"/>
      <c r="G82" s="216" t="s">
        <v>563</v>
      </c>
      <c r="H82" s="81">
        <f>M82</f>
        <v>18000</v>
      </c>
      <c r="I82" s="81">
        <v>15400</v>
      </c>
      <c r="J82" s="48">
        <f>H82-I82</f>
        <v>2600</v>
      </c>
      <c r="K82" s="36" t="s">
        <v>87</v>
      </c>
      <c r="L82" s="39"/>
      <c r="M82" s="210">
        <f>SUM(M83:M84)</f>
        <v>18000</v>
      </c>
    </row>
    <row r="83" spans="1:13" x14ac:dyDescent="0.3">
      <c r="A83" s="68"/>
      <c r="B83" s="70"/>
      <c r="C83" s="70"/>
      <c r="D83" s="70"/>
      <c r="E83" s="70"/>
      <c r="F83" s="159"/>
      <c r="G83" s="70"/>
      <c r="H83" s="81"/>
      <c r="I83" s="81"/>
      <c r="J83" s="48"/>
      <c r="K83" s="237" t="s">
        <v>562</v>
      </c>
      <c r="L83" s="52" t="s">
        <v>379</v>
      </c>
      <c r="M83" s="207">
        <v>4800</v>
      </c>
    </row>
    <row r="84" spans="1:13" x14ac:dyDescent="0.3">
      <c r="A84" s="68"/>
      <c r="B84" s="70"/>
      <c r="C84" s="70"/>
      <c r="D84" s="70"/>
      <c r="E84" s="70"/>
      <c r="F84" s="159"/>
      <c r="G84" s="70"/>
      <c r="H84" s="81"/>
      <c r="I84" s="81"/>
      <c r="J84" s="48"/>
      <c r="K84" s="239" t="s">
        <v>561</v>
      </c>
      <c r="L84" s="52" t="s">
        <v>380</v>
      </c>
      <c r="M84" s="207">
        <v>13200</v>
      </c>
    </row>
    <row r="85" spans="1:13" x14ac:dyDescent="0.3">
      <c r="A85" s="68"/>
      <c r="B85" s="70"/>
      <c r="C85" s="70"/>
      <c r="D85" s="70"/>
      <c r="E85" s="70"/>
      <c r="F85" s="152" t="s">
        <v>90</v>
      </c>
      <c r="G85" s="156"/>
      <c r="H85" s="77">
        <f>H86</f>
        <v>38400</v>
      </c>
      <c r="I85" s="77">
        <v>26600</v>
      </c>
      <c r="J85" s="106">
        <f>H85-I85</f>
        <v>11800</v>
      </c>
      <c r="K85" s="160"/>
      <c r="L85" s="38"/>
      <c r="M85" s="262"/>
    </row>
    <row r="86" spans="1:13" x14ac:dyDescent="0.3">
      <c r="A86" s="68"/>
      <c r="B86" s="70"/>
      <c r="C86" s="70"/>
      <c r="D86" s="70"/>
      <c r="E86" s="70"/>
      <c r="F86" s="159"/>
      <c r="G86" s="70" t="s">
        <v>91</v>
      </c>
      <c r="H86" s="81">
        <f>SUM(M86,M89)</f>
        <v>38400</v>
      </c>
      <c r="I86" s="81">
        <v>26600</v>
      </c>
      <c r="J86" s="48">
        <f>H86-I86</f>
        <v>11800</v>
      </c>
      <c r="K86" s="36" t="s">
        <v>92</v>
      </c>
      <c r="L86" s="39"/>
      <c r="M86" s="242">
        <f>SUM(M87:M88)</f>
        <v>16600</v>
      </c>
    </row>
    <row r="87" spans="1:13" x14ac:dyDescent="0.3">
      <c r="A87" s="70"/>
      <c r="B87" s="70"/>
      <c r="C87" s="70"/>
      <c r="D87" s="70"/>
      <c r="E87" s="70"/>
      <c r="F87" s="119"/>
      <c r="G87" s="214"/>
      <c r="H87" s="120"/>
      <c r="I87" s="248"/>
      <c r="J87" s="121"/>
      <c r="K87" s="237" t="s">
        <v>649</v>
      </c>
      <c r="L87" s="220" t="s">
        <v>0</v>
      </c>
      <c r="M87" s="207">
        <v>10000</v>
      </c>
    </row>
    <row r="88" spans="1:13" x14ac:dyDescent="0.3">
      <c r="A88" s="70"/>
      <c r="B88" s="70"/>
      <c r="C88" s="70"/>
      <c r="D88" s="70"/>
      <c r="E88" s="70"/>
      <c r="F88" s="119"/>
      <c r="G88" s="214"/>
      <c r="H88" s="120"/>
      <c r="I88" s="248"/>
      <c r="J88" s="121"/>
      <c r="K88" s="237" t="s">
        <v>378</v>
      </c>
      <c r="L88" s="220" t="s">
        <v>0</v>
      </c>
      <c r="M88" s="207">
        <v>6600</v>
      </c>
    </row>
    <row r="89" spans="1:13" x14ac:dyDescent="0.3">
      <c r="A89" s="70"/>
      <c r="B89" s="70"/>
      <c r="C89" s="70"/>
      <c r="D89" s="70"/>
      <c r="E89" s="70"/>
      <c r="F89" s="119"/>
      <c r="G89" s="214"/>
      <c r="H89" s="120"/>
      <c r="I89" s="248"/>
      <c r="J89" s="121"/>
      <c r="K89" s="236" t="s">
        <v>93</v>
      </c>
      <c r="L89" s="241"/>
      <c r="M89" s="210">
        <f>SUM(M90:M92)</f>
        <v>21800</v>
      </c>
    </row>
    <row r="90" spans="1:13" x14ac:dyDescent="0.3">
      <c r="A90" s="70"/>
      <c r="B90" s="70"/>
      <c r="C90" s="70"/>
      <c r="D90" s="70"/>
      <c r="E90" s="70"/>
      <c r="F90" s="119"/>
      <c r="G90" s="214"/>
      <c r="H90" s="120"/>
      <c r="I90" s="248"/>
      <c r="J90" s="121"/>
      <c r="K90" s="237" t="s">
        <v>650</v>
      </c>
      <c r="L90" s="220" t="s">
        <v>0</v>
      </c>
      <c r="M90" s="207">
        <v>15000</v>
      </c>
    </row>
    <row r="91" spans="1:13" x14ac:dyDescent="0.3">
      <c r="A91" s="70"/>
      <c r="B91" s="70"/>
      <c r="C91" s="70"/>
      <c r="D91" s="70"/>
      <c r="E91" s="70"/>
      <c r="F91" s="119"/>
      <c r="G91" s="214"/>
      <c r="H91" s="120"/>
      <c r="I91" s="248"/>
      <c r="J91" s="121"/>
      <c r="K91" s="237" t="s">
        <v>473</v>
      </c>
      <c r="L91" s="220" t="s">
        <v>0</v>
      </c>
      <c r="M91" s="207">
        <v>4800</v>
      </c>
    </row>
    <row r="92" spans="1:13" x14ac:dyDescent="0.3">
      <c r="A92" s="68"/>
      <c r="B92" s="70"/>
      <c r="C92" s="202"/>
      <c r="D92" s="203"/>
      <c r="E92" s="243"/>
      <c r="F92" s="277"/>
      <c r="G92" s="246"/>
      <c r="H92" s="79"/>
      <c r="I92" s="79"/>
      <c r="J92" s="79"/>
      <c r="K92" s="237" t="s">
        <v>651</v>
      </c>
      <c r="L92" s="45" t="s">
        <v>0</v>
      </c>
      <c r="M92" s="207">
        <v>2000</v>
      </c>
    </row>
    <row r="93" spans="1:13" x14ac:dyDescent="0.3">
      <c r="A93" s="68"/>
      <c r="B93" s="70"/>
      <c r="C93" s="70"/>
      <c r="D93" s="70"/>
      <c r="E93" s="70"/>
      <c r="F93" s="152" t="s">
        <v>94</v>
      </c>
      <c r="G93" s="156"/>
      <c r="H93" s="77">
        <f>SUM(H94,H97)</f>
        <v>25920</v>
      </c>
      <c r="I93" s="77">
        <v>14760</v>
      </c>
      <c r="J93" s="106">
        <f>H93-I93</f>
        <v>11160</v>
      </c>
      <c r="K93" s="160"/>
      <c r="L93" s="38"/>
      <c r="M93" s="262"/>
    </row>
    <row r="94" spans="1:13" x14ac:dyDescent="0.3">
      <c r="A94" s="68"/>
      <c r="B94" s="70"/>
      <c r="C94" s="70"/>
      <c r="D94" s="70"/>
      <c r="E94" s="70"/>
      <c r="F94" s="159"/>
      <c r="G94" s="70" t="s">
        <v>95</v>
      </c>
      <c r="H94" s="81">
        <f>M94</f>
        <v>19200</v>
      </c>
      <c r="I94" s="81">
        <v>9000</v>
      </c>
      <c r="J94" s="48">
        <f>H94-I94</f>
        <v>10200</v>
      </c>
      <c r="K94" s="36" t="s">
        <v>96</v>
      </c>
      <c r="L94" s="39"/>
      <c r="M94" s="242">
        <f>SUM(M95:M96)</f>
        <v>19200</v>
      </c>
    </row>
    <row r="95" spans="1:13" x14ac:dyDescent="0.3">
      <c r="A95" s="70"/>
      <c r="B95" s="70"/>
      <c r="C95" s="70"/>
      <c r="D95" s="70"/>
      <c r="E95" s="70"/>
      <c r="F95" s="119"/>
      <c r="G95" s="214"/>
      <c r="H95" s="120"/>
      <c r="I95" s="248"/>
      <c r="J95" s="121"/>
      <c r="K95" s="237" t="s">
        <v>381</v>
      </c>
      <c r="L95" s="220" t="s">
        <v>0</v>
      </c>
      <c r="M95" s="207">
        <v>8400</v>
      </c>
    </row>
    <row r="96" spans="1:13" x14ac:dyDescent="0.3">
      <c r="A96" s="70"/>
      <c r="B96" s="70"/>
      <c r="C96" s="70"/>
      <c r="D96" s="70"/>
      <c r="E96" s="70"/>
      <c r="F96" s="119"/>
      <c r="G96" s="212"/>
      <c r="H96" s="124"/>
      <c r="I96" s="251"/>
      <c r="J96" s="172"/>
      <c r="K96" s="239" t="s">
        <v>472</v>
      </c>
      <c r="L96" s="222" t="s">
        <v>0</v>
      </c>
      <c r="M96" s="213">
        <v>10800</v>
      </c>
    </row>
    <row r="97" spans="1:13" x14ac:dyDescent="0.3">
      <c r="A97" s="70"/>
      <c r="B97" s="70"/>
      <c r="C97" s="70"/>
      <c r="D97" s="70"/>
      <c r="E97" s="70"/>
      <c r="F97" s="119"/>
      <c r="G97" s="214" t="s">
        <v>150</v>
      </c>
      <c r="H97" s="120">
        <f>M97</f>
        <v>6720</v>
      </c>
      <c r="I97" s="81">
        <v>5760</v>
      </c>
      <c r="J97" s="121">
        <f>H97-I97</f>
        <v>960</v>
      </c>
      <c r="K97" s="236" t="s">
        <v>97</v>
      </c>
      <c r="L97" s="241"/>
      <c r="M97" s="210">
        <f>M98</f>
        <v>6720</v>
      </c>
    </row>
    <row r="98" spans="1:13" x14ac:dyDescent="0.3">
      <c r="A98" s="70"/>
      <c r="B98" s="70"/>
      <c r="C98" s="70"/>
      <c r="D98" s="70"/>
      <c r="E98" s="70"/>
      <c r="F98" s="119"/>
      <c r="G98" s="214"/>
      <c r="H98" s="120"/>
      <c r="I98" s="248"/>
      <c r="J98" s="121"/>
      <c r="K98" s="237" t="s">
        <v>382</v>
      </c>
      <c r="L98" s="220" t="s">
        <v>0</v>
      </c>
      <c r="M98" s="207">
        <v>6720</v>
      </c>
    </row>
    <row r="99" spans="1:13" x14ac:dyDescent="0.3">
      <c r="A99" s="68"/>
      <c r="B99" s="70"/>
      <c r="C99" s="70"/>
      <c r="D99" s="70"/>
      <c r="E99" s="70"/>
      <c r="F99" s="152" t="s">
        <v>98</v>
      </c>
      <c r="G99" s="156"/>
      <c r="H99" s="77">
        <f>H100</f>
        <v>5000</v>
      </c>
      <c r="I99" s="77">
        <v>2000</v>
      </c>
      <c r="J99" s="106">
        <f>H99-I99</f>
        <v>3000</v>
      </c>
      <c r="K99" s="160"/>
      <c r="L99" s="38"/>
      <c r="M99" s="262"/>
    </row>
    <row r="100" spans="1:13" x14ac:dyDescent="0.3">
      <c r="A100" s="68"/>
      <c r="B100" s="70"/>
      <c r="C100" s="70"/>
      <c r="D100" s="70"/>
      <c r="E100" s="70"/>
      <c r="F100" s="159"/>
      <c r="G100" s="70" t="s">
        <v>64</v>
      </c>
      <c r="H100" s="81">
        <f>M100</f>
        <v>5000</v>
      </c>
      <c r="I100" s="81">
        <v>2000</v>
      </c>
      <c r="J100" s="48">
        <f>H100-I100</f>
        <v>3000</v>
      </c>
      <c r="K100" s="36" t="s">
        <v>101</v>
      </c>
      <c r="L100" s="39"/>
      <c r="M100" s="242">
        <f>M101</f>
        <v>5000</v>
      </c>
    </row>
    <row r="101" spans="1:13" x14ac:dyDescent="0.3">
      <c r="A101" s="70"/>
      <c r="B101" s="70"/>
      <c r="C101" s="70"/>
      <c r="D101" s="70"/>
      <c r="E101" s="70"/>
      <c r="F101" s="119"/>
      <c r="G101" s="214"/>
      <c r="H101" s="120"/>
      <c r="I101" s="248"/>
      <c r="J101" s="121"/>
      <c r="K101" s="237" t="s">
        <v>469</v>
      </c>
      <c r="L101" s="220" t="s">
        <v>0</v>
      </c>
      <c r="M101" s="207">
        <v>5000</v>
      </c>
    </row>
    <row r="102" spans="1:13" x14ac:dyDescent="0.3">
      <c r="A102" s="68"/>
      <c r="B102" s="70"/>
      <c r="C102" s="70"/>
      <c r="D102" s="70"/>
      <c r="E102" s="70"/>
      <c r="F102" s="152" t="s">
        <v>99</v>
      </c>
      <c r="G102" s="156"/>
      <c r="H102" s="77">
        <f>SUM(H103,H105)</f>
        <v>4740</v>
      </c>
      <c r="I102" s="77">
        <v>7120</v>
      </c>
      <c r="J102" s="106">
        <f>H102-I102</f>
        <v>-2380</v>
      </c>
      <c r="K102" s="160"/>
      <c r="L102" s="38"/>
      <c r="M102" s="262"/>
    </row>
    <row r="103" spans="1:13" x14ac:dyDescent="0.3">
      <c r="A103" s="68"/>
      <c r="B103" s="70"/>
      <c r="C103" s="70"/>
      <c r="D103" s="70"/>
      <c r="E103" s="70"/>
      <c r="F103" s="159"/>
      <c r="G103" s="70" t="s">
        <v>100</v>
      </c>
      <c r="H103" s="81">
        <f>M103</f>
        <v>2640</v>
      </c>
      <c r="I103" s="81">
        <v>2320</v>
      </c>
      <c r="J103" s="48">
        <f>H103-I103</f>
        <v>320</v>
      </c>
      <c r="K103" s="36" t="s">
        <v>102</v>
      </c>
      <c r="L103" s="39"/>
      <c r="M103" s="242">
        <f>M104</f>
        <v>2640</v>
      </c>
    </row>
    <row r="104" spans="1:13" x14ac:dyDescent="0.3">
      <c r="A104" s="70"/>
      <c r="B104" s="70"/>
      <c r="C104" s="70"/>
      <c r="D104" s="70"/>
      <c r="E104" s="70"/>
      <c r="F104" s="119"/>
      <c r="G104" s="212"/>
      <c r="H104" s="124"/>
      <c r="I104" s="251"/>
      <c r="J104" s="172"/>
      <c r="K104" s="239" t="s">
        <v>470</v>
      </c>
      <c r="L104" s="222" t="s">
        <v>0</v>
      </c>
      <c r="M104" s="213">
        <v>2640</v>
      </c>
    </row>
    <row r="105" spans="1:13" x14ac:dyDescent="0.3">
      <c r="A105" s="70"/>
      <c r="B105" s="70"/>
      <c r="C105" s="70"/>
      <c r="D105" s="70"/>
      <c r="E105" s="70"/>
      <c r="F105" s="119"/>
      <c r="G105" s="401" t="s">
        <v>103</v>
      </c>
      <c r="H105" s="120">
        <f>M105</f>
        <v>2100</v>
      </c>
      <c r="I105" s="81">
        <v>4800</v>
      </c>
      <c r="J105" s="121">
        <f>H105-I105</f>
        <v>-2700</v>
      </c>
      <c r="K105" s="236" t="s">
        <v>471</v>
      </c>
      <c r="L105" s="241"/>
      <c r="M105" s="210">
        <f>M106</f>
        <v>2100</v>
      </c>
    </row>
    <row r="106" spans="1:13" x14ac:dyDescent="0.3">
      <c r="A106" s="70"/>
      <c r="B106" s="70"/>
      <c r="C106" s="70"/>
      <c r="D106" s="70"/>
      <c r="E106" s="72"/>
      <c r="F106" s="250"/>
      <c r="G106" s="367"/>
      <c r="H106" s="124"/>
      <c r="I106" s="251"/>
      <c r="J106" s="172"/>
      <c r="K106" s="239" t="s">
        <v>468</v>
      </c>
      <c r="L106" s="222" t="s">
        <v>0</v>
      </c>
      <c r="M106" s="213">
        <v>2100</v>
      </c>
    </row>
    <row r="107" spans="1:13" x14ac:dyDescent="0.3">
      <c r="A107" s="10"/>
      <c r="B107" s="6"/>
      <c r="C107" s="278"/>
      <c r="D107" s="278"/>
      <c r="E107" s="145" t="s">
        <v>383</v>
      </c>
      <c r="F107" s="146"/>
      <c r="G107" s="147"/>
      <c r="H107" s="97">
        <f>H108</f>
        <v>19597</v>
      </c>
      <c r="I107" s="97">
        <v>0</v>
      </c>
      <c r="J107" s="98">
        <f>H107-I107</f>
        <v>19597</v>
      </c>
      <c r="K107" s="90"/>
      <c r="L107" s="99"/>
      <c r="M107" s="261"/>
    </row>
    <row r="108" spans="1:13" x14ac:dyDescent="0.3">
      <c r="A108" s="68"/>
      <c r="B108" s="70"/>
      <c r="C108" s="70"/>
      <c r="D108" s="70"/>
      <c r="E108" s="70"/>
      <c r="F108" s="152" t="s">
        <v>384</v>
      </c>
      <c r="G108" s="156"/>
      <c r="H108" s="77">
        <f>H109</f>
        <v>19597</v>
      </c>
      <c r="I108" s="77">
        <v>0</v>
      </c>
      <c r="J108" s="106">
        <f>H108-I108</f>
        <v>19597</v>
      </c>
      <c r="K108" s="160"/>
      <c r="L108" s="38"/>
      <c r="M108" s="262"/>
    </row>
    <row r="109" spans="1:13" x14ac:dyDescent="0.3">
      <c r="A109" s="68"/>
      <c r="B109" s="70"/>
      <c r="C109" s="70"/>
      <c r="D109" s="70"/>
      <c r="E109" s="70"/>
      <c r="F109" s="159"/>
      <c r="G109" s="70" t="s">
        <v>385</v>
      </c>
      <c r="H109" s="81">
        <f>SUM(M109,M115,M120)</f>
        <v>19597</v>
      </c>
      <c r="I109" s="81">
        <v>0</v>
      </c>
      <c r="J109" s="48">
        <f>H109-I109</f>
        <v>19597</v>
      </c>
      <c r="K109" s="36" t="s">
        <v>386</v>
      </c>
      <c r="L109" s="39"/>
      <c r="M109" s="242">
        <f>SUM(M110:M114)</f>
        <v>10942</v>
      </c>
    </row>
    <row r="110" spans="1:13" x14ac:dyDescent="0.3">
      <c r="A110" s="57"/>
      <c r="B110" s="60"/>
      <c r="C110" s="70"/>
      <c r="D110" s="70"/>
      <c r="E110" s="70"/>
      <c r="F110" s="247"/>
      <c r="G110" s="58"/>
      <c r="H110" s="110"/>
      <c r="I110" s="110"/>
      <c r="J110" s="50"/>
      <c r="K110" s="237" t="s">
        <v>660</v>
      </c>
      <c r="L110" s="220" t="s">
        <v>0</v>
      </c>
      <c r="M110" s="207">
        <v>4573</v>
      </c>
    </row>
    <row r="111" spans="1:13" x14ac:dyDescent="0.3">
      <c r="A111" s="57"/>
      <c r="B111" s="60"/>
      <c r="C111" s="70"/>
      <c r="D111" s="70"/>
      <c r="E111" s="70"/>
      <c r="F111" s="247"/>
      <c r="G111" s="58"/>
      <c r="H111" s="110"/>
      <c r="I111" s="110"/>
      <c r="J111" s="50"/>
      <c r="K111" s="237" t="s">
        <v>661</v>
      </c>
      <c r="L111" s="220" t="s">
        <v>0</v>
      </c>
      <c r="M111" s="207">
        <v>3659</v>
      </c>
    </row>
    <row r="112" spans="1:13" x14ac:dyDescent="0.3">
      <c r="A112" s="57"/>
      <c r="B112" s="60"/>
      <c r="C112" s="70"/>
      <c r="D112" s="70"/>
      <c r="E112" s="70"/>
      <c r="F112" s="247"/>
      <c r="G112" s="58"/>
      <c r="H112" s="110"/>
      <c r="I112" s="110"/>
      <c r="J112" s="50"/>
      <c r="K112" s="237" t="s">
        <v>662</v>
      </c>
      <c r="L112" s="220" t="s">
        <v>0</v>
      </c>
      <c r="M112" s="207">
        <v>1220</v>
      </c>
    </row>
    <row r="113" spans="1:13" x14ac:dyDescent="0.3">
      <c r="A113" s="57"/>
      <c r="B113" s="60"/>
      <c r="C113" s="70"/>
      <c r="D113" s="70"/>
      <c r="E113" s="70"/>
      <c r="F113" s="247"/>
      <c r="G113" s="58"/>
      <c r="H113" s="110"/>
      <c r="I113" s="110"/>
      <c r="J113" s="50"/>
      <c r="K113" s="237" t="s">
        <v>663</v>
      </c>
      <c r="L113" s="220" t="s">
        <v>0</v>
      </c>
      <c r="M113" s="207">
        <v>1017</v>
      </c>
    </row>
    <row r="114" spans="1:13" x14ac:dyDescent="0.3">
      <c r="A114" s="57"/>
      <c r="B114" s="60"/>
      <c r="C114" s="70"/>
      <c r="D114" s="70"/>
      <c r="E114" s="70"/>
      <c r="F114" s="247"/>
      <c r="G114" s="58"/>
      <c r="H114" s="110"/>
      <c r="I114" s="110"/>
      <c r="J114" s="50"/>
      <c r="K114" s="237" t="s">
        <v>664</v>
      </c>
      <c r="L114" s="220" t="s">
        <v>0</v>
      </c>
      <c r="M114" s="207">
        <v>473</v>
      </c>
    </row>
    <row r="115" spans="1:13" x14ac:dyDescent="0.3">
      <c r="A115" s="57"/>
      <c r="B115" s="60"/>
      <c r="C115" s="70"/>
      <c r="D115" s="70"/>
      <c r="E115" s="70"/>
      <c r="F115" s="247"/>
      <c r="G115" s="58"/>
      <c r="H115" s="110"/>
      <c r="I115" s="110"/>
      <c r="J115" s="50"/>
      <c r="K115" s="236" t="s">
        <v>387</v>
      </c>
      <c r="L115" s="52"/>
      <c r="M115" s="210">
        <f>SUM(M116:M119)</f>
        <v>5263</v>
      </c>
    </row>
    <row r="116" spans="1:13" x14ac:dyDescent="0.3">
      <c r="A116" s="57"/>
      <c r="B116" s="60"/>
      <c r="C116" s="70"/>
      <c r="D116" s="70"/>
      <c r="E116" s="70"/>
      <c r="F116" s="247"/>
      <c r="G116" s="58"/>
      <c r="H116" s="110"/>
      <c r="I116" s="110"/>
      <c r="J116" s="50"/>
      <c r="K116" s="237" t="s">
        <v>389</v>
      </c>
      <c r="L116" s="220" t="s">
        <v>0</v>
      </c>
      <c r="M116" s="207">
        <v>3024</v>
      </c>
    </row>
    <row r="117" spans="1:13" x14ac:dyDescent="0.3">
      <c r="A117" s="57"/>
      <c r="B117" s="60"/>
      <c r="C117" s="70"/>
      <c r="D117" s="70"/>
      <c r="E117" s="70"/>
      <c r="F117" s="247"/>
      <c r="G117" s="58"/>
      <c r="H117" s="110"/>
      <c r="I117" s="110"/>
      <c r="J117" s="50"/>
      <c r="K117" s="237" t="s">
        <v>390</v>
      </c>
      <c r="L117" s="220" t="s">
        <v>0</v>
      </c>
      <c r="M117" s="207">
        <v>1008</v>
      </c>
    </row>
    <row r="118" spans="1:13" x14ac:dyDescent="0.3">
      <c r="A118" s="57"/>
      <c r="B118" s="60"/>
      <c r="C118" s="70"/>
      <c r="D118" s="70"/>
      <c r="E118" s="70"/>
      <c r="F118" s="247"/>
      <c r="G118" s="58"/>
      <c r="H118" s="110"/>
      <c r="I118" s="110"/>
      <c r="J118" s="50"/>
      <c r="K118" s="237" t="s">
        <v>391</v>
      </c>
      <c r="L118" s="220" t="s">
        <v>0</v>
      </c>
      <c r="M118" s="207">
        <v>840</v>
      </c>
    </row>
    <row r="119" spans="1:13" x14ac:dyDescent="0.3">
      <c r="A119" s="57"/>
      <c r="B119" s="60"/>
      <c r="C119" s="70"/>
      <c r="D119" s="70"/>
      <c r="E119" s="70"/>
      <c r="F119" s="247"/>
      <c r="G119" s="58"/>
      <c r="H119" s="110"/>
      <c r="I119" s="110"/>
      <c r="J119" s="50"/>
      <c r="K119" s="237" t="s">
        <v>392</v>
      </c>
      <c r="L119" s="220" t="s">
        <v>636</v>
      </c>
      <c r="M119" s="207">
        <v>391</v>
      </c>
    </row>
    <row r="120" spans="1:13" x14ac:dyDescent="0.3">
      <c r="A120" s="57"/>
      <c r="B120" s="60"/>
      <c r="C120" s="70"/>
      <c r="D120" s="70"/>
      <c r="E120" s="70"/>
      <c r="F120" s="247"/>
      <c r="G120" s="58"/>
      <c r="H120" s="110"/>
      <c r="I120" s="110"/>
      <c r="J120" s="50"/>
      <c r="K120" s="236" t="s">
        <v>388</v>
      </c>
      <c r="L120" s="52"/>
      <c r="M120" s="210">
        <f>M121</f>
        <v>3392</v>
      </c>
    </row>
    <row r="121" spans="1:13" ht="17.25" thickBot="1" x14ac:dyDescent="0.35">
      <c r="A121" s="252"/>
      <c r="B121" s="253"/>
      <c r="C121" s="74"/>
      <c r="D121" s="74"/>
      <c r="E121" s="74"/>
      <c r="F121" s="254"/>
      <c r="G121" s="255"/>
      <c r="H121" s="234"/>
      <c r="I121" s="234"/>
      <c r="J121" s="256"/>
      <c r="K121" s="257" t="s">
        <v>396</v>
      </c>
      <c r="L121" s="258" t="s">
        <v>0</v>
      </c>
      <c r="M121" s="271">
        <v>3392</v>
      </c>
    </row>
    <row r="129" spans="12:13" x14ac:dyDescent="0.3">
      <c r="L129" s="263"/>
      <c r="M129"/>
    </row>
    <row r="130" spans="12:13" x14ac:dyDescent="0.3">
      <c r="L130" s="263"/>
      <c r="M130"/>
    </row>
    <row r="131" spans="12:13" x14ac:dyDescent="0.3">
      <c r="L131" s="263"/>
      <c r="M131"/>
    </row>
    <row r="132" spans="12:13" x14ac:dyDescent="0.3">
      <c r="L132" s="263"/>
      <c r="M132"/>
    </row>
    <row r="133" spans="12:13" x14ac:dyDescent="0.3">
      <c r="L133" s="263"/>
      <c r="M133"/>
    </row>
    <row r="134" spans="12:13" x14ac:dyDescent="0.3">
      <c r="L134" s="263"/>
      <c r="M134"/>
    </row>
    <row r="135" spans="12:13" x14ac:dyDescent="0.3">
      <c r="L135" s="263"/>
      <c r="M135"/>
    </row>
    <row r="136" spans="12:13" x14ac:dyDescent="0.3">
      <c r="L136" s="263"/>
      <c r="M136"/>
    </row>
    <row r="137" spans="12:13" x14ac:dyDescent="0.3">
      <c r="L137" s="263"/>
      <c r="M137"/>
    </row>
    <row r="138" spans="12:13" x14ac:dyDescent="0.3">
      <c r="L138" s="263"/>
      <c r="M138"/>
    </row>
    <row r="139" spans="12:13" x14ac:dyDescent="0.3">
      <c r="L139" s="263"/>
      <c r="M139"/>
    </row>
    <row r="140" spans="12:13" x14ac:dyDescent="0.3">
      <c r="L140" s="263"/>
      <c r="M140"/>
    </row>
    <row r="141" spans="12:13" x14ac:dyDescent="0.3">
      <c r="L141" s="263"/>
      <c r="M141"/>
    </row>
    <row r="142" spans="12:13" x14ac:dyDescent="0.3">
      <c r="L142" s="263"/>
      <c r="M142"/>
    </row>
    <row r="143" spans="12:13" x14ac:dyDescent="0.3">
      <c r="L143" s="263"/>
      <c r="M143"/>
    </row>
    <row r="144" spans="12:13" x14ac:dyDescent="0.3">
      <c r="L144" s="263"/>
      <c r="M144"/>
    </row>
    <row r="145" spans="12:13" x14ac:dyDescent="0.3">
      <c r="L145" s="263"/>
      <c r="M145"/>
    </row>
  </sheetData>
  <autoFilter ref="A3:M121">
    <filterColumn colId="10" showButton="0"/>
    <filterColumn colId="11" showButton="0"/>
  </autoFilter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1607" priority="595" operator="containsText" text="허하나로">
      <formula>NOT(ISERROR(SEARCH("허하나로",H762)))</formula>
    </cfRule>
    <cfRule type="containsText" dxfId="1606" priority="596" operator="containsText" text="한별">
      <formula>NOT(ISERROR(SEARCH("한별",H762)))</formula>
    </cfRule>
    <cfRule type="containsText" dxfId="1605" priority="597" operator="containsText" text="정홍조">
      <formula>NOT(ISERROR(SEARCH("정홍조",H762)))</formula>
    </cfRule>
    <cfRule type="containsText" dxfId="1604" priority="598" operator="containsText" text="김지윤">
      <formula>NOT(ISERROR(SEARCH("김지윤",H762)))</formula>
    </cfRule>
    <cfRule type="containsText" dxfId="1603" priority="599" operator="containsText" text="전준영">
      <formula>NOT(ISERROR(SEARCH("전준영",H762)))</formula>
    </cfRule>
    <cfRule type="containsText" dxfId="1602" priority="600" operator="containsText" text="차재성">
      <formula>NOT(ISERROR(SEARCH("차재성",H762)))</formula>
    </cfRule>
  </conditionalFormatting>
  <conditionalFormatting sqref="J6:J7">
    <cfRule type="containsText" dxfId="1601" priority="589" operator="containsText" text="허하나로">
      <formula>NOT(ISERROR(SEARCH("허하나로",H760)))</formula>
    </cfRule>
    <cfRule type="containsText" dxfId="1600" priority="590" operator="containsText" text="한별">
      <formula>NOT(ISERROR(SEARCH("한별",H760)))</formula>
    </cfRule>
    <cfRule type="containsText" dxfId="1599" priority="591" operator="containsText" text="정홍조">
      <formula>NOT(ISERROR(SEARCH("정홍조",H760)))</formula>
    </cfRule>
    <cfRule type="containsText" dxfId="1598" priority="592" operator="containsText" text="김지윤">
      <formula>NOT(ISERROR(SEARCH("김지윤",H760)))</formula>
    </cfRule>
    <cfRule type="containsText" dxfId="1597" priority="593" operator="containsText" text="전준영">
      <formula>NOT(ISERROR(SEARCH("전준영",H760)))</formula>
    </cfRule>
    <cfRule type="containsText" dxfId="1596" priority="594" operator="containsText" text="차재성">
      <formula>NOT(ISERROR(SEARCH("차재성",H760)))</formula>
    </cfRule>
  </conditionalFormatting>
  <conditionalFormatting sqref="J5">
    <cfRule type="containsText" dxfId="1595" priority="583" operator="containsText" text="허하나로">
      <formula>NOT(ISERROR(SEARCH("허하나로",H759)))</formula>
    </cfRule>
    <cfRule type="containsText" dxfId="1594" priority="584" operator="containsText" text="한별">
      <formula>NOT(ISERROR(SEARCH("한별",H759)))</formula>
    </cfRule>
    <cfRule type="containsText" dxfId="1593" priority="585" operator="containsText" text="정홍조">
      <formula>NOT(ISERROR(SEARCH("정홍조",H759)))</formula>
    </cfRule>
    <cfRule type="containsText" dxfId="1592" priority="586" operator="containsText" text="김지윤">
      <formula>NOT(ISERROR(SEARCH("김지윤",H759)))</formula>
    </cfRule>
    <cfRule type="containsText" dxfId="1591" priority="587" operator="containsText" text="전준영">
      <formula>NOT(ISERROR(SEARCH("전준영",H759)))</formula>
    </cfRule>
    <cfRule type="containsText" dxfId="1590" priority="588" operator="containsText" text="차재성">
      <formula>NOT(ISERROR(SEARCH("차재성",H759)))</formula>
    </cfRule>
  </conditionalFormatting>
  <conditionalFormatting sqref="J30">
    <cfRule type="containsText" dxfId="1589" priority="571" operator="containsText" text="허하나로">
      <formula>NOT(ISERROR(SEARCH("허하나로",H893)))</formula>
    </cfRule>
    <cfRule type="containsText" dxfId="1588" priority="572" operator="containsText" text="한별">
      <formula>NOT(ISERROR(SEARCH("한별",H893)))</formula>
    </cfRule>
    <cfRule type="containsText" dxfId="1587" priority="573" operator="containsText" text="정홍조">
      <formula>NOT(ISERROR(SEARCH("정홍조",H893)))</formula>
    </cfRule>
    <cfRule type="containsText" dxfId="1586" priority="574" operator="containsText" text="김지윤">
      <formula>NOT(ISERROR(SEARCH("김지윤",H893)))</formula>
    </cfRule>
    <cfRule type="containsText" dxfId="1585" priority="575" operator="containsText" text="전준영">
      <formula>NOT(ISERROR(SEARCH("전준영",H893)))</formula>
    </cfRule>
    <cfRule type="containsText" dxfId="1584" priority="576" operator="containsText" text="차재성">
      <formula>NOT(ISERROR(SEARCH("차재성",H893)))</formula>
    </cfRule>
  </conditionalFormatting>
  <conditionalFormatting sqref="J66">
    <cfRule type="containsText" dxfId="1583" priority="565" operator="containsText" text="허하나로">
      <formula>NOT(ISERROR(SEARCH("허하나로",H1103)))</formula>
    </cfRule>
    <cfRule type="containsText" dxfId="1582" priority="566" operator="containsText" text="한별">
      <formula>NOT(ISERROR(SEARCH("한별",H1103)))</formula>
    </cfRule>
    <cfRule type="containsText" dxfId="1581" priority="567" operator="containsText" text="정홍조">
      <formula>NOT(ISERROR(SEARCH("정홍조",H1103)))</formula>
    </cfRule>
    <cfRule type="containsText" dxfId="1580" priority="568" operator="containsText" text="김지윤">
      <formula>NOT(ISERROR(SEARCH("김지윤",H1103)))</formula>
    </cfRule>
    <cfRule type="containsText" dxfId="1579" priority="569" operator="containsText" text="전준영">
      <formula>NOT(ISERROR(SEARCH("전준영",H1103)))</formula>
    </cfRule>
    <cfRule type="containsText" dxfId="1578" priority="570" operator="containsText" text="차재성">
      <formula>NOT(ISERROR(SEARCH("차재성",H1103)))</formula>
    </cfRule>
  </conditionalFormatting>
  <conditionalFormatting sqref="J67">
    <cfRule type="containsText" dxfId="1577" priority="559" operator="containsText" text="허하나로">
      <formula>NOT(ISERROR(SEARCH("허하나로",H1092)))</formula>
    </cfRule>
    <cfRule type="containsText" dxfId="1576" priority="560" operator="containsText" text="한별">
      <formula>NOT(ISERROR(SEARCH("한별",H1092)))</formula>
    </cfRule>
    <cfRule type="containsText" dxfId="1575" priority="561" operator="containsText" text="정홍조">
      <formula>NOT(ISERROR(SEARCH("정홍조",H1092)))</formula>
    </cfRule>
    <cfRule type="containsText" dxfId="1574" priority="562" operator="containsText" text="김지윤">
      <formula>NOT(ISERROR(SEARCH("김지윤",H1092)))</formula>
    </cfRule>
    <cfRule type="containsText" dxfId="1573" priority="563" operator="containsText" text="전준영">
      <formula>NOT(ISERROR(SEARCH("전준영",H1092)))</formula>
    </cfRule>
    <cfRule type="containsText" dxfId="1572" priority="564" operator="containsText" text="차재성">
      <formula>NOT(ISERROR(SEARCH("차재성",H1092)))</formula>
    </cfRule>
  </conditionalFormatting>
  <conditionalFormatting sqref="J32">
    <cfRule type="containsText" dxfId="1571" priority="601" operator="containsText" text="허하나로">
      <formula>NOT(ISERROR(SEARCH("허하나로",H1090)))</formula>
    </cfRule>
    <cfRule type="containsText" dxfId="1570" priority="602" operator="containsText" text="한별">
      <formula>NOT(ISERROR(SEARCH("한별",H1090)))</formula>
    </cfRule>
    <cfRule type="containsText" dxfId="1569" priority="603" operator="containsText" text="정홍조">
      <formula>NOT(ISERROR(SEARCH("정홍조",H1090)))</formula>
    </cfRule>
    <cfRule type="containsText" dxfId="1568" priority="604" operator="containsText" text="김지윤">
      <formula>NOT(ISERROR(SEARCH("김지윤",H1090)))</formula>
    </cfRule>
    <cfRule type="containsText" dxfId="1567" priority="605" operator="containsText" text="전준영">
      <formula>NOT(ISERROR(SEARCH("전준영",H1090)))</formula>
    </cfRule>
    <cfRule type="containsText" dxfId="1566" priority="606" operator="containsText" text="차재성">
      <formula>NOT(ISERROR(SEARCH("차재성",H1090)))</formula>
    </cfRule>
  </conditionalFormatting>
  <conditionalFormatting sqref="J14:J19">
    <cfRule type="containsText" dxfId="1565" priority="1843" operator="containsText" text="허하나로">
      <formula>NOT(ISERROR(SEARCH("허하나로",H1098)))</formula>
    </cfRule>
    <cfRule type="containsText" dxfId="1564" priority="1844" operator="containsText" text="한별">
      <formula>NOT(ISERROR(SEARCH("한별",H1098)))</formula>
    </cfRule>
    <cfRule type="containsText" dxfId="1563" priority="1845" operator="containsText" text="정홍조">
      <formula>NOT(ISERROR(SEARCH("정홍조",H1098)))</formula>
    </cfRule>
    <cfRule type="containsText" dxfId="1562" priority="1846" operator="containsText" text="김지윤">
      <formula>NOT(ISERROR(SEARCH("김지윤",H1098)))</formula>
    </cfRule>
    <cfRule type="containsText" dxfId="1561" priority="1847" operator="containsText" text="전준영">
      <formula>NOT(ISERROR(SEARCH("전준영",H1098)))</formula>
    </cfRule>
    <cfRule type="containsText" dxfId="1560" priority="1848" operator="containsText" text="차재성">
      <formula>NOT(ISERROR(SEARCH("차재성",H1098)))</formula>
    </cfRule>
  </conditionalFormatting>
  <conditionalFormatting sqref="J24:J25">
    <cfRule type="containsText" dxfId="1559" priority="1849" operator="containsText" text="허하나로">
      <formula>NOT(ISERROR(SEARCH("허하나로",H1103)))</formula>
    </cfRule>
    <cfRule type="containsText" dxfId="1558" priority="1850" operator="containsText" text="한별">
      <formula>NOT(ISERROR(SEARCH("한별",H1103)))</formula>
    </cfRule>
    <cfRule type="containsText" dxfId="1557" priority="1851" operator="containsText" text="정홍조">
      <formula>NOT(ISERROR(SEARCH("정홍조",H1103)))</formula>
    </cfRule>
    <cfRule type="containsText" dxfId="1556" priority="1852" operator="containsText" text="김지윤">
      <formula>NOT(ISERROR(SEARCH("김지윤",H1103)))</formula>
    </cfRule>
    <cfRule type="containsText" dxfId="1555" priority="1853" operator="containsText" text="전준영">
      <formula>NOT(ISERROR(SEARCH("전준영",H1103)))</formula>
    </cfRule>
    <cfRule type="containsText" dxfId="1554" priority="1854" operator="containsText" text="차재성">
      <formula>NOT(ISERROR(SEARCH("차재성",H1103)))</formula>
    </cfRule>
  </conditionalFormatting>
  <conditionalFormatting sqref="J38">
    <cfRule type="containsText" dxfId="1553" priority="1861" operator="containsText" text="허하나로">
      <formula>NOT(ISERROR(SEARCH("허하나로",H1103)))</formula>
    </cfRule>
    <cfRule type="containsText" dxfId="1552" priority="1862" operator="containsText" text="한별">
      <formula>NOT(ISERROR(SEARCH("한별",H1103)))</formula>
    </cfRule>
    <cfRule type="containsText" dxfId="1551" priority="1863" operator="containsText" text="정홍조">
      <formula>NOT(ISERROR(SEARCH("정홍조",H1103)))</formula>
    </cfRule>
    <cfRule type="containsText" dxfId="1550" priority="1864" operator="containsText" text="김지윤">
      <formula>NOT(ISERROR(SEARCH("김지윤",H1103)))</formula>
    </cfRule>
    <cfRule type="containsText" dxfId="1549" priority="1865" operator="containsText" text="전준영">
      <formula>NOT(ISERROR(SEARCH("전준영",H1103)))</formula>
    </cfRule>
    <cfRule type="containsText" dxfId="1548" priority="1866" operator="containsText" text="차재성">
      <formula>NOT(ISERROR(SEARCH("차재성",H1103)))</formula>
    </cfRule>
  </conditionalFormatting>
  <conditionalFormatting sqref="J28">
    <cfRule type="containsText" dxfId="1547" priority="487" operator="containsText" text="허하나로">
      <formula>NOT(ISERROR(SEARCH("허하나로",H1102)))</formula>
    </cfRule>
    <cfRule type="containsText" dxfId="1546" priority="488" operator="containsText" text="한별">
      <formula>NOT(ISERROR(SEARCH("한별",H1102)))</formula>
    </cfRule>
    <cfRule type="containsText" dxfId="1545" priority="489" operator="containsText" text="정홍조">
      <formula>NOT(ISERROR(SEARCH("정홍조",H1102)))</formula>
    </cfRule>
    <cfRule type="containsText" dxfId="1544" priority="490" operator="containsText" text="김지윤">
      <formula>NOT(ISERROR(SEARCH("김지윤",H1102)))</formula>
    </cfRule>
    <cfRule type="containsText" dxfId="1543" priority="491" operator="containsText" text="전준영">
      <formula>NOT(ISERROR(SEARCH("전준영",H1102)))</formula>
    </cfRule>
    <cfRule type="containsText" dxfId="1542" priority="492" operator="containsText" text="차재성">
      <formula>NOT(ISERROR(SEARCH("차재성",H1102)))</formula>
    </cfRule>
  </conditionalFormatting>
  <conditionalFormatting sqref="J29">
    <cfRule type="containsText" dxfId="1541" priority="523" operator="containsText" text="허하나로">
      <formula>NOT(ISERROR(SEARCH("허하나로",H1102)))</formula>
    </cfRule>
    <cfRule type="containsText" dxfId="1540" priority="524" operator="containsText" text="한별">
      <formula>NOT(ISERROR(SEARCH("한별",H1102)))</formula>
    </cfRule>
    <cfRule type="containsText" dxfId="1539" priority="525" operator="containsText" text="정홍조">
      <formula>NOT(ISERROR(SEARCH("정홍조",H1102)))</formula>
    </cfRule>
    <cfRule type="containsText" dxfId="1538" priority="526" operator="containsText" text="김지윤">
      <formula>NOT(ISERROR(SEARCH("김지윤",H1102)))</formula>
    </cfRule>
    <cfRule type="containsText" dxfId="1537" priority="527" operator="containsText" text="전준영">
      <formula>NOT(ISERROR(SEARCH("전준영",H1102)))</formula>
    </cfRule>
    <cfRule type="containsText" dxfId="1536" priority="528" operator="containsText" text="차재성">
      <formula>NOT(ISERROR(SEARCH("차재성",H1102)))</formula>
    </cfRule>
  </conditionalFormatting>
  <conditionalFormatting sqref="J22">
    <cfRule type="containsText" dxfId="1535" priority="1945" operator="containsText" text="허하나로">
      <formula>NOT(ISERROR(SEARCH("허하나로",H1103)))</formula>
    </cfRule>
    <cfRule type="containsText" dxfId="1534" priority="1946" operator="containsText" text="한별">
      <formula>NOT(ISERROR(SEARCH("한별",H1103)))</formula>
    </cfRule>
    <cfRule type="containsText" dxfId="1533" priority="1947" operator="containsText" text="정홍조">
      <formula>NOT(ISERROR(SEARCH("정홍조",H1103)))</formula>
    </cfRule>
    <cfRule type="containsText" dxfId="1532" priority="1948" operator="containsText" text="김지윤">
      <formula>NOT(ISERROR(SEARCH("김지윤",H1103)))</formula>
    </cfRule>
    <cfRule type="containsText" dxfId="1531" priority="1949" operator="containsText" text="전준영">
      <formula>NOT(ISERROR(SEARCH("전준영",H1103)))</formula>
    </cfRule>
    <cfRule type="containsText" dxfId="1530" priority="1950" operator="containsText" text="차재성">
      <formula>NOT(ISERROR(SEARCH("차재성",H1103)))</formula>
    </cfRule>
  </conditionalFormatting>
  <conditionalFormatting sqref="J21">
    <cfRule type="containsText" dxfId="1529" priority="1957" operator="containsText" text="허하나로">
      <formula>NOT(ISERROR(SEARCH("허하나로",H1103)))</formula>
    </cfRule>
    <cfRule type="containsText" dxfId="1528" priority="1958" operator="containsText" text="한별">
      <formula>NOT(ISERROR(SEARCH("한별",H1103)))</formula>
    </cfRule>
    <cfRule type="containsText" dxfId="1527" priority="1959" operator="containsText" text="정홍조">
      <formula>NOT(ISERROR(SEARCH("정홍조",H1103)))</formula>
    </cfRule>
    <cfRule type="containsText" dxfId="1526" priority="1960" operator="containsText" text="김지윤">
      <formula>NOT(ISERROR(SEARCH("김지윤",H1103)))</formula>
    </cfRule>
    <cfRule type="containsText" dxfId="1525" priority="1961" operator="containsText" text="전준영">
      <formula>NOT(ISERROR(SEARCH("전준영",H1103)))</formula>
    </cfRule>
    <cfRule type="containsText" dxfId="1524" priority="1962" operator="containsText" text="차재성">
      <formula>NOT(ISERROR(SEARCH("차재성",H1103)))</formula>
    </cfRule>
  </conditionalFormatting>
  <conditionalFormatting sqref="J20">
    <cfRule type="containsText" dxfId="1523" priority="1969" operator="containsText" text="허하나로">
      <formula>NOT(ISERROR(SEARCH("허하나로",H1103)))</formula>
    </cfRule>
    <cfRule type="containsText" dxfId="1522" priority="1970" operator="containsText" text="한별">
      <formula>NOT(ISERROR(SEARCH("한별",H1103)))</formula>
    </cfRule>
    <cfRule type="containsText" dxfId="1521" priority="1971" operator="containsText" text="정홍조">
      <formula>NOT(ISERROR(SEARCH("정홍조",H1103)))</formula>
    </cfRule>
    <cfRule type="containsText" dxfId="1520" priority="1972" operator="containsText" text="김지윤">
      <formula>NOT(ISERROR(SEARCH("김지윤",H1103)))</formula>
    </cfRule>
    <cfRule type="containsText" dxfId="1519" priority="1973" operator="containsText" text="전준영">
      <formula>NOT(ISERROR(SEARCH("전준영",H1103)))</formula>
    </cfRule>
    <cfRule type="containsText" dxfId="1518" priority="1974" operator="containsText" text="차재성">
      <formula>NOT(ISERROR(SEARCH("차재성",H1103)))</formula>
    </cfRule>
  </conditionalFormatting>
  <conditionalFormatting sqref="J71">
    <cfRule type="containsText" dxfId="1517" priority="1975" operator="containsText" text="허하나로">
      <formula>NOT(ISERROR(SEARCH("허하나로",H1103)))</formula>
    </cfRule>
    <cfRule type="containsText" dxfId="1516" priority="1976" operator="containsText" text="한별">
      <formula>NOT(ISERROR(SEARCH("한별",H1103)))</formula>
    </cfRule>
    <cfRule type="containsText" dxfId="1515" priority="1977" operator="containsText" text="정홍조">
      <formula>NOT(ISERROR(SEARCH("정홍조",H1103)))</formula>
    </cfRule>
    <cfRule type="containsText" dxfId="1514" priority="1978" operator="containsText" text="김지윤">
      <formula>NOT(ISERROR(SEARCH("김지윤",H1103)))</formula>
    </cfRule>
    <cfRule type="containsText" dxfId="1513" priority="1979" operator="containsText" text="전준영">
      <formula>NOT(ISERROR(SEARCH("전준영",H1103)))</formula>
    </cfRule>
    <cfRule type="containsText" dxfId="1512" priority="1980" operator="containsText" text="차재성">
      <formula>NOT(ISERROR(SEARCH("차재성",H1103)))</formula>
    </cfRule>
  </conditionalFormatting>
  <conditionalFormatting sqref="J65">
    <cfRule type="containsText" dxfId="1511" priority="1993" operator="containsText" text="허하나로">
      <formula>NOT(ISERROR(SEARCH("허하나로",H1104)))</formula>
    </cfRule>
    <cfRule type="containsText" dxfId="1510" priority="1994" operator="containsText" text="한별">
      <formula>NOT(ISERROR(SEARCH("한별",H1104)))</formula>
    </cfRule>
    <cfRule type="containsText" dxfId="1509" priority="1995" operator="containsText" text="정홍조">
      <formula>NOT(ISERROR(SEARCH("정홍조",H1104)))</formula>
    </cfRule>
    <cfRule type="containsText" dxfId="1508" priority="1996" operator="containsText" text="김지윤">
      <formula>NOT(ISERROR(SEARCH("김지윤",H1104)))</formula>
    </cfRule>
    <cfRule type="containsText" dxfId="1507" priority="1997" operator="containsText" text="전준영">
      <formula>NOT(ISERROR(SEARCH("전준영",H1104)))</formula>
    </cfRule>
    <cfRule type="containsText" dxfId="1506" priority="1998" operator="containsText" text="차재성">
      <formula>NOT(ISERROR(SEARCH("차재성",H1104)))</formula>
    </cfRule>
  </conditionalFormatting>
  <conditionalFormatting sqref="J62:J63">
    <cfRule type="containsText" dxfId="1505" priority="2011" operator="containsText" text="허하나로">
      <formula>NOT(ISERROR(SEARCH("허하나로",H1104)))</formula>
    </cfRule>
    <cfRule type="containsText" dxfId="1504" priority="2012" operator="containsText" text="한별">
      <formula>NOT(ISERROR(SEARCH("한별",H1104)))</formula>
    </cfRule>
    <cfRule type="containsText" dxfId="1503" priority="2013" operator="containsText" text="정홍조">
      <formula>NOT(ISERROR(SEARCH("정홍조",H1104)))</formula>
    </cfRule>
    <cfRule type="containsText" dxfId="1502" priority="2014" operator="containsText" text="김지윤">
      <formula>NOT(ISERROR(SEARCH("김지윤",H1104)))</formula>
    </cfRule>
    <cfRule type="containsText" dxfId="1501" priority="2015" operator="containsText" text="전준영">
      <formula>NOT(ISERROR(SEARCH("전준영",H1104)))</formula>
    </cfRule>
    <cfRule type="containsText" dxfId="1500" priority="2016" operator="containsText" text="차재성">
      <formula>NOT(ISERROR(SEARCH("차재성",H1104)))</formula>
    </cfRule>
  </conditionalFormatting>
  <conditionalFormatting sqref="J54">
    <cfRule type="containsText" dxfId="1499" priority="2029" operator="containsText" text="허하나로">
      <formula>NOT(ISERROR(SEARCH("허하나로",H1103)))</formula>
    </cfRule>
    <cfRule type="containsText" dxfId="1498" priority="2030" operator="containsText" text="한별">
      <formula>NOT(ISERROR(SEARCH("한별",H1103)))</formula>
    </cfRule>
    <cfRule type="containsText" dxfId="1497" priority="2031" operator="containsText" text="정홍조">
      <formula>NOT(ISERROR(SEARCH("정홍조",H1103)))</formula>
    </cfRule>
    <cfRule type="containsText" dxfId="1496" priority="2032" operator="containsText" text="김지윤">
      <formula>NOT(ISERROR(SEARCH("김지윤",H1103)))</formula>
    </cfRule>
    <cfRule type="containsText" dxfId="1495" priority="2033" operator="containsText" text="전준영">
      <formula>NOT(ISERROR(SEARCH("전준영",H1103)))</formula>
    </cfRule>
    <cfRule type="containsText" dxfId="1494" priority="2034" operator="containsText" text="차재성">
      <formula>NOT(ISERROR(SEARCH("차재성",H1103)))</formula>
    </cfRule>
  </conditionalFormatting>
  <conditionalFormatting sqref="J47">
    <cfRule type="containsText" dxfId="1493" priority="2155" operator="containsText" text="허하나로">
      <formula>NOT(ISERROR(SEARCH("허하나로",H1112)))</formula>
    </cfRule>
    <cfRule type="containsText" dxfId="1492" priority="2156" operator="containsText" text="한별">
      <formula>NOT(ISERROR(SEARCH("한별",H1112)))</formula>
    </cfRule>
    <cfRule type="containsText" dxfId="1491" priority="2157" operator="containsText" text="정홍조">
      <formula>NOT(ISERROR(SEARCH("정홍조",H1112)))</formula>
    </cfRule>
    <cfRule type="containsText" dxfId="1490" priority="2158" operator="containsText" text="김지윤">
      <formula>NOT(ISERROR(SEARCH("김지윤",H1112)))</formula>
    </cfRule>
    <cfRule type="containsText" dxfId="1489" priority="2159" operator="containsText" text="전준영">
      <formula>NOT(ISERROR(SEARCH("전준영",H1112)))</formula>
    </cfRule>
    <cfRule type="containsText" dxfId="1488" priority="2160" operator="containsText" text="차재성">
      <formula>NOT(ISERROR(SEARCH("차재성",H1112)))</formula>
    </cfRule>
  </conditionalFormatting>
  <conditionalFormatting sqref="J51">
    <cfRule type="containsText" dxfId="1487" priority="481" operator="containsText" text="허하나로">
      <formula>NOT(ISERROR(SEARCH("허하나로",H1097)))</formula>
    </cfRule>
    <cfRule type="containsText" dxfId="1486" priority="482" operator="containsText" text="한별">
      <formula>NOT(ISERROR(SEARCH("한별",H1097)))</formula>
    </cfRule>
    <cfRule type="containsText" dxfId="1485" priority="483" operator="containsText" text="정홍조">
      <formula>NOT(ISERROR(SEARCH("정홍조",H1097)))</formula>
    </cfRule>
    <cfRule type="containsText" dxfId="1484" priority="484" operator="containsText" text="김지윤">
      <formula>NOT(ISERROR(SEARCH("김지윤",H1097)))</formula>
    </cfRule>
    <cfRule type="containsText" dxfId="1483" priority="485" operator="containsText" text="전준영">
      <formula>NOT(ISERROR(SEARCH("전준영",H1097)))</formula>
    </cfRule>
    <cfRule type="containsText" dxfId="1482" priority="486" operator="containsText" text="차재성">
      <formula>NOT(ISERROR(SEARCH("차재성",H1097)))</formula>
    </cfRule>
  </conditionalFormatting>
  <conditionalFormatting sqref="J52:J53">
    <cfRule type="containsText" dxfId="1481" priority="475" operator="containsText" text="허하나로">
      <formula>NOT(ISERROR(SEARCH("허하나로",H1126)))</formula>
    </cfRule>
    <cfRule type="containsText" dxfId="1480" priority="476" operator="containsText" text="한별">
      <formula>NOT(ISERROR(SEARCH("한별",H1126)))</formula>
    </cfRule>
    <cfRule type="containsText" dxfId="1479" priority="477" operator="containsText" text="정홍조">
      <formula>NOT(ISERROR(SEARCH("정홍조",H1126)))</formula>
    </cfRule>
    <cfRule type="containsText" dxfId="1478" priority="478" operator="containsText" text="김지윤">
      <formula>NOT(ISERROR(SEARCH("김지윤",H1126)))</formula>
    </cfRule>
    <cfRule type="containsText" dxfId="1477" priority="479" operator="containsText" text="전준영">
      <formula>NOT(ISERROR(SEARCH("전준영",H1126)))</formula>
    </cfRule>
    <cfRule type="containsText" dxfId="1476" priority="480" operator="containsText" text="차재성">
      <formula>NOT(ISERROR(SEARCH("차재성",H1126)))</formula>
    </cfRule>
  </conditionalFormatting>
  <conditionalFormatting sqref="J120">
    <cfRule type="containsText" dxfId="1475" priority="2173" operator="containsText" text="허하나로">
      <formula>NOT(ISERROR(SEARCH("허하나로",H1155)))</formula>
    </cfRule>
    <cfRule type="containsText" dxfId="1474" priority="2174" operator="containsText" text="한별">
      <formula>NOT(ISERROR(SEARCH("한별",H1155)))</formula>
    </cfRule>
    <cfRule type="containsText" dxfId="1473" priority="2175" operator="containsText" text="정홍조">
      <formula>NOT(ISERROR(SEARCH("정홍조",H1155)))</formula>
    </cfRule>
    <cfRule type="containsText" dxfId="1472" priority="2176" operator="containsText" text="김지윤">
      <formula>NOT(ISERROR(SEARCH("김지윤",H1155)))</formula>
    </cfRule>
    <cfRule type="containsText" dxfId="1471" priority="2177" operator="containsText" text="전준영">
      <formula>NOT(ISERROR(SEARCH("전준영",H1155)))</formula>
    </cfRule>
    <cfRule type="containsText" dxfId="1470" priority="2178" operator="containsText" text="차재성">
      <formula>NOT(ISERROR(SEARCH("차재성",H1155)))</formula>
    </cfRule>
  </conditionalFormatting>
  <conditionalFormatting sqref="J116:J117">
    <cfRule type="containsText" dxfId="1469" priority="2191" operator="containsText" text="허하나로">
      <formula>NOT(ISERROR(SEARCH("허하나로",H1154)))</formula>
    </cfRule>
    <cfRule type="containsText" dxfId="1468" priority="2192" operator="containsText" text="한별">
      <formula>NOT(ISERROR(SEARCH("한별",H1154)))</formula>
    </cfRule>
    <cfRule type="containsText" dxfId="1467" priority="2193" operator="containsText" text="정홍조">
      <formula>NOT(ISERROR(SEARCH("정홍조",H1154)))</formula>
    </cfRule>
    <cfRule type="containsText" dxfId="1466" priority="2194" operator="containsText" text="김지윤">
      <formula>NOT(ISERROR(SEARCH("김지윤",H1154)))</formula>
    </cfRule>
    <cfRule type="containsText" dxfId="1465" priority="2195" operator="containsText" text="전준영">
      <formula>NOT(ISERROR(SEARCH("전준영",H1154)))</formula>
    </cfRule>
    <cfRule type="containsText" dxfId="1464" priority="2196" operator="containsText" text="차재성">
      <formula>NOT(ISERROR(SEARCH("차재성",H1154)))</formula>
    </cfRule>
  </conditionalFormatting>
  <conditionalFormatting sqref="J59">
    <cfRule type="containsText" dxfId="1463" priority="2209" operator="containsText" text="허하나로">
      <formula>NOT(ISERROR(SEARCH("허하나로",H1104)))</formula>
    </cfRule>
    <cfRule type="containsText" dxfId="1462" priority="2210" operator="containsText" text="한별">
      <formula>NOT(ISERROR(SEARCH("한별",H1104)))</formula>
    </cfRule>
    <cfRule type="containsText" dxfId="1461" priority="2211" operator="containsText" text="정홍조">
      <formula>NOT(ISERROR(SEARCH("정홍조",H1104)))</formula>
    </cfRule>
    <cfRule type="containsText" dxfId="1460" priority="2212" operator="containsText" text="김지윤">
      <formula>NOT(ISERROR(SEARCH("김지윤",H1104)))</formula>
    </cfRule>
    <cfRule type="containsText" dxfId="1459" priority="2213" operator="containsText" text="전준영">
      <formula>NOT(ISERROR(SEARCH("전준영",H1104)))</formula>
    </cfRule>
    <cfRule type="containsText" dxfId="1458" priority="2214" operator="containsText" text="차재성">
      <formula>NOT(ISERROR(SEARCH("차재성",H1104)))</formula>
    </cfRule>
  </conditionalFormatting>
  <conditionalFormatting sqref="J58">
    <cfRule type="containsText" dxfId="1457" priority="2227" operator="containsText" text="허하나로">
      <formula>NOT(ISERROR(SEARCH("허하나로",H1104)))</formula>
    </cfRule>
    <cfRule type="containsText" dxfId="1456" priority="2228" operator="containsText" text="한별">
      <formula>NOT(ISERROR(SEARCH("한별",H1104)))</formula>
    </cfRule>
    <cfRule type="containsText" dxfId="1455" priority="2229" operator="containsText" text="정홍조">
      <formula>NOT(ISERROR(SEARCH("정홍조",H1104)))</formula>
    </cfRule>
    <cfRule type="containsText" dxfId="1454" priority="2230" operator="containsText" text="김지윤">
      <formula>NOT(ISERROR(SEARCH("김지윤",H1104)))</formula>
    </cfRule>
    <cfRule type="containsText" dxfId="1453" priority="2231" operator="containsText" text="전준영">
      <formula>NOT(ISERROR(SEARCH("전준영",H1104)))</formula>
    </cfRule>
    <cfRule type="containsText" dxfId="1452" priority="2232" operator="containsText" text="차재성">
      <formula>NOT(ISERROR(SEARCH("차재성",H1104)))</formula>
    </cfRule>
  </conditionalFormatting>
  <conditionalFormatting sqref="J57">
    <cfRule type="containsText" dxfId="1451" priority="2245" operator="containsText" text="허하나로">
      <formula>NOT(ISERROR(SEARCH("허하나로",H1104)))</formula>
    </cfRule>
    <cfRule type="containsText" dxfId="1450" priority="2246" operator="containsText" text="한별">
      <formula>NOT(ISERROR(SEARCH("한별",H1104)))</formula>
    </cfRule>
    <cfRule type="containsText" dxfId="1449" priority="2247" operator="containsText" text="정홍조">
      <formula>NOT(ISERROR(SEARCH("정홍조",H1104)))</formula>
    </cfRule>
    <cfRule type="containsText" dxfId="1448" priority="2248" operator="containsText" text="김지윤">
      <formula>NOT(ISERROR(SEARCH("김지윤",H1104)))</formula>
    </cfRule>
    <cfRule type="containsText" dxfId="1447" priority="2249" operator="containsText" text="전준영">
      <formula>NOT(ISERROR(SEARCH("전준영",H1104)))</formula>
    </cfRule>
    <cfRule type="containsText" dxfId="1446" priority="2250" operator="containsText" text="차재성">
      <formula>NOT(ISERROR(SEARCH("차재성",H1104)))</formula>
    </cfRule>
  </conditionalFormatting>
  <conditionalFormatting sqref="J55:J56">
    <cfRule type="containsText" dxfId="1445" priority="2263" operator="containsText" text="허하나로">
      <formula>NOT(ISERROR(SEARCH("허하나로",H1103)))</formula>
    </cfRule>
    <cfRule type="containsText" dxfId="1444" priority="2264" operator="containsText" text="한별">
      <formula>NOT(ISERROR(SEARCH("한별",H1103)))</formula>
    </cfRule>
    <cfRule type="containsText" dxfId="1443" priority="2265" operator="containsText" text="정홍조">
      <formula>NOT(ISERROR(SEARCH("정홍조",H1103)))</formula>
    </cfRule>
    <cfRule type="containsText" dxfId="1442" priority="2266" operator="containsText" text="김지윤">
      <formula>NOT(ISERROR(SEARCH("김지윤",H1103)))</formula>
    </cfRule>
    <cfRule type="containsText" dxfId="1441" priority="2267" operator="containsText" text="전준영">
      <formula>NOT(ISERROR(SEARCH("전준영",H1103)))</formula>
    </cfRule>
    <cfRule type="containsText" dxfId="1440" priority="2268" operator="containsText" text="차재성">
      <formula>NOT(ISERROR(SEARCH("차재성",H1103)))</formula>
    </cfRule>
  </conditionalFormatting>
  <conditionalFormatting sqref="J73">
    <cfRule type="containsText" dxfId="1439" priority="2269" operator="containsText" text="허하나로">
      <formula>NOT(ISERROR(SEARCH("허하나로",H1105)))</formula>
    </cfRule>
    <cfRule type="containsText" dxfId="1438" priority="2270" operator="containsText" text="한별">
      <formula>NOT(ISERROR(SEARCH("한별",H1105)))</formula>
    </cfRule>
    <cfRule type="containsText" dxfId="1437" priority="2271" operator="containsText" text="정홍조">
      <formula>NOT(ISERROR(SEARCH("정홍조",H1105)))</formula>
    </cfRule>
    <cfRule type="containsText" dxfId="1436" priority="2272" operator="containsText" text="김지윤">
      <formula>NOT(ISERROR(SEARCH("김지윤",H1105)))</formula>
    </cfRule>
    <cfRule type="containsText" dxfId="1435" priority="2273" operator="containsText" text="전준영">
      <formula>NOT(ISERROR(SEARCH("전준영",H1105)))</formula>
    </cfRule>
    <cfRule type="containsText" dxfId="1434" priority="2274" operator="containsText" text="차재성">
      <formula>NOT(ISERROR(SEARCH("차재성",H1105)))</formula>
    </cfRule>
  </conditionalFormatting>
  <conditionalFormatting sqref="J72">
    <cfRule type="containsText" dxfId="1433" priority="2299" operator="containsText" text="허하나로">
      <formula>NOT(ISERROR(SEARCH("허하나로",H1105)))</formula>
    </cfRule>
    <cfRule type="containsText" dxfId="1432" priority="2300" operator="containsText" text="한별">
      <formula>NOT(ISERROR(SEARCH("한별",H1105)))</formula>
    </cfRule>
    <cfRule type="containsText" dxfId="1431" priority="2301" operator="containsText" text="정홍조">
      <formula>NOT(ISERROR(SEARCH("정홍조",H1105)))</formula>
    </cfRule>
    <cfRule type="containsText" dxfId="1430" priority="2302" operator="containsText" text="김지윤">
      <formula>NOT(ISERROR(SEARCH("김지윤",H1105)))</formula>
    </cfRule>
    <cfRule type="containsText" dxfId="1429" priority="2303" operator="containsText" text="전준영">
      <formula>NOT(ISERROR(SEARCH("전준영",H1105)))</formula>
    </cfRule>
    <cfRule type="containsText" dxfId="1428" priority="2304" operator="containsText" text="차재성">
      <formula>NOT(ISERROR(SEARCH("차재성",H1105)))</formula>
    </cfRule>
  </conditionalFormatting>
  <conditionalFormatting sqref="L72">
    <cfRule type="containsText" dxfId="1427" priority="2311" operator="containsText" text="허하나로">
      <formula>NOT(ISERROR(SEARCH("허하나로",J1239)))</formula>
    </cfRule>
    <cfRule type="containsText" dxfId="1426" priority="2312" operator="containsText" text="한별">
      <formula>NOT(ISERROR(SEARCH("한별",J1239)))</formula>
    </cfRule>
    <cfRule type="containsText" dxfId="1425" priority="2313" operator="containsText" text="정홍조">
      <formula>NOT(ISERROR(SEARCH("정홍조",J1239)))</formula>
    </cfRule>
    <cfRule type="containsText" dxfId="1424" priority="2314" operator="containsText" text="김지윤">
      <formula>NOT(ISERROR(SEARCH("김지윤",J1239)))</formula>
    </cfRule>
    <cfRule type="containsText" dxfId="1423" priority="2315" operator="containsText" text="전준영">
      <formula>NOT(ISERROR(SEARCH("전준영",J1239)))</formula>
    </cfRule>
    <cfRule type="containsText" dxfId="1422" priority="2316" operator="containsText" text="차재성">
      <formula>NOT(ISERROR(SEARCH("차재성",J1239)))</formula>
    </cfRule>
  </conditionalFormatting>
  <conditionalFormatting sqref="J70">
    <cfRule type="containsText" dxfId="1421" priority="2329" operator="containsText" text="허하나로">
      <formula>NOT(ISERROR(SEARCH("허하나로",H1105)))</formula>
    </cfRule>
    <cfRule type="containsText" dxfId="1420" priority="2330" operator="containsText" text="한별">
      <formula>NOT(ISERROR(SEARCH("한별",H1105)))</formula>
    </cfRule>
    <cfRule type="containsText" dxfId="1419" priority="2331" operator="containsText" text="정홍조">
      <formula>NOT(ISERROR(SEARCH("정홍조",H1105)))</formula>
    </cfRule>
    <cfRule type="containsText" dxfId="1418" priority="2332" operator="containsText" text="김지윤">
      <formula>NOT(ISERROR(SEARCH("김지윤",H1105)))</formula>
    </cfRule>
    <cfRule type="containsText" dxfId="1417" priority="2333" operator="containsText" text="전준영">
      <formula>NOT(ISERROR(SEARCH("전준영",H1105)))</formula>
    </cfRule>
    <cfRule type="containsText" dxfId="1416" priority="2334" operator="containsText" text="차재성">
      <formula>NOT(ISERROR(SEARCH("차재성",H1105)))</formula>
    </cfRule>
  </conditionalFormatting>
  <conditionalFormatting sqref="J68:J69">
    <cfRule type="containsText" dxfId="1415" priority="2359" operator="containsText" text="허하나로">
      <formula>NOT(ISERROR(SEARCH("허하나로",H1104)))</formula>
    </cfRule>
    <cfRule type="containsText" dxfId="1414" priority="2360" operator="containsText" text="한별">
      <formula>NOT(ISERROR(SEARCH("한별",H1104)))</formula>
    </cfRule>
    <cfRule type="containsText" dxfId="1413" priority="2361" operator="containsText" text="정홍조">
      <formula>NOT(ISERROR(SEARCH("정홍조",H1104)))</formula>
    </cfRule>
    <cfRule type="containsText" dxfId="1412" priority="2362" operator="containsText" text="김지윤">
      <formula>NOT(ISERROR(SEARCH("김지윤",H1104)))</formula>
    </cfRule>
    <cfRule type="containsText" dxfId="1411" priority="2363" operator="containsText" text="전준영">
      <formula>NOT(ISERROR(SEARCH("전준영",H1104)))</formula>
    </cfRule>
    <cfRule type="containsText" dxfId="1410" priority="2364" operator="containsText" text="차재성">
      <formula>NOT(ISERROR(SEARCH("차재성",H1104)))</formula>
    </cfRule>
  </conditionalFormatting>
  <conditionalFormatting sqref="L68">
    <cfRule type="containsText" dxfId="1409" priority="2371" operator="containsText" text="허하나로">
      <formula>NOT(ISERROR(SEARCH("허하나로",J1238)))</formula>
    </cfRule>
    <cfRule type="containsText" dxfId="1408" priority="2372" operator="containsText" text="한별">
      <formula>NOT(ISERROR(SEARCH("한별",J1238)))</formula>
    </cfRule>
    <cfRule type="containsText" dxfId="1407" priority="2373" operator="containsText" text="정홍조">
      <formula>NOT(ISERROR(SEARCH("정홍조",J1238)))</formula>
    </cfRule>
    <cfRule type="containsText" dxfId="1406" priority="2374" operator="containsText" text="김지윤">
      <formula>NOT(ISERROR(SEARCH("김지윤",J1238)))</formula>
    </cfRule>
    <cfRule type="containsText" dxfId="1405" priority="2375" operator="containsText" text="전준영">
      <formula>NOT(ISERROR(SEARCH("전준영",J1238)))</formula>
    </cfRule>
    <cfRule type="containsText" dxfId="1404" priority="2376" operator="containsText" text="차재성">
      <formula>NOT(ISERROR(SEARCH("차재성",J1238)))</formula>
    </cfRule>
  </conditionalFormatting>
  <conditionalFormatting sqref="J106">
    <cfRule type="containsText" dxfId="1403" priority="2377" operator="containsText" text="허하나로">
      <formula>NOT(ISERROR(SEARCH("허하나로",H1107)))</formula>
    </cfRule>
    <cfRule type="containsText" dxfId="1402" priority="2378" operator="containsText" text="한별">
      <formula>NOT(ISERROR(SEARCH("한별",H1107)))</formula>
    </cfRule>
    <cfRule type="containsText" dxfId="1401" priority="2379" operator="containsText" text="정홍조">
      <formula>NOT(ISERROR(SEARCH("정홍조",H1107)))</formula>
    </cfRule>
    <cfRule type="containsText" dxfId="1400" priority="2380" operator="containsText" text="김지윤">
      <formula>NOT(ISERROR(SEARCH("김지윤",H1107)))</formula>
    </cfRule>
    <cfRule type="containsText" dxfId="1399" priority="2381" operator="containsText" text="전준영">
      <formula>NOT(ISERROR(SEARCH("전준영",H1107)))</formula>
    </cfRule>
    <cfRule type="containsText" dxfId="1398" priority="2382" operator="containsText" text="차재성">
      <formula>NOT(ISERROR(SEARCH("차재성",H1107)))</formula>
    </cfRule>
  </conditionalFormatting>
  <conditionalFormatting sqref="J95">
    <cfRule type="containsText" dxfId="1397" priority="2407" operator="containsText" text="허하나로">
      <formula>NOT(ISERROR(SEARCH("허하나로",H1106)))</formula>
    </cfRule>
    <cfRule type="containsText" dxfId="1396" priority="2408" operator="containsText" text="한별">
      <formula>NOT(ISERROR(SEARCH("한별",H1106)))</formula>
    </cfRule>
    <cfRule type="containsText" dxfId="1395" priority="2409" operator="containsText" text="정홍조">
      <formula>NOT(ISERROR(SEARCH("정홍조",H1106)))</formula>
    </cfRule>
    <cfRule type="containsText" dxfId="1394" priority="2410" operator="containsText" text="김지윤">
      <formula>NOT(ISERROR(SEARCH("김지윤",H1106)))</formula>
    </cfRule>
    <cfRule type="containsText" dxfId="1393" priority="2411" operator="containsText" text="전준영">
      <formula>NOT(ISERROR(SEARCH("전준영",H1106)))</formula>
    </cfRule>
    <cfRule type="containsText" dxfId="1392" priority="2412" operator="containsText" text="차재성">
      <formula>NOT(ISERROR(SEARCH("차재성",H1106)))</formula>
    </cfRule>
  </conditionalFormatting>
  <conditionalFormatting sqref="J91">
    <cfRule type="containsText" dxfId="1391" priority="2497" operator="containsText" text="허하나로">
      <formula>NOT(ISERROR(SEARCH("허하나로",H1106)))</formula>
    </cfRule>
    <cfRule type="containsText" dxfId="1390" priority="2498" operator="containsText" text="한별">
      <formula>NOT(ISERROR(SEARCH("한별",H1106)))</formula>
    </cfRule>
    <cfRule type="containsText" dxfId="1389" priority="2499" operator="containsText" text="정홍조">
      <formula>NOT(ISERROR(SEARCH("정홍조",H1106)))</formula>
    </cfRule>
    <cfRule type="containsText" dxfId="1388" priority="2500" operator="containsText" text="김지윤">
      <formula>NOT(ISERROR(SEARCH("김지윤",H1106)))</formula>
    </cfRule>
    <cfRule type="containsText" dxfId="1387" priority="2501" operator="containsText" text="전준영">
      <formula>NOT(ISERROR(SEARCH("전준영",H1106)))</formula>
    </cfRule>
    <cfRule type="containsText" dxfId="1386" priority="2502" operator="containsText" text="차재성">
      <formula>NOT(ISERROR(SEARCH("차재성",H1106)))</formula>
    </cfRule>
  </conditionalFormatting>
  <conditionalFormatting sqref="J89">
    <cfRule type="containsText" dxfId="1385" priority="2527" operator="containsText" text="허하나로">
      <formula>NOT(ISERROR(SEARCH("허하나로",H1106)))</formula>
    </cfRule>
    <cfRule type="containsText" dxfId="1384" priority="2528" operator="containsText" text="한별">
      <formula>NOT(ISERROR(SEARCH("한별",H1106)))</formula>
    </cfRule>
    <cfRule type="containsText" dxfId="1383" priority="2529" operator="containsText" text="정홍조">
      <formula>NOT(ISERROR(SEARCH("정홍조",H1106)))</formula>
    </cfRule>
    <cfRule type="containsText" dxfId="1382" priority="2530" operator="containsText" text="김지윤">
      <formula>NOT(ISERROR(SEARCH("김지윤",H1106)))</formula>
    </cfRule>
    <cfRule type="containsText" dxfId="1381" priority="2531" operator="containsText" text="전준영">
      <formula>NOT(ISERROR(SEARCH("전준영",H1106)))</formula>
    </cfRule>
    <cfRule type="containsText" dxfId="1380" priority="2532" operator="containsText" text="차재성">
      <formula>NOT(ISERROR(SEARCH("차재성",H1106)))</formula>
    </cfRule>
  </conditionalFormatting>
  <conditionalFormatting sqref="J88">
    <cfRule type="containsText" dxfId="1379" priority="2557" operator="containsText" text="허하나로">
      <formula>NOT(ISERROR(SEARCH("허하나로",H1106)))</formula>
    </cfRule>
    <cfRule type="containsText" dxfId="1378" priority="2558" operator="containsText" text="한별">
      <formula>NOT(ISERROR(SEARCH("한별",H1106)))</formula>
    </cfRule>
    <cfRule type="containsText" dxfId="1377" priority="2559" operator="containsText" text="정홍조">
      <formula>NOT(ISERROR(SEARCH("정홍조",H1106)))</formula>
    </cfRule>
    <cfRule type="containsText" dxfId="1376" priority="2560" operator="containsText" text="김지윤">
      <formula>NOT(ISERROR(SEARCH("김지윤",H1106)))</formula>
    </cfRule>
    <cfRule type="containsText" dxfId="1375" priority="2561" operator="containsText" text="전준영">
      <formula>NOT(ISERROR(SEARCH("전준영",H1106)))</formula>
    </cfRule>
    <cfRule type="containsText" dxfId="1374" priority="2562" operator="containsText" text="차재성">
      <formula>NOT(ISERROR(SEARCH("차재성",H1106)))</formula>
    </cfRule>
  </conditionalFormatting>
  <conditionalFormatting sqref="J79:J80">
    <cfRule type="containsText" dxfId="1373" priority="2767" operator="containsText" text="허하나로">
      <formula>NOT(ISERROR(SEARCH("허하나로",H1108)))</formula>
    </cfRule>
    <cfRule type="containsText" dxfId="1372" priority="2768" operator="containsText" text="한별">
      <formula>NOT(ISERROR(SEARCH("한별",H1108)))</formula>
    </cfRule>
    <cfRule type="containsText" dxfId="1371" priority="2769" operator="containsText" text="정홍조">
      <formula>NOT(ISERROR(SEARCH("정홍조",H1108)))</formula>
    </cfRule>
    <cfRule type="containsText" dxfId="1370" priority="2770" operator="containsText" text="김지윤">
      <formula>NOT(ISERROR(SEARCH("김지윤",H1108)))</formula>
    </cfRule>
    <cfRule type="containsText" dxfId="1369" priority="2771" operator="containsText" text="전준영">
      <formula>NOT(ISERROR(SEARCH("전준영",H1108)))</formula>
    </cfRule>
    <cfRule type="containsText" dxfId="1368" priority="2772" operator="containsText" text="차재성">
      <formula>NOT(ISERROR(SEARCH("차재성",H1108)))</formula>
    </cfRule>
  </conditionalFormatting>
  <conditionalFormatting sqref="J81:J83">
    <cfRule type="containsText" dxfId="1367" priority="469" operator="containsText" text="허하나로">
      <formula>NOT(ISERROR(SEARCH("허하나로",H1147)))</formula>
    </cfRule>
    <cfRule type="containsText" dxfId="1366" priority="470" operator="containsText" text="한별">
      <formula>NOT(ISERROR(SEARCH("한별",H1147)))</formula>
    </cfRule>
    <cfRule type="containsText" dxfId="1365" priority="471" operator="containsText" text="정홍조">
      <formula>NOT(ISERROR(SEARCH("정홍조",H1147)))</formula>
    </cfRule>
    <cfRule type="containsText" dxfId="1364" priority="472" operator="containsText" text="김지윤">
      <formula>NOT(ISERROR(SEARCH("김지윤",H1147)))</formula>
    </cfRule>
    <cfRule type="containsText" dxfId="1363" priority="473" operator="containsText" text="전준영">
      <formula>NOT(ISERROR(SEARCH("전준영",H1147)))</formula>
    </cfRule>
    <cfRule type="containsText" dxfId="1362" priority="474" operator="containsText" text="차재성">
      <formula>NOT(ISERROR(SEARCH("차재성",H1147)))</formula>
    </cfRule>
  </conditionalFormatting>
  <conditionalFormatting sqref="J84">
    <cfRule type="containsText" dxfId="1361" priority="457" operator="containsText" text="허하나로">
      <formula>NOT(ISERROR(SEARCH("허하나로",H1149)))</formula>
    </cfRule>
    <cfRule type="containsText" dxfId="1360" priority="458" operator="containsText" text="한별">
      <formula>NOT(ISERROR(SEARCH("한별",H1149)))</formula>
    </cfRule>
    <cfRule type="containsText" dxfId="1359" priority="459" operator="containsText" text="정홍조">
      <formula>NOT(ISERROR(SEARCH("정홍조",H1149)))</formula>
    </cfRule>
    <cfRule type="containsText" dxfId="1358" priority="460" operator="containsText" text="김지윤">
      <formula>NOT(ISERROR(SEARCH("김지윤",H1149)))</formula>
    </cfRule>
    <cfRule type="containsText" dxfId="1357" priority="461" operator="containsText" text="전준영">
      <formula>NOT(ISERROR(SEARCH("전준영",H1149)))</formula>
    </cfRule>
    <cfRule type="containsText" dxfId="1356" priority="462" operator="containsText" text="차재성">
      <formula>NOT(ISERROR(SEARCH("차재성",H1149)))</formula>
    </cfRule>
  </conditionalFormatting>
  <conditionalFormatting sqref="J85">
    <cfRule type="containsText" dxfId="1355" priority="451" operator="containsText" text="허하나로">
      <formula>NOT(ISERROR(SEARCH("허하나로",H1152)))</formula>
    </cfRule>
    <cfRule type="containsText" dxfId="1354" priority="452" operator="containsText" text="한별">
      <formula>NOT(ISERROR(SEARCH("한별",H1152)))</formula>
    </cfRule>
    <cfRule type="containsText" dxfId="1353" priority="453" operator="containsText" text="정홍조">
      <formula>NOT(ISERROR(SEARCH("정홍조",H1152)))</formula>
    </cfRule>
    <cfRule type="containsText" dxfId="1352" priority="454" operator="containsText" text="김지윤">
      <formula>NOT(ISERROR(SEARCH("김지윤",H1152)))</formula>
    </cfRule>
    <cfRule type="containsText" dxfId="1351" priority="455" operator="containsText" text="전준영">
      <formula>NOT(ISERROR(SEARCH("전준영",H1152)))</formula>
    </cfRule>
    <cfRule type="containsText" dxfId="1350" priority="456" operator="containsText" text="차재성">
      <formula>NOT(ISERROR(SEARCH("차재성",H1152)))</formula>
    </cfRule>
  </conditionalFormatting>
  <conditionalFormatting sqref="J86">
    <cfRule type="containsText" dxfId="1349" priority="445" operator="containsText" text="허하나로">
      <formula>NOT(ISERROR(SEARCH("허하나로",H1153)))</formula>
    </cfRule>
    <cfRule type="containsText" dxfId="1348" priority="446" operator="containsText" text="한별">
      <formula>NOT(ISERROR(SEARCH("한별",H1153)))</formula>
    </cfRule>
    <cfRule type="containsText" dxfId="1347" priority="447" operator="containsText" text="정홍조">
      <formula>NOT(ISERROR(SEARCH("정홍조",H1153)))</formula>
    </cfRule>
    <cfRule type="containsText" dxfId="1346" priority="448" operator="containsText" text="김지윤">
      <formula>NOT(ISERROR(SEARCH("김지윤",H1153)))</formula>
    </cfRule>
    <cfRule type="containsText" dxfId="1345" priority="449" operator="containsText" text="전준영">
      <formula>NOT(ISERROR(SEARCH("전준영",H1153)))</formula>
    </cfRule>
    <cfRule type="containsText" dxfId="1344" priority="450" operator="containsText" text="차재성">
      <formula>NOT(ISERROR(SEARCH("차재성",H1153)))</formula>
    </cfRule>
  </conditionalFormatting>
  <conditionalFormatting sqref="J93">
    <cfRule type="containsText" dxfId="1343" priority="439" operator="containsText" text="허하나로">
      <formula>NOT(ISERROR(SEARCH("허하나로",H1157)))</formula>
    </cfRule>
    <cfRule type="containsText" dxfId="1342" priority="440" operator="containsText" text="한별">
      <formula>NOT(ISERROR(SEARCH("한별",H1157)))</formula>
    </cfRule>
    <cfRule type="containsText" dxfId="1341" priority="441" operator="containsText" text="정홍조">
      <formula>NOT(ISERROR(SEARCH("정홍조",H1157)))</formula>
    </cfRule>
    <cfRule type="containsText" dxfId="1340" priority="442" operator="containsText" text="김지윤">
      <formula>NOT(ISERROR(SEARCH("김지윤",H1157)))</formula>
    </cfRule>
    <cfRule type="containsText" dxfId="1339" priority="443" operator="containsText" text="전준영">
      <formula>NOT(ISERROR(SEARCH("전준영",H1157)))</formula>
    </cfRule>
    <cfRule type="containsText" dxfId="1338" priority="444" operator="containsText" text="차재성">
      <formula>NOT(ISERROR(SEARCH("차재성",H1157)))</formula>
    </cfRule>
  </conditionalFormatting>
  <conditionalFormatting sqref="J94">
    <cfRule type="containsText" dxfId="1337" priority="433" operator="containsText" text="허하나로">
      <formula>NOT(ISERROR(SEARCH("허하나로",H1158)))</formula>
    </cfRule>
    <cfRule type="containsText" dxfId="1336" priority="434" operator="containsText" text="한별">
      <formula>NOT(ISERROR(SEARCH("한별",H1158)))</formula>
    </cfRule>
    <cfRule type="containsText" dxfId="1335" priority="435" operator="containsText" text="정홍조">
      <formula>NOT(ISERROR(SEARCH("정홍조",H1158)))</formula>
    </cfRule>
    <cfRule type="containsText" dxfId="1334" priority="436" operator="containsText" text="김지윤">
      <formula>NOT(ISERROR(SEARCH("김지윤",H1158)))</formula>
    </cfRule>
    <cfRule type="containsText" dxfId="1333" priority="437" operator="containsText" text="전준영">
      <formula>NOT(ISERROR(SEARCH("전준영",H1158)))</formula>
    </cfRule>
    <cfRule type="containsText" dxfId="1332" priority="438" operator="containsText" text="차재성">
      <formula>NOT(ISERROR(SEARCH("차재성",H1158)))</formula>
    </cfRule>
  </conditionalFormatting>
  <conditionalFormatting sqref="J105">
    <cfRule type="containsText" dxfId="1331" priority="2785" operator="containsText" text="허하나로">
      <formula>NOT(ISERROR(SEARCH("허하나로",H1107)))</formula>
    </cfRule>
    <cfRule type="containsText" dxfId="1330" priority="2786" operator="containsText" text="한별">
      <formula>NOT(ISERROR(SEARCH("한별",H1107)))</formula>
    </cfRule>
    <cfRule type="containsText" dxfId="1329" priority="2787" operator="containsText" text="정홍조">
      <formula>NOT(ISERROR(SEARCH("정홍조",H1107)))</formula>
    </cfRule>
    <cfRule type="containsText" dxfId="1328" priority="2788" operator="containsText" text="김지윤">
      <formula>NOT(ISERROR(SEARCH("김지윤",H1107)))</formula>
    </cfRule>
    <cfRule type="containsText" dxfId="1327" priority="2789" operator="containsText" text="전준영">
      <formula>NOT(ISERROR(SEARCH("전준영",H1107)))</formula>
    </cfRule>
    <cfRule type="containsText" dxfId="1326" priority="2790" operator="containsText" text="차재성">
      <formula>NOT(ISERROR(SEARCH("차재성",H1107)))</formula>
    </cfRule>
  </conditionalFormatting>
  <conditionalFormatting sqref="J98">
    <cfRule type="containsText" dxfId="1325" priority="2965" operator="containsText" text="허하나로">
      <formula>NOT(ISERROR(SEARCH("허하나로",H1107)))</formula>
    </cfRule>
    <cfRule type="containsText" dxfId="1324" priority="2966" operator="containsText" text="한별">
      <formula>NOT(ISERROR(SEARCH("한별",H1107)))</formula>
    </cfRule>
    <cfRule type="containsText" dxfId="1323" priority="2967" operator="containsText" text="정홍조">
      <formula>NOT(ISERROR(SEARCH("정홍조",H1107)))</formula>
    </cfRule>
    <cfRule type="containsText" dxfId="1322" priority="2968" operator="containsText" text="김지윤">
      <formula>NOT(ISERROR(SEARCH("김지윤",H1107)))</formula>
    </cfRule>
    <cfRule type="containsText" dxfId="1321" priority="2969" operator="containsText" text="전준영">
      <formula>NOT(ISERROR(SEARCH("전준영",H1107)))</formula>
    </cfRule>
    <cfRule type="containsText" dxfId="1320" priority="2970" operator="containsText" text="차재성">
      <formula>NOT(ISERROR(SEARCH("차재성",H1107)))</formula>
    </cfRule>
  </conditionalFormatting>
  <conditionalFormatting sqref="J96:J97">
    <cfRule type="containsText" dxfId="1319" priority="2983" operator="containsText" text="허하나로">
      <formula>NOT(ISERROR(SEARCH("허하나로",H1106)))</formula>
    </cfRule>
    <cfRule type="containsText" dxfId="1318" priority="2984" operator="containsText" text="한별">
      <formula>NOT(ISERROR(SEARCH("한별",H1106)))</formula>
    </cfRule>
    <cfRule type="containsText" dxfId="1317" priority="2985" operator="containsText" text="정홍조">
      <formula>NOT(ISERROR(SEARCH("정홍조",H1106)))</formula>
    </cfRule>
    <cfRule type="containsText" dxfId="1316" priority="2986" operator="containsText" text="김지윤">
      <formula>NOT(ISERROR(SEARCH("김지윤",H1106)))</formula>
    </cfRule>
    <cfRule type="containsText" dxfId="1315" priority="2987" operator="containsText" text="전준영">
      <formula>NOT(ISERROR(SEARCH("전준영",H1106)))</formula>
    </cfRule>
    <cfRule type="containsText" dxfId="1314" priority="2988" operator="containsText" text="차재성">
      <formula>NOT(ISERROR(SEARCH("차재성",H1106)))</formula>
    </cfRule>
  </conditionalFormatting>
  <conditionalFormatting sqref="J101">
    <cfRule type="containsText" dxfId="1313" priority="415" operator="containsText" text="허하나로">
      <formula>NOT(ISERROR(SEARCH("허하나로",H1110)))</formula>
    </cfRule>
    <cfRule type="containsText" dxfId="1312" priority="416" operator="containsText" text="한별">
      <formula>NOT(ISERROR(SEARCH("한별",H1110)))</formula>
    </cfRule>
    <cfRule type="containsText" dxfId="1311" priority="417" operator="containsText" text="정홍조">
      <formula>NOT(ISERROR(SEARCH("정홍조",H1110)))</formula>
    </cfRule>
    <cfRule type="containsText" dxfId="1310" priority="418" operator="containsText" text="김지윤">
      <formula>NOT(ISERROR(SEARCH("김지윤",H1110)))</formula>
    </cfRule>
    <cfRule type="containsText" dxfId="1309" priority="419" operator="containsText" text="전준영">
      <formula>NOT(ISERROR(SEARCH("전준영",H1110)))</formula>
    </cfRule>
    <cfRule type="containsText" dxfId="1308" priority="420" operator="containsText" text="차재성">
      <formula>NOT(ISERROR(SEARCH("차재성",H1110)))</formula>
    </cfRule>
  </conditionalFormatting>
  <conditionalFormatting sqref="J99">
    <cfRule type="containsText" dxfId="1307" priority="409" operator="containsText" text="허하나로">
      <formula>NOT(ISERROR(SEARCH("허하나로",H1166)))</formula>
    </cfRule>
    <cfRule type="containsText" dxfId="1306" priority="410" operator="containsText" text="한별">
      <formula>NOT(ISERROR(SEARCH("한별",H1166)))</formula>
    </cfRule>
    <cfRule type="containsText" dxfId="1305" priority="411" operator="containsText" text="정홍조">
      <formula>NOT(ISERROR(SEARCH("정홍조",H1166)))</formula>
    </cfRule>
    <cfRule type="containsText" dxfId="1304" priority="412" operator="containsText" text="김지윤">
      <formula>NOT(ISERROR(SEARCH("김지윤",H1166)))</formula>
    </cfRule>
    <cfRule type="containsText" dxfId="1303" priority="413" operator="containsText" text="전준영">
      <formula>NOT(ISERROR(SEARCH("전준영",H1166)))</formula>
    </cfRule>
    <cfRule type="containsText" dxfId="1302" priority="414" operator="containsText" text="차재성">
      <formula>NOT(ISERROR(SEARCH("차재성",H1166)))</formula>
    </cfRule>
  </conditionalFormatting>
  <conditionalFormatting sqref="J100">
    <cfRule type="containsText" dxfId="1301" priority="403" operator="containsText" text="허하나로">
      <formula>NOT(ISERROR(SEARCH("허하나로",H1167)))</formula>
    </cfRule>
    <cfRule type="containsText" dxfId="1300" priority="404" operator="containsText" text="한별">
      <formula>NOT(ISERROR(SEARCH("한별",H1167)))</formula>
    </cfRule>
    <cfRule type="containsText" dxfId="1299" priority="405" operator="containsText" text="정홍조">
      <formula>NOT(ISERROR(SEARCH("정홍조",H1167)))</formula>
    </cfRule>
    <cfRule type="containsText" dxfId="1298" priority="406" operator="containsText" text="김지윤">
      <formula>NOT(ISERROR(SEARCH("김지윤",H1167)))</formula>
    </cfRule>
    <cfRule type="containsText" dxfId="1297" priority="407" operator="containsText" text="전준영">
      <formula>NOT(ISERROR(SEARCH("전준영",H1167)))</formula>
    </cfRule>
    <cfRule type="containsText" dxfId="1296" priority="408" operator="containsText" text="차재성">
      <formula>NOT(ISERROR(SEARCH("차재성",H1167)))</formula>
    </cfRule>
  </conditionalFormatting>
  <conditionalFormatting sqref="J104">
    <cfRule type="containsText" dxfId="1295" priority="397" operator="containsText" text="허하나로">
      <formula>NOT(ISERROR(SEARCH("허하나로",H1113)))</formula>
    </cfRule>
    <cfRule type="containsText" dxfId="1294" priority="398" operator="containsText" text="한별">
      <formula>NOT(ISERROR(SEARCH("한별",H1113)))</formula>
    </cfRule>
    <cfRule type="containsText" dxfId="1293" priority="399" operator="containsText" text="정홍조">
      <formula>NOT(ISERROR(SEARCH("정홍조",H1113)))</formula>
    </cfRule>
    <cfRule type="containsText" dxfId="1292" priority="400" operator="containsText" text="김지윤">
      <formula>NOT(ISERROR(SEARCH("김지윤",H1113)))</formula>
    </cfRule>
    <cfRule type="containsText" dxfId="1291" priority="401" operator="containsText" text="전준영">
      <formula>NOT(ISERROR(SEARCH("전준영",H1113)))</formula>
    </cfRule>
    <cfRule type="containsText" dxfId="1290" priority="402" operator="containsText" text="차재성">
      <formula>NOT(ISERROR(SEARCH("차재성",H1113)))</formula>
    </cfRule>
  </conditionalFormatting>
  <conditionalFormatting sqref="J102">
    <cfRule type="containsText" dxfId="1289" priority="391" operator="containsText" text="허하나로">
      <formula>NOT(ISERROR(SEARCH("허하나로",H1169)))</formula>
    </cfRule>
    <cfRule type="containsText" dxfId="1288" priority="392" operator="containsText" text="한별">
      <formula>NOT(ISERROR(SEARCH("한별",H1169)))</formula>
    </cfRule>
    <cfRule type="containsText" dxfId="1287" priority="393" operator="containsText" text="정홍조">
      <formula>NOT(ISERROR(SEARCH("정홍조",H1169)))</formula>
    </cfRule>
    <cfRule type="containsText" dxfId="1286" priority="394" operator="containsText" text="김지윤">
      <formula>NOT(ISERROR(SEARCH("김지윤",H1169)))</formula>
    </cfRule>
    <cfRule type="containsText" dxfId="1285" priority="395" operator="containsText" text="전준영">
      <formula>NOT(ISERROR(SEARCH("전준영",H1169)))</formula>
    </cfRule>
    <cfRule type="containsText" dxfId="1284" priority="396" operator="containsText" text="차재성">
      <formula>NOT(ISERROR(SEARCH("차재성",H1169)))</formula>
    </cfRule>
  </conditionalFormatting>
  <conditionalFormatting sqref="J103">
    <cfRule type="containsText" dxfId="1283" priority="385" operator="containsText" text="허하나로">
      <formula>NOT(ISERROR(SEARCH("허하나로",H1170)))</formula>
    </cfRule>
    <cfRule type="containsText" dxfId="1282" priority="386" operator="containsText" text="한별">
      <formula>NOT(ISERROR(SEARCH("한별",H1170)))</formula>
    </cfRule>
    <cfRule type="containsText" dxfId="1281" priority="387" operator="containsText" text="정홍조">
      <formula>NOT(ISERROR(SEARCH("정홍조",H1170)))</formula>
    </cfRule>
    <cfRule type="containsText" dxfId="1280" priority="388" operator="containsText" text="김지윤">
      <formula>NOT(ISERROR(SEARCH("김지윤",H1170)))</formula>
    </cfRule>
    <cfRule type="containsText" dxfId="1279" priority="389" operator="containsText" text="전준영">
      <formula>NOT(ISERROR(SEARCH("전준영",H1170)))</formula>
    </cfRule>
    <cfRule type="containsText" dxfId="1278" priority="390" operator="containsText" text="차재성">
      <formula>NOT(ISERROR(SEARCH("차재성",H1170)))</formula>
    </cfRule>
  </conditionalFormatting>
  <conditionalFormatting sqref="J74:J75">
    <cfRule type="containsText" dxfId="1277" priority="3331" operator="containsText" text="허하나로">
      <formula>NOT(ISERROR(SEARCH("허하나로",H1105)))</formula>
    </cfRule>
    <cfRule type="containsText" dxfId="1276" priority="3332" operator="containsText" text="한별">
      <formula>NOT(ISERROR(SEARCH("한별",H1105)))</formula>
    </cfRule>
    <cfRule type="containsText" dxfId="1275" priority="3333" operator="containsText" text="정홍조">
      <formula>NOT(ISERROR(SEARCH("정홍조",H1105)))</formula>
    </cfRule>
    <cfRule type="containsText" dxfId="1274" priority="3334" operator="containsText" text="김지윤">
      <formula>NOT(ISERROR(SEARCH("김지윤",H1105)))</formula>
    </cfRule>
    <cfRule type="containsText" dxfId="1273" priority="3335" operator="containsText" text="전준영">
      <formula>NOT(ISERROR(SEARCH("전준영",H1105)))</formula>
    </cfRule>
    <cfRule type="containsText" dxfId="1272" priority="3336" operator="containsText" text="차재성">
      <formula>NOT(ISERROR(SEARCH("차재성",H1105)))</formula>
    </cfRule>
  </conditionalFormatting>
  <conditionalFormatting sqref="J44:J45">
    <cfRule type="containsText" dxfId="1271" priority="3349" operator="containsText" text="허하나로">
      <formula>NOT(ISERROR(SEARCH("허하나로",H1111)))</formula>
    </cfRule>
    <cfRule type="containsText" dxfId="1270" priority="3350" operator="containsText" text="한별">
      <formula>NOT(ISERROR(SEARCH("한별",H1111)))</formula>
    </cfRule>
    <cfRule type="containsText" dxfId="1269" priority="3351" operator="containsText" text="정홍조">
      <formula>NOT(ISERROR(SEARCH("정홍조",H1111)))</formula>
    </cfRule>
    <cfRule type="containsText" dxfId="1268" priority="3352" operator="containsText" text="김지윤">
      <formula>NOT(ISERROR(SEARCH("김지윤",H1111)))</formula>
    </cfRule>
    <cfRule type="containsText" dxfId="1267" priority="3353" operator="containsText" text="전준영">
      <formula>NOT(ISERROR(SEARCH("전준영",H1111)))</formula>
    </cfRule>
    <cfRule type="containsText" dxfId="1266" priority="3354" operator="containsText" text="차재성">
      <formula>NOT(ISERROR(SEARCH("차재성",H1111)))</formula>
    </cfRule>
  </conditionalFormatting>
  <conditionalFormatting sqref="J37">
    <cfRule type="containsText" dxfId="1265" priority="3355" operator="containsText" text="허하나로">
      <formula>NOT(ISERROR(SEARCH("허하나로",H1103)))</formula>
    </cfRule>
    <cfRule type="containsText" dxfId="1264" priority="3356" operator="containsText" text="한별">
      <formula>NOT(ISERROR(SEARCH("한별",H1103)))</formula>
    </cfRule>
    <cfRule type="containsText" dxfId="1263" priority="3357" operator="containsText" text="정홍조">
      <formula>NOT(ISERROR(SEARCH("정홍조",H1103)))</formula>
    </cfRule>
    <cfRule type="containsText" dxfId="1262" priority="3358" operator="containsText" text="김지윤">
      <formula>NOT(ISERROR(SEARCH("김지윤",H1103)))</formula>
    </cfRule>
    <cfRule type="containsText" dxfId="1261" priority="3359" operator="containsText" text="전준영">
      <formula>NOT(ISERROR(SEARCH("전준영",H1103)))</formula>
    </cfRule>
    <cfRule type="containsText" dxfId="1260" priority="3360" operator="containsText" text="차재성">
      <formula>NOT(ISERROR(SEARCH("차재성",H1103)))</formula>
    </cfRule>
  </conditionalFormatting>
  <conditionalFormatting sqref="J8:J9">
    <cfRule type="containsText" dxfId="1259" priority="247" operator="containsText" text="허하나로">
      <formula>NOT(ISERROR(SEARCH("허하나로",H793)))</formula>
    </cfRule>
    <cfRule type="containsText" dxfId="1258" priority="248" operator="containsText" text="한별">
      <formula>NOT(ISERROR(SEARCH("한별",H793)))</formula>
    </cfRule>
    <cfRule type="containsText" dxfId="1257" priority="249" operator="containsText" text="정홍조">
      <formula>NOT(ISERROR(SEARCH("정홍조",H793)))</formula>
    </cfRule>
    <cfRule type="containsText" dxfId="1256" priority="250" operator="containsText" text="김지윤">
      <formula>NOT(ISERROR(SEARCH("김지윤",H793)))</formula>
    </cfRule>
    <cfRule type="containsText" dxfId="1255" priority="251" operator="containsText" text="전준영">
      <formula>NOT(ISERROR(SEARCH("전준영",H793)))</formula>
    </cfRule>
    <cfRule type="containsText" dxfId="1254" priority="252" operator="containsText" text="차재성">
      <formula>NOT(ISERROR(SEARCH("차재성",H793)))</formula>
    </cfRule>
  </conditionalFormatting>
  <conditionalFormatting sqref="J43">
    <cfRule type="containsText" dxfId="1253" priority="145" operator="containsText" text="허하나로">
      <formula>NOT(ISERROR(SEARCH("허하나로",H1108)))</formula>
    </cfRule>
    <cfRule type="containsText" dxfId="1252" priority="146" operator="containsText" text="한별">
      <formula>NOT(ISERROR(SEARCH("한별",H1108)))</formula>
    </cfRule>
    <cfRule type="containsText" dxfId="1251" priority="147" operator="containsText" text="정홍조">
      <formula>NOT(ISERROR(SEARCH("정홍조",H1108)))</formula>
    </cfRule>
    <cfRule type="containsText" dxfId="1250" priority="148" operator="containsText" text="김지윤">
      <formula>NOT(ISERROR(SEARCH("김지윤",H1108)))</formula>
    </cfRule>
    <cfRule type="containsText" dxfId="1249" priority="149" operator="containsText" text="전준영">
      <formula>NOT(ISERROR(SEARCH("전준영",H1108)))</formula>
    </cfRule>
    <cfRule type="containsText" dxfId="1248" priority="150" operator="containsText" text="차재성">
      <formula>NOT(ISERROR(SEARCH("차재성",H1108)))</formula>
    </cfRule>
  </conditionalFormatting>
  <conditionalFormatting sqref="J33:J35 J39:J41">
    <cfRule type="containsText" dxfId="1247" priority="157" operator="containsText" text="허하나로">
      <formula>NOT(ISERROR(SEARCH("허하나로",H1101)))</formula>
    </cfRule>
    <cfRule type="containsText" dxfId="1246" priority="158" operator="containsText" text="한별">
      <formula>NOT(ISERROR(SEARCH("한별",H1101)))</formula>
    </cfRule>
    <cfRule type="containsText" dxfId="1245" priority="159" operator="containsText" text="정홍조">
      <formula>NOT(ISERROR(SEARCH("정홍조",H1101)))</formula>
    </cfRule>
    <cfRule type="containsText" dxfId="1244" priority="160" operator="containsText" text="김지윤">
      <formula>NOT(ISERROR(SEARCH("김지윤",H1101)))</formula>
    </cfRule>
    <cfRule type="containsText" dxfId="1243" priority="161" operator="containsText" text="전준영">
      <formula>NOT(ISERROR(SEARCH("전준영",H1101)))</formula>
    </cfRule>
    <cfRule type="containsText" dxfId="1242" priority="162" operator="containsText" text="차재성">
      <formula>NOT(ISERROR(SEARCH("차재성",H1101)))</formula>
    </cfRule>
  </conditionalFormatting>
  <conditionalFormatting sqref="J42">
    <cfRule type="containsText" dxfId="1241" priority="163" operator="containsText" text="허하나로">
      <formula>NOT(ISERROR(SEARCH("허하나로",H1108)))</formula>
    </cfRule>
    <cfRule type="containsText" dxfId="1240" priority="164" operator="containsText" text="한별">
      <formula>NOT(ISERROR(SEARCH("한별",H1108)))</formula>
    </cfRule>
    <cfRule type="containsText" dxfId="1239" priority="165" operator="containsText" text="정홍조">
      <formula>NOT(ISERROR(SEARCH("정홍조",H1108)))</formula>
    </cfRule>
    <cfRule type="containsText" dxfId="1238" priority="166" operator="containsText" text="김지윤">
      <formula>NOT(ISERROR(SEARCH("김지윤",H1108)))</formula>
    </cfRule>
    <cfRule type="containsText" dxfId="1237" priority="167" operator="containsText" text="전준영">
      <formula>NOT(ISERROR(SEARCH("전준영",H1108)))</formula>
    </cfRule>
    <cfRule type="containsText" dxfId="1236" priority="168" operator="containsText" text="차재성">
      <formula>NOT(ISERROR(SEARCH("차재성",H1108)))</formula>
    </cfRule>
  </conditionalFormatting>
  <conditionalFormatting sqref="J46">
    <cfRule type="containsText" dxfId="1235" priority="121" operator="containsText" text="허하나로">
      <formula>NOT(ISERROR(SEARCH("허하나로",H1111)))</formula>
    </cfRule>
    <cfRule type="containsText" dxfId="1234" priority="122" operator="containsText" text="한별">
      <formula>NOT(ISERROR(SEARCH("한별",H1111)))</formula>
    </cfRule>
    <cfRule type="containsText" dxfId="1233" priority="123" operator="containsText" text="정홍조">
      <formula>NOT(ISERROR(SEARCH("정홍조",H1111)))</formula>
    </cfRule>
    <cfRule type="containsText" dxfId="1232" priority="124" operator="containsText" text="김지윤">
      <formula>NOT(ISERROR(SEARCH("김지윤",H1111)))</formula>
    </cfRule>
    <cfRule type="containsText" dxfId="1231" priority="125" operator="containsText" text="전준영">
      <formula>NOT(ISERROR(SEARCH("전준영",H1111)))</formula>
    </cfRule>
    <cfRule type="containsText" dxfId="1230" priority="126" operator="containsText" text="차재성">
      <formula>NOT(ISERROR(SEARCH("차재성",H1111)))</formula>
    </cfRule>
  </conditionalFormatting>
  <conditionalFormatting sqref="J48:J50">
    <cfRule type="containsText" dxfId="1229" priority="115" operator="containsText" text="허하나로">
      <formula>NOT(ISERROR(SEARCH("허하나로",H1115)))</formula>
    </cfRule>
    <cfRule type="containsText" dxfId="1228" priority="116" operator="containsText" text="한별">
      <formula>NOT(ISERROR(SEARCH("한별",H1115)))</formula>
    </cfRule>
    <cfRule type="containsText" dxfId="1227" priority="117" operator="containsText" text="정홍조">
      <formula>NOT(ISERROR(SEARCH("정홍조",H1115)))</formula>
    </cfRule>
    <cfRule type="containsText" dxfId="1226" priority="118" operator="containsText" text="김지윤">
      <formula>NOT(ISERROR(SEARCH("김지윤",H1115)))</formula>
    </cfRule>
    <cfRule type="containsText" dxfId="1225" priority="119" operator="containsText" text="전준영">
      <formula>NOT(ISERROR(SEARCH("전준영",H1115)))</formula>
    </cfRule>
    <cfRule type="containsText" dxfId="1224" priority="120" operator="containsText" text="차재성">
      <formula>NOT(ISERROR(SEARCH("차재성",H1115)))</formula>
    </cfRule>
  </conditionalFormatting>
  <conditionalFormatting sqref="J87">
    <cfRule type="containsText" dxfId="1223" priority="109" operator="containsText" text="허하나로">
      <formula>NOT(ISERROR(SEARCH("허하나로",H1105)))</formula>
    </cfRule>
    <cfRule type="containsText" dxfId="1222" priority="110" operator="containsText" text="한별">
      <formula>NOT(ISERROR(SEARCH("한별",H1105)))</formula>
    </cfRule>
    <cfRule type="containsText" dxfId="1221" priority="111" operator="containsText" text="정홍조">
      <formula>NOT(ISERROR(SEARCH("정홍조",H1105)))</formula>
    </cfRule>
    <cfRule type="containsText" dxfId="1220" priority="112" operator="containsText" text="김지윤">
      <formula>NOT(ISERROR(SEARCH("김지윤",H1105)))</formula>
    </cfRule>
    <cfRule type="containsText" dxfId="1219" priority="113" operator="containsText" text="전준영">
      <formula>NOT(ISERROR(SEARCH("전준영",H1105)))</formula>
    </cfRule>
    <cfRule type="containsText" dxfId="1218" priority="114" operator="containsText" text="차재성">
      <formula>NOT(ISERROR(SEARCH("차재성",H1105)))</formula>
    </cfRule>
  </conditionalFormatting>
  <conditionalFormatting sqref="J90">
    <cfRule type="containsText" dxfId="1217" priority="103" operator="containsText" text="허하나로">
      <formula>NOT(ISERROR(SEARCH("허하나로",H1105)))</formula>
    </cfRule>
    <cfRule type="containsText" dxfId="1216" priority="104" operator="containsText" text="한별">
      <formula>NOT(ISERROR(SEARCH("한별",H1105)))</formula>
    </cfRule>
    <cfRule type="containsText" dxfId="1215" priority="105" operator="containsText" text="정홍조">
      <formula>NOT(ISERROR(SEARCH("정홍조",H1105)))</formula>
    </cfRule>
    <cfRule type="containsText" dxfId="1214" priority="106" operator="containsText" text="김지윤">
      <formula>NOT(ISERROR(SEARCH("김지윤",H1105)))</formula>
    </cfRule>
    <cfRule type="containsText" dxfId="1213" priority="107" operator="containsText" text="전준영">
      <formula>NOT(ISERROR(SEARCH("전준영",H1105)))</formula>
    </cfRule>
    <cfRule type="containsText" dxfId="1212" priority="108" operator="containsText" text="차재성">
      <formula>NOT(ISERROR(SEARCH("차재성",H1105)))</formula>
    </cfRule>
  </conditionalFormatting>
  <conditionalFormatting sqref="J110">
    <cfRule type="containsText" dxfId="1211" priority="61" operator="containsText" text="허하나로">
      <formula>NOT(ISERROR(SEARCH("허하나로",H1153)))</formula>
    </cfRule>
    <cfRule type="containsText" dxfId="1210" priority="62" operator="containsText" text="한별">
      <formula>NOT(ISERROR(SEARCH("한별",H1153)))</formula>
    </cfRule>
    <cfRule type="containsText" dxfId="1209" priority="63" operator="containsText" text="정홍조">
      <formula>NOT(ISERROR(SEARCH("정홍조",H1153)))</formula>
    </cfRule>
    <cfRule type="containsText" dxfId="1208" priority="64" operator="containsText" text="김지윤">
      <formula>NOT(ISERROR(SEARCH("김지윤",H1153)))</formula>
    </cfRule>
    <cfRule type="containsText" dxfId="1207" priority="65" operator="containsText" text="전준영">
      <formula>NOT(ISERROR(SEARCH("전준영",H1153)))</formula>
    </cfRule>
    <cfRule type="containsText" dxfId="1206" priority="66" operator="containsText" text="차재성">
      <formula>NOT(ISERROR(SEARCH("차재성",H1153)))</formula>
    </cfRule>
  </conditionalFormatting>
  <conditionalFormatting sqref="J107 J64">
    <cfRule type="containsText" dxfId="1205" priority="49" operator="containsText" text="허하나로">
      <formula>NOT(ISERROR(SEARCH("허하나로",H1104)))</formula>
    </cfRule>
    <cfRule type="containsText" dxfId="1204" priority="50" operator="containsText" text="한별">
      <formula>NOT(ISERROR(SEARCH("한별",H1104)))</formula>
    </cfRule>
    <cfRule type="containsText" dxfId="1203" priority="51" operator="containsText" text="정홍조">
      <formula>NOT(ISERROR(SEARCH("정홍조",H1104)))</formula>
    </cfRule>
    <cfRule type="containsText" dxfId="1202" priority="52" operator="containsText" text="김지윤">
      <formula>NOT(ISERROR(SEARCH("김지윤",H1104)))</formula>
    </cfRule>
    <cfRule type="containsText" dxfId="1201" priority="53" operator="containsText" text="전준영">
      <formula>NOT(ISERROR(SEARCH("전준영",H1104)))</formula>
    </cfRule>
    <cfRule type="containsText" dxfId="1200" priority="54" operator="containsText" text="차재성">
      <formula>NOT(ISERROR(SEARCH("차재성",H1104)))</formula>
    </cfRule>
  </conditionalFormatting>
  <conditionalFormatting sqref="J108:J109">
    <cfRule type="containsText" dxfId="1199" priority="43" operator="containsText" text="허하나로">
      <formula>NOT(ISERROR(SEARCH("허하나로",H1176)))</formula>
    </cfRule>
    <cfRule type="containsText" dxfId="1198" priority="44" operator="containsText" text="한별">
      <formula>NOT(ISERROR(SEARCH("한별",H1176)))</formula>
    </cfRule>
    <cfRule type="containsText" dxfId="1197" priority="45" operator="containsText" text="정홍조">
      <formula>NOT(ISERROR(SEARCH("정홍조",H1176)))</formula>
    </cfRule>
    <cfRule type="containsText" dxfId="1196" priority="46" operator="containsText" text="김지윤">
      <formula>NOT(ISERROR(SEARCH("김지윤",H1176)))</formula>
    </cfRule>
    <cfRule type="containsText" dxfId="1195" priority="47" operator="containsText" text="전준영">
      <formula>NOT(ISERROR(SEARCH("전준영",H1176)))</formula>
    </cfRule>
    <cfRule type="containsText" dxfId="1194" priority="48" operator="containsText" text="차재성">
      <formula>NOT(ISERROR(SEARCH("차재성",H1176)))</formula>
    </cfRule>
  </conditionalFormatting>
  <conditionalFormatting sqref="J121">
    <cfRule type="containsText" dxfId="1193" priority="67" operator="containsText" text="허하나로">
      <formula>NOT(ISERROR(SEARCH("허하나로",H1154)))</formula>
    </cfRule>
    <cfRule type="containsText" dxfId="1192" priority="68" operator="containsText" text="한별">
      <formula>NOT(ISERROR(SEARCH("한별",H1154)))</formula>
    </cfRule>
    <cfRule type="containsText" dxfId="1191" priority="69" operator="containsText" text="정홍조">
      <formula>NOT(ISERROR(SEARCH("정홍조",H1154)))</formula>
    </cfRule>
    <cfRule type="containsText" dxfId="1190" priority="70" operator="containsText" text="김지윤">
      <formula>NOT(ISERROR(SEARCH("김지윤",H1154)))</formula>
    </cfRule>
    <cfRule type="containsText" dxfId="1189" priority="71" operator="containsText" text="전준영">
      <formula>NOT(ISERROR(SEARCH("전준영",H1154)))</formula>
    </cfRule>
    <cfRule type="containsText" dxfId="1188" priority="72" operator="containsText" text="차재성">
      <formula>NOT(ISERROR(SEARCH("차재성",H1154)))</formula>
    </cfRule>
  </conditionalFormatting>
  <conditionalFormatting sqref="J115">
    <cfRule type="containsText" dxfId="1187" priority="79" operator="containsText" text="허하나로">
      <formula>NOT(ISERROR(SEARCH("허하나로",H1154)))</formula>
    </cfRule>
    <cfRule type="containsText" dxfId="1186" priority="80" operator="containsText" text="한별">
      <formula>NOT(ISERROR(SEARCH("한별",H1154)))</formula>
    </cfRule>
    <cfRule type="containsText" dxfId="1185" priority="81" operator="containsText" text="정홍조">
      <formula>NOT(ISERROR(SEARCH("정홍조",H1154)))</formula>
    </cfRule>
    <cfRule type="containsText" dxfId="1184" priority="82" operator="containsText" text="김지윤">
      <formula>NOT(ISERROR(SEARCH("김지윤",H1154)))</formula>
    </cfRule>
    <cfRule type="containsText" dxfId="1183" priority="83" operator="containsText" text="전준영">
      <formula>NOT(ISERROR(SEARCH("전준영",H1154)))</formula>
    </cfRule>
    <cfRule type="containsText" dxfId="1182" priority="84" operator="containsText" text="차재성">
      <formula>NOT(ISERROR(SEARCH("차재성",H1154)))</formula>
    </cfRule>
  </conditionalFormatting>
  <conditionalFormatting sqref="J114">
    <cfRule type="containsText" dxfId="1181" priority="85" operator="containsText" text="허하나로">
      <formula>NOT(ISERROR(SEARCH("허하나로",H1154)))</formula>
    </cfRule>
    <cfRule type="containsText" dxfId="1180" priority="86" operator="containsText" text="한별">
      <formula>NOT(ISERROR(SEARCH("한별",H1154)))</formula>
    </cfRule>
    <cfRule type="containsText" dxfId="1179" priority="87" operator="containsText" text="정홍조">
      <formula>NOT(ISERROR(SEARCH("정홍조",H1154)))</formula>
    </cfRule>
    <cfRule type="containsText" dxfId="1178" priority="88" operator="containsText" text="김지윤">
      <formula>NOT(ISERROR(SEARCH("김지윤",H1154)))</formula>
    </cfRule>
    <cfRule type="containsText" dxfId="1177" priority="89" operator="containsText" text="전준영">
      <formula>NOT(ISERROR(SEARCH("전준영",H1154)))</formula>
    </cfRule>
    <cfRule type="containsText" dxfId="1176" priority="90" operator="containsText" text="차재성">
      <formula>NOT(ISERROR(SEARCH("차재성",H1154)))</formula>
    </cfRule>
  </conditionalFormatting>
  <conditionalFormatting sqref="J113">
    <cfRule type="containsText" dxfId="1175" priority="91" operator="containsText" text="허하나로">
      <formula>NOT(ISERROR(SEARCH("허하나로",H1154)))</formula>
    </cfRule>
    <cfRule type="containsText" dxfId="1174" priority="92" operator="containsText" text="한별">
      <formula>NOT(ISERROR(SEARCH("한별",H1154)))</formula>
    </cfRule>
    <cfRule type="containsText" dxfId="1173" priority="93" operator="containsText" text="정홍조">
      <formula>NOT(ISERROR(SEARCH("정홍조",H1154)))</formula>
    </cfRule>
    <cfRule type="containsText" dxfId="1172" priority="94" operator="containsText" text="김지윤">
      <formula>NOT(ISERROR(SEARCH("김지윤",H1154)))</formula>
    </cfRule>
    <cfRule type="containsText" dxfId="1171" priority="95" operator="containsText" text="전준영">
      <formula>NOT(ISERROR(SEARCH("전준영",H1154)))</formula>
    </cfRule>
    <cfRule type="containsText" dxfId="1170" priority="96" operator="containsText" text="차재성">
      <formula>NOT(ISERROR(SEARCH("차재성",H1154)))</formula>
    </cfRule>
  </conditionalFormatting>
  <conditionalFormatting sqref="J111:J112">
    <cfRule type="containsText" dxfId="1169" priority="97" operator="containsText" text="허하나로">
      <formula>NOT(ISERROR(SEARCH("허하나로",H1153)))</formula>
    </cfRule>
    <cfRule type="containsText" dxfId="1168" priority="98" operator="containsText" text="한별">
      <formula>NOT(ISERROR(SEARCH("한별",H1153)))</formula>
    </cfRule>
    <cfRule type="containsText" dxfId="1167" priority="99" operator="containsText" text="정홍조">
      <formula>NOT(ISERROR(SEARCH("정홍조",H1153)))</formula>
    </cfRule>
    <cfRule type="containsText" dxfId="1166" priority="100" operator="containsText" text="김지윤">
      <formula>NOT(ISERROR(SEARCH("김지윤",H1153)))</formula>
    </cfRule>
    <cfRule type="containsText" dxfId="1165" priority="101" operator="containsText" text="전준영">
      <formula>NOT(ISERROR(SEARCH("전준영",H1153)))</formula>
    </cfRule>
    <cfRule type="containsText" dxfId="1164" priority="102" operator="containsText" text="차재성">
      <formula>NOT(ISERROR(SEARCH("차재성",H1153)))</formula>
    </cfRule>
  </conditionalFormatting>
  <conditionalFormatting sqref="J119">
    <cfRule type="containsText" dxfId="1163" priority="3373" operator="containsText" text="허하나로">
      <formula>NOT(ISERROR(SEARCH("허하나로",H1155)))</formula>
    </cfRule>
    <cfRule type="containsText" dxfId="1162" priority="3374" operator="containsText" text="한별">
      <formula>NOT(ISERROR(SEARCH("한별",H1155)))</formula>
    </cfRule>
    <cfRule type="containsText" dxfId="1161" priority="3375" operator="containsText" text="정홍조">
      <formula>NOT(ISERROR(SEARCH("정홍조",H1155)))</formula>
    </cfRule>
    <cfRule type="containsText" dxfId="1160" priority="3376" operator="containsText" text="김지윤">
      <formula>NOT(ISERROR(SEARCH("김지윤",H1155)))</formula>
    </cfRule>
    <cfRule type="containsText" dxfId="1159" priority="3377" operator="containsText" text="전준영">
      <formula>NOT(ISERROR(SEARCH("전준영",H1155)))</formula>
    </cfRule>
    <cfRule type="containsText" dxfId="1158" priority="3378" operator="containsText" text="차재성">
      <formula>NOT(ISERROR(SEARCH("차재성",H1155)))</formula>
    </cfRule>
  </conditionalFormatting>
  <conditionalFormatting sqref="J118">
    <cfRule type="containsText" dxfId="1157" priority="3385" operator="containsText" text="허하나로">
      <formula>NOT(ISERROR(SEARCH("허하나로",H1155)))</formula>
    </cfRule>
    <cfRule type="containsText" dxfId="1156" priority="3386" operator="containsText" text="한별">
      <formula>NOT(ISERROR(SEARCH("한별",H1155)))</formula>
    </cfRule>
    <cfRule type="containsText" dxfId="1155" priority="3387" operator="containsText" text="정홍조">
      <formula>NOT(ISERROR(SEARCH("정홍조",H1155)))</formula>
    </cfRule>
    <cfRule type="containsText" dxfId="1154" priority="3388" operator="containsText" text="김지윤">
      <formula>NOT(ISERROR(SEARCH("김지윤",H1155)))</formula>
    </cfRule>
    <cfRule type="containsText" dxfId="1153" priority="3389" operator="containsText" text="전준영">
      <formula>NOT(ISERROR(SEARCH("전준영",H1155)))</formula>
    </cfRule>
    <cfRule type="containsText" dxfId="1152" priority="3390" operator="containsText" text="차재성">
      <formula>NOT(ISERROR(SEARCH("차재성",H1155)))</formula>
    </cfRule>
  </conditionalFormatting>
  <conditionalFormatting sqref="J23">
    <cfRule type="containsText" dxfId="1151" priority="37" operator="containsText" text="허하나로">
      <formula>NOT(ISERROR(SEARCH("허하나로",H1105)))</formula>
    </cfRule>
    <cfRule type="containsText" dxfId="1150" priority="38" operator="containsText" text="한별">
      <formula>NOT(ISERROR(SEARCH("한별",H1105)))</formula>
    </cfRule>
    <cfRule type="containsText" dxfId="1149" priority="39" operator="containsText" text="정홍조">
      <formula>NOT(ISERROR(SEARCH("정홍조",H1105)))</formula>
    </cfRule>
    <cfRule type="containsText" dxfId="1148" priority="40" operator="containsText" text="김지윤">
      <formula>NOT(ISERROR(SEARCH("김지윤",H1105)))</formula>
    </cfRule>
    <cfRule type="containsText" dxfId="1147" priority="41" operator="containsText" text="전준영">
      <formula>NOT(ISERROR(SEARCH("전준영",H1105)))</formula>
    </cfRule>
    <cfRule type="containsText" dxfId="1146" priority="42" operator="containsText" text="차재성">
      <formula>NOT(ISERROR(SEARCH("차재성",H1105)))</formula>
    </cfRule>
  </conditionalFormatting>
  <conditionalFormatting sqref="J27">
    <cfRule type="containsText" dxfId="1145" priority="19" operator="containsText" text="허하나로">
      <formula>NOT(ISERROR(SEARCH("허하나로",H1109)))</formula>
    </cfRule>
    <cfRule type="containsText" dxfId="1144" priority="20" operator="containsText" text="한별">
      <formula>NOT(ISERROR(SEARCH("한별",H1109)))</formula>
    </cfRule>
    <cfRule type="containsText" dxfId="1143" priority="21" operator="containsText" text="정홍조">
      <formula>NOT(ISERROR(SEARCH("정홍조",H1109)))</formula>
    </cfRule>
    <cfRule type="containsText" dxfId="1142" priority="22" operator="containsText" text="김지윤">
      <formula>NOT(ISERROR(SEARCH("김지윤",H1109)))</formula>
    </cfRule>
    <cfRule type="containsText" dxfId="1141" priority="23" operator="containsText" text="전준영">
      <formula>NOT(ISERROR(SEARCH("전준영",H1109)))</formula>
    </cfRule>
    <cfRule type="containsText" dxfId="1140" priority="24" operator="containsText" text="차재성">
      <formula>NOT(ISERROR(SEARCH("차재성",H1109)))</formula>
    </cfRule>
  </conditionalFormatting>
  <conditionalFormatting sqref="J26">
    <cfRule type="containsText" dxfId="1139" priority="25" operator="containsText" text="허하나로">
      <formula>NOT(ISERROR(SEARCH("허하나로",H1109)))</formula>
    </cfRule>
    <cfRule type="containsText" dxfId="1138" priority="26" operator="containsText" text="한별">
      <formula>NOT(ISERROR(SEARCH("한별",H1109)))</formula>
    </cfRule>
    <cfRule type="containsText" dxfId="1137" priority="27" operator="containsText" text="정홍조">
      <formula>NOT(ISERROR(SEARCH("정홍조",H1109)))</formula>
    </cfRule>
    <cfRule type="containsText" dxfId="1136" priority="28" operator="containsText" text="김지윤">
      <formula>NOT(ISERROR(SEARCH("김지윤",H1109)))</formula>
    </cfRule>
    <cfRule type="containsText" dxfId="1135" priority="29" operator="containsText" text="전준영">
      <formula>NOT(ISERROR(SEARCH("전준영",H1109)))</formula>
    </cfRule>
    <cfRule type="containsText" dxfId="1134" priority="30" operator="containsText" text="차재성">
      <formula>NOT(ISERROR(SEARCH("차재성",H1109)))</formula>
    </cfRule>
  </conditionalFormatting>
  <conditionalFormatting sqref="J36">
    <cfRule type="containsText" dxfId="1133" priority="3979" operator="containsText" text="허하나로">
      <formula>NOT(ISERROR(SEARCH("허하나로",H1103)))</formula>
    </cfRule>
    <cfRule type="containsText" dxfId="1132" priority="3980" operator="containsText" text="한별">
      <formula>NOT(ISERROR(SEARCH("한별",H1103)))</formula>
    </cfRule>
    <cfRule type="containsText" dxfId="1131" priority="3981" operator="containsText" text="정홍조">
      <formula>NOT(ISERROR(SEARCH("정홍조",H1103)))</formula>
    </cfRule>
    <cfRule type="containsText" dxfId="1130" priority="3982" operator="containsText" text="김지윤">
      <formula>NOT(ISERROR(SEARCH("김지윤",H1103)))</formula>
    </cfRule>
    <cfRule type="containsText" dxfId="1129" priority="3983" operator="containsText" text="전준영">
      <formula>NOT(ISERROR(SEARCH("전준영",H1103)))</formula>
    </cfRule>
    <cfRule type="containsText" dxfId="1128" priority="3984" operator="containsText" text="차재성">
      <formula>NOT(ISERROR(SEARCH("차재성",H1103)))</formula>
    </cfRule>
  </conditionalFormatting>
  <conditionalFormatting sqref="J61">
    <cfRule type="containsText" dxfId="1127" priority="3991" operator="containsText" text="허하나로">
      <formula>NOT(ISERROR(SEARCH("허하나로",H1104)))</formula>
    </cfRule>
    <cfRule type="containsText" dxfId="1126" priority="3992" operator="containsText" text="한별">
      <formula>NOT(ISERROR(SEARCH("한별",H1104)))</formula>
    </cfRule>
    <cfRule type="containsText" dxfId="1125" priority="3993" operator="containsText" text="정홍조">
      <formula>NOT(ISERROR(SEARCH("정홍조",H1104)))</formula>
    </cfRule>
    <cfRule type="containsText" dxfId="1124" priority="3994" operator="containsText" text="김지윤">
      <formula>NOT(ISERROR(SEARCH("김지윤",H1104)))</formula>
    </cfRule>
    <cfRule type="containsText" dxfId="1123" priority="3995" operator="containsText" text="전준영">
      <formula>NOT(ISERROR(SEARCH("전준영",H1104)))</formula>
    </cfRule>
    <cfRule type="containsText" dxfId="1122" priority="3996" operator="containsText" text="차재성">
      <formula>NOT(ISERROR(SEARCH("차재성",H1104)))</formula>
    </cfRule>
  </conditionalFormatting>
  <conditionalFormatting sqref="J60">
    <cfRule type="containsText" dxfId="1121" priority="3997" operator="containsText" text="허하나로">
      <formula>NOT(ISERROR(SEARCH("허하나로",H1104)))</formula>
    </cfRule>
    <cfRule type="containsText" dxfId="1120" priority="3998" operator="containsText" text="한별">
      <formula>NOT(ISERROR(SEARCH("한별",H1104)))</formula>
    </cfRule>
    <cfRule type="containsText" dxfId="1119" priority="3999" operator="containsText" text="정홍조">
      <formula>NOT(ISERROR(SEARCH("정홍조",H1104)))</formula>
    </cfRule>
    <cfRule type="containsText" dxfId="1118" priority="4000" operator="containsText" text="김지윤">
      <formula>NOT(ISERROR(SEARCH("김지윤",H1104)))</formula>
    </cfRule>
    <cfRule type="containsText" dxfId="1117" priority="4001" operator="containsText" text="전준영">
      <formula>NOT(ISERROR(SEARCH("전준영",H1104)))</formula>
    </cfRule>
    <cfRule type="containsText" dxfId="1116" priority="4002" operator="containsText" text="차재성">
      <formula>NOT(ISERROR(SEARCH("차재성",H1104)))</formula>
    </cfRule>
  </conditionalFormatting>
  <conditionalFormatting sqref="J76:J78">
    <cfRule type="containsText" dxfId="1115" priority="4027" operator="containsText" text="허하나로">
      <formula>NOT(ISERROR(SEARCH("허하나로",H1106)))</formula>
    </cfRule>
    <cfRule type="containsText" dxfId="1114" priority="4028" operator="containsText" text="한별">
      <formula>NOT(ISERROR(SEARCH("한별",H1106)))</formula>
    </cfRule>
    <cfRule type="containsText" dxfId="1113" priority="4029" operator="containsText" text="정홍조">
      <formula>NOT(ISERROR(SEARCH("정홍조",H1106)))</formula>
    </cfRule>
    <cfRule type="containsText" dxfId="1112" priority="4030" operator="containsText" text="김지윤">
      <formula>NOT(ISERROR(SEARCH("김지윤",H1106)))</formula>
    </cfRule>
    <cfRule type="containsText" dxfId="1111" priority="4031" operator="containsText" text="전준영">
      <formula>NOT(ISERROR(SEARCH("전준영",H1106)))</formula>
    </cfRule>
    <cfRule type="containsText" dxfId="1110" priority="4032" operator="containsText" text="차재성">
      <formula>NOT(ISERROR(SEARCH("차재성",H1106)))</formula>
    </cfRule>
  </conditionalFormatting>
  <pageMargins left="0.7" right="0.7" top="0.75" bottom="0.75" header="0.3" footer="0.3"/>
  <pageSetup paperSize="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M60"/>
  <sheetViews>
    <sheetView zoomScale="85" zoomScaleNormal="85" workbookViewId="0"/>
  </sheetViews>
  <sheetFormatPr defaultRowHeight="16.5" x14ac:dyDescent="0.3"/>
  <cols>
    <col min="1" max="6" width="3.875" customWidth="1"/>
    <col min="7" max="7" width="32.625" customWidth="1"/>
    <col min="8" max="10" width="14.625" customWidth="1"/>
    <col min="11" max="11" width="57.5" customWidth="1"/>
    <col min="12" max="12" width="3.875" customWidth="1"/>
    <col min="13" max="13" width="14.625" customWidth="1"/>
  </cols>
  <sheetData>
    <row r="1" spans="1:13" ht="17.25" thickBot="1" x14ac:dyDescent="0.2">
      <c r="A1" s="94" t="s">
        <v>186</v>
      </c>
      <c r="B1" s="43"/>
      <c r="C1" s="94"/>
      <c r="D1" s="94"/>
      <c r="E1" s="94"/>
      <c r="F1" s="94"/>
      <c r="G1" s="199"/>
      <c r="H1" s="200"/>
      <c r="I1" s="200"/>
      <c r="J1" s="199"/>
      <c r="K1" s="199"/>
      <c r="L1" s="199"/>
      <c r="M1" s="198" t="s">
        <v>38</v>
      </c>
    </row>
    <row r="2" spans="1:13" x14ac:dyDescent="0.3">
      <c r="A2" s="439" t="s">
        <v>27</v>
      </c>
      <c r="B2" s="441" t="s">
        <v>28</v>
      </c>
      <c r="C2" s="442"/>
      <c r="D2" s="443"/>
      <c r="E2" s="441" t="s">
        <v>29</v>
      </c>
      <c r="F2" s="442"/>
      <c r="G2" s="443"/>
      <c r="H2" s="444" t="s">
        <v>1</v>
      </c>
      <c r="I2" s="446" t="s">
        <v>2</v>
      </c>
      <c r="J2" s="448" t="s">
        <v>3</v>
      </c>
      <c r="K2" s="430" t="s">
        <v>4</v>
      </c>
      <c r="L2" s="431"/>
      <c r="M2" s="432"/>
    </row>
    <row r="3" spans="1:13" ht="17.25" thickBot="1" x14ac:dyDescent="0.35">
      <c r="A3" s="440"/>
      <c r="B3" s="135" t="s">
        <v>30</v>
      </c>
      <c r="C3" s="135" t="s">
        <v>31</v>
      </c>
      <c r="D3" s="135" t="s">
        <v>32</v>
      </c>
      <c r="E3" s="135" t="s">
        <v>33</v>
      </c>
      <c r="F3" s="135" t="s">
        <v>34</v>
      </c>
      <c r="G3" s="135" t="s">
        <v>35</v>
      </c>
      <c r="H3" s="445"/>
      <c r="I3" s="447"/>
      <c r="J3" s="449"/>
      <c r="K3" s="433"/>
      <c r="L3" s="434"/>
      <c r="M3" s="435"/>
    </row>
    <row r="4" spans="1:13" ht="17.25" thickBot="1" x14ac:dyDescent="0.35">
      <c r="A4" s="436" t="s">
        <v>158</v>
      </c>
      <c r="B4" s="437"/>
      <c r="C4" s="437"/>
      <c r="D4" s="437"/>
      <c r="E4" s="437"/>
      <c r="F4" s="437"/>
      <c r="G4" s="438"/>
      <c r="H4" s="201">
        <f>H5</f>
        <v>151892</v>
      </c>
      <c r="I4" s="201">
        <f>I5</f>
        <v>864500</v>
      </c>
      <c r="J4" s="136">
        <f>H4-I4</f>
        <v>-712608</v>
      </c>
      <c r="K4" s="95"/>
      <c r="L4" s="96"/>
      <c r="M4" s="137"/>
    </row>
    <row r="5" spans="1:13" x14ac:dyDescent="0.3">
      <c r="A5" s="223" t="s">
        <v>5</v>
      </c>
      <c r="B5" s="138"/>
      <c r="C5" s="139"/>
      <c r="D5" s="139"/>
      <c r="E5" s="139"/>
      <c r="F5" s="139"/>
      <c r="G5" s="140"/>
      <c r="H5" s="100">
        <f>H6</f>
        <v>151892</v>
      </c>
      <c r="I5" s="100">
        <v>864500</v>
      </c>
      <c r="J5" s="101">
        <f t="shared" ref="J5:J7" si="0">H5-I5</f>
        <v>-712608</v>
      </c>
      <c r="K5" s="84"/>
      <c r="L5" s="85"/>
      <c r="M5" s="86"/>
    </row>
    <row r="6" spans="1:13" x14ac:dyDescent="0.3">
      <c r="A6" s="10"/>
      <c r="B6" s="145" t="s">
        <v>291</v>
      </c>
      <c r="C6" s="145"/>
      <c r="D6" s="146"/>
      <c r="E6" s="146"/>
      <c r="F6" s="146"/>
      <c r="G6" s="147"/>
      <c r="H6" s="100">
        <f>SUM(H7,H19,H25,H43)</f>
        <v>151892</v>
      </c>
      <c r="I6" s="100">
        <v>864500</v>
      </c>
      <c r="J6" s="101">
        <f t="shared" si="0"/>
        <v>-712608</v>
      </c>
      <c r="K6" s="84"/>
      <c r="L6" s="85"/>
      <c r="M6" s="86"/>
    </row>
    <row r="7" spans="1:13" x14ac:dyDescent="0.3">
      <c r="A7" s="10"/>
      <c r="B7" s="6"/>
      <c r="C7" s="145" t="s">
        <v>116</v>
      </c>
      <c r="D7" s="146"/>
      <c r="E7" s="146"/>
      <c r="F7" s="146"/>
      <c r="G7" s="147"/>
      <c r="H7" s="100">
        <f>H8</f>
        <v>28600</v>
      </c>
      <c r="I7" s="100">
        <v>320050</v>
      </c>
      <c r="J7" s="101">
        <f t="shared" si="0"/>
        <v>-291450</v>
      </c>
      <c r="K7" s="84"/>
      <c r="L7" s="85"/>
      <c r="M7" s="86"/>
    </row>
    <row r="8" spans="1:13" x14ac:dyDescent="0.3">
      <c r="A8" s="10"/>
      <c r="B8" s="6"/>
      <c r="C8" s="6"/>
      <c r="D8" s="145" t="s">
        <v>346</v>
      </c>
      <c r="E8" s="146"/>
      <c r="F8" s="146"/>
      <c r="G8" s="147"/>
      <c r="H8" s="148">
        <f>H9</f>
        <v>28600</v>
      </c>
      <c r="I8" s="148">
        <v>31500</v>
      </c>
      <c r="J8" s="98">
        <f>H8-I8</f>
        <v>-2900</v>
      </c>
      <c r="K8" s="176"/>
      <c r="L8" s="149"/>
      <c r="M8" s="166"/>
    </row>
    <row r="9" spans="1:13" x14ac:dyDescent="0.3">
      <c r="A9" s="10"/>
      <c r="B9" s="6"/>
      <c r="C9" s="150"/>
      <c r="D9" s="151"/>
      <c r="E9" s="145" t="s">
        <v>37</v>
      </c>
      <c r="F9" s="146"/>
      <c r="G9" s="147"/>
      <c r="H9" s="97">
        <f>SUM(H10)</f>
        <v>28600</v>
      </c>
      <c r="I9" s="97">
        <v>31500</v>
      </c>
      <c r="J9" s="98">
        <f>H9-I9</f>
        <v>-2900</v>
      </c>
      <c r="K9" s="90"/>
      <c r="L9" s="99"/>
      <c r="M9" s="261"/>
    </row>
    <row r="10" spans="1:13" x14ac:dyDescent="0.3">
      <c r="A10" s="68"/>
      <c r="B10" s="70"/>
      <c r="C10" s="70"/>
      <c r="D10" s="70"/>
      <c r="E10" s="70"/>
      <c r="F10" s="152" t="s">
        <v>69</v>
      </c>
      <c r="G10" s="156"/>
      <c r="H10" s="77">
        <f>SUM(H11,H15,H17)</f>
        <v>28600</v>
      </c>
      <c r="I10" s="77">
        <v>31500</v>
      </c>
      <c r="J10" s="106">
        <f>H10-I10</f>
        <v>-2900</v>
      </c>
      <c r="K10" s="160"/>
      <c r="L10" s="38"/>
      <c r="M10" s="262"/>
    </row>
    <row r="11" spans="1:13" x14ac:dyDescent="0.3">
      <c r="A11" s="68"/>
      <c r="B11" s="70"/>
      <c r="C11" s="70"/>
      <c r="D11" s="70"/>
      <c r="E11" s="70"/>
      <c r="F11" s="159"/>
      <c r="G11" s="70" t="s">
        <v>42</v>
      </c>
      <c r="H11" s="81">
        <f>M11</f>
        <v>28000</v>
      </c>
      <c r="I11" s="81">
        <v>30000</v>
      </c>
      <c r="J11" s="48">
        <f>H11-I11</f>
        <v>-2000</v>
      </c>
      <c r="K11" s="36" t="s">
        <v>70</v>
      </c>
      <c r="L11" s="39"/>
      <c r="M11" s="242">
        <f>SUM(M12:M14)</f>
        <v>28000</v>
      </c>
    </row>
    <row r="12" spans="1:13" x14ac:dyDescent="0.3">
      <c r="A12" s="68"/>
      <c r="B12" s="70"/>
      <c r="C12" s="70"/>
      <c r="D12" s="70"/>
      <c r="E12" s="70"/>
      <c r="F12" s="159"/>
      <c r="G12" s="70"/>
      <c r="H12" s="81"/>
      <c r="I12" s="81"/>
      <c r="J12" s="48"/>
      <c r="K12" s="237" t="s">
        <v>556</v>
      </c>
      <c r="L12" s="52" t="s">
        <v>499</v>
      </c>
      <c r="M12" s="207">
        <v>14400</v>
      </c>
    </row>
    <row r="13" spans="1:13" x14ac:dyDescent="0.3">
      <c r="A13" s="68"/>
      <c r="B13" s="70"/>
      <c r="C13" s="70"/>
      <c r="D13" s="70"/>
      <c r="E13" s="70"/>
      <c r="F13" s="159"/>
      <c r="G13" s="70"/>
      <c r="H13" s="81"/>
      <c r="I13" s="81"/>
      <c r="J13" s="48"/>
      <c r="K13" s="237" t="s">
        <v>557</v>
      </c>
      <c r="L13" s="220" t="s">
        <v>0</v>
      </c>
      <c r="M13" s="207">
        <v>9600</v>
      </c>
    </row>
    <row r="14" spans="1:13" x14ac:dyDescent="0.3">
      <c r="A14" s="68"/>
      <c r="B14" s="70"/>
      <c r="C14" s="70"/>
      <c r="D14" s="70"/>
      <c r="E14" s="70"/>
      <c r="F14" s="159"/>
      <c r="G14" s="70"/>
      <c r="H14" s="81"/>
      <c r="I14" s="81"/>
      <c r="J14" s="49"/>
      <c r="K14" s="237" t="s">
        <v>555</v>
      </c>
      <c r="L14" s="220" t="s">
        <v>0</v>
      </c>
      <c r="M14" s="207">
        <v>4000</v>
      </c>
    </row>
    <row r="15" spans="1:13" x14ac:dyDescent="0.3">
      <c r="A15" s="68"/>
      <c r="B15" s="70"/>
      <c r="C15" s="70"/>
      <c r="D15" s="70"/>
      <c r="E15" s="70"/>
      <c r="F15" s="159"/>
      <c r="G15" s="69" t="s">
        <v>71</v>
      </c>
      <c r="H15" s="80">
        <f>M15</f>
        <v>300</v>
      </c>
      <c r="I15" s="80">
        <v>1000</v>
      </c>
      <c r="J15" s="48">
        <f>H15-I15</f>
        <v>-700</v>
      </c>
      <c r="K15" s="36" t="s">
        <v>72</v>
      </c>
      <c r="L15" s="39"/>
      <c r="M15" s="242">
        <f>M16</f>
        <v>300</v>
      </c>
    </row>
    <row r="16" spans="1:13" x14ac:dyDescent="0.3">
      <c r="A16" s="68"/>
      <c r="B16" s="70"/>
      <c r="C16" s="70"/>
      <c r="D16" s="70"/>
      <c r="E16" s="70"/>
      <c r="F16" s="159"/>
      <c r="G16" s="72"/>
      <c r="H16" s="82"/>
      <c r="I16" s="82"/>
      <c r="J16" s="49"/>
      <c r="K16" s="239" t="s">
        <v>558</v>
      </c>
      <c r="L16" s="222" t="s">
        <v>0</v>
      </c>
      <c r="M16" s="207">
        <v>300</v>
      </c>
    </row>
    <row r="17" spans="1:13" x14ac:dyDescent="0.3">
      <c r="A17" s="68"/>
      <c r="B17" s="70"/>
      <c r="C17" s="70"/>
      <c r="D17" s="70"/>
      <c r="E17" s="70"/>
      <c r="F17" s="159"/>
      <c r="G17" s="70" t="s">
        <v>74</v>
      </c>
      <c r="H17" s="81">
        <f>M17</f>
        <v>300</v>
      </c>
      <c r="I17" s="81">
        <v>500</v>
      </c>
      <c r="J17" s="48">
        <f>H17-I17</f>
        <v>-200</v>
      </c>
      <c r="K17" s="236" t="s">
        <v>73</v>
      </c>
      <c r="L17" s="52"/>
      <c r="M17" s="242">
        <f>M18</f>
        <v>300</v>
      </c>
    </row>
    <row r="18" spans="1:13" x14ac:dyDescent="0.3">
      <c r="A18" s="68"/>
      <c r="B18" s="70"/>
      <c r="C18" s="70"/>
      <c r="D18" s="70"/>
      <c r="E18" s="70"/>
      <c r="F18" s="159"/>
      <c r="G18" s="70"/>
      <c r="H18" s="81"/>
      <c r="I18" s="76"/>
      <c r="J18" s="48"/>
      <c r="K18" s="239" t="s">
        <v>634</v>
      </c>
      <c r="L18" s="222" t="s">
        <v>0</v>
      </c>
      <c r="M18" s="213">
        <v>300</v>
      </c>
    </row>
    <row r="19" spans="1:13" x14ac:dyDescent="0.3">
      <c r="A19" s="10"/>
      <c r="B19" s="6"/>
      <c r="C19" s="145" t="s">
        <v>143</v>
      </c>
      <c r="D19" s="146"/>
      <c r="E19" s="146"/>
      <c r="F19" s="146"/>
      <c r="G19" s="147"/>
      <c r="H19" s="97">
        <f>H20</f>
        <v>50000</v>
      </c>
      <c r="I19" s="100">
        <v>526850</v>
      </c>
      <c r="J19" s="98">
        <f t="shared" ref="J19" si="1">H19-I19</f>
        <v>-476850</v>
      </c>
      <c r="K19" s="84"/>
      <c r="L19" s="85"/>
      <c r="M19" s="86"/>
    </row>
    <row r="20" spans="1:13" x14ac:dyDescent="0.3">
      <c r="A20" s="10"/>
      <c r="B20" s="6"/>
      <c r="C20" s="6"/>
      <c r="D20" s="145" t="s">
        <v>62</v>
      </c>
      <c r="E20" s="146"/>
      <c r="F20" s="146"/>
      <c r="G20" s="147"/>
      <c r="H20" s="148">
        <f>H21</f>
        <v>50000</v>
      </c>
      <c r="I20" s="148">
        <v>25000</v>
      </c>
      <c r="J20" s="98">
        <f>H20-I20</f>
        <v>25000</v>
      </c>
      <c r="K20" s="87"/>
      <c r="L20" s="165"/>
      <c r="M20" s="86"/>
    </row>
    <row r="21" spans="1:13" x14ac:dyDescent="0.3">
      <c r="A21" s="10"/>
      <c r="B21" s="6"/>
      <c r="C21" s="150"/>
      <c r="D21" s="151"/>
      <c r="E21" s="145" t="s">
        <v>37</v>
      </c>
      <c r="F21" s="146"/>
      <c r="G21" s="147"/>
      <c r="H21" s="97">
        <f>H22</f>
        <v>50000</v>
      </c>
      <c r="I21" s="97">
        <v>25000</v>
      </c>
      <c r="J21" s="98">
        <f>H21-I21</f>
        <v>25000</v>
      </c>
      <c r="K21" s="90"/>
      <c r="L21" s="99"/>
      <c r="M21" s="88"/>
    </row>
    <row r="22" spans="1:13" x14ac:dyDescent="0.3">
      <c r="A22" s="68"/>
      <c r="B22" s="70"/>
      <c r="C22" s="70"/>
      <c r="D22" s="70"/>
      <c r="E22" s="70"/>
      <c r="F22" s="152" t="s">
        <v>63</v>
      </c>
      <c r="G22" s="156"/>
      <c r="H22" s="77">
        <f>H23</f>
        <v>50000</v>
      </c>
      <c r="I22" s="77">
        <v>25000</v>
      </c>
      <c r="J22" s="106">
        <f>H22-I22</f>
        <v>25000</v>
      </c>
      <c r="K22" s="160"/>
      <c r="L22" s="38"/>
      <c r="M22" s="37"/>
    </row>
    <row r="23" spans="1:13" x14ac:dyDescent="0.3">
      <c r="A23" s="68"/>
      <c r="B23" s="70"/>
      <c r="C23" s="70"/>
      <c r="D23" s="70"/>
      <c r="E23" s="70"/>
      <c r="F23" s="159"/>
      <c r="G23" s="70" t="s">
        <v>64</v>
      </c>
      <c r="H23" s="81">
        <f>M23</f>
        <v>50000</v>
      </c>
      <c r="I23" s="81">
        <v>25000</v>
      </c>
      <c r="J23" s="48">
        <f>H23-I23</f>
        <v>25000</v>
      </c>
      <c r="K23" s="36" t="s">
        <v>65</v>
      </c>
      <c r="L23" s="39"/>
      <c r="M23" s="242">
        <f>SUM(M24:M24)</f>
        <v>50000</v>
      </c>
    </row>
    <row r="24" spans="1:13" x14ac:dyDescent="0.3">
      <c r="A24" s="68"/>
      <c r="B24" s="70"/>
      <c r="C24" s="70"/>
      <c r="D24" s="70"/>
      <c r="E24" s="70"/>
      <c r="F24" s="159"/>
      <c r="G24" s="70"/>
      <c r="H24" s="81"/>
      <c r="I24" s="81"/>
      <c r="J24" s="48"/>
      <c r="K24" s="239" t="s">
        <v>460</v>
      </c>
      <c r="L24" s="222" t="s">
        <v>0</v>
      </c>
      <c r="M24" s="207">
        <v>50000</v>
      </c>
    </row>
    <row r="25" spans="1:13" x14ac:dyDescent="0.3">
      <c r="A25" s="10"/>
      <c r="B25" s="6"/>
      <c r="C25" s="195" t="s">
        <v>324</v>
      </c>
      <c r="D25" s="146"/>
      <c r="E25" s="146"/>
      <c r="F25" s="146"/>
      <c r="G25" s="147"/>
      <c r="H25" s="97">
        <f>H26</f>
        <v>28292</v>
      </c>
      <c r="I25" s="97">
        <v>19800</v>
      </c>
      <c r="J25" s="98">
        <f>H25-I25</f>
        <v>8492</v>
      </c>
      <c r="K25" s="175"/>
      <c r="L25" s="165"/>
      <c r="M25" s="166"/>
    </row>
    <row r="26" spans="1:13" x14ac:dyDescent="0.3">
      <c r="A26" s="10"/>
      <c r="B26" s="6"/>
      <c r="C26" s="163"/>
      <c r="D26" s="145" t="s">
        <v>40</v>
      </c>
      <c r="E26" s="146"/>
      <c r="F26" s="146"/>
      <c r="G26" s="147"/>
      <c r="H26" s="148">
        <f>H27</f>
        <v>28292</v>
      </c>
      <c r="I26" s="148">
        <v>19800</v>
      </c>
      <c r="J26" s="9">
        <f>H26-I26</f>
        <v>8492</v>
      </c>
      <c r="K26" s="164"/>
      <c r="L26" s="165"/>
      <c r="M26" s="166"/>
    </row>
    <row r="27" spans="1:13" x14ac:dyDescent="0.3">
      <c r="A27" s="10"/>
      <c r="B27" s="6"/>
      <c r="C27" s="150"/>
      <c r="D27" s="151"/>
      <c r="E27" s="145" t="s">
        <v>39</v>
      </c>
      <c r="F27" s="146"/>
      <c r="G27" s="147"/>
      <c r="H27" s="97">
        <f>SUM(H28,H33,H37,H40)</f>
        <v>28292</v>
      </c>
      <c r="I27" s="97">
        <v>19800</v>
      </c>
      <c r="J27" s="98">
        <f>H27-I27</f>
        <v>8492</v>
      </c>
      <c r="K27" s="90"/>
      <c r="L27" s="99"/>
      <c r="M27" s="88"/>
    </row>
    <row r="28" spans="1:13" x14ac:dyDescent="0.3">
      <c r="A28" s="68"/>
      <c r="B28" s="70"/>
      <c r="C28" s="70"/>
      <c r="D28" s="70"/>
      <c r="E28" s="70"/>
      <c r="F28" s="152" t="s">
        <v>41</v>
      </c>
      <c r="G28" s="156"/>
      <c r="H28" s="77">
        <f>H29+H31</f>
        <v>9792</v>
      </c>
      <c r="I28" s="77">
        <v>3600</v>
      </c>
      <c r="J28" s="106">
        <f>H28-I28</f>
        <v>6192</v>
      </c>
      <c r="K28" s="160"/>
      <c r="L28" s="38"/>
      <c r="M28" s="37"/>
    </row>
    <row r="29" spans="1:13" x14ac:dyDescent="0.3">
      <c r="A29" s="57"/>
      <c r="B29" s="60"/>
      <c r="C29" s="70"/>
      <c r="D29" s="70"/>
      <c r="E29" s="70"/>
      <c r="F29" s="208"/>
      <c r="G29" s="226" t="s">
        <v>42</v>
      </c>
      <c r="H29" s="227">
        <f>M29</f>
        <v>2880</v>
      </c>
      <c r="I29" s="227">
        <v>3600</v>
      </c>
      <c r="J29" s="41">
        <f>H29-I29</f>
        <v>-720</v>
      </c>
      <c r="K29" s="36" t="s">
        <v>60</v>
      </c>
      <c r="L29" s="229"/>
      <c r="M29" s="242">
        <f>SUM(M30:M30)</f>
        <v>2880</v>
      </c>
    </row>
    <row r="30" spans="1:13" x14ac:dyDescent="0.3">
      <c r="A30" s="57"/>
      <c r="B30" s="60"/>
      <c r="C30" s="70"/>
      <c r="D30" s="70"/>
      <c r="E30" s="70"/>
      <c r="F30" s="58"/>
      <c r="G30" s="224"/>
      <c r="H30" s="110"/>
      <c r="I30" s="110"/>
      <c r="J30" s="112"/>
      <c r="K30" s="225" t="s">
        <v>477</v>
      </c>
      <c r="L30" s="222" t="s">
        <v>43</v>
      </c>
      <c r="M30" s="207">
        <v>2880</v>
      </c>
    </row>
    <row r="31" spans="1:13" x14ac:dyDescent="0.3">
      <c r="A31" s="57"/>
      <c r="B31" s="60"/>
      <c r="C31" s="70"/>
      <c r="D31" s="70"/>
      <c r="E31" s="70"/>
      <c r="F31" s="247"/>
      <c r="G31" s="58" t="s">
        <v>156</v>
      </c>
      <c r="H31" s="227">
        <f>M31</f>
        <v>6912</v>
      </c>
      <c r="I31" s="227">
        <v>0</v>
      </c>
      <c r="J31" s="41">
        <f>H31-I31</f>
        <v>6912</v>
      </c>
      <c r="K31" s="236" t="s">
        <v>151</v>
      </c>
      <c r="L31" s="229"/>
      <c r="M31" s="242">
        <f>SUM(M32:M32)</f>
        <v>6912</v>
      </c>
    </row>
    <row r="32" spans="1:13" x14ac:dyDescent="0.3">
      <c r="A32" s="57"/>
      <c r="B32" s="60"/>
      <c r="C32" s="70"/>
      <c r="D32" s="70"/>
      <c r="E32" s="70"/>
      <c r="F32" s="58"/>
      <c r="G32" s="58"/>
      <c r="H32" s="110"/>
      <c r="I32" s="110"/>
      <c r="J32" s="112"/>
      <c r="K32" s="239" t="s">
        <v>462</v>
      </c>
      <c r="L32" s="222" t="s">
        <v>43</v>
      </c>
      <c r="M32" s="207">
        <v>6912</v>
      </c>
    </row>
    <row r="33" spans="1:13" x14ac:dyDescent="0.3">
      <c r="A33" s="70"/>
      <c r="B33" s="70"/>
      <c r="C33" s="70"/>
      <c r="D33" s="70"/>
      <c r="E33" s="70"/>
      <c r="F33" s="450" t="s">
        <v>46</v>
      </c>
      <c r="G33" s="451"/>
      <c r="H33" s="168">
        <f>H34</f>
        <v>14400</v>
      </c>
      <c r="I33" s="77">
        <v>13200</v>
      </c>
      <c r="J33" s="169">
        <f>H33-I33</f>
        <v>1200</v>
      </c>
      <c r="K33" s="170"/>
      <c r="L33" s="61"/>
      <c r="M33" s="63"/>
    </row>
    <row r="34" spans="1:13" x14ac:dyDescent="0.3">
      <c r="A34" s="70"/>
      <c r="B34" s="70"/>
      <c r="C34" s="70"/>
      <c r="D34" s="70"/>
      <c r="E34" s="70"/>
      <c r="F34" s="125"/>
      <c r="G34" s="216" t="s">
        <v>47</v>
      </c>
      <c r="H34" s="230">
        <f>M34</f>
        <v>14400</v>
      </c>
      <c r="I34" s="81">
        <v>13200</v>
      </c>
      <c r="J34" s="219">
        <f>H34-I34</f>
        <v>1200</v>
      </c>
      <c r="K34" s="36" t="s">
        <v>58</v>
      </c>
      <c r="L34" s="232"/>
      <c r="M34" s="242">
        <f>SUM(M35:M36)</f>
        <v>14400</v>
      </c>
    </row>
    <row r="35" spans="1:13" x14ac:dyDescent="0.3">
      <c r="A35" s="70"/>
      <c r="B35" s="70"/>
      <c r="C35" s="70"/>
      <c r="D35" s="70"/>
      <c r="E35" s="70"/>
      <c r="F35" s="211"/>
      <c r="G35" s="211"/>
      <c r="H35" s="110"/>
      <c r="I35" s="110"/>
      <c r="J35" s="112"/>
      <c r="K35" s="237" t="s">
        <v>546</v>
      </c>
      <c r="L35" s="103" t="s">
        <v>0</v>
      </c>
      <c r="M35" s="207">
        <v>3840</v>
      </c>
    </row>
    <row r="36" spans="1:13" x14ac:dyDescent="0.3">
      <c r="A36" s="68"/>
      <c r="B36" s="70"/>
      <c r="C36" s="70"/>
      <c r="D36" s="161"/>
      <c r="E36" s="206"/>
      <c r="F36" s="206"/>
      <c r="G36" s="73"/>
      <c r="H36" s="79"/>
      <c r="I36" s="79"/>
      <c r="J36" s="79"/>
      <c r="K36" s="239" t="s">
        <v>545</v>
      </c>
      <c r="L36" s="158" t="s">
        <v>0</v>
      </c>
      <c r="M36" s="207">
        <v>10560</v>
      </c>
    </row>
    <row r="37" spans="1:13" x14ac:dyDescent="0.3">
      <c r="A37" s="70"/>
      <c r="B37" s="70"/>
      <c r="C37" s="70"/>
      <c r="D37" s="70"/>
      <c r="E37" s="70"/>
      <c r="F37" s="450" t="s">
        <v>48</v>
      </c>
      <c r="G37" s="451"/>
      <c r="H37" s="168">
        <f>H38</f>
        <v>2000</v>
      </c>
      <c r="I37" s="77">
        <v>3000</v>
      </c>
      <c r="J37" s="169">
        <f>H37-I37</f>
        <v>-1000</v>
      </c>
      <c r="K37" s="170"/>
      <c r="L37" s="61"/>
      <c r="M37" s="63"/>
    </row>
    <row r="38" spans="1:13" x14ac:dyDescent="0.3">
      <c r="A38" s="57"/>
      <c r="B38" s="60"/>
      <c r="C38" s="70"/>
      <c r="D38" s="70"/>
      <c r="E38" s="70"/>
      <c r="F38" s="211"/>
      <c r="G38" s="125" t="s">
        <v>49</v>
      </c>
      <c r="H38" s="230">
        <f>M38</f>
        <v>2000</v>
      </c>
      <c r="I38" s="81">
        <v>3000</v>
      </c>
      <c r="J38" s="219">
        <f>H38-I38</f>
        <v>-1000</v>
      </c>
      <c r="K38" s="233" t="s">
        <v>162</v>
      </c>
      <c r="L38" s="229"/>
      <c r="M38" s="242">
        <f>M39</f>
        <v>2000</v>
      </c>
    </row>
    <row r="39" spans="1:13" x14ac:dyDescent="0.3">
      <c r="A39" s="365"/>
      <c r="B39" s="366"/>
      <c r="C39" s="366"/>
      <c r="D39" s="366"/>
      <c r="E39" s="366"/>
      <c r="F39" s="212"/>
      <c r="G39" s="212"/>
      <c r="H39" s="115"/>
      <c r="I39" s="115"/>
      <c r="J39" s="171"/>
      <c r="K39" s="215" t="s">
        <v>652</v>
      </c>
      <c r="L39" s="231" t="s">
        <v>0</v>
      </c>
      <c r="M39" s="207">
        <v>2000</v>
      </c>
    </row>
    <row r="40" spans="1:13" x14ac:dyDescent="0.3">
      <c r="A40" s="68"/>
      <c r="B40" s="70"/>
      <c r="C40" s="70"/>
      <c r="D40" s="70"/>
      <c r="E40" s="70"/>
      <c r="F40" s="152" t="s">
        <v>99</v>
      </c>
      <c r="G40" s="156"/>
      <c r="H40" s="77">
        <f>H41</f>
        <v>2100</v>
      </c>
      <c r="I40" s="77">
        <v>0</v>
      </c>
      <c r="J40" s="106">
        <f>H40-I40</f>
        <v>2100</v>
      </c>
      <c r="K40" s="160"/>
      <c r="L40" s="38"/>
      <c r="M40" s="262"/>
    </row>
    <row r="41" spans="1:13" x14ac:dyDescent="0.3">
      <c r="A41" s="68"/>
      <c r="B41" s="70"/>
      <c r="C41" s="70"/>
      <c r="D41" s="70"/>
      <c r="E41" s="70"/>
      <c r="F41" s="159"/>
      <c r="G41" s="70" t="s">
        <v>103</v>
      </c>
      <c r="H41" s="81">
        <f>M41</f>
        <v>2100</v>
      </c>
      <c r="I41" s="81">
        <v>0</v>
      </c>
      <c r="J41" s="48">
        <f>H41-I41</f>
        <v>2100</v>
      </c>
      <c r="K41" s="36" t="s">
        <v>471</v>
      </c>
      <c r="L41" s="39"/>
      <c r="M41" s="242">
        <f>M42</f>
        <v>2100</v>
      </c>
    </row>
    <row r="42" spans="1:13" x14ac:dyDescent="0.3">
      <c r="A42" s="70"/>
      <c r="B42" s="70"/>
      <c r="C42" s="70"/>
      <c r="D42" s="70"/>
      <c r="E42" s="70"/>
      <c r="F42" s="119"/>
      <c r="G42" s="212"/>
      <c r="H42" s="124"/>
      <c r="I42" s="251"/>
      <c r="J42" s="172"/>
      <c r="K42" s="239" t="s">
        <v>474</v>
      </c>
      <c r="L42" s="222" t="s">
        <v>0</v>
      </c>
      <c r="M42" s="213">
        <v>2100</v>
      </c>
    </row>
    <row r="43" spans="1:13" x14ac:dyDescent="0.3">
      <c r="A43" s="10"/>
      <c r="B43" s="6"/>
      <c r="C43" s="195" t="s">
        <v>105</v>
      </c>
      <c r="D43" s="146"/>
      <c r="E43" s="146"/>
      <c r="F43" s="146"/>
      <c r="G43" s="147"/>
      <c r="H43" s="97">
        <f>H44</f>
        <v>45000</v>
      </c>
      <c r="I43" s="97">
        <v>45000</v>
      </c>
      <c r="J43" s="98">
        <f>H43-I43</f>
        <v>0</v>
      </c>
      <c r="K43" s="175"/>
      <c r="L43" s="165"/>
      <c r="M43" s="166"/>
    </row>
    <row r="44" spans="1:13" x14ac:dyDescent="0.3">
      <c r="A44" s="10"/>
      <c r="B44" s="6"/>
      <c r="C44" s="163"/>
      <c r="D44" s="145" t="s">
        <v>106</v>
      </c>
      <c r="E44" s="146"/>
      <c r="F44" s="146"/>
      <c r="G44" s="147"/>
      <c r="H44" s="148">
        <f>H45</f>
        <v>45000</v>
      </c>
      <c r="I44" s="148">
        <v>45000</v>
      </c>
      <c r="J44" s="9">
        <f>H44-I44</f>
        <v>0</v>
      </c>
      <c r="K44" s="164"/>
      <c r="L44" s="165"/>
      <c r="M44" s="166"/>
    </row>
    <row r="45" spans="1:13" x14ac:dyDescent="0.3">
      <c r="A45" s="10"/>
      <c r="B45" s="6"/>
      <c r="C45" s="150"/>
      <c r="D45" s="151"/>
      <c r="E45" s="145" t="s">
        <v>39</v>
      </c>
      <c r="F45" s="146"/>
      <c r="G45" s="147"/>
      <c r="H45" s="97">
        <f>SUM(H46,H53,H58)</f>
        <v>45000</v>
      </c>
      <c r="I45" s="97">
        <v>45000</v>
      </c>
      <c r="J45" s="98">
        <f>H45-I45</f>
        <v>0</v>
      </c>
      <c r="K45" s="90"/>
      <c r="L45" s="99"/>
      <c r="M45" s="261"/>
    </row>
    <row r="46" spans="1:13" x14ac:dyDescent="0.3">
      <c r="A46" s="68"/>
      <c r="B46" s="70"/>
      <c r="C46" s="70"/>
      <c r="D46" s="70"/>
      <c r="E46" s="70"/>
      <c r="F46" s="152" t="s">
        <v>68</v>
      </c>
      <c r="G46" s="156"/>
      <c r="H46" s="77">
        <f>SUM(H47,H49,H51)</f>
        <v>15000</v>
      </c>
      <c r="I46" s="77">
        <v>15000</v>
      </c>
      <c r="J46" s="106">
        <f>H46-I46</f>
        <v>0</v>
      </c>
      <c r="K46" s="160"/>
      <c r="L46" s="38"/>
      <c r="M46" s="262"/>
    </row>
    <row r="47" spans="1:13" x14ac:dyDescent="0.3">
      <c r="A47" s="57"/>
      <c r="B47" s="60"/>
      <c r="C47" s="70"/>
      <c r="D47" s="70"/>
      <c r="E47" s="70"/>
      <c r="F47" s="208"/>
      <c r="G47" s="226" t="s">
        <v>42</v>
      </c>
      <c r="H47" s="227">
        <f>M47</f>
        <v>5000</v>
      </c>
      <c r="I47" s="227">
        <v>5000</v>
      </c>
      <c r="J47" s="41">
        <f>H47-I47</f>
        <v>0</v>
      </c>
      <c r="K47" s="236" t="s">
        <v>112</v>
      </c>
      <c r="L47" s="229"/>
      <c r="M47" s="242">
        <f>M48</f>
        <v>5000</v>
      </c>
    </row>
    <row r="48" spans="1:13" x14ac:dyDescent="0.3">
      <c r="A48" s="57"/>
      <c r="B48" s="60"/>
      <c r="C48" s="70"/>
      <c r="D48" s="70"/>
      <c r="E48" s="70"/>
      <c r="F48" s="247"/>
      <c r="G48" s="224"/>
      <c r="H48" s="115"/>
      <c r="I48" s="115"/>
      <c r="J48" s="162"/>
      <c r="K48" s="239" t="s">
        <v>110</v>
      </c>
      <c r="L48" s="222" t="s">
        <v>0</v>
      </c>
      <c r="M48" s="213">
        <v>5000</v>
      </c>
    </row>
    <row r="49" spans="1:13" x14ac:dyDescent="0.3">
      <c r="A49" s="57"/>
      <c r="B49" s="60"/>
      <c r="C49" s="70"/>
      <c r="D49" s="70"/>
      <c r="E49" s="70"/>
      <c r="F49" s="247"/>
      <c r="G49" s="58" t="s">
        <v>13</v>
      </c>
      <c r="H49" s="110">
        <f>M49</f>
        <v>5000</v>
      </c>
      <c r="I49" s="110">
        <v>5000</v>
      </c>
      <c r="J49" s="41">
        <f t="shared" ref="J49" si="2">H49-I49</f>
        <v>0</v>
      </c>
      <c r="K49" s="269" t="s">
        <v>108</v>
      </c>
      <c r="L49" s="51"/>
      <c r="M49" s="242">
        <f>M50</f>
        <v>5000</v>
      </c>
    </row>
    <row r="50" spans="1:13" x14ac:dyDescent="0.3">
      <c r="A50" s="57"/>
      <c r="B50" s="60"/>
      <c r="C50" s="70"/>
      <c r="D50" s="70"/>
      <c r="E50" s="70"/>
      <c r="F50" s="247"/>
      <c r="G50" s="224"/>
      <c r="H50" s="115"/>
      <c r="I50" s="115"/>
      <c r="J50" s="162"/>
      <c r="K50" s="239" t="s">
        <v>109</v>
      </c>
      <c r="L50" s="222" t="s">
        <v>0</v>
      </c>
      <c r="M50" s="213">
        <v>5000</v>
      </c>
    </row>
    <row r="51" spans="1:13" x14ac:dyDescent="0.3">
      <c r="A51" s="57"/>
      <c r="B51" s="60"/>
      <c r="C51" s="70"/>
      <c r="D51" s="70"/>
      <c r="E51" s="70"/>
      <c r="F51" s="247"/>
      <c r="G51" s="58" t="s">
        <v>156</v>
      </c>
      <c r="H51" s="110">
        <f>M51</f>
        <v>5000</v>
      </c>
      <c r="I51" s="110">
        <v>5000</v>
      </c>
      <c r="J51" s="50">
        <f>H51-I51</f>
        <v>0</v>
      </c>
      <c r="K51" s="236" t="s">
        <v>151</v>
      </c>
      <c r="L51" s="220"/>
      <c r="M51" s="210">
        <f>M52</f>
        <v>5000</v>
      </c>
    </row>
    <row r="52" spans="1:13" x14ac:dyDescent="0.3">
      <c r="A52" s="57"/>
      <c r="B52" s="60"/>
      <c r="C52" s="70"/>
      <c r="D52" s="70"/>
      <c r="E52" s="70"/>
      <c r="F52" s="247"/>
      <c r="G52" s="224"/>
      <c r="H52" s="115"/>
      <c r="I52" s="115"/>
      <c r="J52" s="162"/>
      <c r="K52" s="237" t="s">
        <v>115</v>
      </c>
      <c r="L52" s="220" t="s">
        <v>0</v>
      </c>
      <c r="M52" s="207">
        <v>5000</v>
      </c>
    </row>
    <row r="53" spans="1:13" x14ac:dyDescent="0.3">
      <c r="A53" s="68"/>
      <c r="B53" s="70"/>
      <c r="C53" s="70"/>
      <c r="D53" s="70"/>
      <c r="E53" s="70"/>
      <c r="F53" s="152" t="s">
        <v>53</v>
      </c>
      <c r="G53" s="156"/>
      <c r="H53" s="77">
        <f>SUM(H54,H56)</f>
        <v>25000</v>
      </c>
      <c r="I53" s="77">
        <v>25000</v>
      </c>
      <c r="J53" s="106">
        <f>H53-I53</f>
        <v>0</v>
      </c>
      <c r="K53" s="160"/>
      <c r="L53" s="38"/>
      <c r="M53" s="262"/>
    </row>
    <row r="54" spans="1:13" x14ac:dyDescent="0.3">
      <c r="A54" s="57"/>
      <c r="B54" s="60"/>
      <c r="C54" s="70"/>
      <c r="D54" s="70"/>
      <c r="E54" s="70"/>
      <c r="F54" s="247"/>
      <c r="G54" s="58" t="s">
        <v>47</v>
      </c>
      <c r="H54" s="110">
        <f>M54</f>
        <v>5000</v>
      </c>
      <c r="I54" s="110">
        <v>5000</v>
      </c>
      <c r="J54" s="50">
        <f>H54-I54</f>
        <v>0</v>
      </c>
      <c r="K54" s="236" t="s">
        <v>87</v>
      </c>
      <c r="L54" s="220"/>
      <c r="M54" s="210">
        <f>M55</f>
        <v>5000</v>
      </c>
    </row>
    <row r="55" spans="1:13" x14ac:dyDescent="0.3">
      <c r="A55" s="57"/>
      <c r="B55" s="60"/>
      <c r="C55" s="70"/>
      <c r="D55" s="70"/>
      <c r="E55" s="70"/>
      <c r="F55" s="247"/>
      <c r="G55" s="224"/>
      <c r="H55" s="115"/>
      <c r="I55" s="115"/>
      <c r="J55" s="162"/>
      <c r="K55" s="239" t="s">
        <v>157</v>
      </c>
      <c r="L55" s="222" t="s">
        <v>0</v>
      </c>
      <c r="M55" s="213">
        <v>5000</v>
      </c>
    </row>
    <row r="56" spans="1:13" x14ac:dyDescent="0.3">
      <c r="A56" s="57"/>
      <c r="B56" s="60"/>
      <c r="C56" s="70"/>
      <c r="D56" s="70"/>
      <c r="E56" s="70"/>
      <c r="F56" s="247"/>
      <c r="G56" s="58" t="s">
        <v>89</v>
      </c>
      <c r="H56" s="110">
        <f>M56</f>
        <v>20000</v>
      </c>
      <c r="I56" s="110">
        <v>20000</v>
      </c>
      <c r="J56" s="50">
        <f>H56-I56</f>
        <v>0</v>
      </c>
      <c r="K56" s="236" t="s">
        <v>88</v>
      </c>
      <c r="L56" s="220"/>
      <c r="M56" s="210">
        <f>M57</f>
        <v>20000</v>
      </c>
    </row>
    <row r="57" spans="1:13" x14ac:dyDescent="0.3">
      <c r="A57" s="57"/>
      <c r="B57" s="60"/>
      <c r="C57" s="70"/>
      <c r="D57" s="70"/>
      <c r="E57" s="70"/>
      <c r="F57" s="247"/>
      <c r="G57" s="58"/>
      <c r="H57" s="110"/>
      <c r="I57" s="110"/>
      <c r="J57" s="50"/>
      <c r="K57" s="237" t="s">
        <v>111</v>
      </c>
      <c r="L57" s="220" t="s">
        <v>0</v>
      </c>
      <c r="M57" s="207">
        <v>20000</v>
      </c>
    </row>
    <row r="58" spans="1:13" x14ac:dyDescent="0.3">
      <c r="A58" s="68"/>
      <c r="B58" s="70"/>
      <c r="C58" s="70"/>
      <c r="D58" s="70"/>
      <c r="E58" s="70"/>
      <c r="F58" s="152" t="s">
        <v>90</v>
      </c>
      <c r="G58" s="156"/>
      <c r="H58" s="77">
        <f>H59</f>
        <v>5000</v>
      </c>
      <c r="I58" s="77">
        <v>5000</v>
      </c>
      <c r="J58" s="106">
        <f>H58-I58</f>
        <v>0</v>
      </c>
      <c r="K58" s="160"/>
      <c r="L58" s="38"/>
      <c r="M58" s="262"/>
    </row>
    <row r="59" spans="1:13" x14ac:dyDescent="0.3">
      <c r="A59" s="57"/>
      <c r="B59" s="60"/>
      <c r="C59" s="70"/>
      <c r="D59" s="70"/>
      <c r="E59" s="70"/>
      <c r="F59" s="247"/>
      <c r="G59" s="58" t="s">
        <v>49</v>
      </c>
      <c r="H59" s="110">
        <f>M59</f>
        <v>5000</v>
      </c>
      <c r="I59" s="110">
        <v>5000</v>
      </c>
      <c r="J59" s="50">
        <f>H59-I59</f>
        <v>0</v>
      </c>
      <c r="K59" s="236" t="s">
        <v>114</v>
      </c>
      <c r="L59" s="220"/>
      <c r="M59" s="210">
        <f>M60</f>
        <v>5000</v>
      </c>
    </row>
    <row r="60" spans="1:13" ht="17.25" thickBot="1" x14ac:dyDescent="0.35">
      <c r="A60" s="252"/>
      <c r="B60" s="253"/>
      <c r="C60" s="74"/>
      <c r="D60" s="74"/>
      <c r="E60" s="74"/>
      <c r="F60" s="254"/>
      <c r="G60" s="255"/>
      <c r="H60" s="234"/>
      <c r="I60" s="234"/>
      <c r="J60" s="256"/>
      <c r="K60" s="257" t="s">
        <v>113</v>
      </c>
      <c r="L60" s="258" t="s">
        <v>0</v>
      </c>
      <c r="M60" s="271">
        <v>5000</v>
      </c>
    </row>
  </sheetData>
  <protectedRanges>
    <protectedRange password="ECE8" sqref="N2:AB4" name="작성자만수정"/>
    <protectedRange password="ECE8" sqref="N147:AB147 N94:AB137 N43:AB91 N5:AB39" name="작성자만수정_2_1"/>
    <protectedRange password="ECE8" sqref="N194:AB195 N92:AB93" name="작성자만수정_2_1_1"/>
    <protectedRange password="ECE8" sqref="N211:AB213 N200:AB204" name="작성자만수정_2_1_2"/>
  </protectedRanges>
  <autoFilter ref="A3:M60">
    <filterColumn colId="10" showButton="0"/>
    <filterColumn colId="11" showButton="0"/>
  </autoFilter>
  <mergeCells count="10">
    <mergeCell ref="F33:G33"/>
    <mergeCell ref="F37:G37"/>
    <mergeCell ref="H2:H3"/>
    <mergeCell ref="K2:M3"/>
    <mergeCell ref="A4:G4"/>
    <mergeCell ref="I2:I3"/>
    <mergeCell ref="J2:J3"/>
    <mergeCell ref="A2:A3"/>
    <mergeCell ref="B2:D2"/>
    <mergeCell ref="E2:G2"/>
  </mergeCells>
  <phoneticPr fontId="12" type="noConversion"/>
  <conditionalFormatting sqref="J38:J39">
    <cfRule type="containsText" dxfId="1109" priority="217" operator="containsText" text="허하나로">
      <formula>NOT(ISERROR(SEARCH("허하나로",H1067)))</formula>
    </cfRule>
    <cfRule type="containsText" dxfId="1108" priority="218" operator="containsText" text="한별">
      <formula>NOT(ISERROR(SEARCH("한별",H1067)))</formula>
    </cfRule>
    <cfRule type="containsText" dxfId="1107" priority="219" operator="containsText" text="정홍조">
      <formula>NOT(ISERROR(SEARCH("정홍조",H1067)))</formula>
    </cfRule>
    <cfRule type="containsText" dxfId="1106" priority="220" operator="containsText" text="김지윤">
      <formula>NOT(ISERROR(SEARCH("김지윤",H1067)))</formula>
    </cfRule>
    <cfRule type="containsText" dxfId="1105" priority="221" operator="containsText" text="전준영">
      <formula>NOT(ISERROR(SEARCH("전준영",H1067)))</formula>
    </cfRule>
    <cfRule type="containsText" dxfId="1104" priority="222" operator="containsText" text="차재성">
      <formula>NOT(ISERROR(SEARCH("차재성",H1067)))</formula>
    </cfRule>
  </conditionalFormatting>
  <conditionalFormatting sqref="J2:J3">
    <cfRule type="containsText" dxfId="1103" priority="241" operator="containsText" text="허하나로">
      <formula>NOT(ISERROR(SEARCH("허하나로",H706)))</formula>
    </cfRule>
    <cfRule type="containsText" dxfId="1102" priority="242" operator="containsText" text="한별">
      <formula>NOT(ISERROR(SEARCH("한별",H706)))</formula>
    </cfRule>
    <cfRule type="containsText" dxfId="1101" priority="243" operator="containsText" text="정홍조">
      <formula>NOT(ISERROR(SEARCH("정홍조",H706)))</formula>
    </cfRule>
    <cfRule type="containsText" dxfId="1100" priority="244" operator="containsText" text="김지윤">
      <formula>NOT(ISERROR(SEARCH("김지윤",H706)))</formula>
    </cfRule>
    <cfRule type="containsText" dxfId="1099" priority="245" operator="containsText" text="전준영">
      <formula>NOT(ISERROR(SEARCH("전준영",H706)))</formula>
    </cfRule>
    <cfRule type="containsText" dxfId="1098" priority="246" operator="containsText" text="차재성">
      <formula>NOT(ISERROR(SEARCH("차재성",H706)))</formula>
    </cfRule>
  </conditionalFormatting>
  <conditionalFormatting sqref="J19">
    <cfRule type="containsText" dxfId="1097" priority="229" operator="containsText" text="허하나로">
      <formula>NOT(ISERROR(SEARCH("허하나로",H705)))</formula>
    </cfRule>
    <cfRule type="containsText" dxfId="1096" priority="230" operator="containsText" text="한별">
      <formula>NOT(ISERROR(SEARCH("한별",H705)))</formula>
    </cfRule>
    <cfRule type="containsText" dxfId="1095" priority="231" operator="containsText" text="정홍조">
      <formula>NOT(ISERROR(SEARCH("정홍조",H705)))</formula>
    </cfRule>
    <cfRule type="containsText" dxfId="1094" priority="232" operator="containsText" text="김지윤">
      <formula>NOT(ISERROR(SEARCH("김지윤",H705)))</formula>
    </cfRule>
    <cfRule type="containsText" dxfId="1093" priority="233" operator="containsText" text="전준영">
      <formula>NOT(ISERROR(SEARCH("전준영",H705)))</formula>
    </cfRule>
    <cfRule type="containsText" dxfId="1092" priority="234" operator="containsText" text="차재성">
      <formula>NOT(ISERROR(SEARCH("차재성",H705)))</formula>
    </cfRule>
  </conditionalFormatting>
  <conditionalFormatting sqref="J5">
    <cfRule type="containsText" dxfId="1091" priority="223" operator="containsText" text="허하나로">
      <formula>NOT(ISERROR(SEARCH("허하나로",H703)))</formula>
    </cfRule>
    <cfRule type="containsText" dxfId="1090" priority="224" operator="containsText" text="한별">
      <formula>NOT(ISERROR(SEARCH("한별",H703)))</formula>
    </cfRule>
    <cfRule type="containsText" dxfId="1089" priority="225" operator="containsText" text="정홍조">
      <formula>NOT(ISERROR(SEARCH("정홍조",H703)))</formula>
    </cfRule>
    <cfRule type="containsText" dxfId="1088" priority="226" operator="containsText" text="김지윤">
      <formula>NOT(ISERROR(SEARCH("김지윤",H703)))</formula>
    </cfRule>
    <cfRule type="containsText" dxfId="1087" priority="227" operator="containsText" text="전준영">
      <formula>NOT(ISERROR(SEARCH("전준영",H703)))</formula>
    </cfRule>
    <cfRule type="containsText" dxfId="1086" priority="228" operator="containsText" text="차재성">
      <formula>NOT(ISERROR(SEARCH("차재성",H703)))</formula>
    </cfRule>
  </conditionalFormatting>
  <conditionalFormatting sqref="J25">
    <cfRule type="containsText" dxfId="1085" priority="211" operator="containsText" text="허하나로">
      <formula>NOT(ISERROR(SEARCH("허하나로",H837)))</formula>
    </cfRule>
    <cfRule type="containsText" dxfId="1084" priority="212" operator="containsText" text="한별">
      <formula>NOT(ISERROR(SEARCH("한별",H837)))</formula>
    </cfRule>
    <cfRule type="containsText" dxfId="1083" priority="213" operator="containsText" text="정홍조">
      <formula>NOT(ISERROR(SEARCH("정홍조",H837)))</formula>
    </cfRule>
    <cfRule type="containsText" dxfId="1082" priority="214" operator="containsText" text="김지윤">
      <formula>NOT(ISERROR(SEARCH("김지윤",H837)))</formula>
    </cfRule>
    <cfRule type="containsText" dxfId="1081" priority="215" operator="containsText" text="전준영">
      <formula>NOT(ISERROR(SEARCH("전준영",H837)))</formula>
    </cfRule>
    <cfRule type="containsText" dxfId="1080" priority="216" operator="containsText" text="차재성">
      <formula>NOT(ISERROR(SEARCH("차재성",H837)))</formula>
    </cfRule>
  </conditionalFormatting>
  <conditionalFormatting sqref="J28:J29">
    <cfRule type="containsText" dxfId="1079" priority="205" operator="containsText" text="허하나로">
      <formula>NOT(ISERROR(SEARCH("허하나로",H1045)))</formula>
    </cfRule>
    <cfRule type="containsText" dxfId="1078" priority="206" operator="containsText" text="한별">
      <formula>NOT(ISERROR(SEARCH("한별",H1045)))</formula>
    </cfRule>
    <cfRule type="containsText" dxfId="1077" priority="207" operator="containsText" text="정홍조">
      <formula>NOT(ISERROR(SEARCH("정홍조",H1045)))</formula>
    </cfRule>
    <cfRule type="containsText" dxfId="1076" priority="208" operator="containsText" text="김지윤">
      <formula>NOT(ISERROR(SEARCH("김지윤",H1045)))</formula>
    </cfRule>
    <cfRule type="containsText" dxfId="1075" priority="209" operator="containsText" text="전준영">
      <formula>NOT(ISERROR(SEARCH("전준영",H1045)))</formula>
    </cfRule>
    <cfRule type="containsText" dxfId="1074" priority="210" operator="containsText" text="차재성">
      <formula>NOT(ISERROR(SEARCH("차재성",H1045)))</formula>
    </cfRule>
  </conditionalFormatting>
  <conditionalFormatting sqref="J30">
    <cfRule type="containsText" dxfId="1073" priority="199" operator="containsText" text="허하나로">
      <formula>NOT(ISERROR(SEARCH("허하나로",H1036)))</formula>
    </cfRule>
    <cfRule type="containsText" dxfId="1072" priority="200" operator="containsText" text="한별">
      <formula>NOT(ISERROR(SEARCH("한별",H1036)))</formula>
    </cfRule>
    <cfRule type="containsText" dxfId="1071" priority="201" operator="containsText" text="정홍조">
      <formula>NOT(ISERROR(SEARCH("정홍조",H1036)))</formula>
    </cfRule>
    <cfRule type="containsText" dxfId="1070" priority="202" operator="containsText" text="김지윤">
      <formula>NOT(ISERROR(SEARCH("김지윤",H1036)))</formula>
    </cfRule>
    <cfRule type="containsText" dxfId="1069" priority="203" operator="containsText" text="전준영">
      <formula>NOT(ISERROR(SEARCH("전준영",H1036)))</formula>
    </cfRule>
    <cfRule type="containsText" dxfId="1068" priority="204" operator="containsText" text="차재성">
      <formula>NOT(ISERROR(SEARCH("차재성",H1036)))</formula>
    </cfRule>
  </conditionalFormatting>
  <conditionalFormatting sqref="J27">
    <cfRule type="containsText" dxfId="1067" priority="247" operator="containsText" text="허하나로">
      <formula>NOT(ISERROR(SEARCH("허하나로",H1034)))</formula>
    </cfRule>
    <cfRule type="containsText" dxfId="1066" priority="248" operator="containsText" text="한별">
      <formula>NOT(ISERROR(SEARCH("한별",H1034)))</formula>
    </cfRule>
    <cfRule type="containsText" dxfId="1065" priority="249" operator="containsText" text="정홍조">
      <formula>NOT(ISERROR(SEARCH("정홍조",H1034)))</formula>
    </cfRule>
    <cfRule type="containsText" dxfId="1064" priority="250" operator="containsText" text="김지윤">
      <formula>NOT(ISERROR(SEARCH("김지윤",H1034)))</formula>
    </cfRule>
    <cfRule type="containsText" dxfId="1063" priority="251" operator="containsText" text="전준영">
      <formula>NOT(ISERROR(SEARCH("전준영",H1034)))</formula>
    </cfRule>
    <cfRule type="containsText" dxfId="1062" priority="252" operator="containsText" text="차재성">
      <formula>NOT(ISERROR(SEARCH("차재성",H1034)))</formula>
    </cfRule>
  </conditionalFormatting>
  <conditionalFormatting sqref="J37">
    <cfRule type="containsText" dxfId="1061" priority="193" operator="containsText" text="허하나로">
      <formula>NOT(ISERROR(SEARCH("허하나로",H1051)))</formula>
    </cfRule>
    <cfRule type="containsText" dxfId="1060" priority="194" operator="containsText" text="한별">
      <formula>NOT(ISERROR(SEARCH("한별",H1051)))</formula>
    </cfRule>
    <cfRule type="containsText" dxfId="1059" priority="195" operator="containsText" text="정홍조">
      <formula>NOT(ISERROR(SEARCH("정홍조",H1051)))</formula>
    </cfRule>
    <cfRule type="containsText" dxfId="1058" priority="196" operator="containsText" text="김지윤">
      <formula>NOT(ISERROR(SEARCH("김지윤",H1051)))</formula>
    </cfRule>
    <cfRule type="containsText" dxfId="1057" priority="197" operator="containsText" text="전준영">
      <formula>NOT(ISERROR(SEARCH("전준영",H1051)))</formula>
    </cfRule>
    <cfRule type="containsText" dxfId="1056" priority="198" operator="containsText" text="차재성">
      <formula>NOT(ISERROR(SEARCH("차재성",H1051)))</formula>
    </cfRule>
  </conditionalFormatting>
  <conditionalFormatting sqref="L34">
    <cfRule type="containsText" dxfId="1055" priority="187" operator="containsText" text="허하나로">
      <formula>NOT(ISERROR(SEARCH("허하나로",J1182)))</formula>
    </cfRule>
    <cfRule type="containsText" dxfId="1054" priority="188" operator="containsText" text="한별">
      <formula>NOT(ISERROR(SEARCH("한별",J1182)))</formula>
    </cfRule>
    <cfRule type="containsText" dxfId="1053" priority="189" operator="containsText" text="정홍조">
      <formula>NOT(ISERROR(SEARCH("정홍조",J1182)))</formula>
    </cfRule>
    <cfRule type="containsText" dxfId="1052" priority="190" operator="containsText" text="김지윤">
      <formula>NOT(ISERROR(SEARCH("김지윤",J1182)))</formula>
    </cfRule>
    <cfRule type="containsText" dxfId="1051" priority="191" operator="containsText" text="전준영">
      <formula>NOT(ISERROR(SEARCH("전준영",J1182)))</formula>
    </cfRule>
    <cfRule type="containsText" dxfId="1050" priority="192" operator="containsText" text="차재성">
      <formula>NOT(ISERROR(SEARCH("차재성",J1182)))</formula>
    </cfRule>
  </conditionalFormatting>
  <conditionalFormatting sqref="J20:J24">
    <cfRule type="containsText" dxfId="1049" priority="271" operator="containsText" text="허하나로">
      <formula>NOT(ISERROR(SEARCH("허하나로",H1031)))</formula>
    </cfRule>
    <cfRule type="containsText" dxfId="1048" priority="272" operator="containsText" text="한별">
      <formula>NOT(ISERROR(SEARCH("한별",H1031)))</formula>
    </cfRule>
    <cfRule type="containsText" dxfId="1047" priority="273" operator="containsText" text="정홍조">
      <formula>NOT(ISERROR(SEARCH("정홍조",H1031)))</formula>
    </cfRule>
    <cfRule type="containsText" dxfId="1046" priority="274" operator="containsText" text="김지윤">
      <formula>NOT(ISERROR(SEARCH("김지윤",H1031)))</formula>
    </cfRule>
    <cfRule type="containsText" dxfId="1045" priority="275" operator="containsText" text="전준영">
      <formula>NOT(ISERROR(SEARCH("전준영",H1031)))</formula>
    </cfRule>
    <cfRule type="containsText" dxfId="1044" priority="276" operator="containsText" text="차재성">
      <formula>NOT(ISERROR(SEARCH("차재성",H1031)))</formula>
    </cfRule>
  </conditionalFormatting>
  <conditionalFormatting sqref="J60">
    <cfRule type="containsText" dxfId="1043" priority="85" operator="containsText" text="허하나로">
      <formula>NOT(ISERROR(SEARCH("허하나로",H1113)))</formula>
    </cfRule>
    <cfRule type="containsText" dxfId="1042" priority="86" operator="containsText" text="한별">
      <formula>NOT(ISERROR(SEARCH("한별",H1113)))</formula>
    </cfRule>
    <cfRule type="containsText" dxfId="1041" priority="87" operator="containsText" text="정홍조">
      <formula>NOT(ISERROR(SEARCH("정홍조",H1113)))</formula>
    </cfRule>
    <cfRule type="containsText" dxfId="1040" priority="88" operator="containsText" text="김지윤">
      <formula>NOT(ISERROR(SEARCH("김지윤",H1113)))</formula>
    </cfRule>
    <cfRule type="containsText" dxfId="1039" priority="89" operator="containsText" text="전준영">
      <formula>NOT(ISERROR(SEARCH("전준영",H1113)))</formula>
    </cfRule>
    <cfRule type="containsText" dxfId="1038" priority="90" operator="containsText" text="차재성">
      <formula>NOT(ISERROR(SEARCH("차재성",H1113)))</formula>
    </cfRule>
  </conditionalFormatting>
  <conditionalFormatting sqref="J51">
    <cfRule type="containsText" dxfId="1037" priority="91" operator="containsText" text="허하나로">
      <formula>NOT(ISERROR(SEARCH("허하나로",H1108)))</formula>
    </cfRule>
    <cfRule type="containsText" dxfId="1036" priority="92" operator="containsText" text="한별">
      <formula>NOT(ISERROR(SEARCH("한별",H1108)))</formula>
    </cfRule>
    <cfRule type="containsText" dxfId="1035" priority="93" operator="containsText" text="정홍조">
      <formula>NOT(ISERROR(SEARCH("정홍조",H1108)))</formula>
    </cfRule>
    <cfRule type="containsText" dxfId="1034" priority="94" operator="containsText" text="김지윤">
      <formula>NOT(ISERROR(SEARCH("김지윤",H1108)))</formula>
    </cfRule>
    <cfRule type="containsText" dxfId="1033" priority="95" operator="containsText" text="전준영">
      <formula>NOT(ISERROR(SEARCH("전준영",H1108)))</formula>
    </cfRule>
    <cfRule type="containsText" dxfId="1032" priority="96" operator="containsText" text="차재성">
      <formula>NOT(ISERROR(SEARCH("차재성",H1108)))</formula>
    </cfRule>
  </conditionalFormatting>
  <conditionalFormatting sqref="J52">
    <cfRule type="containsText" dxfId="1031" priority="97" operator="containsText" text="허하나로">
      <formula>NOT(ISERROR(SEARCH("허하나로",H1107)))</formula>
    </cfRule>
    <cfRule type="containsText" dxfId="1030" priority="98" operator="containsText" text="한별">
      <formula>NOT(ISERROR(SEARCH("한별",H1107)))</formula>
    </cfRule>
    <cfRule type="containsText" dxfId="1029" priority="99" operator="containsText" text="정홍조">
      <formula>NOT(ISERROR(SEARCH("정홍조",H1107)))</formula>
    </cfRule>
    <cfRule type="containsText" dxfId="1028" priority="100" operator="containsText" text="김지윤">
      <formula>NOT(ISERROR(SEARCH("김지윤",H1107)))</formula>
    </cfRule>
    <cfRule type="containsText" dxfId="1027" priority="101" operator="containsText" text="전준영">
      <formula>NOT(ISERROR(SEARCH("전준영",H1107)))</formula>
    </cfRule>
    <cfRule type="containsText" dxfId="1026" priority="102" operator="containsText" text="차재성">
      <formula>NOT(ISERROR(SEARCH("차재성",H1107)))</formula>
    </cfRule>
  </conditionalFormatting>
  <conditionalFormatting sqref="J43">
    <cfRule type="containsText" dxfId="1025" priority="73" operator="containsText" text="허하나로">
      <formula>NOT(ISERROR(SEARCH("허하나로",H897)))</formula>
    </cfRule>
    <cfRule type="containsText" dxfId="1024" priority="74" operator="containsText" text="한별">
      <formula>NOT(ISERROR(SEARCH("한별",H897)))</formula>
    </cfRule>
    <cfRule type="containsText" dxfId="1023" priority="75" operator="containsText" text="정홍조">
      <formula>NOT(ISERROR(SEARCH("정홍조",H897)))</formula>
    </cfRule>
    <cfRule type="containsText" dxfId="1022" priority="76" operator="containsText" text="김지윤">
      <formula>NOT(ISERROR(SEARCH("김지윤",H897)))</formula>
    </cfRule>
    <cfRule type="containsText" dxfId="1021" priority="77" operator="containsText" text="전준영">
      <formula>NOT(ISERROR(SEARCH("전준영",H897)))</formula>
    </cfRule>
    <cfRule type="containsText" dxfId="1020" priority="78" operator="containsText" text="차재성">
      <formula>NOT(ISERROR(SEARCH("차재성",H897)))</formula>
    </cfRule>
  </conditionalFormatting>
  <conditionalFormatting sqref="J45">
    <cfRule type="containsText" dxfId="1019" priority="79" operator="containsText" text="허하나로">
      <formula>NOT(ISERROR(SEARCH("허하나로",H1094)))</formula>
    </cfRule>
    <cfRule type="containsText" dxfId="1018" priority="80" operator="containsText" text="한별">
      <formula>NOT(ISERROR(SEARCH("한별",H1094)))</formula>
    </cfRule>
    <cfRule type="containsText" dxfId="1017" priority="81" operator="containsText" text="정홍조">
      <formula>NOT(ISERROR(SEARCH("정홍조",H1094)))</formula>
    </cfRule>
    <cfRule type="containsText" dxfId="1016" priority="82" operator="containsText" text="김지윤">
      <formula>NOT(ISERROR(SEARCH("김지윤",H1094)))</formula>
    </cfRule>
    <cfRule type="containsText" dxfId="1015" priority="83" operator="containsText" text="전준영">
      <formula>NOT(ISERROR(SEARCH("전준영",H1094)))</formula>
    </cfRule>
    <cfRule type="containsText" dxfId="1014" priority="84" operator="containsText" text="차재성">
      <formula>NOT(ISERROR(SEARCH("차재성",H1094)))</formula>
    </cfRule>
  </conditionalFormatting>
  <conditionalFormatting sqref="J57">
    <cfRule type="containsText" dxfId="1013" priority="103" operator="containsText" text="허하나로">
      <formula>NOT(ISERROR(SEARCH("허하나로",H1108)))</formula>
    </cfRule>
    <cfRule type="containsText" dxfId="1012" priority="104" operator="containsText" text="한별">
      <formula>NOT(ISERROR(SEARCH("한별",H1108)))</formula>
    </cfRule>
    <cfRule type="containsText" dxfId="1011" priority="105" operator="containsText" text="정홍조">
      <formula>NOT(ISERROR(SEARCH("정홍조",H1108)))</formula>
    </cfRule>
    <cfRule type="containsText" dxfId="1010" priority="106" operator="containsText" text="김지윤">
      <formula>NOT(ISERROR(SEARCH("김지윤",H1108)))</formula>
    </cfRule>
    <cfRule type="containsText" dxfId="1009" priority="107" operator="containsText" text="전준영">
      <formula>NOT(ISERROR(SEARCH("전준영",H1108)))</formula>
    </cfRule>
    <cfRule type="containsText" dxfId="1008" priority="108" operator="containsText" text="차재성">
      <formula>NOT(ISERROR(SEARCH("차재성",H1108)))</formula>
    </cfRule>
  </conditionalFormatting>
  <conditionalFormatting sqref="J55">
    <cfRule type="containsText" dxfId="1007" priority="109" operator="containsText" text="허하나로">
      <formula>NOT(ISERROR(SEARCH("허하나로",H1108)))</formula>
    </cfRule>
    <cfRule type="containsText" dxfId="1006" priority="110" operator="containsText" text="한별">
      <formula>NOT(ISERROR(SEARCH("한별",H1108)))</formula>
    </cfRule>
    <cfRule type="containsText" dxfId="1005" priority="111" operator="containsText" text="정홍조">
      <formula>NOT(ISERROR(SEARCH("정홍조",H1108)))</formula>
    </cfRule>
    <cfRule type="containsText" dxfId="1004" priority="112" operator="containsText" text="김지윤">
      <formula>NOT(ISERROR(SEARCH("김지윤",H1108)))</formula>
    </cfRule>
    <cfRule type="containsText" dxfId="1003" priority="113" operator="containsText" text="전준영">
      <formula>NOT(ISERROR(SEARCH("전준영",H1108)))</formula>
    </cfRule>
    <cfRule type="containsText" dxfId="1002" priority="114" operator="containsText" text="차재성">
      <formula>NOT(ISERROR(SEARCH("차재성",H1108)))</formula>
    </cfRule>
  </conditionalFormatting>
  <conditionalFormatting sqref="J54">
    <cfRule type="containsText" dxfId="1001" priority="115" operator="containsText" text="허하나로">
      <formula>NOT(ISERROR(SEARCH("허하나로",H1108)))</formula>
    </cfRule>
    <cfRule type="containsText" dxfId="1000" priority="116" operator="containsText" text="한별">
      <formula>NOT(ISERROR(SEARCH("한별",H1108)))</formula>
    </cfRule>
    <cfRule type="containsText" dxfId="999" priority="117" operator="containsText" text="정홍조">
      <formula>NOT(ISERROR(SEARCH("정홍조",H1108)))</formula>
    </cfRule>
    <cfRule type="containsText" dxfId="998" priority="118" operator="containsText" text="김지윤">
      <formula>NOT(ISERROR(SEARCH("김지윤",H1108)))</formula>
    </cfRule>
    <cfRule type="containsText" dxfId="997" priority="119" operator="containsText" text="전준영">
      <formula>NOT(ISERROR(SEARCH("전준영",H1108)))</formula>
    </cfRule>
    <cfRule type="containsText" dxfId="996" priority="120" operator="containsText" text="차재성">
      <formula>NOT(ISERROR(SEARCH("차재성",H1108)))</formula>
    </cfRule>
  </conditionalFormatting>
  <conditionalFormatting sqref="J53">
    <cfRule type="containsText" dxfId="995" priority="67" operator="containsText" text="허하나로">
      <formula>NOT(ISERROR(SEARCH("허하나로",H1110)))</formula>
    </cfRule>
    <cfRule type="containsText" dxfId="994" priority="68" operator="containsText" text="한별">
      <formula>NOT(ISERROR(SEARCH("한별",H1110)))</formula>
    </cfRule>
    <cfRule type="containsText" dxfId="993" priority="69" operator="containsText" text="정홍조">
      <formula>NOT(ISERROR(SEARCH("정홍조",H1110)))</formula>
    </cfRule>
    <cfRule type="containsText" dxfId="992" priority="70" operator="containsText" text="김지윤">
      <formula>NOT(ISERROR(SEARCH("김지윤",H1110)))</formula>
    </cfRule>
    <cfRule type="containsText" dxfId="991" priority="71" operator="containsText" text="전준영">
      <formula>NOT(ISERROR(SEARCH("전준영",H1110)))</formula>
    </cfRule>
    <cfRule type="containsText" dxfId="990" priority="72" operator="containsText" text="차재성">
      <formula>NOT(ISERROR(SEARCH("차재성",H1110)))</formula>
    </cfRule>
  </conditionalFormatting>
  <conditionalFormatting sqref="J59">
    <cfRule type="containsText" dxfId="989" priority="61" operator="containsText" text="허하나로">
      <formula>NOT(ISERROR(SEARCH("허하나로",H1113)))</formula>
    </cfRule>
    <cfRule type="containsText" dxfId="988" priority="62" operator="containsText" text="한별">
      <formula>NOT(ISERROR(SEARCH("한별",H1113)))</formula>
    </cfRule>
    <cfRule type="containsText" dxfId="987" priority="63" operator="containsText" text="정홍조">
      <formula>NOT(ISERROR(SEARCH("정홍조",H1113)))</formula>
    </cfRule>
    <cfRule type="containsText" dxfId="986" priority="64" operator="containsText" text="김지윤">
      <formula>NOT(ISERROR(SEARCH("김지윤",H1113)))</formula>
    </cfRule>
    <cfRule type="containsText" dxfId="985" priority="65" operator="containsText" text="전준영">
      <formula>NOT(ISERROR(SEARCH("전준영",H1113)))</formula>
    </cfRule>
    <cfRule type="containsText" dxfId="984" priority="66" operator="containsText" text="차재성">
      <formula>NOT(ISERROR(SEARCH("차재성",H1113)))</formula>
    </cfRule>
  </conditionalFormatting>
  <conditionalFormatting sqref="J58">
    <cfRule type="containsText" dxfId="983" priority="55" operator="containsText" text="허하나로">
      <formula>NOT(ISERROR(SEARCH("허하나로",H1115)))</formula>
    </cfRule>
    <cfRule type="containsText" dxfId="982" priority="56" operator="containsText" text="한별">
      <formula>NOT(ISERROR(SEARCH("한별",H1115)))</formula>
    </cfRule>
    <cfRule type="containsText" dxfId="981" priority="57" operator="containsText" text="정홍조">
      <formula>NOT(ISERROR(SEARCH("정홍조",H1115)))</formula>
    </cfRule>
    <cfRule type="containsText" dxfId="980" priority="58" operator="containsText" text="김지윤">
      <formula>NOT(ISERROR(SEARCH("김지윤",H1115)))</formula>
    </cfRule>
    <cfRule type="containsText" dxfId="979" priority="59" operator="containsText" text="전준영">
      <formula>NOT(ISERROR(SEARCH("전준영",H1115)))</formula>
    </cfRule>
    <cfRule type="containsText" dxfId="978" priority="60" operator="containsText" text="차재성">
      <formula>NOT(ISERROR(SEARCH("차재성",H1115)))</formula>
    </cfRule>
  </conditionalFormatting>
  <conditionalFormatting sqref="J56">
    <cfRule type="containsText" dxfId="977" priority="121" operator="containsText" text="허하나로">
      <formula>NOT(ISERROR(SEARCH("허하나로",H1108)))</formula>
    </cfRule>
    <cfRule type="containsText" dxfId="976" priority="122" operator="containsText" text="한별">
      <formula>NOT(ISERROR(SEARCH("한별",H1108)))</formula>
    </cfRule>
    <cfRule type="containsText" dxfId="975" priority="123" operator="containsText" text="정홍조">
      <formula>NOT(ISERROR(SEARCH("정홍조",H1108)))</formula>
    </cfRule>
    <cfRule type="containsText" dxfId="974" priority="124" operator="containsText" text="김지윤">
      <formula>NOT(ISERROR(SEARCH("김지윤",H1108)))</formula>
    </cfRule>
    <cfRule type="containsText" dxfId="973" priority="125" operator="containsText" text="전준영">
      <formula>NOT(ISERROR(SEARCH("전준영",H1108)))</formula>
    </cfRule>
    <cfRule type="containsText" dxfId="972" priority="126" operator="containsText" text="차재성">
      <formula>NOT(ISERROR(SEARCH("차재성",H1108)))</formula>
    </cfRule>
  </conditionalFormatting>
  <conditionalFormatting sqref="J46:J49">
    <cfRule type="containsText" dxfId="971" priority="127" operator="containsText" text="허하나로">
      <formula>NOT(ISERROR(SEARCH("허하나로",H1105)))</formula>
    </cfRule>
    <cfRule type="containsText" dxfId="970" priority="128" operator="containsText" text="한별">
      <formula>NOT(ISERROR(SEARCH("한별",H1105)))</formula>
    </cfRule>
    <cfRule type="containsText" dxfId="969" priority="129" operator="containsText" text="정홍조">
      <formula>NOT(ISERROR(SEARCH("정홍조",H1105)))</formula>
    </cfRule>
    <cfRule type="containsText" dxfId="968" priority="130" operator="containsText" text="김지윤">
      <formula>NOT(ISERROR(SEARCH("김지윤",H1105)))</formula>
    </cfRule>
    <cfRule type="containsText" dxfId="967" priority="131" operator="containsText" text="전준영">
      <formula>NOT(ISERROR(SEARCH("전준영",H1105)))</formula>
    </cfRule>
    <cfRule type="containsText" dxfId="966" priority="132" operator="containsText" text="차재성">
      <formula>NOT(ISERROR(SEARCH("차재성",H1105)))</formula>
    </cfRule>
  </conditionalFormatting>
  <conditionalFormatting sqref="J50">
    <cfRule type="containsText" dxfId="965" priority="49" operator="containsText" text="허하나로">
      <formula>NOT(ISERROR(SEARCH("허하나로",H1103)))</formula>
    </cfRule>
    <cfRule type="containsText" dxfId="964" priority="50" operator="containsText" text="한별">
      <formula>NOT(ISERROR(SEARCH("한별",H1103)))</formula>
    </cfRule>
    <cfRule type="containsText" dxfId="963" priority="51" operator="containsText" text="정홍조">
      <formula>NOT(ISERROR(SEARCH("정홍조",H1103)))</formula>
    </cfRule>
    <cfRule type="containsText" dxfId="962" priority="52" operator="containsText" text="김지윤">
      <formula>NOT(ISERROR(SEARCH("김지윤",H1103)))</formula>
    </cfRule>
    <cfRule type="containsText" dxfId="961" priority="53" operator="containsText" text="전준영">
      <formula>NOT(ISERROR(SEARCH("전준영",H1103)))</formula>
    </cfRule>
    <cfRule type="containsText" dxfId="960" priority="54" operator="containsText" text="차재성">
      <formula>NOT(ISERROR(SEARCH("차재성",H1103)))</formula>
    </cfRule>
  </conditionalFormatting>
  <conditionalFormatting sqref="J31">
    <cfRule type="containsText" dxfId="959" priority="31" operator="containsText" text="허하나로">
      <formula>NOT(ISERROR(SEARCH("허하나로",H1048)))</formula>
    </cfRule>
    <cfRule type="containsText" dxfId="958" priority="32" operator="containsText" text="한별">
      <formula>NOT(ISERROR(SEARCH("한별",H1048)))</formula>
    </cfRule>
    <cfRule type="containsText" dxfId="957" priority="33" operator="containsText" text="정홍조">
      <formula>NOT(ISERROR(SEARCH("정홍조",H1048)))</formula>
    </cfRule>
    <cfRule type="containsText" dxfId="956" priority="34" operator="containsText" text="김지윤">
      <formula>NOT(ISERROR(SEARCH("김지윤",H1048)))</formula>
    </cfRule>
    <cfRule type="containsText" dxfId="955" priority="35" operator="containsText" text="전준영">
      <formula>NOT(ISERROR(SEARCH("전준영",H1048)))</formula>
    </cfRule>
    <cfRule type="containsText" dxfId="954" priority="36" operator="containsText" text="차재성">
      <formula>NOT(ISERROR(SEARCH("차재성",H1048)))</formula>
    </cfRule>
  </conditionalFormatting>
  <conditionalFormatting sqref="J32">
    <cfRule type="containsText" dxfId="953" priority="25" operator="containsText" text="허하나로">
      <formula>NOT(ISERROR(SEARCH("허하나로",H1038)))</formula>
    </cfRule>
    <cfRule type="containsText" dxfId="952" priority="26" operator="containsText" text="한별">
      <formula>NOT(ISERROR(SEARCH("한별",H1038)))</formula>
    </cfRule>
    <cfRule type="containsText" dxfId="951" priority="27" operator="containsText" text="정홍조">
      <formula>NOT(ISERROR(SEARCH("정홍조",H1038)))</formula>
    </cfRule>
    <cfRule type="containsText" dxfId="950" priority="28" operator="containsText" text="김지윤">
      <formula>NOT(ISERROR(SEARCH("김지윤",H1038)))</formula>
    </cfRule>
    <cfRule type="containsText" dxfId="949" priority="29" operator="containsText" text="전준영">
      <formula>NOT(ISERROR(SEARCH("전준영",H1038)))</formula>
    </cfRule>
    <cfRule type="containsText" dxfId="948" priority="30" operator="containsText" text="차재성">
      <formula>NOT(ISERROR(SEARCH("차재성",H1038)))</formula>
    </cfRule>
  </conditionalFormatting>
  <conditionalFormatting sqref="J33:J34">
    <cfRule type="containsText" dxfId="947" priority="3463" operator="containsText" text="허하나로">
      <formula>NOT(ISERROR(SEARCH("허하나로",H1047)))</formula>
    </cfRule>
    <cfRule type="containsText" dxfId="946" priority="3464" operator="containsText" text="한별">
      <formula>NOT(ISERROR(SEARCH("한별",H1047)))</formula>
    </cfRule>
    <cfRule type="containsText" dxfId="945" priority="3465" operator="containsText" text="정홍조">
      <formula>NOT(ISERROR(SEARCH("정홍조",H1047)))</formula>
    </cfRule>
    <cfRule type="containsText" dxfId="944" priority="3466" operator="containsText" text="김지윤">
      <formula>NOT(ISERROR(SEARCH("김지윤",H1047)))</formula>
    </cfRule>
    <cfRule type="containsText" dxfId="943" priority="3467" operator="containsText" text="전준영">
      <formula>NOT(ISERROR(SEARCH("전준영",H1047)))</formula>
    </cfRule>
    <cfRule type="containsText" dxfId="942" priority="3468" operator="containsText" text="차재성">
      <formula>NOT(ISERROR(SEARCH("차재성",H1047)))</formula>
    </cfRule>
  </conditionalFormatting>
  <conditionalFormatting sqref="J35">
    <cfRule type="containsText" dxfId="941" priority="19" operator="containsText" text="허하나로">
      <formula>NOT(ISERROR(SEARCH("허하나로",H1047)))</formula>
    </cfRule>
    <cfRule type="containsText" dxfId="940" priority="20" operator="containsText" text="한별">
      <formula>NOT(ISERROR(SEARCH("한별",H1047)))</formula>
    </cfRule>
    <cfRule type="containsText" dxfId="939" priority="21" operator="containsText" text="정홍조">
      <formula>NOT(ISERROR(SEARCH("정홍조",H1047)))</formula>
    </cfRule>
    <cfRule type="containsText" dxfId="938" priority="22" operator="containsText" text="김지윤">
      <formula>NOT(ISERROR(SEARCH("김지윤",H1047)))</formula>
    </cfRule>
    <cfRule type="containsText" dxfId="937" priority="23" operator="containsText" text="전준영">
      <formula>NOT(ISERROR(SEARCH("전준영",H1047)))</formula>
    </cfRule>
    <cfRule type="containsText" dxfId="936" priority="24" operator="containsText" text="차재성">
      <formula>NOT(ISERROR(SEARCH("차재성",H1047)))</formula>
    </cfRule>
  </conditionalFormatting>
  <pageMargins left="0.7" right="0.7" top="0.75" bottom="0.75" header="0.3" footer="0.3"/>
  <pageSetup paperSize="9" scale="65" fitToHeight="0" orientation="landscape" useFirstPageNumber="1" r:id="rId1"/>
  <headerFooter alignWithMargins="0">
    <oddHeader xml:space="preserve">&amp;L&amp;"돋움,굵게"
</oddHeader>
    <oddFooter>&amp;C&amp;P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51" operator="containsText" text="허하나로" id="{24FD43E4-20DE-437E-AD59-68C9BC13BAF7}">
            <xm:f>NOT(ISERROR(SEARCH("허하나로",행정관리부!H760)))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52" operator="containsText" text="한별" id="{60F8BA74-FE42-4F1F-B322-10590855B08A}">
            <xm:f>NOT(ISERROR(SEARCH("한별",행정관리부!H760)))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3" operator="containsText" text="정홍조" id="{C6EEC022-9C16-4D2D-953D-977281EE8274}">
            <xm:f>NOT(ISERROR(SEARCH("정홍조",행정관리부!H760)))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54" operator="containsText" text="김지윤" id="{AB358A13-B26B-4E8E-AF46-CDDEDBE21BB2}">
            <xm:f>NOT(ISERROR(SEARCH("김지윤",행정관리부!H760)))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55" operator="containsText" text="전준영" id="{BC518656-669C-4B9D-BDF8-B8CED81A0E35}">
            <xm:f>NOT(ISERROR(SEARCH("전준영",행정관리부!H760)))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56" operator="containsText" text="차재성" id="{34134193-752B-443B-8DD6-E4B873E2D494}">
            <xm:f>NOT(ISERROR(SEARCH("차재성",행정관리부!H760)))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J6:J7</xm:sqref>
        </x14:conditionalFormatting>
        <x14:conditionalFormatting xmlns:xm="http://schemas.microsoft.com/office/excel/2006/main">
          <x14:cfRule type="containsText" priority="157" operator="containsText" text="허하나로" id="{1EB00C52-6782-449F-B675-F5701B702752}">
            <xm:f>NOT(ISERROR(SEARCH("허하나로",행정관리부!H1087)))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58" operator="containsText" text="한별" id="{CF2A2941-03C0-4637-B6CB-F816BB26EA32}">
            <xm:f>NOT(ISERROR(SEARCH("한별",행정관리부!H1087)))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9" operator="containsText" text="정홍조" id="{1DB369BD-79B5-49B0-95DA-7B2207AC2F37}">
            <xm:f>NOT(ISERROR(SEARCH("정홍조",행정관리부!H1087)))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0" operator="containsText" text="김지윤" id="{C2FE386E-0A07-48A5-85CC-48AD572F6029}">
            <xm:f>NOT(ISERROR(SEARCH("김지윤",행정관리부!H1087)))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61" operator="containsText" text="전준영" id="{36CDD458-810E-4539-B8EE-1637B8378362}">
            <xm:f>NOT(ISERROR(SEARCH("전준영",행정관리부!H1087)))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62" operator="containsText" text="차재성" id="{C5D09E41-1AAB-4D47-9969-73F6179D6D7E}">
            <xm:f>NOT(ISERROR(SEARCH("차재성",행정관리부!H1087)))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J8:J12 J14:J18</xm:sqref>
        </x14:conditionalFormatting>
        <x14:conditionalFormatting xmlns:xm="http://schemas.microsoft.com/office/excel/2006/main">
          <x14:cfRule type="containsText" priority="13" operator="containsText" text="허하나로" id="{C8DFF365-DAED-48F2-89EF-BF9FBA637E0A}">
            <xm:f>NOT(ISERROR(SEARCH("허하나로",행정관리부!H1088)))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77A51C8F-45A6-4C9A-A89A-9F148E12E284}">
            <xm:f>NOT(ISERROR(SEARCH("한별",행정관리부!H1088)))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B3E9070C-92EC-4C38-97B0-A19E56B49D7A}">
            <xm:f>NOT(ISERROR(SEARCH("정홍조",행정관리부!H1088)))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925272BA-11B1-47AB-97CC-EEF990D3811B}">
            <xm:f>NOT(ISERROR(SEARCH("김지윤",행정관리부!H1088)))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672FB15A-F652-47AA-B252-7B9563F34B4B}">
            <xm:f>NOT(ISERROR(SEARCH("전준영",행정관리부!H1088)))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15D30090-086C-41E9-BB68-D54731507161}">
            <xm:f>NOT(ISERROR(SEARCH("차재성",행정관리부!H1088)))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J42</xm:sqref>
        </x14:conditionalFormatting>
        <x14:conditionalFormatting xmlns:xm="http://schemas.microsoft.com/office/excel/2006/main">
          <x14:cfRule type="containsText" priority="7" operator="containsText" text="허하나로" id="{E34DF48F-6D6F-42AC-AC0D-B1642F7FC0DB}">
            <xm:f>NOT(ISERROR(SEARCH("허하나로",행정관리부!H1144)))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60EBE7BB-FB13-4A36-AAF5-259BFE896885}">
            <xm:f>NOT(ISERROR(SEARCH("한별",행정관리부!H1144)))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A45C6314-BBF4-4499-99F0-A2373DB51757}">
            <xm:f>NOT(ISERROR(SEARCH("정홍조",행정관리부!H1144)))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BC33EAB8-E47C-4841-A578-76E995917D97}">
            <xm:f>NOT(ISERROR(SEARCH("김지윤",행정관리부!H1144)))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85215C64-2EB0-452B-B013-1F3C1AF3E18F}">
            <xm:f>NOT(ISERROR(SEARCH("전준영",행정관리부!H1144)))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0ABA230F-C9FA-4850-BEA1-30945FD5DABF}">
            <xm:f>NOT(ISERROR(SEARCH("차재성",행정관리부!H1144)))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J40:J41</xm:sqref>
        </x14:conditionalFormatting>
        <x14:conditionalFormatting xmlns:xm="http://schemas.microsoft.com/office/excel/2006/main">
          <x14:cfRule type="containsText" priority="3901" operator="containsText" text="허하나로" id="{1EB00C52-6782-449F-B675-F5701B702752}">
            <xm:f>NOT(ISERROR(SEARCH("허하나로",행정관리부!H1091)))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902" operator="containsText" text="한별" id="{CF2A2941-03C0-4637-B6CB-F816BB26EA32}">
            <xm:f>NOT(ISERROR(SEARCH("한별",행정관리부!H1091)))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03" operator="containsText" text="정홍조" id="{1DB369BD-79B5-49B0-95DA-7B2207AC2F37}">
            <xm:f>NOT(ISERROR(SEARCH("정홍조",행정관리부!H1091)))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3904" operator="containsText" text="김지윤" id="{C2FE386E-0A07-48A5-85CC-48AD572F6029}">
            <xm:f>NOT(ISERROR(SEARCH("김지윤",행정관리부!H1091)))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905" operator="containsText" text="전준영" id="{36CDD458-810E-4539-B8EE-1637B8378362}">
            <xm:f>NOT(ISERROR(SEARCH("전준영",행정관리부!H1091)))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906" operator="containsText" text="차재성" id="{C5D09E41-1AAB-4D47-9969-73F6179D6D7E}">
            <xm:f>NOT(ISERROR(SEARCH("차재성",행정관리부!H1091)))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AY214"/>
  <sheetViews>
    <sheetView zoomScale="85" zoomScaleNormal="85" workbookViewId="0"/>
  </sheetViews>
  <sheetFormatPr defaultRowHeight="13.5" x14ac:dyDescent="0.3"/>
  <cols>
    <col min="1" max="6" width="3.875" style="24" customWidth="1"/>
    <col min="7" max="7" width="32.625" style="24" customWidth="1"/>
    <col min="8" max="9" width="14.625" style="83" customWidth="1"/>
    <col min="10" max="10" width="14.625" style="26" customWidth="1"/>
    <col min="11" max="11" width="55.875" style="21" customWidth="1"/>
    <col min="12" max="12" width="3.875" style="22" customWidth="1"/>
    <col min="13" max="13" width="14.625" style="25" customWidth="1"/>
    <col min="14" max="14" width="57.125" style="23" hidden="1" customWidth="1"/>
    <col min="15" max="15" width="14" style="34" hidden="1" customWidth="1"/>
    <col min="16" max="16" width="16" style="35" hidden="1" customWidth="1"/>
    <col min="17" max="17" width="10" style="35" hidden="1" customWidth="1"/>
    <col min="18" max="18" width="12.75" style="35" hidden="1" customWidth="1"/>
    <col min="19" max="19" width="12.5" style="35" hidden="1" customWidth="1"/>
    <col min="20" max="20" width="11.75" style="35" hidden="1" customWidth="1"/>
    <col min="21" max="21" width="10" style="35" hidden="1" customWidth="1"/>
    <col min="22" max="24" width="9" style="35" hidden="1" customWidth="1"/>
    <col min="25" max="29" width="9" style="34" hidden="1" customWidth="1"/>
    <col min="30" max="16384" width="9" style="34"/>
  </cols>
  <sheetData>
    <row r="1" spans="1:29" ht="17.25" customHeight="1" thickBot="1" x14ac:dyDescent="0.2">
      <c r="A1" s="94" t="s">
        <v>185</v>
      </c>
      <c r="B1" s="43"/>
      <c r="C1" s="94"/>
      <c r="D1" s="94"/>
      <c r="E1" s="94"/>
      <c r="F1" s="94"/>
      <c r="G1" s="199"/>
      <c r="H1" s="200"/>
      <c r="I1" s="200"/>
      <c r="J1" s="199"/>
      <c r="K1" s="199"/>
      <c r="L1" s="199"/>
      <c r="M1" s="198" t="s">
        <v>38</v>
      </c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</row>
    <row r="2" spans="1:29" s="1" customFormat="1" ht="18" customHeight="1" x14ac:dyDescent="0.3">
      <c r="A2" s="439" t="s">
        <v>27</v>
      </c>
      <c r="B2" s="441" t="s">
        <v>28</v>
      </c>
      <c r="C2" s="442"/>
      <c r="D2" s="443"/>
      <c r="E2" s="441" t="s">
        <v>29</v>
      </c>
      <c r="F2" s="442"/>
      <c r="G2" s="443"/>
      <c r="H2" s="444" t="s">
        <v>1</v>
      </c>
      <c r="I2" s="446" t="s">
        <v>2</v>
      </c>
      <c r="J2" s="448" t="s">
        <v>3</v>
      </c>
      <c r="K2" s="430" t="s">
        <v>4</v>
      </c>
      <c r="L2" s="431"/>
      <c r="M2" s="432"/>
      <c r="N2" s="13"/>
      <c r="O2" s="4"/>
      <c r="P2" s="8"/>
      <c r="Q2" s="4"/>
      <c r="R2" s="4"/>
      <c r="S2" s="4"/>
      <c r="T2" s="5"/>
      <c r="U2" s="3"/>
    </row>
    <row r="3" spans="1:29" s="1" customFormat="1" ht="18" customHeight="1" thickBot="1" x14ac:dyDescent="0.35">
      <c r="A3" s="440"/>
      <c r="B3" s="135" t="s">
        <v>30</v>
      </c>
      <c r="C3" s="135" t="s">
        <v>31</v>
      </c>
      <c r="D3" s="135" t="s">
        <v>32</v>
      </c>
      <c r="E3" s="135" t="s">
        <v>33</v>
      </c>
      <c r="F3" s="135" t="s">
        <v>34</v>
      </c>
      <c r="G3" s="135" t="s">
        <v>35</v>
      </c>
      <c r="H3" s="445"/>
      <c r="I3" s="447"/>
      <c r="J3" s="449"/>
      <c r="K3" s="433"/>
      <c r="L3" s="434"/>
      <c r="M3" s="435"/>
      <c r="N3" s="13"/>
      <c r="O3" s="4"/>
      <c r="P3" s="8"/>
      <c r="Q3" s="4"/>
      <c r="R3" s="4"/>
      <c r="S3" s="4"/>
      <c r="T3" s="5"/>
      <c r="U3" s="3"/>
    </row>
    <row r="4" spans="1:29" s="66" customFormat="1" ht="18" customHeight="1" thickBot="1" x14ac:dyDescent="0.35">
      <c r="A4" s="436" t="s">
        <v>36</v>
      </c>
      <c r="B4" s="437"/>
      <c r="C4" s="437"/>
      <c r="D4" s="437"/>
      <c r="E4" s="437"/>
      <c r="F4" s="437"/>
      <c r="G4" s="438"/>
      <c r="H4" s="201">
        <f>H5</f>
        <v>86166</v>
      </c>
      <c r="I4" s="201">
        <f>I5</f>
        <v>47200</v>
      </c>
      <c r="J4" s="136">
        <f>H4-I4</f>
        <v>38966</v>
      </c>
      <c r="K4" s="95"/>
      <c r="L4" s="96"/>
      <c r="M4" s="137"/>
      <c r="N4" s="71"/>
      <c r="O4" s="17"/>
      <c r="P4" s="18"/>
      <c r="Q4" s="19"/>
      <c r="R4" s="20"/>
      <c r="S4" s="20"/>
      <c r="T4" s="67"/>
      <c r="X4" s="67"/>
      <c r="Y4" s="67"/>
      <c r="Z4" s="67"/>
      <c r="AA4" s="67"/>
      <c r="AB4" s="67"/>
    </row>
    <row r="5" spans="1:29" s="1" customFormat="1" ht="18" customHeight="1" x14ac:dyDescent="0.3">
      <c r="A5" s="223" t="s">
        <v>5</v>
      </c>
      <c r="B5" s="138"/>
      <c r="C5" s="139"/>
      <c r="D5" s="139"/>
      <c r="E5" s="139"/>
      <c r="F5" s="139"/>
      <c r="G5" s="140"/>
      <c r="H5" s="100">
        <f>H6</f>
        <v>86166</v>
      </c>
      <c r="I5" s="100">
        <v>47200</v>
      </c>
      <c r="J5" s="101">
        <f>H5-I5</f>
        <v>38966</v>
      </c>
      <c r="K5" s="84"/>
      <c r="L5" s="85"/>
      <c r="M5" s="86"/>
      <c r="N5" s="141"/>
      <c r="O5" s="2"/>
      <c r="P5" s="11"/>
      <c r="Q5" s="142"/>
      <c r="R5" s="142"/>
      <c r="S5" s="142"/>
      <c r="T5" s="143"/>
      <c r="U5" s="144"/>
    </row>
    <row r="6" spans="1:29" s="1" customFormat="1" ht="18" customHeight="1" x14ac:dyDescent="0.3">
      <c r="A6" s="10"/>
      <c r="B6" s="145" t="s">
        <v>273</v>
      </c>
      <c r="C6" s="145"/>
      <c r="D6" s="146"/>
      <c r="E6" s="146"/>
      <c r="F6" s="146"/>
      <c r="G6" s="147"/>
      <c r="H6" s="100">
        <f>SUM(H7,H34)</f>
        <v>86166</v>
      </c>
      <c r="I6" s="100">
        <v>47200</v>
      </c>
      <c r="J6" s="101">
        <f>H6-I6</f>
        <v>38966</v>
      </c>
      <c r="K6" s="84"/>
      <c r="L6" s="85"/>
      <c r="M6" s="86"/>
      <c r="N6" s="141"/>
      <c r="O6" s="2"/>
      <c r="P6" s="11"/>
      <c r="Q6" s="142"/>
      <c r="R6" s="142"/>
      <c r="S6" s="142"/>
      <c r="T6" s="143"/>
      <c r="U6" s="144"/>
    </row>
    <row r="7" spans="1:29" s="1" customFormat="1" ht="18" customHeight="1" x14ac:dyDescent="0.3">
      <c r="A7" s="10"/>
      <c r="B7" s="6"/>
      <c r="C7" s="145" t="s">
        <v>273</v>
      </c>
      <c r="D7" s="146"/>
      <c r="E7" s="146"/>
      <c r="F7" s="146"/>
      <c r="G7" s="147"/>
      <c r="H7" s="100">
        <f>SUM(H8,H18,H24)</f>
        <v>53850</v>
      </c>
      <c r="I7" s="100">
        <v>0</v>
      </c>
      <c r="J7" s="101">
        <f t="shared" ref="J7:J11" si="0">H7-I7</f>
        <v>53850</v>
      </c>
      <c r="K7" s="84"/>
      <c r="L7" s="85"/>
      <c r="M7" s="86"/>
      <c r="N7" s="452"/>
      <c r="O7" s="453"/>
      <c r="P7" s="453"/>
      <c r="Q7" s="453"/>
      <c r="R7" s="453"/>
      <c r="S7" s="453"/>
      <c r="T7" s="453"/>
      <c r="U7" s="453"/>
    </row>
    <row r="8" spans="1:29" s="1" customFormat="1" ht="18" customHeight="1" x14ac:dyDescent="0.3">
      <c r="A8" s="10"/>
      <c r="B8" s="6"/>
      <c r="C8" s="7"/>
      <c r="D8" s="145" t="s">
        <v>604</v>
      </c>
      <c r="E8" s="146"/>
      <c r="F8" s="146"/>
      <c r="G8" s="147"/>
      <c r="H8" s="148">
        <f>H9</f>
        <v>14450</v>
      </c>
      <c r="I8" s="148">
        <v>0</v>
      </c>
      <c r="J8" s="101">
        <f t="shared" si="0"/>
        <v>14450</v>
      </c>
      <c r="K8" s="87"/>
      <c r="L8" s="149"/>
      <c r="M8" s="86"/>
      <c r="N8" s="141"/>
      <c r="O8" s="2"/>
      <c r="P8" s="11"/>
      <c r="Q8" s="142"/>
      <c r="R8" s="142"/>
      <c r="S8" s="142"/>
      <c r="T8" s="143"/>
      <c r="U8" s="144"/>
    </row>
    <row r="9" spans="1:29" s="1" customFormat="1" ht="18" customHeight="1" x14ac:dyDescent="0.3">
      <c r="A9" s="10"/>
      <c r="B9" s="6"/>
      <c r="C9" s="150"/>
      <c r="D9" s="151"/>
      <c r="E9" s="145" t="s">
        <v>39</v>
      </c>
      <c r="F9" s="146"/>
      <c r="G9" s="147"/>
      <c r="H9" s="97">
        <f>H10</f>
        <v>14450</v>
      </c>
      <c r="I9" s="97">
        <v>0</v>
      </c>
      <c r="J9" s="101">
        <f t="shared" si="0"/>
        <v>14450</v>
      </c>
      <c r="K9" s="90"/>
      <c r="L9" s="99"/>
      <c r="M9" s="88"/>
      <c r="N9" s="141"/>
      <c r="O9" s="2"/>
      <c r="P9" s="11"/>
      <c r="Q9" s="142"/>
      <c r="R9" s="142"/>
      <c r="S9" s="142"/>
      <c r="T9" s="12"/>
      <c r="U9" s="144"/>
    </row>
    <row r="10" spans="1:29" s="66" customFormat="1" ht="18" customHeight="1" x14ac:dyDescent="0.3">
      <c r="A10" s="68"/>
      <c r="B10" s="70"/>
      <c r="C10" s="202"/>
      <c r="D10" s="203"/>
      <c r="E10" s="204"/>
      <c r="F10" s="152" t="s">
        <v>601</v>
      </c>
      <c r="G10" s="205"/>
      <c r="H10" s="77">
        <f>H11+H16</f>
        <v>14450</v>
      </c>
      <c r="I10" s="77">
        <v>0</v>
      </c>
      <c r="J10" s="77">
        <f t="shared" si="0"/>
        <v>14450</v>
      </c>
      <c r="K10" s="53"/>
      <c r="L10" s="54"/>
      <c r="M10" s="40"/>
      <c r="N10" s="108"/>
    </row>
    <row r="11" spans="1:29" s="66" customFormat="1" ht="18" customHeight="1" x14ac:dyDescent="0.3">
      <c r="A11" s="68"/>
      <c r="B11" s="70"/>
      <c r="C11" s="70"/>
      <c r="D11" s="161"/>
      <c r="E11" s="206"/>
      <c r="F11" s="206"/>
      <c r="G11" s="154" t="s">
        <v>605</v>
      </c>
      <c r="H11" s="78">
        <f>M11</f>
        <v>10450</v>
      </c>
      <c r="I11" s="78">
        <v>0</v>
      </c>
      <c r="J11" s="78">
        <f t="shared" si="0"/>
        <v>10450</v>
      </c>
      <c r="K11" s="36" t="s">
        <v>54</v>
      </c>
      <c r="L11" s="44"/>
      <c r="M11" s="242">
        <f>SUM(M12:M15)</f>
        <v>10450</v>
      </c>
      <c r="N11" s="105"/>
      <c r="O11" s="47"/>
    </row>
    <row r="12" spans="1:29" s="66" customFormat="1" ht="18" customHeight="1" x14ac:dyDescent="0.3">
      <c r="A12" s="68"/>
      <c r="B12" s="70"/>
      <c r="C12" s="70"/>
      <c r="D12" s="161"/>
      <c r="E12" s="206"/>
      <c r="F12" s="206"/>
      <c r="G12" s="73"/>
      <c r="H12" s="79"/>
      <c r="I12" s="79"/>
      <c r="J12" s="79"/>
      <c r="K12" s="237" t="s">
        <v>607</v>
      </c>
      <c r="L12" s="45" t="s">
        <v>606</v>
      </c>
      <c r="M12" s="207">
        <v>5000</v>
      </c>
      <c r="N12" s="108"/>
      <c r="O12" s="47"/>
    </row>
    <row r="13" spans="1:29" s="66" customFormat="1" ht="18" customHeight="1" x14ac:dyDescent="0.3">
      <c r="A13" s="68"/>
      <c r="B13" s="70"/>
      <c r="C13" s="70"/>
      <c r="D13" s="161"/>
      <c r="E13" s="206"/>
      <c r="F13" s="206"/>
      <c r="G13" s="73"/>
      <c r="H13" s="79"/>
      <c r="I13" s="79"/>
      <c r="J13" s="79"/>
      <c r="K13" s="237" t="s">
        <v>608</v>
      </c>
      <c r="L13" s="45" t="s">
        <v>606</v>
      </c>
      <c r="M13" s="391">
        <v>1750</v>
      </c>
      <c r="N13" s="108"/>
      <c r="O13" s="47"/>
    </row>
    <row r="14" spans="1:29" s="66" customFormat="1" ht="18" customHeight="1" x14ac:dyDescent="0.3">
      <c r="A14" s="68"/>
      <c r="B14" s="70"/>
      <c r="C14" s="70"/>
      <c r="D14" s="161"/>
      <c r="E14" s="206"/>
      <c r="F14" s="206"/>
      <c r="G14" s="73"/>
      <c r="H14" s="79"/>
      <c r="I14" s="79"/>
      <c r="J14" s="79"/>
      <c r="K14" s="237" t="s">
        <v>632</v>
      </c>
      <c r="L14" s="45" t="s">
        <v>215</v>
      </c>
      <c r="M14" s="391">
        <v>700</v>
      </c>
      <c r="N14" s="108"/>
      <c r="O14" s="47"/>
    </row>
    <row r="15" spans="1:29" s="66" customFormat="1" ht="18" customHeight="1" x14ac:dyDescent="0.3">
      <c r="A15" s="68"/>
      <c r="B15" s="70"/>
      <c r="C15" s="70"/>
      <c r="D15" s="161"/>
      <c r="E15" s="161"/>
      <c r="F15" s="206"/>
      <c r="G15" s="73"/>
      <c r="H15" s="79"/>
      <c r="I15" s="79"/>
      <c r="J15" s="48"/>
      <c r="K15" s="237" t="s">
        <v>609</v>
      </c>
      <c r="L15" s="158" t="s">
        <v>0</v>
      </c>
      <c r="M15" s="259">
        <v>3000</v>
      </c>
      <c r="N15" s="102" t="s">
        <v>22</v>
      </c>
      <c r="O15" s="47"/>
      <c r="P15" s="46"/>
    </row>
    <row r="16" spans="1:29" s="66" customFormat="1" ht="18" customHeight="1" x14ac:dyDescent="0.3">
      <c r="A16" s="68"/>
      <c r="B16" s="70"/>
      <c r="C16" s="70"/>
      <c r="D16" s="161"/>
      <c r="E16" s="206"/>
      <c r="F16" s="206"/>
      <c r="G16" s="154" t="s">
        <v>52</v>
      </c>
      <c r="H16" s="78">
        <f>M16</f>
        <v>4000</v>
      </c>
      <c r="I16" s="78">
        <v>0</v>
      </c>
      <c r="J16" s="78">
        <f t="shared" ref="J16" si="1">H16-I16</f>
        <v>4000</v>
      </c>
      <c r="K16" s="36" t="s">
        <v>610</v>
      </c>
      <c r="L16" s="44"/>
      <c r="M16" s="242">
        <f>SUM(M17:M17)</f>
        <v>4000</v>
      </c>
      <c r="N16" s="105"/>
      <c r="O16" s="47"/>
    </row>
    <row r="17" spans="1:21" s="66" customFormat="1" ht="18" customHeight="1" x14ac:dyDescent="0.3">
      <c r="A17" s="68"/>
      <c r="B17" s="70"/>
      <c r="C17" s="70"/>
      <c r="D17" s="161"/>
      <c r="E17" s="161"/>
      <c r="F17" s="206"/>
      <c r="G17" s="73"/>
      <c r="H17" s="79"/>
      <c r="I17" s="79"/>
      <c r="J17" s="79"/>
      <c r="K17" s="237" t="s">
        <v>620</v>
      </c>
      <c r="L17" s="45" t="s">
        <v>606</v>
      </c>
      <c r="M17" s="207">
        <v>4000</v>
      </c>
      <c r="N17" s="108"/>
      <c r="O17" s="47"/>
    </row>
    <row r="18" spans="1:21" s="1" customFormat="1" ht="18" customHeight="1" x14ac:dyDescent="0.3">
      <c r="A18" s="10"/>
      <c r="B18" s="6"/>
      <c r="C18" s="163"/>
      <c r="D18" s="145" t="s">
        <v>612</v>
      </c>
      <c r="E18" s="146"/>
      <c r="F18" s="146"/>
      <c r="G18" s="147"/>
      <c r="H18" s="148">
        <f>SUM(H19)</f>
        <v>7000</v>
      </c>
      <c r="I18" s="148">
        <v>0</v>
      </c>
      <c r="J18" s="98">
        <f t="shared" ref="J18:J21" si="2">H18-I18</f>
        <v>7000</v>
      </c>
      <c r="K18" s="164"/>
      <c r="L18" s="165"/>
      <c r="M18" s="409"/>
      <c r="N18" s="141"/>
      <c r="O18" s="2"/>
      <c r="P18" s="11"/>
      <c r="Q18" s="142"/>
      <c r="R18" s="142"/>
      <c r="S18" s="142"/>
      <c r="T18" s="143"/>
      <c r="U18" s="144"/>
    </row>
    <row r="19" spans="1:21" s="1" customFormat="1" ht="18" customHeight="1" x14ac:dyDescent="0.3">
      <c r="A19" s="10"/>
      <c r="B19" s="6"/>
      <c r="C19" s="150"/>
      <c r="D19" s="151"/>
      <c r="E19" s="145" t="s">
        <v>37</v>
      </c>
      <c r="F19" s="146"/>
      <c r="G19" s="147"/>
      <c r="H19" s="97">
        <f>H20</f>
        <v>7000</v>
      </c>
      <c r="I19" s="97">
        <v>0</v>
      </c>
      <c r="J19" s="101">
        <f t="shared" si="2"/>
        <v>7000</v>
      </c>
      <c r="K19" s="90"/>
      <c r="L19" s="99"/>
      <c r="M19" s="88"/>
      <c r="N19" s="141"/>
      <c r="O19" s="2"/>
      <c r="P19" s="11"/>
      <c r="Q19" s="142"/>
      <c r="R19" s="142"/>
      <c r="S19" s="142"/>
      <c r="T19" s="12"/>
      <c r="U19" s="144"/>
    </row>
    <row r="20" spans="1:21" s="66" customFormat="1" ht="18" customHeight="1" x14ac:dyDescent="0.3">
      <c r="A20" s="68"/>
      <c r="B20" s="70"/>
      <c r="C20" s="202"/>
      <c r="D20" s="203"/>
      <c r="E20" s="204"/>
      <c r="F20" s="152" t="s">
        <v>601</v>
      </c>
      <c r="G20" s="205"/>
      <c r="H20" s="77">
        <f>H21</f>
        <v>7000</v>
      </c>
      <c r="I20" s="77">
        <v>0</v>
      </c>
      <c r="J20" s="77">
        <f t="shared" si="2"/>
        <v>7000</v>
      </c>
      <c r="K20" s="53"/>
      <c r="L20" s="54"/>
      <c r="M20" s="40"/>
      <c r="N20" s="108"/>
    </row>
    <row r="21" spans="1:21" s="66" customFormat="1" ht="18" customHeight="1" x14ac:dyDescent="0.3">
      <c r="A21" s="68"/>
      <c r="B21" s="70"/>
      <c r="C21" s="70"/>
      <c r="D21" s="161"/>
      <c r="E21" s="206"/>
      <c r="F21" s="206"/>
      <c r="G21" s="154" t="s">
        <v>605</v>
      </c>
      <c r="H21" s="78">
        <f>M21</f>
        <v>7000</v>
      </c>
      <c r="I21" s="78">
        <v>0</v>
      </c>
      <c r="J21" s="78">
        <f t="shared" si="2"/>
        <v>7000</v>
      </c>
      <c r="K21" s="36" t="s">
        <v>54</v>
      </c>
      <c r="L21" s="44"/>
      <c r="M21" s="242">
        <f>SUM(M22:M23)</f>
        <v>7000</v>
      </c>
      <c r="N21" s="105"/>
      <c r="O21" s="47"/>
    </row>
    <row r="22" spans="1:21" s="66" customFormat="1" ht="18" customHeight="1" x14ac:dyDescent="0.3">
      <c r="A22" s="68"/>
      <c r="B22" s="70"/>
      <c r="C22" s="70"/>
      <c r="D22" s="161"/>
      <c r="E22" s="206"/>
      <c r="F22" s="206"/>
      <c r="G22" s="73"/>
      <c r="H22" s="79"/>
      <c r="I22" s="79"/>
      <c r="J22" s="79"/>
      <c r="K22" s="237" t="s">
        <v>621</v>
      </c>
      <c r="L22" s="45" t="s">
        <v>606</v>
      </c>
      <c r="M22" s="207">
        <v>3000</v>
      </c>
      <c r="N22" s="108"/>
      <c r="O22" s="47"/>
    </row>
    <row r="23" spans="1:21" s="66" customFormat="1" ht="18" customHeight="1" x14ac:dyDescent="0.3">
      <c r="A23" s="68"/>
      <c r="B23" s="70"/>
      <c r="C23" s="70"/>
      <c r="D23" s="161"/>
      <c r="E23" s="206"/>
      <c r="F23" s="206"/>
      <c r="G23" s="73"/>
      <c r="H23" s="79"/>
      <c r="I23" s="79"/>
      <c r="J23" s="79"/>
      <c r="K23" s="239" t="s">
        <v>613</v>
      </c>
      <c r="L23" s="158" t="s">
        <v>606</v>
      </c>
      <c r="M23" s="259">
        <v>4000</v>
      </c>
      <c r="N23" s="108"/>
      <c r="O23" s="47"/>
    </row>
    <row r="24" spans="1:21" s="1" customFormat="1" ht="18" customHeight="1" x14ac:dyDescent="0.3">
      <c r="A24" s="10"/>
      <c r="B24" s="6"/>
      <c r="C24" s="163"/>
      <c r="D24" s="145" t="s">
        <v>614</v>
      </c>
      <c r="E24" s="146"/>
      <c r="F24" s="146"/>
      <c r="G24" s="147"/>
      <c r="H24" s="148">
        <f>SUM(H25,H30)</f>
        <v>32400</v>
      </c>
      <c r="I24" s="148">
        <v>0</v>
      </c>
      <c r="J24" s="98">
        <f t="shared" ref="J24:J27" si="3">H24-I24</f>
        <v>32400</v>
      </c>
      <c r="K24" s="87"/>
      <c r="L24" s="149"/>
      <c r="M24" s="86"/>
      <c r="N24" s="141"/>
      <c r="O24" s="2"/>
      <c r="P24" s="11"/>
      <c r="Q24" s="142"/>
      <c r="R24" s="142"/>
      <c r="S24" s="142"/>
      <c r="T24" s="143"/>
      <c r="U24" s="144"/>
    </row>
    <row r="25" spans="1:21" s="1" customFormat="1" ht="18" customHeight="1" x14ac:dyDescent="0.3">
      <c r="A25" s="10"/>
      <c r="B25" s="6"/>
      <c r="C25" s="150"/>
      <c r="D25" s="151"/>
      <c r="E25" s="145" t="s">
        <v>37</v>
      </c>
      <c r="F25" s="146"/>
      <c r="G25" s="147"/>
      <c r="H25" s="97">
        <f>H26</f>
        <v>22400</v>
      </c>
      <c r="I25" s="97">
        <v>0</v>
      </c>
      <c r="J25" s="101">
        <f t="shared" si="3"/>
        <v>22400</v>
      </c>
      <c r="K25" s="90"/>
      <c r="L25" s="99"/>
      <c r="M25" s="88"/>
      <c r="N25" s="141"/>
      <c r="O25" s="2"/>
      <c r="P25" s="11"/>
      <c r="Q25" s="142"/>
      <c r="R25" s="142"/>
      <c r="S25" s="142"/>
      <c r="T25" s="12"/>
      <c r="U25" s="144"/>
    </row>
    <row r="26" spans="1:21" s="66" customFormat="1" ht="18" customHeight="1" x14ac:dyDescent="0.3">
      <c r="A26" s="68"/>
      <c r="B26" s="70"/>
      <c r="C26" s="202"/>
      <c r="D26" s="203"/>
      <c r="E26" s="204"/>
      <c r="F26" s="152" t="s">
        <v>601</v>
      </c>
      <c r="G26" s="205"/>
      <c r="H26" s="77">
        <f>H27</f>
        <v>22400</v>
      </c>
      <c r="I26" s="77">
        <v>0</v>
      </c>
      <c r="J26" s="77">
        <f t="shared" si="3"/>
        <v>22400</v>
      </c>
      <c r="K26" s="53"/>
      <c r="L26" s="54"/>
      <c r="M26" s="40"/>
      <c r="N26" s="108"/>
    </row>
    <row r="27" spans="1:21" s="66" customFormat="1" ht="18" customHeight="1" x14ac:dyDescent="0.3">
      <c r="A27" s="68"/>
      <c r="B27" s="70"/>
      <c r="C27" s="70"/>
      <c r="D27" s="161"/>
      <c r="E27" s="206"/>
      <c r="F27" s="206"/>
      <c r="G27" s="154" t="s">
        <v>605</v>
      </c>
      <c r="H27" s="78">
        <f>M27</f>
        <v>22400</v>
      </c>
      <c r="I27" s="78">
        <v>0</v>
      </c>
      <c r="J27" s="78">
        <f t="shared" si="3"/>
        <v>22400</v>
      </c>
      <c r="K27" s="36" t="s">
        <v>54</v>
      </c>
      <c r="L27" s="44"/>
      <c r="M27" s="242">
        <f>SUM(M28:M29)</f>
        <v>22400</v>
      </c>
      <c r="N27" s="105"/>
      <c r="O27" s="47"/>
    </row>
    <row r="28" spans="1:21" s="66" customFormat="1" ht="18" customHeight="1" x14ac:dyDescent="0.3">
      <c r="A28" s="68"/>
      <c r="B28" s="70"/>
      <c r="C28" s="70"/>
      <c r="D28" s="161"/>
      <c r="E28" s="206"/>
      <c r="F28" s="206"/>
      <c r="G28" s="73"/>
      <c r="H28" s="79"/>
      <c r="I28" s="79"/>
      <c r="J28" s="79"/>
      <c r="K28" s="237" t="s">
        <v>615</v>
      </c>
      <c r="L28" s="45" t="s">
        <v>606</v>
      </c>
      <c r="M28" s="207">
        <v>20000</v>
      </c>
      <c r="N28" s="108"/>
      <c r="O28" s="47"/>
    </row>
    <row r="29" spans="1:21" s="66" customFormat="1" ht="18" customHeight="1" x14ac:dyDescent="0.3">
      <c r="A29" s="68"/>
      <c r="B29" s="70"/>
      <c r="C29" s="70"/>
      <c r="D29" s="161"/>
      <c r="E29" s="206"/>
      <c r="F29" s="206"/>
      <c r="G29" s="73"/>
      <c r="H29" s="79"/>
      <c r="I29" s="79"/>
      <c r="J29" s="79"/>
      <c r="K29" s="237" t="s">
        <v>616</v>
      </c>
      <c r="L29" s="45" t="s">
        <v>606</v>
      </c>
      <c r="M29" s="391">
        <v>2400</v>
      </c>
      <c r="N29" s="108"/>
      <c r="O29" s="47"/>
    </row>
    <row r="30" spans="1:21" s="1" customFormat="1" ht="18" customHeight="1" x14ac:dyDescent="0.3">
      <c r="A30" s="10"/>
      <c r="B30" s="6"/>
      <c r="C30" s="150"/>
      <c r="D30" s="278"/>
      <c r="E30" s="145" t="s">
        <v>66</v>
      </c>
      <c r="F30" s="146"/>
      <c r="G30" s="147"/>
      <c r="H30" s="97">
        <f>H31</f>
        <v>10000</v>
      </c>
      <c r="I30" s="97">
        <v>0</v>
      </c>
      <c r="J30" s="98">
        <f t="shared" ref="J30:J32" si="4">H30-I30</f>
        <v>10000</v>
      </c>
      <c r="K30" s="90"/>
      <c r="L30" s="99"/>
      <c r="M30" s="88"/>
      <c r="N30" s="141"/>
      <c r="O30" s="2"/>
      <c r="P30" s="11"/>
      <c r="Q30" s="142"/>
      <c r="R30" s="142"/>
      <c r="S30" s="142"/>
      <c r="T30" s="12"/>
      <c r="U30" s="144"/>
    </row>
    <row r="31" spans="1:21" s="66" customFormat="1" ht="18" customHeight="1" x14ac:dyDescent="0.3">
      <c r="A31" s="68"/>
      <c r="B31" s="70"/>
      <c r="C31" s="202"/>
      <c r="D31" s="203"/>
      <c r="E31" s="204"/>
      <c r="F31" s="152" t="s">
        <v>67</v>
      </c>
      <c r="G31" s="205"/>
      <c r="H31" s="77">
        <f>H32</f>
        <v>10000</v>
      </c>
      <c r="I31" s="77">
        <v>0</v>
      </c>
      <c r="J31" s="77">
        <f t="shared" si="4"/>
        <v>10000</v>
      </c>
      <c r="K31" s="53"/>
      <c r="L31" s="54"/>
      <c r="M31" s="40"/>
      <c r="N31" s="108"/>
    </row>
    <row r="32" spans="1:21" s="66" customFormat="1" ht="18" customHeight="1" x14ac:dyDescent="0.3">
      <c r="A32" s="68"/>
      <c r="B32" s="70"/>
      <c r="C32" s="70"/>
      <c r="D32" s="161"/>
      <c r="E32" s="206"/>
      <c r="F32" s="206"/>
      <c r="G32" s="154" t="s">
        <v>617</v>
      </c>
      <c r="H32" s="78">
        <f>M32</f>
        <v>10000</v>
      </c>
      <c r="I32" s="78">
        <v>0</v>
      </c>
      <c r="J32" s="78">
        <f t="shared" si="4"/>
        <v>10000</v>
      </c>
      <c r="K32" s="36" t="s">
        <v>618</v>
      </c>
      <c r="L32" s="44"/>
      <c r="M32" s="242">
        <f>M33</f>
        <v>10000</v>
      </c>
      <c r="N32" s="105"/>
      <c r="O32" s="47"/>
    </row>
    <row r="33" spans="1:51" s="66" customFormat="1" ht="18" customHeight="1" x14ac:dyDescent="0.3">
      <c r="A33" s="68"/>
      <c r="B33" s="70"/>
      <c r="C33" s="70"/>
      <c r="D33" s="161"/>
      <c r="E33" s="206"/>
      <c r="F33" s="206"/>
      <c r="G33" s="73"/>
      <c r="H33" s="79"/>
      <c r="I33" s="79"/>
      <c r="J33" s="79"/>
      <c r="K33" s="237" t="s">
        <v>619</v>
      </c>
      <c r="L33" s="45" t="s">
        <v>606</v>
      </c>
      <c r="M33" s="207">
        <v>10000</v>
      </c>
      <c r="N33" s="108"/>
      <c r="O33" s="47"/>
    </row>
    <row r="34" spans="1:51" s="1" customFormat="1" ht="18" customHeight="1" x14ac:dyDescent="0.3">
      <c r="A34" s="10"/>
      <c r="B34" s="6"/>
      <c r="C34" s="195" t="s">
        <v>274</v>
      </c>
      <c r="D34" s="146"/>
      <c r="E34" s="146"/>
      <c r="F34" s="146"/>
      <c r="G34" s="147"/>
      <c r="H34" s="97">
        <f>H35</f>
        <v>32316</v>
      </c>
      <c r="I34" s="97">
        <v>47200</v>
      </c>
      <c r="J34" s="98">
        <f>H34-I34</f>
        <v>-14884</v>
      </c>
      <c r="K34" s="175"/>
      <c r="L34" s="165"/>
      <c r="M34" s="166"/>
      <c r="N34" s="452"/>
      <c r="O34" s="453"/>
      <c r="P34" s="453"/>
      <c r="Q34" s="453"/>
      <c r="R34" s="453"/>
      <c r="S34" s="453"/>
      <c r="T34" s="453"/>
      <c r="U34" s="453"/>
    </row>
    <row r="35" spans="1:51" s="1" customFormat="1" ht="18" customHeight="1" x14ac:dyDescent="0.3">
      <c r="A35" s="10"/>
      <c r="B35" s="6"/>
      <c r="C35" s="163"/>
      <c r="D35" s="145" t="s">
        <v>40</v>
      </c>
      <c r="E35" s="146"/>
      <c r="F35" s="146"/>
      <c r="G35" s="147"/>
      <c r="H35" s="148">
        <f>H36</f>
        <v>32316</v>
      </c>
      <c r="I35" s="148">
        <v>47200</v>
      </c>
      <c r="J35" s="9">
        <f>H35-I35</f>
        <v>-14884</v>
      </c>
      <c r="K35" s="164"/>
      <c r="L35" s="165"/>
      <c r="M35" s="166"/>
      <c r="N35" s="141"/>
      <c r="O35" s="2"/>
      <c r="P35" s="11"/>
      <c r="Q35" s="142"/>
      <c r="R35" s="142"/>
      <c r="S35" s="142"/>
      <c r="T35" s="143"/>
      <c r="U35" s="144"/>
    </row>
    <row r="36" spans="1:51" s="1" customFormat="1" ht="18" customHeight="1" x14ac:dyDescent="0.3">
      <c r="A36" s="10"/>
      <c r="B36" s="6"/>
      <c r="C36" s="150"/>
      <c r="D36" s="151"/>
      <c r="E36" s="145" t="s">
        <v>39</v>
      </c>
      <c r="F36" s="146"/>
      <c r="G36" s="147"/>
      <c r="H36" s="97">
        <f>SUM(H37,H44,H48,H51)</f>
        <v>32316</v>
      </c>
      <c r="I36" s="97">
        <v>47200</v>
      </c>
      <c r="J36" s="98">
        <f>H36-I36</f>
        <v>-14884</v>
      </c>
      <c r="K36" s="90"/>
      <c r="L36" s="99"/>
      <c r="M36" s="88"/>
      <c r="N36" s="141"/>
      <c r="O36" s="2"/>
      <c r="P36" s="11"/>
      <c r="Q36" s="142"/>
      <c r="R36" s="142"/>
      <c r="S36" s="142"/>
      <c r="T36" s="12"/>
      <c r="U36" s="144"/>
    </row>
    <row r="37" spans="1:51" s="157" customFormat="1" ht="18" customHeight="1" x14ac:dyDescent="0.15">
      <c r="A37" s="68"/>
      <c r="B37" s="70"/>
      <c r="C37" s="70"/>
      <c r="D37" s="70"/>
      <c r="E37" s="70"/>
      <c r="F37" s="152" t="s">
        <v>41</v>
      </c>
      <c r="G37" s="156"/>
      <c r="H37" s="77">
        <f>SUM(H38,H40,H42)</f>
        <v>12016</v>
      </c>
      <c r="I37" s="77">
        <v>21100</v>
      </c>
      <c r="J37" s="106">
        <f>H37-I37</f>
        <v>-9084</v>
      </c>
      <c r="K37" s="160"/>
      <c r="L37" s="38"/>
      <c r="M37" s="37"/>
      <c r="N37" s="107"/>
      <c r="O37" s="153"/>
      <c r="P37" s="153"/>
      <c r="Q37" s="153"/>
      <c r="R37" s="153"/>
      <c r="S37" s="153"/>
      <c r="T37" s="153"/>
      <c r="U37" s="153"/>
      <c r="V37" s="153"/>
      <c r="W37" s="153"/>
      <c r="X37" s="153"/>
    </row>
    <row r="38" spans="1:51" s="153" customFormat="1" ht="18" customHeight="1" x14ac:dyDescent="0.15">
      <c r="A38" s="57"/>
      <c r="B38" s="60"/>
      <c r="C38" s="70"/>
      <c r="D38" s="70"/>
      <c r="E38" s="70"/>
      <c r="F38" s="208"/>
      <c r="G38" s="226" t="s">
        <v>42</v>
      </c>
      <c r="H38" s="227">
        <f>M38</f>
        <v>3240</v>
      </c>
      <c r="I38" s="227">
        <v>20350</v>
      </c>
      <c r="J38" s="41">
        <f>H38-I38</f>
        <v>-17110</v>
      </c>
      <c r="K38" s="36" t="s">
        <v>54</v>
      </c>
      <c r="L38" s="229"/>
      <c r="M38" s="242">
        <f>SUM(M39:M39)</f>
        <v>3240</v>
      </c>
      <c r="N38" s="56"/>
      <c r="O38" s="65"/>
      <c r="P38" s="104"/>
      <c r="Q38" s="55"/>
      <c r="R38" s="55"/>
      <c r="S38" s="55"/>
      <c r="T38" s="55"/>
      <c r="U38" s="55"/>
      <c r="V38" s="55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</row>
    <row r="39" spans="1:51" s="64" customFormat="1" ht="18" customHeight="1" x14ac:dyDescent="0.3">
      <c r="A39" s="57"/>
      <c r="B39" s="60"/>
      <c r="C39" s="70"/>
      <c r="D39" s="70"/>
      <c r="E39" s="70"/>
      <c r="F39" s="58"/>
      <c r="G39" s="58"/>
      <c r="H39" s="110"/>
      <c r="I39" s="110"/>
      <c r="J39" s="112"/>
      <c r="K39" s="209" t="s">
        <v>478</v>
      </c>
      <c r="L39" s="220" t="s">
        <v>43</v>
      </c>
      <c r="M39" s="207">
        <v>3240</v>
      </c>
      <c r="N39" s="59" t="s">
        <v>15</v>
      </c>
      <c r="P39" s="109"/>
      <c r="Q39" s="55"/>
      <c r="R39" s="55"/>
      <c r="S39" s="55"/>
      <c r="T39" s="55"/>
      <c r="U39" s="55"/>
      <c r="V39" s="55"/>
    </row>
    <row r="40" spans="1:51" s="153" customFormat="1" ht="18" customHeight="1" x14ac:dyDescent="0.15">
      <c r="A40" s="57"/>
      <c r="B40" s="60"/>
      <c r="C40" s="70"/>
      <c r="D40" s="70"/>
      <c r="E40" s="70"/>
      <c r="F40" s="58"/>
      <c r="G40" s="226" t="s">
        <v>44</v>
      </c>
      <c r="H40" s="227">
        <f>M40</f>
        <v>1000</v>
      </c>
      <c r="I40" s="227">
        <v>750</v>
      </c>
      <c r="J40" s="228">
        <f>H40-I40</f>
        <v>250</v>
      </c>
      <c r="K40" s="36" t="s">
        <v>55</v>
      </c>
      <c r="L40" s="51"/>
      <c r="M40" s="242">
        <f>SUM(M41)</f>
        <v>1000</v>
      </c>
      <c r="N40" s="113" t="s">
        <v>16</v>
      </c>
      <c r="O40" s="167"/>
      <c r="P40" s="155">
        <v>10380</v>
      </c>
      <c r="Q40" s="111">
        <v>0.5</v>
      </c>
      <c r="R40" s="111">
        <v>0.5</v>
      </c>
      <c r="S40" s="111">
        <v>4</v>
      </c>
      <c r="T40" s="111">
        <v>5</v>
      </c>
      <c r="U40" s="111">
        <v>52</v>
      </c>
    </row>
    <row r="41" spans="1:51" s="153" customFormat="1" ht="18" customHeight="1" x14ac:dyDescent="0.15">
      <c r="A41" s="70"/>
      <c r="B41" s="70"/>
      <c r="C41" s="70"/>
      <c r="D41" s="70"/>
      <c r="E41" s="70"/>
      <c r="F41" s="58"/>
      <c r="G41" s="58"/>
      <c r="H41" s="110"/>
      <c r="I41" s="110"/>
      <c r="J41" s="112"/>
      <c r="K41" s="225" t="s">
        <v>611</v>
      </c>
      <c r="L41" s="222" t="s">
        <v>45</v>
      </c>
      <c r="M41" s="207">
        <v>1000</v>
      </c>
      <c r="N41" s="114" t="s">
        <v>7</v>
      </c>
      <c r="O41" s="167"/>
      <c r="P41" s="155">
        <v>10380</v>
      </c>
      <c r="Q41" s="111">
        <v>8</v>
      </c>
      <c r="R41" s="111">
        <v>4</v>
      </c>
      <c r="S41" s="111">
        <v>12</v>
      </c>
      <c r="T41" s="111"/>
      <c r="U41" s="111"/>
    </row>
    <row r="42" spans="1:51" s="153" customFormat="1" ht="18" customHeight="1" x14ac:dyDescent="0.15">
      <c r="A42" s="57"/>
      <c r="B42" s="60"/>
      <c r="C42" s="70"/>
      <c r="D42" s="70"/>
      <c r="E42" s="70"/>
      <c r="F42" s="58"/>
      <c r="G42" s="226" t="s">
        <v>339</v>
      </c>
      <c r="H42" s="227">
        <f>M42</f>
        <v>7776</v>
      </c>
      <c r="I42" s="227">
        <v>750</v>
      </c>
      <c r="J42" s="228">
        <f>H42-I42</f>
        <v>7026</v>
      </c>
      <c r="K42" s="36" t="s">
        <v>340</v>
      </c>
      <c r="L42" s="51"/>
      <c r="M42" s="242">
        <f>SUM(M43)</f>
        <v>7776</v>
      </c>
      <c r="N42" s="113" t="s">
        <v>16</v>
      </c>
      <c r="O42" s="167"/>
      <c r="P42" s="155">
        <v>10380</v>
      </c>
      <c r="Q42" s="111">
        <v>0.5</v>
      </c>
      <c r="R42" s="111">
        <v>0.5</v>
      </c>
      <c r="S42" s="111">
        <v>4</v>
      </c>
      <c r="T42" s="111">
        <v>5</v>
      </c>
      <c r="U42" s="111">
        <v>52</v>
      </c>
    </row>
    <row r="43" spans="1:51" s="153" customFormat="1" ht="18" customHeight="1" x14ac:dyDescent="0.15">
      <c r="A43" s="70"/>
      <c r="B43" s="70"/>
      <c r="C43" s="70"/>
      <c r="D43" s="70"/>
      <c r="E43" s="70"/>
      <c r="F43" s="58"/>
      <c r="G43" s="58"/>
      <c r="H43" s="110"/>
      <c r="I43" s="110"/>
      <c r="J43" s="112"/>
      <c r="K43" s="239" t="s">
        <v>485</v>
      </c>
      <c r="L43" s="222" t="s">
        <v>43</v>
      </c>
      <c r="M43" s="207">
        <v>7776</v>
      </c>
      <c r="N43" s="114" t="s">
        <v>7</v>
      </c>
      <c r="O43" s="167"/>
      <c r="P43" s="155">
        <v>10380</v>
      </c>
      <c r="Q43" s="111">
        <v>8</v>
      </c>
      <c r="R43" s="111">
        <v>4</v>
      </c>
      <c r="S43" s="111">
        <v>12</v>
      </c>
      <c r="T43" s="111"/>
      <c r="U43" s="111"/>
    </row>
    <row r="44" spans="1:51" s="153" customFormat="1" ht="18" customHeight="1" x14ac:dyDescent="0.15">
      <c r="A44" s="70"/>
      <c r="B44" s="70"/>
      <c r="C44" s="70"/>
      <c r="D44" s="70"/>
      <c r="E44" s="70"/>
      <c r="F44" s="450" t="s">
        <v>46</v>
      </c>
      <c r="G44" s="451"/>
      <c r="H44" s="168">
        <f>H45</f>
        <v>16200</v>
      </c>
      <c r="I44" s="168">
        <v>23100</v>
      </c>
      <c r="J44" s="169">
        <f>H44-I44</f>
        <v>-6900</v>
      </c>
      <c r="K44" s="170"/>
      <c r="L44" s="61"/>
      <c r="M44" s="63"/>
      <c r="N44" s="62"/>
      <c r="P44" s="157"/>
      <c r="V44" s="55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</row>
    <row r="45" spans="1:51" s="153" customFormat="1" ht="18" customHeight="1" x14ac:dyDescent="0.15">
      <c r="A45" s="70"/>
      <c r="B45" s="70"/>
      <c r="C45" s="70"/>
      <c r="D45" s="70"/>
      <c r="E45" s="70"/>
      <c r="F45" s="125"/>
      <c r="G45" s="216" t="s">
        <v>47</v>
      </c>
      <c r="H45" s="230">
        <f>M45</f>
        <v>16200</v>
      </c>
      <c r="I45" s="227">
        <v>23100</v>
      </c>
      <c r="J45" s="219">
        <f>H45-I45</f>
        <v>-6900</v>
      </c>
      <c r="K45" s="36" t="s">
        <v>56</v>
      </c>
      <c r="L45" s="232"/>
      <c r="M45" s="242">
        <f>SUM(M46:M47)</f>
        <v>16200</v>
      </c>
      <c r="N45" s="116"/>
      <c r="O45" s="167"/>
      <c r="P45" s="155"/>
      <c r="Q45" s="111"/>
      <c r="R45" s="111"/>
      <c r="S45" s="111"/>
      <c r="V45" s="55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</row>
    <row r="46" spans="1:51" s="153" customFormat="1" ht="18" customHeight="1" x14ac:dyDescent="0.15">
      <c r="A46" s="70"/>
      <c r="B46" s="70"/>
      <c r="C46" s="70"/>
      <c r="D46" s="70"/>
      <c r="E46" s="70"/>
      <c r="F46" s="211"/>
      <c r="G46" s="211"/>
      <c r="H46" s="110"/>
      <c r="I46" s="117"/>
      <c r="J46" s="112"/>
      <c r="K46" s="237" t="s">
        <v>544</v>
      </c>
      <c r="L46" s="103" t="s">
        <v>0</v>
      </c>
      <c r="M46" s="207">
        <v>4320</v>
      </c>
      <c r="N46" s="118" t="s">
        <v>23</v>
      </c>
      <c r="O46" s="167"/>
      <c r="P46" s="155">
        <v>670000</v>
      </c>
      <c r="Q46" s="111">
        <v>1</v>
      </c>
      <c r="R46" s="111">
        <v>1</v>
      </c>
      <c r="S46" s="111"/>
      <c r="V46" s="55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</row>
    <row r="47" spans="1:51" s="153" customFormat="1" ht="18" customHeight="1" x14ac:dyDescent="0.15">
      <c r="A47" s="70"/>
      <c r="B47" s="70"/>
      <c r="C47" s="70"/>
      <c r="D47" s="70"/>
      <c r="E47" s="70"/>
      <c r="F47" s="211"/>
      <c r="G47" s="211"/>
      <c r="H47" s="110"/>
      <c r="I47" s="117"/>
      <c r="J47" s="112"/>
      <c r="K47" s="239" t="s">
        <v>669</v>
      </c>
      <c r="L47" s="231" t="s">
        <v>0</v>
      </c>
      <c r="M47" s="207">
        <v>11880</v>
      </c>
      <c r="N47" s="118" t="s">
        <v>24</v>
      </c>
      <c r="O47" s="167"/>
      <c r="P47" s="155">
        <v>26000</v>
      </c>
      <c r="Q47" s="111">
        <v>16</v>
      </c>
      <c r="R47" s="111"/>
      <c r="S47" s="111"/>
    </row>
    <row r="48" spans="1:51" s="153" customFormat="1" ht="18" customHeight="1" x14ac:dyDescent="0.15">
      <c r="A48" s="70"/>
      <c r="B48" s="70"/>
      <c r="C48" s="70"/>
      <c r="D48" s="70"/>
      <c r="E48" s="70"/>
      <c r="F48" s="450" t="s">
        <v>48</v>
      </c>
      <c r="G48" s="451"/>
      <c r="H48" s="168">
        <f>H49</f>
        <v>2000</v>
      </c>
      <c r="I48" s="168">
        <v>3000</v>
      </c>
      <c r="J48" s="169">
        <f>H48-I48</f>
        <v>-1000</v>
      </c>
      <c r="K48" s="170"/>
      <c r="L48" s="61"/>
      <c r="M48" s="63"/>
      <c r="N48" s="62"/>
      <c r="P48" s="157"/>
      <c r="V48" s="55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</row>
    <row r="49" spans="1:19" s="153" customFormat="1" ht="18" customHeight="1" x14ac:dyDescent="0.15">
      <c r="A49" s="70"/>
      <c r="B49" s="70"/>
      <c r="C49" s="70"/>
      <c r="D49" s="70"/>
      <c r="E49" s="70"/>
      <c r="F49" s="211"/>
      <c r="G49" s="125" t="s">
        <v>49</v>
      </c>
      <c r="H49" s="230">
        <f>M49</f>
        <v>2000</v>
      </c>
      <c r="I49" s="230">
        <v>3000</v>
      </c>
      <c r="J49" s="219">
        <f>H49-I49</f>
        <v>-1000</v>
      </c>
      <c r="K49" s="36" t="s">
        <v>57</v>
      </c>
      <c r="L49" s="229"/>
      <c r="M49" s="242">
        <f>SUM(M50)</f>
        <v>2000</v>
      </c>
      <c r="N49" s="122"/>
      <c r="O49" s="167"/>
      <c r="P49" s="155"/>
      <c r="Q49" s="111"/>
      <c r="R49" s="111"/>
      <c r="S49" s="111"/>
    </row>
    <row r="50" spans="1:19" s="153" customFormat="1" ht="18" customHeight="1" x14ac:dyDescent="0.15">
      <c r="A50" s="365"/>
      <c r="B50" s="366"/>
      <c r="C50" s="366"/>
      <c r="D50" s="366"/>
      <c r="E50" s="366"/>
      <c r="F50" s="212"/>
      <c r="G50" s="212"/>
      <c r="H50" s="115"/>
      <c r="I50" s="171"/>
      <c r="J50" s="171"/>
      <c r="K50" s="215" t="s">
        <v>653</v>
      </c>
      <c r="L50" s="231" t="s">
        <v>0</v>
      </c>
      <c r="M50" s="213">
        <v>2000</v>
      </c>
      <c r="N50" s="123" t="s">
        <v>17</v>
      </c>
      <c r="O50" s="167"/>
      <c r="P50" s="155">
        <v>130000</v>
      </c>
      <c r="Q50" s="111">
        <v>1</v>
      </c>
      <c r="R50" s="111"/>
      <c r="S50" s="111"/>
    </row>
    <row r="51" spans="1:19" customFormat="1" ht="16.5" x14ac:dyDescent="0.3">
      <c r="A51" s="68"/>
      <c r="B51" s="70"/>
      <c r="C51" s="70"/>
      <c r="D51" s="70"/>
      <c r="E51" s="70"/>
      <c r="F51" s="383" t="s">
        <v>99</v>
      </c>
      <c r="G51" s="75"/>
      <c r="H51" s="76">
        <f>H52</f>
        <v>2100</v>
      </c>
      <c r="I51" s="76">
        <v>0</v>
      </c>
      <c r="J51" s="162">
        <f>H51-I51</f>
        <v>2100</v>
      </c>
      <c r="K51" s="315"/>
      <c r="L51" s="316"/>
      <c r="M51" s="384"/>
    </row>
    <row r="52" spans="1:19" customFormat="1" ht="16.5" x14ac:dyDescent="0.3">
      <c r="A52" s="68"/>
      <c r="B52" s="70"/>
      <c r="C52" s="70"/>
      <c r="D52" s="70"/>
      <c r="E52" s="70"/>
      <c r="F52" s="159"/>
      <c r="G52" s="70" t="s">
        <v>103</v>
      </c>
      <c r="H52" s="81">
        <f>M52</f>
        <v>2100</v>
      </c>
      <c r="I52" s="81">
        <v>0</v>
      </c>
      <c r="J52" s="48">
        <f>H52-I52</f>
        <v>2100</v>
      </c>
      <c r="K52" s="36" t="s">
        <v>471</v>
      </c>
      <c r="L52" s="39"/>
      <c r="M52" s="242">
        <f>M53</f>
        <v>2100</v>
      </c>
    </row>
    <row r="53" spans="1:19" customFormat="1" ht="17.25" thickBot="1" x14ac:dyDescent="0.35">
      <c r="A53" s="74"/>
      <c r="B53" s="74"/>
      <c r="C53" s="74"/>
      <c r="D53" s="74"/>
      <c r="E53" s="74"/>
      <c r="F53" s="385"/>
      <c r="G53" s="217"/>
      <c r="H53" s="386"/>
      <c r="I53" s="387"/>
      <c r="J53" s="388"/>
      <c r="K53" s="257" t="s">
        <v>492</v>
      </c>
      <c r="L53" s="258" t="s">
        <v>0</v>
      </c>
      <c r="M53" s="271">
        <v>2100</v>
      </c>
      <c r="N53">
        <v>8</v>
      </c>
    </row>
    <row r="54" spans="1:19" s="153" customFormat="1" ht="18" customHeight="1" x14ac:dyDescent="0.15"/>
    <row r="55" spans="1:19" s="153" customFormat="1" ht="18" customHeight="1" x14ac:dyDescent="0.15"/>
    <row r="56" spans="1:19" s="153" customFormat="1" ht="18" customHeight="1" x14ac:dyDescent="0.15"/>
    <row r="57" spans="1:19" s="153" customFormat="1" ht="18" customHeight="1" x14ac:dyDescent="0.15"/>
    <row r="58" spans="1:19" s="153" customFormat="1" ht="18" customHeight="1" x14ac:dyDescent="0.15"/>
    <row r="59" spans="1:19" s="153" customFormat="1" ht="18" customHeight="1" x14ac:dyDescent="0.15"/>
    <row r="60" spans="1:19" s="153" customFormat="1" ht="18" customHeight="1" x14ac:dyDescent="0.15"/>
    <row r="61" spans="1:19" s="153" customFormat="1" ht="18" customHeight="1" x14ac:dyDescent="0.15"/>
    <row r="62" spans="1:19" s="153" customFormat="1" ht="18" customHeight="1" x14ac:dyDescent="0.15"/>
    <row r="63" spans="1:19" s="153" customFormat="1" ht="18" customHeight="1" x14ac:dyDescent="0.15"/>
    <row r="64" spans="1:19" s="153" customFormat="1" ht="18" customHeight="1" x14ac:dyDescent="0.15"/>
    <row r="65" spans="1:8" s="153" customFormat="1" ht="18" customHeight="1" x14ac:dyDescent="0.15">
      <c r="A65" s="1"/>
    </row>
    <row r="66" spans="1:8" s="153" customFormat="1" ht="18" customHeight="1" x14ac:dyDescent="0.15">
      <c r="A66" s="1"/>
    </row>
    <row r="67" spans="1:8" s="153" customFormat="1" ht="18" customHeight="1" x14ac:dyDescent="0.15">
      <c r="A67" s="1"/>
    </row>
    <row r="68" spans="1:8" s="153" customFormat="1" ht="18" customHeight="1" x14ac:dyDescent="0.15">
      <c r="A68" s="1"/>
    </row>
    <row r="69" spans="1:8" s="153" customFormat="1" ht="18" customHeight="1" x14ac:dyDescent="0.15">
      <c r="A69" s="1"/>
    </row>
    <row r="70" spans="1:8" s="153" customFormat="1" ht="18" customHeight="1" x14ac:dyDescent="0.15">
      <c r="A70" s="174"/>
    </row>
    <row r="71" spans="1:8" s="153" customFormat="1" ht="18" customHeight="1" x14ac:dyDescent="0.15">
      <c r="A71" s="174"/>
    </row>
    <row r="72" spans="1:8" s="153" customFormat="1" ht="18" customHeight="1" x14ac:dyDescent="0.15"/>
    <row r="73" spans="1:8" s="153" customFormat="1" ht="18" customHeight="1" x14ac:dyDescent="0.15"/>
    <row r="74" spans="1:8" s="153" customFormat="1" ht="18" customHeight="1" x14ac:dyDescent="0.15"/>
    <row r="75" spans="1:8" s="153" customFormat="1" ht="18" customHeight="1" x14ac:dyDescent="0.15">
      <c r="A75" s="1"/>
      <c r="B75" s="1"/>
      <c r="C75" s="1"/>
      <c r="D75" s="1"/>
      <c r="E75" s="1"/>
      <c r="F75" s="1"/>
      <c r="G75" s="1"/>
      <c r="H75" s="1"/>
    </row>
    <row r="76" spans="1:8" s="153" customFormat="1" ht="18" customHeight="1" x14ac:dyDescent="0.15">
      <c r="A76" s="1"/>
      <c r="B76" s="1"/>
      <c r="C76" s="1"/>
      <c r="D76" s="1"/>
      <c r="E76" s="1"/>
      <c r="F76" s="1"/>
      <c r="G76" s="1"/>
      <c r="H76" s="1"/>
    </row>
    <row r="77" spans="1:8" s="1" customFormat="1" ht="18" customHeight="1" x14ac:dyDescent="0.3"/>
    <row r="78" spans="1:8" s="1" customFormat="1" ht="18" customHeight="1" x14ac:dyDescent="0.3"/>
    <row r="79" spans="1:8" s="153" customFormat="1" ht="18" customHeight="1" x14ac:dyDescent="0.15">
      <c r="A79" s="1"/>
      <c r="B79" s="1"/>
      <c r="C79" s="1"/>
      <c r="D79" s="1"/>
      <c r="E79" s="1"/>
      <c r="F79" s="1"/>
      <c r="G79" s="1"/>
      <c r="H79" s="1"/>
    </row>
    <row r="80" spans="1:8" s="153" customFormat="1" ht="18" customHeight="1" x14ac:dyDescent="0.15">
      <c r="A80" s="173"/>
      <c r="B80" s="174"/>
      <c r="C80" s="174"/>
      <c r="D80" s="174"/>
      <c r="E80" s="174"/>
      <c r="F80" s="174"/>
      <c r="G80" s="174"/>
      <c r="H80" s="174"/>
    </row>
    <row r="81" spans="1:8" s="153" customFormat="1" ht="18" customHeight="1" x14ac:dyDescent="0.15">
      <c r="A81" s="24"/>
      <c r="B81" s="24"/>
      <c r="C81" s="24"/>
      <c r="D81" s="24"/>
      <c r="E81" s="24"/>
      <c r="F81" s="24"/>
      <c r="G81" s="24"/>
      <c r="H81" s="83"/>
    </row>
    <row r="82" spans="1:8" s="153" customFormat="1" ht="18" customHeight="1" x14ac:dyDescent="0.15">
      <c r="A82" s="24"/>
      <c r="B82" s="24"/>
      <c r="C82" s="24"/>
      <c r="D82" s="24"/>
      <c r="E82" s="24"/>
      <c r="F82" s="24"/>
      <c r="G82" s="24"/>
      <c r="H82" s="83"/>
    </row>
    <row r="83" spans="1:8" s="153" customFormat="1" ht="18" customHeight="1" x14ac:dyDescent="0.15">
      <c r="A83" s="24"/>
      <c r="B83" s="24"/>
      <c r="C83" s="24"/>
      <c r="D83" s="24"/>
      <c r="E83" s="24"/>
      <c r="F83" s="24"/>
      <c r="G83" s="24"/>
      <c r="H83" s="83"/>
    </row>
    <row r="84" spans="1:8" s="153" customFormat="1" ht="18" customHeight="1" x14ac:dyDescent="0.15">
      <c r="A84" s="24"/>
      <c r="B84" s="24"/>
      <c r="C84" s="24"/>
      <c r="D84" s="24"/>
      <c r="E84" s="24"/>
      <c r="F84" s="24"/>
      <c r="G84" s="24"/>
      <c r="H84" s="83"/>
    </row>
    <row r="85" spans="1:8" s="153" customFormat="1" ht="18" customHeight="1" x14ac:dyDescent="0.15">
      <c r="A85" s="24"/>
      <c r="B85" s="24"/>
      <c r="C85" s="24"/>
      <c r="D85" s="24"/>
      <c r="E85" s="24"/>
      <c r="F85" s="24"/>
      <c r="G85" s="24"/>
      <c r="H85" s="83"/>
    </row>
    <row r="86" spans="1:8" s="153" customFormat="1" ht="18" customHeight="1" x14ac:dyDescent="0.15">
      <c r="A86" s="24"/>
      <c r="B86" s="24"/>
      <c r="C86" s="24"/>
      <c r="D86" s="24"/>
      <c r="E86" s="24"/>
      <c r="F86" s="24"/>
      <c r="G86" s="24"/>
      <c r="H86" s="83"/>
    </row>
    <row r="87" spans="1:8" s="153" customFormat="1" ht="18" customHeight="1" x14ac:dyDescent="0.15">
      <c r="A87" s="24"/>
      <c r="B87" s="24"/>
      <c r="C87" s="24"/>
      <c r="D87" s="24"/>
      <c r="E87" s="24"/>
      <c r="F87" s="24"/>
      <c r="G87" s="24"/>
      <c r="H87" s="83"/>
    </row>
    <row r="88" spans="1:8" s="153" customFormat="1" ht="18" customHeight="1" x14ac:dyDescent="0.15">
      <c r="A88" s="24"/>
      <c r="B88" s="24"/>
      <c r="C88" s="24"/>
      <c r="D88" s="24"/>
      <c r="E88" s="24"/>
      <c r="F88" s="24"/>
      <c r="G88" s="24"/>
      <c r="H88" s="83"/>
    </row>
    <row r="89" spans="1:8" s="153" customFormat="1" ht="18" customHeight="1" x14ac:dyDescent="0.15">
      <c r="A89" s="24"/>
      <c r="B89" s="24"/>
      <c r="C89" s="24"/>
      <c r="D89" s="24"/>
      <c r="E89" s="24"/>
      <c r="F89" s="24"/>
      <c r="G89" s="24"/>
      <c r="H89" s="83"/>
    </row>
    <row r="90" spans="1:8" s="153" customFormat="1" ht="18" customHeight="1" x14ac:dyDescent="0.15">
      <c r="A90" s="24"/>
      <c r="B90" s="24"/>
      <c r="C90" s="24"/>
      <c r="D90" s="24"/>
      <c r="E90" s="24"/>
      <c r="F90" s="24"/>
      <c r="G90" s="24"/>
      <c r="H90" s="83"/>
    </row>
    <row r="91" spans="1:8" s="153" customFormat="1" ht="18" customHeight="1" x14ac:dyDescent="0.15">
      <c r="A91" s="24"/>
      <c r="B91" s="24"/>
      <c r="C91" s="24"/>
      <c r="D91" s="24"/>
      <c r="E91" s="24"/>
      <c r="F91" s="24"/>
      <c r="G91" s="24"/>
      <c r="H91" s="83"/>
    </row>
    <row r="92" spans="1:8" s="153" customFormat="1" ht="18" customHeight="1" x14ac:dyDescent="0.15">
      <c r="A92" s="24"/>
      <c r="B92" s="24"/>
      <c r="C92" s="24"/>
      <c r="D92" s="24"/>
      <c r="E92" s="24"/>
      <c r="F92" s="24"/>
      <c r="G92" s="24"/>
      <c r="H92" s="83"/>
    </row>
    <row r="93" spans="1:8" s="153" customFormat="1" ht="18" customHeight="1" x14ac:dyDescent="0.15">
      <c r="A93" s="24"/>
      <c r="B93" s="24"/>
      <c r="C93" s="24"/>
      <c r="D93" s="24"/>
      <c r="E93" s="24"/>
      <c r="F93" s="24"/>
      <c r="G93" s="24"/>
      <c r="H93" s="83"/>
    </row>
    <row r="94" spans="1:8" s="153" customFormat="1" ht="18" customHeight="1" x14ac:dyDescent="0.15">
      <c r="A94" s="24"/>
      <c r="B94" s="24"/>
      <c r="C94" s="24"/>
      <c r="D94" s="24"/>
      <c r="E94" s="24"/>
      <c r="F94" s="24"/>
      <c r="G94" s="24"/>
      <c r="H94" s="83"/>
    </row>
    <row r="95" spans="1:8" s="153" customFormat="1" ht="18" customHeight="1" x14ac:dyDescent="0.15">
      <c r="A95" s="24"/>
      <c r="B95" s="24"/>
      <c r="C95" s="24"/>
      <c r="D95" s="24"/>
      <c r="E95" s="24"/>
      <c r="F95" s="24"/>
      <c r="G95" s="24"/>
      <c r="H95" s="83"/>
    </row>
    <row r="96" spans="1:8" s="153" customFormat="1" ht="18" customHeight="1" x14ac:dyDescent="0.15">
      <c r="A96" s="24"/>
      <c r="B96" s="24"/>
      <c r="C96" s="24"/>
      <c r="D96" s="24"/>
      <c r="E96" s="24"/>
      <c r="F96" s="24"/>
      <c r="G96" s="24"/>
      <c r="H96" s="83"/>
    </row>
    <row r="97" spans="1:38" s="153" customFormat="1" ht="18" customHeight="1" x14ac:dyDescent="0.15">
      <c r="A97" s="24"/>
      <c r="B97" s="24"/>
      <c r="C97" s="24"/>
      <c r="D97" s="24"/>
      <c r="E97" s="24"/>
      <c r="F97" s="24"/>
      <c r="G97" s="24"/>
      <c r="H97" s="83"/>
    </row>
    <row r="98" spans="1:38" s="153" customFormat="1" ht="18" customHeight="1" x14ac:dyDescent="0.15">
      <c r="A98" s="24"/>
      <c r="B98" s="24"/>
      <c r="C98" s="24"/>
      <c r="D98" s="24"/>
      <c r="E98" s="24"/>
      <c r="F98" s="24"/>
      <c r="G98" s="24"/>
      <c r="H98" s="83"/>
    </row>
    <row r="99" spans="1:38" s="153" customFormat="1" ht="18" customHeight="1" x14ac:dyDescent="0.15">
      <c r="A99" s="24"/>
      <c r="B99" s="24"/>
      <c r="C99" s="24"/>
      <c r="D99" s="24"/>
      <c r="E99" s="24"/>
      <c r="F99" s="24"/>
      <c r="G99" s="24"/>
      <c r="H99" s="83"/>
    </row>
    <row r="100" spans="1:38" s="153" customFormat="1" ht="18" customHeight="1" x14ac:dyDescent="0.15">
      <c r="A100" s="24"/>
      <c r="B100" s="24"/>
      <c r="C100" s="24"/>
      <c r="D100" s="24"/>
      <c r="E100" s="24"/>
      <c r="F100" s="24"/>
      <c r="G100" s="24"/>
      <c r="H100" s="83"/>
    </row>
    <row r="101" spans="1:38" s="153" customFormat="1" ht="18" customHeight="1" x14ac:dyDescent="0.15">
      <c r="A101" s="24"/>
      <c r="B101" s="24"/>
      <c r="C101" s="24"/>
      <c r="D101" s="24"/>
      <c r="E101" s="24"/>
      <c r="F101" s="24"/>
      <c r="G101" s="24"/>
      <c r="H101" s="83"/>
    </row>
    <row r="102" spans="1:38" s="153" customFormat="1" ht="18" customHeight="1" x14ac:dyDescent="0.15">
      <c r="A102" s="24"/>
      <c r="B102" s="24"/>
      <c r="C102" s="24"/>
      <c r="D102" s="24"/>
      <c r="E102" s="24"/>
      <c r="F102" s="24"/>
      <c r="G102" s="24"/>
      <c r="H102" s="83"/>
    </row>
    <row r="103" spans="1:38" s="153" customFormat="1" ht="18" customHeight="1" x14ac:dyDescent="0.15">
      <c r="A103" s="24"/>
      <c r="B103" s="24"/>
      <c r="C103" s="24"/>
      <c r="D103" s="24"/>
      <c r="E103" s="24"/>
      <c r="F103" s="24"/>
      <c r="G103" s="24"/>
      <c r="H103" s="83"/>
    </row>
    <row r="104" spans="1:38" s="153" customFormat="1" ht="18" customHeight="1" x14ac:dyDescent="0.15">
      <c r="A104" s="24"/>
      <c r="B104" s="24"/>
      <c r="C104" s="24"/>
      <c r="D104" s="24"/>
      <c r="E104" s="24"/>
      <c r="F104" s="24"/>
      <c r="G104" s="24"/>
      <c r="H104" s="83"/>
    </row>
    <row r="105" spans="1:38" s="153" customFormat="1" ht="18" customHeight="1" x14ac:dyDescent="0.15">
      <c r="A105" s="24"/>
      <c r="B105" s="24"/>
      <c r="C105" s="24"/>
      <c r="D105" s="24"/>
      <c r="E105" s="24"/>
      <c r="F105" s="24"/>
      <c r="G105" s="24"/>
      <c r="H105" s="83"/>
    </row>
    <row r="106" spans="1:38" s="153" customFormat="1" ht="18" customHeight="1" x14ac:dyDescent="0.15">
      <c r="A106" s="24"/>
      <c r="B106" s="24"/>
      <c r="C106" s="24"/>
      <c r="D106" s="24"/>
      <c r="E106" s="24"/>
      <c r="F106" s="24"/>
      <c r="G106" s="24"/>
      <c r="H106" s="83"/>
    </row>
    <row r="107" spans="1:38" s="153" customFormat="1" ht="18" customHeight="1" x14ac:dyDescent="0.15">
      <c r="A107" s="24"/>
      <c r="B107" s="24"/>
      <c r="C107" s="24"/>
      <c r="D107" s="24"/>
      <c r="E107" s="24"/>
      <c r="F107" s="24"/>
      <c r="G107" s="24"/>
      <c r="H107" s="83"/>
    </row>
    <row r="108" spans="1:38" s="153" customFormat="1" ht="18" customHeight="1" x14ac:dyDescent="0.15">
      <c r="A108" s="24"/>
      <c r="B108" s="24"/>
      <c r="C108" s="24"/>
      <c r="D108" s="24"/>
      <c r="E108" s="24"/>
      <c r="F108" s="24"/>
      <c r="G108" s="24"/>
      <c r="H108" s="83"/>
    </row>
    <row r="109" spans="1:38" s="153" customFormat="1" ht="18" customHeight="1" x14ac:dyDescent="0.15">
      <c r="A109" s="24"/>
      <c r="B109" s="24"/>
      <c r="C109" s="24"/>
      <c r="D109" s="24"/>
      <c r="E109" s="24"/>
      <c r="F109" s="24"/>
      <c r="G109" s="24"/>
      <c r="H109" s="83"/>
      <c r="I109" s="55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</row>
    <row r="110" spans="1:38" s="153" customFormat="1" ht="18" customHeight="1" x14ac:dyDescent="0.15">
      <c r="A110" s="24"/>
      <c r="B110" s="24"/>
      <c r="C110" s="24"/>
      <c r="D110" s="24"/>
      <c r="E110" s="24"/>
      <c r="F110" s="24"/>
      <c r="G110" s="24"/>
      <c r="H110" s="83"/>
      <c r="I110" s="55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</row>
    <row r="111" spans="1:38" s="1" customFormat="1" ht="18" customHeight="1" x14ac:dyDescent="0.3">
      <c r="A111" s="24"/>
      <c r="B111" s="24"/>
      <c r="C111" s="24"/>
      <c r="D111" s="24"/>
      <c r="E111" s="24"/>
      <c r="F111" s="24"/>
      <c r="G111" s="24"/>
      <c r="H111" s="83"/>
    </row>
    <row r="112" spans="1:38" s="1" customFormat="1" ht="18" customHeight="1" x14ac:dyDescent="0.3">
      <c r="A112" s="24"/>
      <c r="B112" s="24"/>
      <c r="C112" s="24"/>
      <c r="D112" s="24"/>
      <c r="E112" s="24"/>
      <c r="F112" s="24"/>
      <c r="G112" s="24"/>
      <c r="H112" s="83"/>
    </row>
    <row r="113" spans="1:38" s="1" customFormat="1" ht="18" customHeight="1" x14ac:dyDescent="0.3">
      <c r="A113" s="24"/>
      <c r="B113" s="24"/>
      <c r="C113" s="24"/>
      <c r="D113" s="24"/>
      <c r="E113" s="24"/>
      <c r="F113" s="24"/>
      <c r="G113" s="24"/>
      <c r="H113" s="83"/>
    </row>
    <row r="114" spans="1:38" s="153" customFormat="1" ht="18" customHeight="1" x14ac:dyDescent="0.15">
      <c r="A114" s="24"/>
      <c r="B114" s="24"/>
      <c r="C114" s="24"/>
      <c r="D114" s="24"/>
      <c r="E114" s="24"/>
      <c r="F114" s="24"/>
      <c r="G114" s="24"/>
      <c r="H114" s="83"/>
    </row>
    <row r="115" spans="1:38" s="153" customFormat="1" ht="18" customHeight="1" x14ac:dyDescent="0.15">
      <c r="A115" s="24"/>
      <c r="B115" s="24"/>
      <c r="C115" s="24"/>
      <c r="D115" s="24"/>
      <c r="E115" s="24"/>
      <c r="F115" s="24"/>
      <c r="G115" s="24"/>
      <c r="H115" s="83"/>
      <c r="I115" s="55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</row>
    <row r="116" spans="1:38" s="153" customFormat="1" ht="18" customHeight="1" x14ac:dyDescent="0.15">
      <c r="A116" s="24"/>
      <c r="B116" s="24"/>
      <c r="C116" s="24"/>
      <c r="D116" s="24"/>
      <c r="E116" s="24"/>
      <c r="F116" s="24"/>
      <c r="G116" s="24"/>
      <c r="H116" s="83"/>
      <c r="I116" s="55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</row>
    <row r="117" spans="1:38" s="153" customFormat="1" ht="18" customHeight="1" x14ac:dyDescent="0.15">
      <c r="A117" s="24"/>
      <c r="B117" s="24"/>
      <c r="C117" s="24"/>
      <c r="D117" s="24"/>
      <c r="E117" s="24"/>
      <c r="F117" s="24"/>
      <c r="G117" s="24"/>
      <c r="H117" s="83"/>
      <c r="I117" s="55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</row>
    <row r="118" spans="1:38" s="153" customFormat="1" ht="18" customHeight="1" x14ac:dyDescent="0.15">
      <c r="A118" s="24"/>
      <c r="B118" s="24"/>
      <c r="C118" s="24"/>
      <c r="D118" s="24"/>
      <c r="E118" s="24"/>
      <c r="F118" s="24"/>
      <c r="G118" s="24"/>
      <c r="H118" s="83"/>
      <c r="I118" s="55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</row>
    <row r="119" spans="1:38" s="153" customFormat="1" ht="18" customHeight="1" x14ac:dyDescent="0.15">
      <c r="A119" s="24"/>
      <c r="B119" s="24"/>
      <c r="C119" s="24"/>
      <c r="D119" s="24"/>
      <c r="E119" s="24"/>
      <c r="F119" s="24"/>
      <c r="G119" s="24"/>
      <c r="H119" s="83"/>
      <c r="I119" s="55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</row>
    <row r="120" spans="1:38" s="153" customFormat="1" ht="18" customHeight="1" x14ac:dyDescent="0.15">
      <c r="A120" s="24"/>
      <c r="B120" s="24"/>
      <c r="C120" s="24"/>
      <c r="D120" s="24"/>
      <c r="E120" s="24"/>
      <c r="F120" s="24"/>
      <c r="G120" s="24"/>
      <c r="H120" s="83"/>
      <c r="I120" s="55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</row>
    <row r="121" spans="1:38" s="153" customFormat="1" ht="18" customHeight="1" x14ac:dyDescent="0.15">
      <c r="A121" s="24"/>
      <c r="B121" s="24"/>
      <c r="C121" s="24"/>
      <c r="D121" s="24"/>
      <c r="E121" s="24"/>
      <c r="F121" s="24"/>
      <c r="G121" s="24"/>
      <c r="H121" s="83"/>
      <c r="I121" s="55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</row>
    <row r="122" spans="1:38" s="153" customFormat="1" ht="18" customHeight="1" x14ac:dyDescent="0.15">
      <c r="A122" s="24"/>
      <c r="B122" s="24"/>
      <c r="C122" s="24"/>
      <c r="D122" s="24"/>
      <c r="E122" s="24"/>
      <c r="F122" s="24"/>
      <c r="G122" s="24"/>
      <c r="H122" s="83"/>
      <c r="I122" s="55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</row>
    <row r="123" spans="1:38" s="153" customFormat="1" ht="18" customHeight="1" x14ac:dyDescent="0.15">
      <c r="A123" s="24"/>
      <c r="B123" s="24"/>
      <c r="C123" s="24"/>
      <c r="D123" s="24"/>
      <c r="E123" s="24"/>
      <c r="F123" s="24"/>
      <c r="G123" s="24"/>
      <c r="H123" s="83"/>
      <c r="I123" s="55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</row>
    <row r="124" spans="1:38" s="153" customFormat="1" ht="18" customHeight="1" x14ac:dyDescent="0.15">
      <c r="A124" s="24"/>
      <c r="B124" s="24"/>
      <c r="C124" s="24"/>
      <c r="D124" s="24"/>
      <c r="E124" s="24"/>
      <c r="F124" s="24"/>
      <c r="G124" s="24"/>
      <c r="H124" s="83"/>
      <c r="I124" s="55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</row>
    <row r="125" spans="1:38" s="153" customFormat="1" ht="18" customHeight="1" x14ac:dyDescent="0.15">
      <c r="A125" s="24"/>
      <c r="B125" s="24"/>
      <c r="C125" s="24"/>
      <c r="D125" s="24"/>
      <c r="E125" s="24"/>
      <c r="F125" s="24"/>
      <c r="G125" s="24"/>
      <c r="H125" s="83"/>
      <c r="I125" s="55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</row>
    <row r="126" spans="1:38" s="153" customFormat="1" ht="18" customHeight="1" x14ac:dyDescent="0.15">
      <c r="A126" s="24"/>
      <c r="B126" s="24"/>
      <c r="C126" s="24"/>
      <c r="D126" s="24"/>
      <c r="E126" s="24"/>
      <c r="F126" s="24"/>
      <c r="G126" s="24"/>
      <c r="H126" s="83"/>
      <c r="I126" s="55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</row>
    <row r="127" spans="1:38" s="153" customFormat="1" ht="18" customHeight="1" x14ac:dyDescent="0.15">
      <c r="A127" s="24"/>
      <c r="B127" s="24"/>
      <c r="C127" s="24"/>
      <c r="D127" s="24"/>
      <c r="E127" s="24"/>
      <c r="F127" s="24"/>
      <c r="G127" s="24"/>
      <c r="H127" s="83"/>
      <c r="I127" s="55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</row>
    <row r="128" spans="1:38" s="153" customFormat="1" ht="18" customHeight="1" x14ac:dyDescent="0.15">
      <c r="A128" s="24"/>
      <c r="B128" s="24"/>
      <c r="C128" s="24"/>
      <c r="D128" s="24"/>
      <c r="E128" s="24"/>
      <c r="F128" s="24"/>
      <c r="G128" s="24"/>
      <c r="H128" s="83"/>
      <c r="I128" s="55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</row>
    <row r="129" spans="1:38" s="153" customFormat="1" ht="18" customHeight="1" x14ac:dyDescent="0.15">
      <c r="A129" s="24"/>
      <c r="B129" s="24"/>
      <c r="C129" s="24"/>
      <c r="D129" s="24"/>
      <c r="E129" s="24"/>
      <c r="F129" s="24"/>
      <c r="G129" s="24"/>
      <c r="H129" s="83"/>
      <c r="I129" s="55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</row>
    <row r="130" spans="1:38" s="153" customFormat="1" ht="18" customHeight="1" x14ac:dyDescent="0.15">
      <c r="A130" s="24"/>
      <c r="B130" s="24"/>
      <c r="C130" s="24"/>
      <c r="D130" s="24"/>
      <c r="E130" s="24"/>
      <c r="F130" s="24"/>
      <c r="G130" s="24"/>
      <c r="H130" s="83"/>
      <c r="I130" s="55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</row>
    <row r="131" spans="1:38" s="153" customFormat="1" ht="18" customHeight="1" x14ac:dyDescent="0.15">
      <c r="A131" s="24"/>
      <c r="B131" s="24"/>
      <c r="C131" s="24"/>
      <c r="D131" s="24"/>
      <c r="E131" s="24"/>
      <c r="F131" s="24"/>
      <c r="G131" s="24"/>
      <c r="H131" s="83"/>
      <c r="I131" s="55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</row>
    <row r="132" spans="1:38" s="153" customFormat="1" ht="18" customHeight="1" x14ac:dyDescent="0.15">
      <c r="A132" s="24"/>
      <c r="B132" s="24"/>
      <c r="C132" s="24"/>
      <c r="D132" s="24"/>
      <c r="E132" s="24"/>
      <c r="F132" s="24"/>
      <c r="G132" s="24"/>
      <c r="H132" s="83"/>
      <c r="I132" s="55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</row>
    <row r="133" spans="1:38" s="153" customFormat="1" ht="18" customHeight="1" x14ac:dyDescent="0.15">
      <c r="A133" s="24"/>
      <c r="B133" s="24"/>
      <c r="C133" s="24"/>
      <c r="D133" s="24"/>
      <c r="E133" s="24"/>
      <c r="F133" s="24"/>
      <c r="G133" s="24"/>
      <c r="H133" s="83"/>
      <c r="I133" s="55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</row>
    <row r="134" spans="1:38" s="153" customFormat="1" ht="18" customHeight="1" x14ac:dyDescent="0.15">
      <c r="A134" s="24"/>
      <c r="B134" s="24"/>
      <c r="C134" s="24"/>
      <c r="D134" s="24"/>
      <c r="E134" s="24"/>
      <c r="F134" s="24"/>
      <c r="G134" s="24"/>
      <c r="H134" s="83"/>
      <c r="I134" s="55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</row>
    <row r="135" spans="1:38" s="153" customFormat="1" ht="18" customHeight="1" x14ac:dyDescent="0.15">
      <c r="A135" s="24"/>
      <c r="B135" s="24"/>
      <c r="C135" s="24"/>
      <c r="D135" s="24"/>
      <c r="E135" s="24"/>
      <c r="F135" s="24"/>
      <c r="G135" s="24"/>
      <c r="H135" s="83"/>
      <c r="I135" s="55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</row>
    <row r="136" spans="1:38" s="153" customFormat="1" ht="18" customHeight="1" x14ac:dyDescent="0.15">
      <c r="A136" s="24"/>
      <c r="B136" s="24"/>
      <c r="C136" s="24"/>
      <c r="D136" s="24"/>
      <c r="E136" s="24"/>
      <c r="F136" s="24"/>
      <c r="G136" s="24"/>
      <c r="H136" s="83"/>
      <c r="I136" s="55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</row>
    <row r="137" spans="1:38" s="153" customFormat="1" ht="18" customHeight="1" x14ac:dyDescent="0.15">
      <c r="A137" s="24"/>
      <c r="B137" s="24"/>
      <c r="C137" s="24"/>
      <c r="D137" s="24"/>
      <c r="E137" s="24"/>
      <c r="F137" s="24"/>
      <c r="G137" s="24"/>
      <c r="H137" s="83"/>
      <c r="I137" s="55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</row>
    <row r="138" spans="1:38" s="153" customFormat="1" ht="18" customHeight="1" x14ac:dyDescent="0.15">
      <c r="A138" s="24"/>
      <c r="B138" s="24"/>
      <c r="C138" s="24"/>
      <c r="D138" s="24"/>
      <c r="E138" s="24"/>
      <c r="F138" s="24"/>
      <c r="G138" s="24"/>
      <c r="H138" s="83"/>
      <c r="I138" s="55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</row>
    <row r="139" spans="1:38" s="153" customFormat="1" ht="18" customHeight="1" x14ac:dyDescent="0.15">
      <c r="A139" s="24"/>
      <c r="B139" s="24"/>
      <c r="C139" s="24"/>
      <c r="D139" s="24"/>
      <c r="E139" s="24"/>
      <c r="F139" s="24"/>
      <c r="G139" s="24"/>
      <c r="H139" s="83"/>
      <c r="I139" s="55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</row>
    <row r="140" spans="1:38" s="153" customFormat="1" ht="18" customHeight="1" x14ac:dyDescent="0.15">
      <c r="A140" s="24"/>
      <c r="B140" s="24"/>
      <c r="C140" s="24"/>
      <c r="D140" s="24"/>
      <c r="E140" s="24"/>
      <c r="F140" s="24"/>
      <c r="G140" s="24"/>
      <c r="H140" s="83"/>
      <c r="I140" s="55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</row>
    <row r="141" spans="1:38" s="153" customFormat="1" ht="18" customHeight="1" x14ac:dyDescent="0.15">
      <c r="A141" s="24"/>
      <c r="B141" s="24"/>
      <c r="C141" s="24"/>
      <c r="D141" s="24"/>
      <c r="E141" s="24"/>
      <c r="F141" s="24"/>
      <c r="G141" s="24"/>
      <c r="H141" s="83"/>
      <c r="I141" s="55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</row>
    <row r="142" spans="1:38" s="153" customFormat="1" ht="18" customHeight="1" x14ac:dyDescent="0.15">
      <c r="A142" s="24"/>
      <c r="B142" s="24"/>
      <c r="C142" s="24"/>
      <c r="D142" s="24"/>
      <c r="E142" s="24"/>
      <c r="F142" s="24"/>
      <c r="G142" s="24"/>
      <c r="H142" s="83"/>
      <c r="I142" s="55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</row>
    <row r="143" spans="1:38" s="153" customFormat="1" ht="18" customHeight="1" x14ac:dyDescent="0.15">
      <c r="A143" s="24"/>
      <c r="B143" s="24"/>
      <c r="C143" s="24"/>
      <c r="D143" s="24"/>
      <c r="E143" s="24"/>
      <c r="F143" s="24"/>
      <c r="G143" s="24"/>
      <c r="H143" s="83"/>
      <c r="I143" s="55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</row>
    <row r="144" spans="1:38" s="153" customFormat="1" ht="18" customHeight="1" x14ac:dyDescent="0.15">
      <c r="A144" s="24"/>
      <c r="B144" s="24"/>
      <c r="C144" s="24"/>
      <c r="D144" s="24"/>
      <c r="E144" s="24"/>
      <c r="F144" s="24"/>
      <c r="G144" s="24"/>
      <c r="H144" s="83"/>
      <c r="I144" s="55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</row>
    <row r="145" spans="1:38" s="153" customFormat="1" ht="18" customHeight="1" x14ac:dyDescent="0.15">
      <c r="A145" s="24"/>
      <c r="B145" s="24"/>
      <c r="C145" s="24"/>
      <c r="D145" s="24"/>
      <c r="E145" s="24"/>
      <c r="F145" s="24"/>
      <c r="G145" s="24"/>
      <c r="H145" s="83"/>
      <c r="I145" s="55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</row>
    <row r="146" spans="1:38" s="153" customFormat="1" ht="18" customHeight="1" x14ac:dyDescent="0.15">
      <c r="A146" s="24"/>
      <c r="B146" s="24"/>
      <c r="C146" s="24"/>
      <c r="D146" s="24"/>
      <c r="E146" s="24"/>
      <c r="F146" s="24"/>
      <c r="G146" s="24"/>
      <c r="H146" s="83"/>
      <c r="I146" s="55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</row>
    <row r="147" spans="1:38" s="153" customFormat="1" ht="18" customHeight="1" x14ac:dyDescent="0.15">
      <c r="A147" s="24"/>
      <c r="B147" s="24"/>
      <c r="C147" s="24"/>
      <c r="D147" s="24"/>
      <c r="E147" s="24"/>
      <c r="F147" s="24"/>
      <c r="G147" s="24"/>
      <c r="H147" s="83"/>
      <c r="I147" s="55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</row>
    <row r="148" spans="1:38" s="153" customFormat="1" ht="18" customHeight="1" x14ac:dyDescent="0.15">
      <c r="A148" s="24"/>
      <c r="B148" s="24"/>
      <c r="C148" s="24"/>
      <c r="D148" s="24"/>
      <c r="E148" s="24"/>
      <c r="F148" s="24"/>
      <c r="G148" s="24"/>
      <c r="H148" s="83"/>
      <c r="I148" s="55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</row>
    <row r="149" spans="1:38" s="153" customFormat="1" ht="18" customHeight="1" x14ac:dyDescent="0.15">
      <c r="A149" s="24"/>
      <c r="B149" s="24"/>
      <c r="C149" s="24"/>
      <c r="D149" s="24"/>
      <c r="E149" s="24"/>
      <c r="F149" s="24"/>
      <c r="G149" s="24"/>
      <c r="H149" s="83"/>
      <c r="I149" s="55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</row>
    <row r="150" spans="1:38" s="153" customFormat="1" ht="18" customHeight="1" x14ac:dyDescent="0.15">
      <c r="A150" s="24"/>
      <c r="B150" s="24"/>
      <c r="C150" s="24"/>
      <c r="D150" s="24"/>
      <c r="E150" s="24"/>
      <c r="F150" s="24"/>
      <c r="G150" s="24"/>
      <c r="H150" s="83"/>
      <c r="I150" s="55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</row>
    <row r="151" spans="1:38" s="153" customFormat="1" ht="18" customHeight="1" x14ac:dyDescent="0.15">
      <c r="A151" s="24"/>
      <c r="B151" s="24"/>
      <c r="C151" s="24"/>
      <c r="D151" s="24"/>
      <c r="E151" s="24"/>
      <c r="F151" s="24"/>
      <c r="G151" s="24"/>
      <c r="H151" s="83"/>
      <c r="I151" s="55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</row>
    <row r="152" spans="1:38" s="153" customFormat="1" ht="18" customHeight="1" x14ac:dyDescent="0.15">
      <c r="A152" s="24"/>
      <c r="B152" s="24"/>
      <c r="C152" s="24"/>
      <c r="D152" s="24"/>
      <c r="E152" s="24"/>
      <c r="F152" s="24"/>
      <c r="G152" s="24"/>
      <c r="H152" s="83"/>
      <c r="I152" s="55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</row>
    <row r="153" spans="1:38" s="153" customFormat="1" ht="18" customHeight="1" x14ac:dyDescent="0.15">
      <c r="A153" s="24"/>
      <c r="B153" s="24"/>
      <c r="C153" s="24"/>
      <c r="D153" s="24"/>
      <c r="E153" s="24"/>
      <c r="F153" s="24"/>
      <c r="G153" s="24"/>
      <c r="H153" s="83"/>
      <c r="I153" s="55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</row>
    <row r="154" spans="1:38" s="153" customFormat="1" ht="18" customHeight="1" x14ac:dyDescent="0.15">
      <c r="A154" s="24"/>
      <c r="B154" s="24"/>
      <c r="C154" s="24"/>
      <c r="D154" s="24"/>
      <c r="E154" s="24"/>
      <c r="F154" s="24"/>
      <c r="G154" s="24"/>
      <c r="H154" s="83"/>
      <c r="I154" s="55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</row>
    <row r="155" spans="1:38" s="153" customFormat="1" ht="18" customHeight="1" x14ac:dyDescent="0.15">
      <c r="A155" s="24"/>
      <c r="B155" s="24"/>
      <c r="C155" s="24"/>
      <c r="D155" s="24"/>
      <c r="E155" s="24"/>
      <c r="F155" s="24"/>
      <c r="G155" s="24"/>
      <c r="H155" s="83"/>
      <c r="I155" s="55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</row>
    <row r="156" spans="1:38" s="153" customFormat="1" ht="18" customHeight="1" x14ac:dyDescent="0.15">
      <c r="A156" s="24"/>
      <c r="B156" s="24"/>
      <c r="C156" s="24"/>
      <c r="D156" s="24"/>
      <c r="E156" s="24"/>
      <c r="F156" s="24"/>
      <c r="G156" s="24"/>
      <c r="H156" s="83"/>
      <c r="I156" s="55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</row>
    <row r="157" spans="1:38" s="153" customFormat="1" ht="18" customHeight="1" x14ac:dyDescent="0.15">
      <c r="A157" s="24"/>
      <c r="B157" s="24"/>
      <c r="C157" s="24"/>
      <c r="D157" s="24"/>
      <c r="E157" s="24"/>
      <c r="F157" s="24"/>
      <c r="G157" s="24"/>
      <c r="H157" s="83"/>
      <c r="I157" s="55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</row>
    <row r="158" spans="1:38" s="153" customFormat="1" ht="18" customHeight="1" x14ac:dyDescent="0.15">
      <c r="A158" s="24"/>
      <c r="B158" s="24"/>
      <c r="C158" s="24"/>
      <c r="D158" s="24"/>
      <c r="E158" s="24"/>
      <c r="F158" s="24"/>
      <c r="G158" s="24"/>
      <c r="H158" s="83"/>
      <c r="I158" s="55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</row>
    <row r="159" spans="1:38" s="153" customFormat="1" ht="18" customHeight="1" x14ac:dyDescent="0.15">
      <c r="A159" s="24"/>
      <c r="B159" s="24"/>
      <c r="C159" s="24"/>
      <c r="D159" s="24"/>
      <c r="E159" s="24"/>
      <c r="F159" s="24"/>
      <c r="G159" s="24"/>
      <c r="H159" s="83"/>
      <c r="I159" s="55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</row>
    <row r="160" spans="1:38" s="153" customFormat="1" ht="18" customHeight="1" x14ac:dyDescent="0.15">
      <c r="A160" s="24"/>
      <c r="B160" s="24"/>
      <c r="C160" s="24"/>
      <c r="D160" s="24"/>
      <c r="E160" s="24"/>
      <c r="F160" s="24"/>
      <c r="G160" s="24"/>
      <c r="H160" s="83"/>
      <c r="I160" s="55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</row>
    <row r="161" spans="1:38" s="153" customFormat="1" ht="18" customHeight="1" x14ac:dyDescent="0.15">
      <c r="A161" s="24"/>
      <c r="B161" s="24"/>
      <c r="C161" s="24"/>
      <c r="D161" s="24"/>
      <c r="E161" s="24"/>
      <c r="F161" s="24"/>
      <c r="G161" s="24"/>
      <c r="H161" s="83"/>
      <c r="I161" s="55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</row>
    <row r="162" spans="1:38" s="153" customFormat="1" ht="18" customHeight="1" x14ac:dyDescent="0.15">
      <c r="A162" s="24"/>
      <c r="B162" s="24"/>
      <c r="C162" s="24"/>
      <c r="D162" s="24"/>
      <c r="E162" s="24"/>
      <c r="F162" s="24"/>
      <c r="G162" s="24"/>
      <c r="H162" s="83"/>
      <c r="I162" s="55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</row>
    <row r="163" spans="1:38" s="153" customFormat="1" ht="18" customHeight="1" x14ac:dyDescent="0.15">
      <c r="A163" s="24"/>
      <c r="B163" s="24"/>
      <c r="C163" s="24"/>
      <c r="D163" s="24"/>
      <c r="E163" s="24"/>
      <c r="F163" s="24"/>
      <c r="G163" s="24"/>
      <c r="H163" s="83"/>
      <c r="I163" s="55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</row>
    <row r="164" spans="1:38" s="153" customFormat="1" ht="18" customHeight="1" x14ac:dyDescent="0.15">
      <c r="A164" s="24"/>
      <c r="B164" s="24"/>
      <c r="C164" s="24"/>
      <c r="D164" s="24"/>
      <c r="E164" s="24"/>
      <c r="F164" s="24"/>
      <c r="G164" s="24"/>
      <c r="H164" s="83"/>
      <c r="I164" s="55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</row>
    <row r="165" spans="1:38" s="1" customFormat="1" ht="18" customHeight="1" x14ac:dyDescent="0.3">
      <c r="A165" s="24"/>
      <c r="B165" s="24"/>
      <c r="C165" s="24"/>
      <c r="D165" s="24"/>
      <c r="E165" s="24"/>
      <c r="F165" s="24"/>
      <c r="G165" s="24"/>
      <c r="H165" s="83"/>
    </row>
    <row r="166" spans="1:38" s="1" customFormat="1" ht="18" customHeight="1" x14ac:dyDescent="0.3">
      <c r="A166" s="24"/>
      <c r="B166" s="24"/>
      <c r="C166" s="24"/>
      <c r="D166" s="24"/>
      <c r="E166" s="24"/>
      <c r="F166" s="24"/>
      <c r="G166" s="24"/>
      <c r="H166" s="83"/>
    </row>
    <row r="167" spans="1:38" s="153" customFormat="1" ht="18" customHeight="1" x14ac:dyDescent="0.15">
      <c r="A167" s="24"/>
      <c r="B167" s="24"/>
      <c r="C167" s="24"/>
      <c r="D167" s="24"/>
      <c r="E167" s="24"/>
      <c r="F167" s="24"/>
      <c r="G167" s="24"/>
      <c r="H167" s="83"/>
      <c r="I167" s="55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</row>
    <row r="168" spans="1:38" s="153" customFormat="1" ht="18" customHeight="1" x14ac:dyDescent="0.15">
      <c r="A168" s="24"/>
      <c r="B168" s="24"/>
      <c r="C168" s="24"/>
      <c r="D168" s="24"/>
      <c r="E168" s="24"/>
      <c r="F168" s="24"/>
      <c r="G168" s="24"/>
      <c r="H168" s="83"/>
      <c r="I168" s="55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</row>
    <row r="169" spans="1:38" s="153" customFormat="1" ht="18" customHeight="1" x14ac:dyDescent="0.15">
      <c r="A169" s="24"/>
      <c r="B169" s="24"/>
      <c r="C169" s="24"/>
      <c r="D169" s="24"/>
      <c r="E169" s="24"/>
      <c r="F169" s="24"/>
      <c r="G169" s="24"/>
      <c r="H169" s="83"/>
      <c r="I169" s="55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</row>
    <row r="170" spans="1:38" s="153" customFormat="1" ht="18" customHeight="1" x14ac:dyDescent="0.15">
      <c r="A170" s="24"/>
      <c r="B170" s="24"/>
      <c r="C170" s="24"/>
      <c r="D170" s="24"/>
      <c r="E170" s="24"/>
      <c r="F170" s="24"/>
      <c r="G170" s="24"/>
      <c r="H170" s="83"/>
      <c r="I170" s="55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</row>
    <row r="171" spans="1:38" s="153" customFormat="1" ht="18" customHeight="1" x14ac:dyDescent="0.15">
      <c r="A171" s="24"/>
      <c r="B171" s="24"/>
      <c r="C171" s="24"/>
      <c r="D171" s="24"/>
      <c r="E171" s="24"/>
      <c r="F171" s="24"/>
      <c r="G171" s="24"/>
      <c r="H171" s="83"/>
      <c r="I171" s="55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</row>
    <row r="172" spans="1:38" s="153" customFormat="1" ht="18" customHeight="1" x14ac:dyDescent="0.15">
      <c r="A172" s="24"/>
      <c r="B172" s="24"/>
      <c r="C172" s="24"/>
      <c r="D172" s="24"/>
      <c r="E172" s="24"/>
      <c r="F172" s="24"/>
      <c r="G172" s="24"/>
      <c r="H172" s="83"/>
      <c r="I172" s="55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</row>
    <row r="173" spans="1:38" s="153" customFormat="1" ht="18" customHeight="1" x14ac:dyDescent="0.15">
      <c r="A173" s="24"/>
      <c r="B173" s="24"/>
      <c r="C173" s="24"/>
      <c r="D173" s="24"/>
      <c r="E173" s="24"/>
      <c r="F173" s="24"/>
      <c r="G173" s="24"/>
      <c r="H173" s="83"/>
      <c r="I173" s="55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</row>
    <row r="174" spans="1:38" s="153" customFormat="1" ht="18" customHeight="1" x14ac:dyDescent="0.15">
      <c r="A174" s="24"/>
      <c r="B174" s="24"/>
      <c r="C174" s="24"/>
      <c r="D174" s="24"/>
      <c r="E174" s="24"/>
      <c r="F174" s="24"/>
      <c r="G174" s="24"/>
      <c r="H174" s="83"/>
      <c r="I174" s="55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</row>
    <row r="175" spans="1:38" s="153" customFormat="1" ht="18" customHeight="1" x14ac:dyDescent="0.15">
      <c r="A175" s="24"/>
      <c r="B175" s="24"/>
      <c r="C175" s="24"/>
      <c r="D175" s="24"/>
      <c r="E175" s="24"/>
      <c r="F175" s="24"/>
      <c r="G175" s="24"/>
      <c r="H175" s="83"/>
      <c r="I175" s="55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</row>
    <row r="176" spans="1:38" s="153" customFormat="1" ht="18" customHeight="1" x14ac:dyDescent="0.15">
      <c r="A176" s="24"/>
      <c r="B176" s="24"/>
      <c r="C176" s="24"/>
      <c r="D176" s="24"/>
      <c r="E176" s="24"/>
      <c r="F176" s="24"/>
      <c r="G176" s="24"/>
      <c r="H176" s="83"/>
      <c r="I176" s="55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</row>
    <row r="177" spans="1:38" s="153" customFormat="1" ht="18" customHeight="1" x14ac:dyDescent="0.15">
      <c r="A177" s="24"/>
      <c r="B177" s="24"/>
      <c r="C177" s="24"/>
      <c r="D177" s="24"/>
      <c r="E177" s="24"/>
      <c r="F177" s="24"/>
      <c r="G177" s="24"/>
      <c r="H177" s="83"/>
      <c r="I177" s="55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</row>
    <row r="178" spans="1:38" s="153" customFormat="1" ht="18" customHeight="1" x14ac:dyDescent="0.15">
      <c r="A178" s="24"/>
      <c r="B178" s="24"/>
      <c r="C178" s="24"/>
      <c r="D178" s="24"/>
      <c r="E178" s="24"/>
      <c r="F178" s="24"/>
      <c r="G178" s="24"/>
      <c r="H178" s="83"/>
      <c r="I178" s="55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</row>
    <row r="179" spans="1:38" s="153" customFormat="1" ht="18" customHeight="1" x14ac:dyDescent="0.15">
      <c r="A179" s="24"/>
      <c r="B179" s="24"/>
      <c r="C179" s="24"/>
      <c r="D179" s="24"/>
      <c r="E179" s="24"/>
      <c r="F179" s="24"/>
      <c r="G179" s="24"/>
      <c r="H179" s="83"/>
      <c r="I179" s="55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</row>
    <row r="180" spans="1:38" s="153" customFormat="1" ht="18" customHeight="1" x14ac:dyDescent="0.15">
      <c r="A180" s="24"/>
      <c r="B180" s="24"/>
      <c r="C180" s="24"/>
      <c r="D180" s="24"/>
      <c r="E180" s="24"/>
      <c r="F180" s="24"/>
      <c r="G180" s="24"/>
      <c r="H180" s="83"/>
      <c r="I180" s="55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</row>
    <row r="181" spans="1:38" s="153" customFormat="1" ht="18" customHeight="1" x14ac:dyDescent="0.15">
      <c r="A181" s="24"/>
      <c r="B181" s="24"/>
      <c r="C181" s="24"/>
      <c r="D181" s="24"/>
      <c r="E181" s="24"/>
      <c r="F181" s="24"/>
      <c r="G181" s="24"/>
      <c r="H181" s="83"/>
      <c r="I181" s="55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</row>
    <row r="182" spans="1:38" s="153" customFormat="1" ht="18" customHeight="1" x14ac:dyDescent="0.15">
      <c r="A182" s="24"/>
      <c r="B182" s="24"/>
      <c r="C182" s="24"/>
      <c r="D182" s="24"/>
      <c r="E182" s="24"/>
      <c r="F182" s="24"/>
      <c r="G182" s="24"/>
      <c r="H182" s="83"/>
      <c r="I182" s="55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</row>
    <row r="183" spans="1:38" s="153" customFormat="1" ht="18" customHeight="1" x14ac:dyDescent="0.15">
      <c r="A183" s="24"/>
      <c r="B183" s="24"/>
      <c r="C183" s="24"/>
      <c r="D183" s="24"/>
      <c r="E183" s="24"/>
      <c r="F183" s="24"/>
      <c r="G183" s="24"/>
      <c r="H183" s="83"/>
      <c r="I183" s="55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</row>
    <row r="184" spans="1:38" s="153" customFormat="1" ht="18" customHeight="1" x14ac:dyDescent="0.15">
      <c r="A184" s="24"/>
      <c r="B184" s="24"/>
      <c r="C184" s="24"/>
      <c r="D184" s="24"/>
      <c r="E184" s="24"/>
      <c r="F184" s="24"/>
      <c r="G184" s="24"/>
      <c r="H184" s="83"/>
      <c r="I184" s="55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</row>
    <row r="185" spans="1:38" s="153" customFormat="1" ht="18" customHeight="1" x14ac:dyDescent="0.15">
      <c r="A185" s="24"/>
      <c r="B185" s="24"/>
      <c r="C185" s="24"/>
      <c r="D185" s="24"/>
      <c r="E185" s="24"/>
      <c r="F185" s="24"/>
      <c r="G185" s="24"/>
      <c r="H185" s="83"/>
      <c r="I185" s="55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</row>
    <row r="186" spans="1:38" s="153" customFormat="1" ht="18" customHeight="1" x14ac:dyDescent="0.15">
      <c r="A186" s="24"/>
      <c r="B186" s="24"/>
      <c r="C186" s="24"/>
      <c r="D186" s="24"/>
      <c r="E186" s="24"/>
      <c r="F186" s="24"/>
      <c r="G186" s="24"/>
      <c r="H186" s="83"/>
      <c r="I186" s="55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</row>
    <row r="187" spans="1:38" s="153" customFormat="1" ht="18" customHeight="1" x14ac:dyDescent="0.15">
      <c r="A187" s="24"/>
      <c r="B187" s="24"/>
      <c r="C187" s="24"/>
      <c r="D187" s="24"/>
      <c r="E187" s="24"/>
      <c r="F187" s="24"/>
      <c r="G187" s="24"/>
      <c r="H187" s="83"/>
      <c r="I187" s="55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</row>
    <row r="188" spans="1:38" s="153" customFormat="1" ht="18" customHeight="1" x14ac:dyDescent="0.15">
      <c r="A188" s="24"/>
      <c r="B188" s="24"/>
      <c r="C188" s="24"/>
      <c r="D188" s="24"/>
      <c r="E188" s="24"/>
      <c r="F188" s="24"/>
      <c r="G188" s="24"/>
      <c r="H188" s="83"/>
      <c r="I188" s="55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</row>
    <row r="189" spans="1:38" s="153" customFormat="1" ht="18" customHeight="1" x14ac:dyDescent="0.15">
      <c r="A189" s="24"/>
      <c r="B189" s="24"/>
      <c r="C189" s="24"/>
      <c r="D189" s="24"/>
      <c r="E189" s="24"/>
      <c r="F189" s="24"/>
      <c r="G189" s="24"/>
      <c r="H189" s="83"/>
      <c r="I189" s="55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</row>
    <row r="190" spans="1:38" s="1" customFormat="1" ht="18" customHeight="1" x14ac:dyDescent="0.3">
      <c r="A190" s="24"/>
      <c r="B190" s="24"/>
      <c r="C190" s="24"/>
      <c r="D190" s="24"/>
      <c r="E190" s="24"/>
      <c r="F190" s="24"/>
      <c r="G190" s="24"/>
      <c r="H190" s="83"/>
    </row>
    <row r="191" spans="1:38" s="1" customFormat="1" ht="18" customHeight="1" x14ac:dyDescent="0.3">
      <c r="A191" s="24"/>
      <c r="B191" s="24"/>
      <c r="C191" s="24"/>
      <c r="D191" s="24"/>
      <c r="E191" s="24"/>
      <c r="F191" s="24"/>
      <c r="G191" s="24"/>
      <c r="H191" s="83"/>
    </row>
    <row r="192" spans="1:38" s="1" customFormat="1" ht="18" customHeight="1" x14ac:dyDescent="0.3">
      <c r="A192" s="24"/>
      <c r="B192" s="24"/>
      <c r="C192" s="24"/>
      <c r="D192" s="24"/>
      <c r="E192" s="24"/>
      <c r="F192" s="24"/>
      <c r="G192" s="24"/>
      <c r="H192" s="83"/>
    </row>
    <row r="193" spans="1:30" s="1" customFormat="1" ht="18" customHeight="1" x14ac:dyDescent="0.3">
      <c r="A193" s="24"/>
      <c r="B193" s="24"/>
      <c r="C193" s="24"/>
      <c r="D193" s="24"/>
      <c r="E193" s="24"/>
      <c r="F193" s="24"/>
      <c r="G193" s="24"/>
      <c r="H193" s="83"/>
    </row>
    <row r="194" spans="1:30" s="1" customFormat="1" ht="18" customHeight="1" x14ac:dyDescent="0.3">
      <c r="A194" s="24"/>
      <c r="B194" s="24"/>
      <c r="C194" s="24"/>
      <c r="D194" s="24"/>
      <c r="E194" s="24"/>
      <c r="F194" s="24"/>
      <c r="G194" s="24"/>
      <c r="H194" s="83"/>
    </row>
    <row r="195" spans="1:30" s="1" customFormat="1" ht="18" customHeight="1" x14ac:dyDescent="0.3">
      <c r="A195" s="24"/>
      <c r="B195" s="24"/>
      <c r="C195" s="24"/>
      <c r="D195" s="24"/>
      <c r="E195" s="24"/>
      <c r="F195" s="24"/>
      <c r="G195" s="24"/>
      <c r="H195" s="83"/>
    </row>
    <row r="196" spans="1:30" s="1" customFormat="1" ht="18" customHeight="1" x14ac:dyDescent="0.3">
      <c r="A196" s="24"/>
      <c r="B196" s="24"/>
      <c r="C196" s="24"/>
      <c r="D196" s="24"/>
      <c r="E196" s="24"/>
      <c r="F196" s="24"/>
      <c r="G196" s="24"/>
      <c r="H196" s="83"/>
    </row>
    <row r="197" spans="1:30" s="153" customFormat="1" ht="18" customHeight="1" x14ac:dyDescent="0.15">
      <c r="A197" s="24"/>
      <c r="B197" s="24"/>
      <c r="C197" s="24"/>
      <c r="D197" s="24"/>
      <c r="E197" s="24"/>
      <c r="F197" s="24"/>
      <c r="G197" s="24"/>
      <c r="H197" s="83"/>
      <c r="I197" s="66"/>
      <c r="J197" s="66"/>
      <c r="K197" s="66"/>
    </row>
    <row r="198" spans="1:30" s="153" customFormat="1" ht="18" customHeight="1" x14ac:dyDescent="0.15">
      <c r="A198" s="24"/>
      <c r="B198" s="24"/>
      <c r="C198" s="24"/>
      <c r="D198" s="24"/>
      <c r="E198" s="24"/>
      <c r="F198" s="24"/>
      <c r="G198" s="24"/>
      <c r="H198" s="83"/>
      <c r="I198" s="66"/>
      <c r="J198" s="66"/>
      <c r="K198" s="66"/>
    </row>
    <row r="199" spans="1:30" s="1" customFormat="1" ht="18" customHeight="1" x14ac:dyDescent="0.3">
      <c r="A199" s="24"/>
      <c r="B199" s="24"/>
      <c r="C199" s="24"/>
      <c r="D199" s="24"/>
      <c r="E199" s="24"/>
      <c r="F199" s="24"/>
      <c r="G199" s="24"/>
      <c r="H199" s="83"/>
    </row>
    <row r="200" spans="1:30" s="1" customFormat="1" ht="18" customHeight="1" x14ac:dyDescent="0.3">
      <c r="A200" s="24"/>
      <c r="B200" s="24"/>
      <c r="C200" s="24"/>
      <c r="D200" s="24"/>
      <c r="E200" s="24"/>
      <c r="F200" s="24"/>
      <c r="G200" s="24"/>
      <c r="H200" s="83"/>
    </row>
    <row r="201" spans="1:30" s="1" customFormat="1" ht="18" customHeight="1" x14ac:dyDescent="0.3">
      <c r="A201" s="24"/>
      <c r="B201" s="24"/>
      <c r="C201" s="24"/>
      <c r="D201" s="24"/>
      <c r="E201" s="24"/>
      <c r="F201" s="24"/>
      <c r="G201" s="24"/>
      <c r="H201" s="83"/>
    </row>
    <row r="202" spans="1:30" s="1" customFormat="1" ht="18" customHeight="1" x14ac:dyDescent="0.3">
      <c r="A202" s="24"/>
      <c r="B202" s="24"/>
      <c r="C202" s="24"/>
      <c r="D202" s="24"/>
      <c r="E202" s="24"/>
      <c r="F202" s="24"/>
      <c r="G202" s="24"/>
      <c r="H202" s="83"/>
    </row>
    <row r="203" spans="1:30" s="1" customFormat="1" ht="18" customHeight="1" x14ac:dyDescent="0.3">
      <c r="A203" s="24"/>
      <c r="B203" s="24"/>
      <c r="C203" s="24"/>
      <c r="D203" s="24"/>
      <c r="E203" s="24"/>
      <c r="F203" s="24"/>
      <c r="G203" s="24"/>
      <c r="H203" s="83"/>
    </row>
    <row r="204" spans="1:30" s="153" customFormat="1" ht="18" customHeight="1" x14ac:dyDescent="0.15">
      <c r="A204" s="24"/>
      <c r="B204" s="24"/>
      <c r="C204" s="24"/>
      <c r="D204" s="24"/>
      <c r="E204" s="24"/>
      <c r="F204" s="24"/>
      <c r="G204" s="24"/>
      <c r="H204" s="83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  <c r="AB204" s="174"/>
      <c r="AC204" s="174"/>
      <c r="AD204" s="174"/>
    </row>
    <row r="205" spans="1:30" s="153" customFormat="1" ht="18" customHeight="1" x14ac:dyDescent="0.15">
      <c r="A205" s="24"/>
      <c r="B205" s="24"/>
      <c r="C205" s="24"/>
      <c r="D205" s="24"/>
      <c r="E205" s="24"/>
      <c r="F205" s="24"/>
      <c r="G205" s="24"/>
      <c r="H205" s="83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  <c r="AC205" s="174"/>
      <c r="AD205" s="174"/>
    </row>
    <row r="206" spans="1:30" s="153" customFormat="1" ht="18" customHeight="1" x14ac:dyDescent="0.15">
      <c r="A206" s="24"/>
      <c r="B206" s="24"/>
      <c r="C206" s="24"/>
      <c r="D206" s="24"/>
      <c r="E206" s="24"/>
      <c r="F206" s="24"/>
      <c r="G206" s="24"/>
      <c r="H206" s="83"/>
    </row>
    <row r="207" spans="1:30" s="153" customFormat="1" ht="18" customHeight="1" x14ac:dyDescent="0.15">
      <c r="A207" s="24"/>
      <c r="B207" s="24"/>
      <c r="C207" s="24"/>
      <c r="D207" s="24"/>
      <c r="E207" s="24"/>
      <c r="F207" s="24"/>
      <c r="G207" s="24"/>
      <c r="H207" s="83"/>
    </row>
    <row r="208" spans="1:30" s="153" customFormat="1" ht="18" customHeight="1" x14ac:dyDescent="0.15">
      <c r="A208" s="24"/>
      <c r="B208" s="24"/>
      <c r="C208" s="24"/>
      <c r="D208" s="24"/>
      <c r="E208" s="24"/>
      <c r="F208" s="24"/>
      <c r="G208" s="24"/>
      <c r="H208" s="83"/>
    </row>
    <row r="209" spans="1:30" s="1" customFormat="1" ht="18" customHeight="1" x14ac:dyDescent="0.3">
      <c r="A209" s="24"/>
      <c r="B209" s="24"/>
      <c r="C209" s="24"/>
      <c r="D209" s="24"/>
      <c r="E209" s="24"/>
      <c r="F209" s="24"/>
      <c r="G209" s="24"/>
      <c r="H209" s="83"/>
    </row>
    <row r="210" spans="1:30" s="1" customFormat="1" ht="18" customHeight="1" x14ac:dyDescent="0.3">
      <c r="A210" s="24"/>
      <c r="B210" s="24"/>
      <c r="C210" s="24"/>
      <c r="D210" s="24"/>
      <c r="E210" s="24"/>
      <c r="F210" s="24"/>
      <c r="G210" s="24"/>
      <c r="H210" s="83"/>
    </row>
    <row r="211" spans="1:30" s="1" customFormat="1" ht="18" customHeight="1" x14ac:dyDescent="0.3">
      <c r="A211" s="24"/>
      <c r="B211" s="24"/>
      <c r="C211" s="24"/>
      <c r="D211" s="24"/>
      <c r="E211" s="24"/>
      <c r="F211" s="24"/>
      <c r="G211" s="24"/>
      <c r="H211" s="83"/>
    </row>
    <row r="212" spans="1:30" s="1" customFormat="1" ht="18" customHeight="1" x14ac:dyDescent="0.3">
      <c r="A212" s="24"/>
      <c r="B212" s="24"/>
      <c r="C212" s="24"/>
      <c r="D212" s="24"/>
      <c r="E212" s="24"/>
      <c r="F212" s="24"/>
      <c r="G212" s="24"/>
      <c r="H212" s="83"/>
    </row>
    <row r="213" spans="1:30" s="1" customFormat="1" ht="18" customHeight="1" x14ac:dyDescent="0.3">
      <c r="A213" s="24"/>
      <c r="B213" s="24"/>
      <c r="C213" s="24"/>
      <c r="D213" s="24"/>
      <c r="E213" s="24"/>
      <c r="F213" s="24"/>
      <c r="G213" s="24"/>
      <c r="H213" s="83"/>
    </row>
    <row r="214" spans="1:30" s="153" customFormat="1" ht="18" customHeight="1" x14ac:dyDescent="0.15">
      <c r="A214" s="24"/>
      <c r="B214" s="24"/>
      <c r="C214" s="24"/>
      <c r="D214" s="24"/>
      <c r="E214" s="24"/>
      <c r="F214" s="24"/>
      <c r="G214" s="24"/>
      <c r="H214" s="83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  <c r="AB214" s="174"/>
      <c r="AC214" s="174"/>
      <c r="AD214" s="174"/>
    </row>
  </sheetData>
  <sheetProtection selectLockedCells="1" selectUnlockedCells="1"/>
  <protectedRanges>
    <protectedRange password="ECE8" sqref="O2:AC4" name="작성자만수정_1"/>
    <protectedRange password="ECE8" sqref="O5:AC9 A75:H79 I74:S196 B54:L73 A54:A69 I209:K213 I199:K203 O38:AC50 O18:AC19 O24:AC25 O30:AC30 O34:AC36" name="작성자만수정_2_1_1"/>
  </protectedRanges>
  <autoFilter ref="A3:AY53">
    <filterColumn colId="10" showButton="0"/>
    <filterColumn colId="11" showButton="0"/>
  </autoFilter>
  <mergeCells count="12">
    <mergeCell ref="J2:J3"/>
    <mergeCell ref="K2:M3"/>
    <mergeCell ref="A2:A3"/>
    <mergeCell ref="B2:D2"/>
    <mergeCell ref="E2:G2"/>
    <mergeCell ref="H2:H3"/>
    <mergeCell ref="I2:I3"/>
    <mergeCell ref="N34:U34"/>
    <mergeCell ref="A4:G4"/>
    <mergeCell ref="N7:U7"/>
    <mergeCell ref="F44:G44"/>
    <mergeCell ref="F48:G48"/>
  </mergeCells>
  <phoneticPr fontId="12" type="noConversion"/>
  <conditionalFormatting sqref="J49:J50">
    <cfRule type="containsText" dxfId="905" priority="181" operator="containsText" text="허하나로">
      <formula>NOT(ISERROR(SEARCH("허하나로",H1075)))</formula>
    </cfRule>
    <cfRule type="containsText" dxfId="904" priority="182" operator="containsText" text="한별">
      <formula>NOT(ISERROR(SEARCH("한별",H1075)))</formula>
    </cfRule>
    <cfRule type="containsText" dxfId="903" priority="183" operator="containsText" text="정홍조">
      <formula>NOT(ISERROR(SEARCH("정홍조",H1075)))</formula>
    </cfRule>
    <cfRule type="containsText" dxfId="902" priority="184" operator="containsText" text="김지윤">
      <formula>NOT(ISERROR(SEARCH("김지윤",H1075)))</formula>
    </cfRule>
    <cfRule type="containsText" dxfId="901" priority="185" operator="containsText" text="전준영">
      <formula>NOT(ISERROR(SEARCH("전준영",H1075)))</formula>
    </cfRule>
    <cfRule type="containsText" dxfId="900" priority="186" operator="containsText" text="차재성">
      <formula>NOT(ISERROR(SEARCH("차재성",H1075)))</formula>
    </cfRule>
  </conditionalFormatting>
  <conditionalFormatting sqref="J2:J3">
    <cfRule type="containsText" dxfId="899" priority="259" operator="containsText" text="허하나로">
      <formula>NOT(ISERROR(SEARCH("허하나로",H714)))</formula>
    </cfRule>
    <cfRule type="containsText" dxfId="898" priority="260" operator="containsText" text="한별">
      <formula>NOT(ISERROR(SEARCH("한별",H714)))</formula>
    </cfRule>
    <cfRule type="containsText" dxfId="897" priority="261" operator="containsText" text="정홍조">
      <formula>NOT(ISERROR(SEARCH("정홍조",H714)))</formula>
    </cfRule>
    <cfRule type="containsText" dxfId="896" priority="262" operator="containsText" text="김지윤">
      <formula>NOT(ISERROR(SEARCH("김지윤",H714)))</formula>
    </cfRule>
    <cfRule type="containsText" dxfId="895" priority="263" operator="containsText" text="전준영">
      <formula>NOT(ISERROR(SEARCH("전준영",H714)))</formula>
    </cfRule>
    <cfRule type="containsText" dxfId="894" priority="264" operator="containsText" text="차재성">
      <formula>NOT(ISERROR(SEARCH("차재성",H714)))</formula>
    </cfRule>
  </conditionalFormatting>
  <conditionalFormatting sqref="J6:J9">
    <cfRule type="containsText" dxfId="893" priority="193" operator="containsText" text="허하나로">
      <formula>NOT(ISERROR(SEARCH("허하나로",H712)))</formula>
    </cfRule>
    <cfRule type="containsText" dxfId="892" priority="194" operator="containsText" text="한별">
      <formula>NOT(ISERROR(SEARCH("한별",H712)))</formula>
    </cfRule>
    <cfRule type="containsText" dxfId="891" priority="195" operator="containsText" text="정홍조">
      <formula>NOT(ISERROR(SEARCH("정홍조",H712)))</formula>
    </cfRule>
    <cfRule type="containsText" dxfId="890" priority="196" operator="containsText" text="김지윤">
      <formula>NOT(ISERROR(SEARCH("김지윤",H712)))</formula>
    </cfRule>
    <cfRule type="containsText" dxfId="889" priority="197" operator="containsText" text="전준영">
      <formula>NOT(ISERROR(SEARCH("전준영",H712)))</formula>
    </cfRule>
    <cfRule type="containsText" dxfId="888" priority="198" operator="containsText" text="차재성">
      <formula>NOT(ISERROR(SEARCH("차재성",H712)))</formula>
    </cfRule>
  </conditionalFormatting>
  <conditionalFormatting sqref="J5">
    <cfRule type="containsText" dxfId="887" priority="187" operator="containsText" text="허하나로">
      <formula>NOT(ISERROR(SEARCH("허하나로",H711)))</formula>
    </cfRule>
    <cfRule type="containsText" dxfId="886" priority="188" operator="containsText" text="한별">
      <formula>NOT(ISERROR(SEARCH("한별",H711)))</formula>
    </cfRule>
    <cfRule type="containsText" dxfId="885" priority="189" operator="containsText" text="정홍조">
      <formula>NOT(ISERROR(SEARCH("정홍조",H711)))</formula>
    </cfRule>
    <cfRule type="containsText" dxfId="884" priority="190" operator="containsText" text="김지윤">
      <formula>NOT(ISERROR(SEARCH("김지윤",H711)))</formula>
    </cfRule>
    <cfRule type="containsText" dxfId="883" priority="191" operator="containsText" text="전준영">
      <formula>NOT(ISERROR(SEARCH("전준영",H711)))</formula>
    </cfRule>
    <cfRule type="containsText" dxfId="882" priority="192" operator="containsText" text="차재성">
      <formula>NOT(ISERROR(SEARCH("차재성",H711)))</formula>
    </cfRule>
  </conditionalFormatting>
  <conditionalFormatting sqref="J34">
    <cfRule type="containsText" dxfId="881" priority="103" operator="containsText" text="허하나로">
      <formula>NOT(ISERROR(SEARCH("허하나로",H845)))</formula>
    </cfRule>
    <cfRule type="containsText" dxfId="880" priority="104" operator="containsText" text="한별">
      <formula>NOT(ISERROR(SEARCH("한별",H845)))</formula>
    </cfRule>
    <cfRule type="containsText" dxfId="879" priority="105" operator="containsText" text="정홍조">
      <formula>NOT(ISERROR(SEARCH("정홍조",H845)))</formula>
    </cfRule>
    <cfRule type="containsText" dxfId="878" priority="106" operator="containsText" text="김지윤">
      <formula>NOT(ISERROR(SEARCH("김지윤",H845)))</formula>
    </cfRule>
    <cfRule type="containsText" dxfId="877" priority="107" operator="containsText" text="전준영">
      <formula>NOT(ISERROR(SEARCH("전준영",H845)))</formula>
    </cfRule>
    <cfRule type="containsText" dxfId="876" priority="108" operator="containsText" text="차재성">
      <formula>NOT(ISERROR(SEARCH("차재성",H845)))</formula>
    </cfRule>
  </conditionalFormatting>
  <conditionalFormatting sqref="J37:J38">
    <cfRule type="containsText" dxfId="875" priority="79" operator="containsText" text="허하나로">
      <formula>NOT(ISERROR(SEARCH("허하나로",H1053)))</formula>
    </cfRule>
    <cfRule type="containsText" dxfId="874" priority="80" operator="containsText" text="한별">
      <formula>NOT(ISERROR(SEARCH("한별",H1053)))</formula>
    </cfRule>
    <cfRule type="containsText" dxfId="873" priority="81" operator="containsText" text="정홍조">
      <formula>NOT(ISERROR(SEARCH("정홍조",H1053)))</formula>
    </cfRule>
    <cfRule type="containsText" dxfId="872" priority="82" operator="containsText" text="김지윤">
      <formula>NOT(ISERROR(SEARCH("김지윤",H1053)))</formula>
    </cfRule>
    <cfRule type="containsText" dxfId="871" priority="83" operator="containsText" text="전준영">
      <formula>NOT(ISERROR(SEARCH("전준영",H1053)))</formula>
    </cfRule>
    <cfRule type="containsText" dxfId="870" priority="84" operator="containsText" text="차재성">
      <formula>NOT(ISERROR(SEARCH("차재성",H1053)))</formula>
    </cfRule>
  </conditionalFormatting>
  <conditionalFormatting sqref="J40:J41">
    <cfRule type="containsText" dxfId="869" priority="73" operator="containsText" text="허하나로">
      <formula>NOT(ISERROR(SEARCH("허하나로",H1049)))</formula>
    </cfRule>
    <cfRule type="containsText" dxfId="868" priority="74" operator="containsText" text="한별">
      <formula>NOT(ISERROR(SEARCH("한별",H1049)))</formula>
    </cfRule>
    <cfRule type="containsText" dxfId="867" priority="75" operator="containsText" text="정홍조">
      <formula>NOT(ISERROR(SEARCH("정홍조",H1049)))</formula>
    </cfRule>
    <cfRule type="containsText" dxfId="866" priority="76" operator="containsText" text="김지윤">
      <formula>NOT(ISERROR(SEARCH("김지윤",H1049)))</formula>
    </cfRule>
    <cfRule type="containsText" dxfId="865" priority="77" operator="containsText" text="전준영">
      <formula>NOT(ISERROR(SEARCH("전준영",H1049)))</formula>
    </cfRule>
    <cfRule type="containsText" dxfId="864" priority="78" operator="containsText" text="차재성">
      <formula>NOT(ISERROR(SEARCH("차재성",H1049)))</formula>
    </cfRule>
  </conditionalFormatting>
  <conditionalFormatting sqref="J36">
    <cfRule type="containsText" dxfId="863" priority="1159" operator="containsText" text="허하나로">
      <formula>NOT(ISERROR(SEARCH("허하나로",H1042)))</formula>
    </cfRule>
    <cfRule type="containsText" dxfId="862" priority="1160" operator="containsText" text="한별">
      <formula>NOT(ISERROR(SEARCH("한별",H1042)))</formula>
    </cfRule>
    <cfRule type="containsText" dxfId="861" priority="1161" operator="containsText" text="정홍조">
      <formula>NOT(ISERROR(SEARCH("정홍조",H1042)))</formula>
    </cfRule>
    <cfRule type="containsText" dxfId="860" priority="1162" operator="containsText" text="김지윤">
      <formula>NOT(ISERROR(SEARCH("김지윤",H1042)))</formula>
    </cfRule>
    <cfRule type="containsText" dxfId="859" priority="1163" operator="containsText" text="전준영">
      <formula>NOT(ISERROR(SEARCH("전준영",H1042)))</formula>
    </cfRule>
    <cfRule type="containsText" dxfId="858" priority="1164" operator="containsText" text="차재성">
      <formula>NOT(ISERROR(SEARCH("차재성",H1042)))</formula>
    </cfRule>
  </conditionalFormatting>
  <conditionalFormatting sqref="J44:J47">
    <cfRule type="containsText" dxfId="857" priority="1171" operator="containsText" text="허하나로">
      <formula>NOT(ISERROR(SEARCH("허하나로",H1055)))</formula>
    </cfRule>
    <cfRule type="containsText" dxfId="856" priority="1172" operator="containsText" text="한별">
      <formula>NOT(ISERROR(SEARCH("한별",H1055)))</formula>
    </cfRule>
    <cfRule type="containsText" dxfId="855" priority="1173" operator="containsText" text="정홍조">
      <formula>NOT(ISERROR(SEARCH("정홍조",H1055)))</formula>
    </cfRule>
    <cfRule type="containsText" dxfId="854" priority="1174" operator="containsText" text="김지윤">
      <formula>NOT(ISERROR(SEARCH("김지윤",H1055)))</formula>
    </cfRule>
    <cfRule type="containsText" dxfId="853" priority="1175" operator="containsText" text="전준영">
      <formula>NOT(ISERROR(SEARCH("전준영",H1055)))</formula>
    </cfRule>
    <cfRule type="containsText" dxfId="852" priority="1176" operator="containsText" text="차재성">
      <formula>NOT(ISERROR(SEARCH("차재성",H1055)))</formula>
    </cfRule>
  </conditionalFormatting>
  <conditionalFormatting sqref="J48">
    <cfRule type="containsText" dxfId="851" priority="61" operator="containsText" text="허하나로">
      <formula>NOT(ISERROR(SEARCH("허하나로",H1059)))</formula>
    </cfRule>
    <cfRule type="containsText" dxfId="850" priority="62" operator="containsText" text="한별">
      <formula>NOT(ISERROR(SEARCH("한별",H1059)))</formula>
    </cfRule>
    <cfRule type="containsText" dxfId="849" priority="63" operator="containsText" text="정홍조">
      <formula>NOT(ISERROR(SEARCH("정홍조",H1059)))</formula>
    </cfRule>
    <cfRule type="containsText" dxfId="848" priority="64" operator="containsText" text="김지윤">
      <formula>NOT(ISERROR(SEARCH("김지윤",H1059)))</formula>
    </cfRule>
    <cfRule type="containsText" dxfId="847" priority="65" operator="containsText" text="전준영">
      <formula>NOT(ISERROR(SEARCH("전준영",H1059)))</formula>
    </cfRule>
    <cfRule type="containsText" dxfId="846" priority="66" operator="containsText" text="차재성">
      <formula>NOT(ISERROR(SEARCH("차재성",H1059)))</formula>
    </cfRule>
  </conditionalFormatting>
  <conditionalFormatting sqref="L45">
    <cfRule type="containsText" dxfId="845" priority="55" operator="containsText" text="허하나로">
      <formula>NOT(ISERROR(SEARCH("허하나로",J1190)))</formula>
    </cfRule>
    <cfRule type="containsText" dxfId="844" priority="56" operator="containsText" text="한별">
      <formula>NOT(ISERROR(SEARCH("한별",J1190)))</formula>
    </cfRule>
    <cfRule type="containsText" dxfId="843" priority="57" operator="containsText" text="정홍조">
      <formula>NOT(ISERROR(SEARCH("정홍조",J1190)))</formula>
    </cfRule>
    <cfRule type="containsText" dxfId="842" priority="58" operator="containsText" text="김지윤">
      <formula>NOT(ISERROR(SEARCH("김지윤",J1190)))</formula>
    </cfRule>
    <cfRule type="containsText" dxfId="841" priority="59" operator="containsText" text="전준영">
      <formula>NOT(ISERROR(SEARCH("전준영",J1190)))</formula>
    </cfRule>
    <cfRule type="containsText" dxfId="840" priority="60" operator="containsText" text="차재성">
      <formula>NOT(ISERROR(SEARCH("차재성",J1190)))</formula>
    </cfRule>
  </conditionalFormatting>
  <conditionalFormatting sqref="I50">
    <cfRule type="containsText" dxfId="839" priority="49" operator="containsText" text="허하나로">
      <formula>NOT(ISERROR(SEARCH("허하나로",G1076)))</formula>
    </cfRule>
    <cfRule type="containsText" dxfId="838" priority="50" operator="containsText" text="한별">
      <formula>NOT(ISERROR(SEARCH("한별",G1076)))</formula>
    </cfRule>
    <cfRule type="containsText" dxfId="837" priority="51" operator="containsText" text="정홍조">
      <formula>NOT(ISERROR(SEARCH("정홍조",G1076)))</formula>
    </cfRule>
    <cfRule type="containsText" dxfId="836" priority="52" operator="containsText" text="김지윤">
      <formula>NOT(ISERROR(SEARCH("김지윤",G1076)))</formula>
    </cfRule>
    <cfRule type="containsText" dxfId="835" priority="53" operator="containsText" text="전준영">
      <formula>NOT(ISERROR(SEARCH("전준영",G1076)))</formula>
    </cfRule>
    <cfRule type="containsText" dxfId="834" priority="54" operator="containsText" text="차재성">
      <formula>NOT(ISERROR(SEARCH("차재성",G1076)))</formula>
    </cfRule>
  </conditionalFormatting>
  <conditionalFormatting sqref="J42:J43">
    <cfRule type="containsText" dxfId="833" priority="43" operator="containsText" text="허하나로">
      <formula>NOT(ISERROR(SEARCH("허하나로",H1051)))</formula>
    </cfRule>
    <cfRule type="containsText" dxfId="832" priority="44" operator="containsText" text="한별">
      <formula>NOT(ISERROR(SEARCH("한별",H1051)))</formula>
    </cfRule>
    <cfRule type="containsText" dxfId="831" priority="45" operator="containsText" text="정홍조">
      <formula>NOT(ISERROR(SEARCH("정홍조",H1051)))</formula>
    </cfRule>
    <cfRule type="containsText" dxfId="830" priority="46" operator="containsText" text="김지윤">
      <formula>NOT(ISERROR(SEARCH("김지윤",H1051)))</formula>
    </cfRule>
    <cfRule type="containsText" dxfId="829" priority="47" operator="containsText" text="전준영">
      <formula>NOT(ISERROR(SEARCH("전준영",H1051)))</formula>
    </cfRule>
    <cfRule type="containsText" dxfId="828" priority="48" operator="containsText" text="차재성">
      <formula>NOT(ISERROR(SEARCH("차재성",H1051)))</formula>
    </cfRule>
  </conditionalFormatting>
  <conditionalFormatting sqref="J39">
    <cfRule type="containsText" dxfId="827" priority="3637" operator="containsText" text="허하나로">
      <formula>NOT(ISERROR(SEARCH("허하나로",H1044)))</formula>
    </cfRule>
    <cfRule type="containsText" dxfId="826" priority="3638" operator="containsText" text="한별">
      <formula>NOT(ISERROR(SEARCH("한별",H1044)))</formula>
    </cfRule>
    <cfRule type="containsText" dxfId="825" priority="3639" operator="containsText" text="정홍조">
      <formula>NOT(ISERROR(SEARCH("정홍조",H1044)))</formula>
    </cfRule>
    <cfRule type="containsText" dxfId="824" priority="3640" operator="containsText" text="김지윤">
      <formula>NOT(ISERROR(SEARCH("김지윤",H1044)))</formula>
    </cfRule>
    <cfRule type="containsText" dxfId="823" priority="3641" operator="containsText" text="전준영">
      <formula>NOT(ISERROR(SEARCH("전준영",H1044)))</formula>
    </cfRule>
    <cfRule type="containsText" dxfId="822" priority="3642" operator="containsText" text="차재성">
      <formula>NOT(ISERROR(SEARCH("차재성",H1044)))</formula>
    </cfRule>
  </conditionalFormatting>
  <conditionalFormatting sqref="J18:J19">
    <cfRule type="containsText" dxfId="821" priority="13" operator="containsText" text="허하나로">
      <formula>NOT(ISERROR(SEARCH("허하나로",H730)))</formula>
    </cfRule>
    <cfRule type="containsText" dxfId="820" priority="14" operator="containsText" text="한별">
      <formula>NOT(ISERROR(SEARCH("한별",H730)))</formula>
    </cfRule>
    <cfRule type="containsText" dxfId="819" priority="15" operator="containsText" text="정홍조">
      <formula>NOT(ISERROR(SEARCH("정홍조",H730)))</formula>
    </cfRule>
    <cfRule type="containsText" dxfId="818" priority="16" operator="containsText" text="김지윤">
      <formula>NOT(ISERROR(SEARCH("김지윤",H730)))</formula>
    </cfRule>
    <cfRule type="containsText" dxfId="817" priority="17" operator="containsText" text="전준영">
      <formula>NOT(ISERROR(SEARCH("전준영",H730)))</formula>
    </cfRule>
    <cfRule type="containsText" dxfId="816" priority="18" operator="containsText" text="차재성">
      <formula>NOT(ISERROR(SEARCH("차재성",H730)))</formula>
    </cfRule>
  </conditionalFormatting>
  <conditionalFormatting sqref="J24:J25">
    <cfRule type="containsText" dxfId="815" priority="7" operator="containsText" text="허하나로">
      <formula>NOT(ISERROR(SEARCH("허하나로",H736)))</formula>
    </cfRule>
    <cfRule type="containsText" dxfId="814" priority="8" operator="containsText" text="한별">
      <formula>NOT(ISERROR(SEARCH("한별",H736)))</formula>
    </cfRule>
    <cfRule type="containsText" dxfId="813" priority="9" operator="containsText" text="정홍조">
      <formula>NOT(ISERROR(SEARCH("정홍조",H736)))</formula>
    </cfRule>
    <cfRule type="containsText" dxfId="812" priority="10" operator="containsText" text="김지윤">
      <formula>NOT(ISERROR(SEARCH("김지윤",H736)))</formula>
    </cfRule>
    <cfRule type="containsText" dxfId="811" priority="11" operator="containsText" text="전준영">
      <formula>NOT(ISERROR(SEARCH("전준영",H736)))</formula>
    </cfRule>
    <cfRule type="containsText" dxfId="810" priority="12" operator="containsText" text="차재성">
      <formula>NOT(ISERROR(SEARCH("차재성",H736)))</formula>
    </cfRule>
  </conditionalFormatting>
  <conditionalFormatting sqref="J30">
    <cfRule type="containsText" dxfId="809" priority="1" operator="containsText" text="허하나로">
      <formula>NOT(ISERROR(SEARCH("허하나로",H742)))</formula>
    </cfRule>
    <cfRule type="containsText" dxfId="808" priority="2" operator="containsText" text="한별">
      <formula>NOT(ISERROR(SEARCH("한별",H742)))</formula>
    </cfRule>
    <cfRule type="containsText" dxfId="807" priority="3" operator="containsText" text="정홍조">
      <formula>NOT(ISERROR(SEARCH("정홍조",H742)))</formula>
    </cfRule>
    <cfRule type="containsText" dxfId="806" priority="4" operator="containsText" text="김지윤">
      <formula>NOT(ISERROR(SEARCH("김지윤",H742)))</formula>
    </cfRule>
    <cfRule type="containsText" dxfId="805" priority="5" operator="containsText" text="전준영">
      <formula>NOT(ISERROR(SEARCH("전준영",H742)))</formula>
    </cfRule>
    <cfRule type="containsText" dxfId="804" priority="6" operator="containsText" text="차재성">
      <formula>NOT(ISERROR(SEARCH("차재성",H742)))</formula>
    </cfRule>
  </conditionalFormatting>
  <pageMargins left="0.7" right="0.7" top="0.75" bottom="0.75" header="0.3" footer="0.3"/>
  <pageSetup paperSize="8" scale="91" orientation="landscape" useFirstPageNumber="1" r:id="rId1"/>
  <headerFooter alignWithMargins="0">
    <oddHeader xml:space="preserve">&amp;L&amp;"돋움,굵게"
</oddHeader>
    <oddFooter>&amp;C&amp;P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7" operator="containsText" text="허하나로" id="{79B152C1-B2E1-40E0-9E75-D7A9F76B9003}">
            <xm:f>NOT(ISERROR(SEARCH("허하나로",행정관리부!H1052)))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8" operator="containsText" text="한별" id="{8FC6B557-ADFF-4EC7-A5F4-009BA2774F2C}">
            <xm:f>NOT(ISERROR(SEARCH("한별",행정관리부!H1052)))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" operator="containsText" text="정홍조" id="{4B8F03B6-AC04-4287-AD6B-88A50042BCD2}">
            <xm:f>NOT(ISERROR(SEARCH("정홍조",행정관리부!H1052)))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0" operator="containsText" text="김지윤" id="{53B9FC3C-3C67-43D0-98A7-5EFFBE6CC4EC}">
            <xm:f>NOT(ISERROR(SEARCH("김지윤",행정관리부!H1052)))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" operator="containsText" text="전준영" id="{CFBEE776-6AA4-4748-BCCC-D10B4A572B13}">
            <xm:f>NOT(ISERROR(SEARCH("전준영",행정관리부!H1052)))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2" operator="containsText" text="차재성" id="{FC84453E-808D-4BA6-AE79-F755C1A55E4A}">
            <xm:f>NOT(ISERROR(SEARCH("차재성",행정관리부!H1052)))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J53</xm:sqref>
        </x14:conditionalFormatting>
        <x14:conditionalFormatting xmlns:xm="http://schemas.microsoft.com/office/excel/2006/main">
          <x14:cfRule type="containsText" priority="31" operator="containsText" text="허하나로" id="{876F91CA-E610-40FE-81A7-44CDC5489935}">
            <xm:f>NOT(ISERROR(SEARCH("허하나로",행정관리부!H1108)))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2" operator="containsText" text="한별" id="{5B556011-188D-4A3F-B13D-DC561B03F89B}">
            <xm:f>NOT(ISERROR(SEARCH("한별",행정관리부!H1108)))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3" operator="containsText" text="정홍조" id="{ACAB305B-1D7C-4461-83B8-74D3DD016EA6}">
            <xm:f>NOT(ISERROR(SEARCH("정홍조",행정관리부!H1108)))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34" operator="containsText" text="김지윤" id="{66FACC27-5BF4-415B-A45F-20971346D5CE}">
            <xm:f>NOT(ISERROR(SEARCH("김지윤",행정관리부!H1108)))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5" operator="containsText" text="전준영" id="{5FB2FFF1-D507-4E64-9BA9-BB6EF899BCB4}">
            <xm:f>NOT(ISERROR(SEARCH("전준영",행정관리부!H1108)))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6" operator="containsText" text="차재성" id="{89227B41-3E6A-4530-A8A2-E80A0BDFEB6D}">
            <xm:f>NOT(ISERROR(SEARCH("차재성",행정관리부!H1108)))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J51:J52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P31"/>
  <sheetViews>
    <sheetView zoomScale="85" zoomScaleNormal="85" workbookViewId="0"/>
  </sheetViews>
  <sheetFormatPr defaultRowHeight="16.5" x14ac:dyDescent="0.3"/>
  <cols>
    <col min="1" max="6" width="3.875" customWidth="1"/>
    <col min="7" max="7" width="32.625" customWidth="1"/>
    <col min="8" max="10" width="14.625" customWidth="1"/>
    <col min="11" max="11" width="62.375" customWidth="1"/>
    <col min="12" max="12" width="3.875" customWidth="1"/>
    <col min="13" max="13" width="14.625" customWidth="1"/>
  </cols>
  <sheetData>
    <row r="1" spans="1:14" ht="17.25" thickBot="1" x14ac:dyDescent="0.2">
      <c r="A1" s="94" t="s">
        <v>160</v>
      </c>
      <c r="B1" s="43"/>
      <c r="C1" s="94"/>
      <c r="D1" s="94"/>
      <c r="E1" s="94"/>
      <c r="F1" s="94"/>
      <c r="G1" s="199"/>
      <c r="H1" s="200"/>
      <c r="I1" s="200"/>
      <c r="J1" s="199"/>
      <c r="K1" s="199"/>
      <c r="L1" s="199"/>
      <c r="M1" s="198" t="s">
        <v>38</v>
      </c>
    </row>
    <row r="2" spans="1:14" x14ac:dyDescent="0.3">
      <c r="A2" s="439" t="s">
        <v>27</v>
      </c>
      <c r="B2" s="441" t="s">
        <v>28</v>
      </c>
      <c r="C2" s="442"/>
      <c r="D2" s="443"/>
      <c r="E2" s="441" t="s">
        <v>29</v>
      </c>
      <c r="F2" s="442"/>
      <c r="G2" s="443"/>
      <c r="H2" s="444" t="s">
        <v>1</v>
      </c>
      <c r="I2" s="446" t="s">
        <v>2</v>
      </c>
      <c r="J2" s="448" t="s">
        <v>3</v>
      </c>
      <c r="K2" s="430" t="s">
        <v>4</v>
      </c>
      <c r="L2" s="431"/>
      <c r="M2" s="432"/>
    </row>
    <row r="3" spans="1:14" ht="17.25" thickBot="1" x14ac:dyDescent="0.35">
      <c r="A3" s="440"/>
      <c r="B3" s="135" t="s">
        <v>30</v>
      </c>
      <c r="C3" s="135" t="s">
        <v>31</v>
      </c>
      <c r="D3" s="135" t="s">
        <v>32</v>
      </c>
      <c r="E3" s="135" t="s">
        <v>33</v>
      </c>
      <c r="F3" s="135" t="s">
        <v>34</v>
      </c>
      <c r="G3" s="135" t="s">
        <v>35</v>
      </c>
      <c r="H3" s="445"/>
      <c r="I3" s="447"/>
      <c r="J3" s="449"/>
      <c r="K3" s="433"/>
      <c r="L3" s="434"/>
      <c r="M3" s="435"/>
    </row>
    <row r="4" spans="1:14" ht="17.25" thickBot="1" x14ac:dyDescent="0.35">
      <c r="A4" s="436" t="s">
        <v>36</v>
      </c>
      <c r="B4" s="437"/>
      <c r="C4" s="437"/>
      <c r="D4" s="437"/>
      <c r="E4" s="437"/>
      <c r="F4" s="437"/>
      <c r="G4" s="438"/>
      <c r="H4" s="201">
        <f>H5</f>
        <v>62518</v>
      </c>
      <c r="I4" s="201">
        <f>I5</f>
        <v>221270</v>
      </c>
      <c r="J4" s="136">
        <f>H4-I4</f>
        <v>-158752</v>
      </c>
      <c r="K4" s="95"/>
      <c r="L4" s="96"/>
      <c r="M4" s="137"/>
    </row>
    <row r="5" spans="1:14" x14ac:dyDescent="0.3">
      <c r="A5" s="223" t="s">
        <v>5</v>
      </c>
      <c r="B5" s="138"/>
      <c r="C5" s="139"/>
      <c r="D5" s="139"/>
      <c r="E5" s="139"/>
      <c r="F5" s="139"/>
      <c r="G5" s="140"/>
      <c r="H5" s="100">
        <f>H6</f>
        <v>62518</v>
      </c>
      <c r="I5" s="100">
        <v>221270</v>
      </c>
      <c r="J5" s="101">
        <f t="shared" ref="J5:J11" si="0">H5-I5</f>
        <v>-158752</v>
      </c>
      <c r="K5" s="84"/>
      <c r="L5" s="85"/>
      <c r="M5" s="86"/>
    </row>
    <row r="6" spans="1:14" x14ac:dyDescent="0.3">
      <c r="A6" s="10"/>
      <c r="B6" s="145" t="s">
        <v>270</v>
      </c>
      <c r="C6" s="145"/>
      <c r="D6" s="146"/>
      <c r="E6" s="146"/>
      <c r="F6" s="146"/>
      <c r="G6" s="147"/>
      <c r="H6" s="100">
        <f>H7</f>
        <v>62518</v>
      </c>
      <c r="I6" s="100">
        <v>221270</v>
      </c>
      <c r="J6" s="101">
        <f t="shared" si="0"/>
        <v>-158752</v>
      </c>
      <c r="K6" s="84"/>
      <c r="L6" s="85"/>
      <c r="M6" s="86"/>
    </row>
    <row r="7" spans="1:14" x14ac:dyDescent="0.3">
      <c r="A7" s="10"/>
      <c r="B7" s="6"/>
      <c r="C7" s="195" t="s">
        <v>323</v>
      </c>
      <c r="D7" s="146"/>
      <c r="E7" s="146"/>
      <c r="F7" s="146"/>
      <c r="G7" s="147"/>
      <c r="H7" s="97">
        <f>H8</f>
        <v>62518</v>
      </c>
      <c r="I7" s="97">
        <v>17600</v>
      </c>
      <c r="J7" s="98">
        <f t="shared" si="0"/>
        <v>44918</v>
      </c>
      <c r="K7" s="175"/>
      <c r="L7" s="165"/>
      <c r="M7" s="166"/>
    </row>
    <row r="8" spans="1:14" x14ac:dyDescent="0.3">
      <c r="A8" s="10"/>
      <c r="B8" s="6"/>
      <c r="C8" s="163"/>
      <c r="D8" s="145" t="s">
        <v>40</v>
      </c>
      <c r="E8" s="146"/>
      <c r="F8" s="146"/>
      <c r="G8" s="147"/>
      <c r="H8" s="148">
        <f>H9</f>
        <v>62518</v>
      </c>
      <c r="I8" s="148">
        <v>17600</v>
      </c>
      <c r="J8" s="9">
        <f t="shared" si="0"/>
        <v>44918</v>
      </c>
      <c r="K8" s="164"/>
      <c r="L8" s="165"/>
      <c r="M8" s="166"/>
    </row>
    <row r="9" spans="1:14" x14ac:dyDescent="0.3">
      <c r="A9" s="10"/>
      <c r="B9" s="6"/>
      <c r="C9" s="150"/>
      <c r="D9" s="151"/>
      <c r="E9" s="145" t="s">
        <v>39</v>
      </c>
      <c r="F9" s="146"/>
      <c r="G9" s="147"/>
      <c r="H9" s="97">
        <f>SUM(H10,H19,H25,H29)</f>
        <v>62518</v>
      </c>
      <c r="I9" s="97">
        <v>17600</v>
      </c>
      <c r="J9" s="98">
        <f t="shared" si="0"/>
        <v>44918</v>
      </c>
      <c r="K9" s="90"/>
      <c r="L9" s="99"/>
      <c r="M9" s="88"/>
    </row>
    <row r="10" spans="1:14" x14ac:dyDescent="0.3">
      <c r="A10" s="68"/>
      <c r="B10" s="70"/>
      <c r="C10" s="70"/>
      <c r="D10" s="70"/>
      <c r="E10" s="70"/>
      <c r="F10" s="152" t="s">
        <v>41</v>
      </c>
      <c r="G10" s="156"/>
      <c r="H10" s="77">
        <f>SUM(H11,H15,H17)</f>
        <v>19818</v>
      </c>
      <c r="I10" s="77">
        <v>3600</v>
      </c>
      <c r="J10" s="106">
        <f t="shared" si="0"/>
        <v>16218</v>
      </c>
      <c r="K10" s="160"/>
      <c r="L10" s="38"/>
      <c r="M10" s="37"/>
    </row>
    <row r="11" spans="1:14" x14ac:dyDescent="0.3">
      <c r="A11" s="57"/>
      <c r="B11" s="60"/>
      <c r="C11" s="70"/>
      <c r="D11" s="70"/>
      <c r="E11" s="70"/>
      <c r="F11" s="208"/>
      <c r="G11" s="226" t="s">
        <v>42</v>
      </c>
      <c r="H11" s="227">
        <f>M11</f>
        <v>5770</v>
      </c>
      <c r="I11" s="227">
        <v>3600</v>
      </c>
      <c r="J11" s="41">
        <f t="shared" si="0"/>
        <v>2170</v>
      </c>
      <c r="K11" s="36" t="s">
        <v>60</v>
      </c>
      <c r="L11" s="229"/>
      <c r="M11" s="242">
        <f>SUM(M12:M14)</f>
        <v>5770</v>
      </c>
    </row>
    <row r="12" spans="1:14" x14ac:dyDescent="0.3">
      <c r="A12" s="57"/>
      <c r="B12" s="60"/>
      <c r="C12" s="70"/>
      <c r="D12" s="70"/>
      <c r="E12" s="70"/>
      <c r="F12" s="58"/>
      <c r="G12" s="58"/>
      <c r="H12" s="110"/>
      <c r="I12" s="110"/>
      <c r="J12" s="112"/>
      <c r="K12" s="209" t="s">
        <v>476</v>
      </c>
      <c r="L12" s="220" t="s">
        <v>43</v>
      </c>
      <c r="M12" s="207">
        <v>2520</v>
      </c>
    </row>
    <row r="13" spans="1:14" s="66" customFormat="1" ht="18" customHeight="1" x14ac:dyDescent="0.3">
      <c r="A13" s="68"/>
      <c r="B13" s="70"/>
      <c r="C13" s="70"/>
      <c r="D13" s="161"/>
      <c r="E13" s="206"/>
      <c r="F13" s="206"/>
      <c r="G13" s="73"/>
      <c r="H13" s="79"/>
      <c r="I13" s="79"/>
      <c r="J13" s="79"/>
      <c r="K13" s="237" t="s">
        <v>675</v>
      </c>
      <c r="L13" s="45" t="s">
        <v>43</v>
      </c>
      <c r="M13" s="391">
        <v>2250</v>
      </c>
      <c r="N13" s="67"/>
    </row>
    <row r="14" spans="1:14" s="66" customFormat="1" ht="18" customHeight="1" x14ac:dyDescent="0.3">
      <c r="A14" s="68"/>
      <c r="B14" s="70"/>
      <c r="C14" s="70"/>
      <c r="D14" s="161"/>
      <c r="E14" s="206"/>
      <c r="F14" s="206"/>
      <c r="G14" s="73"/>
      <c r="H14" s="79"/>
      <c r="I14" s="79"/>
      <c r="J14" s="79"/>
      <c r="K14" s="237" t="s">
        <v>676</v>
      </c>
      <c r="L14" s="45" t="s">
        <v>43</v>
      </c>
      <c r="M14" s="391">
        <v>1000</v>
      </c>
      <c r="N14" s="67"/>
    </row>
    <row r="15" spans="1:14" x14ac:dyDescent="0.3">
      <c r="A15" s="68"/>
      <c r="B15" s="70"/>
      <c r="C15" s="70"/>
      <c r="D15" s="161"/>
      <c r="E15" s="206"/>
      <c r="F15" s="206"/>
      <c r="G15" s="69" t="s">
        <v>13</v>
      </c>
      <c r="H15" s="78">
        <f>M15</f>
        <v>8000</v>
      </c>
      <c r="I15" s="78">
        <v>15000</v>
      </c>
      <c r="J15" s="78">
        <f>H15-I15</f>
        <v>-7000</v>
      </c>
      <c r="K15" s="266" t="s">
        <v>50</v>
      </c>
      <c r="L15" s="44"/>
      <c r="M15" s="242">
        <f>SUM(M16)</f>
        <v>8000</v>
      </c>
    </row>
    <row r="16" spans="1:14" x14ac:dyDescent="0.3">
      <c r="A16" s="68"/>
      <c r="B16" s="70"/>
      <c r="C16" s="70"/>
      <c r="D16" s="161"/>
      <c r="E16" s="206"/>
      <c r="F16" s="206"/>
      <c r="G16" s="72"/>
      <c r="H16" s="76"/>
      <c r="I16" s="76"/>
      <c r="J16" s="76"/>
      <c r="K16" s="239" t="s">
        <v>576</v>
      </c>
      <c r="L16" s="222" t="s">
        <v>0</v>
      </c>
      <c r="M16" s="213">
        <v>8000</v>
      </c>
    </row>
    <row r="17" spans="1:68" s="153" customFormat="1" ht="18" customHeight="1" x14ac:dyDescent="0.15">
      <c r="A17" s="57"/>
      <c r="B17" s="60"/>
      <c r="C17" s="70"/>
      <c r="D17" s="70"/>
      <c r="E17" s="70"/>
      <c r="F17" s="58"/>
      <c r="G17" s="226" t="s">
        <v>339</v>
      </c>
      <c r="H17" s="227">
        <f>M17</f>
        <v>6048</v>
      </c>
      <c r="I17" s="227">
        <v>0</v>
      </c>
      <c r="J17" s="228">
        <f>H17-I17</f>
        <v>6048</v>
      </c>
      <c r="K17" s="36" t="s">
        <v>340</v>
      </c>
      <c r="L17" s="51"/>
      <c r="M17" s="242">
        <f>SUM(M18)</f>
        <v>6048</v>
      </c>
    </row>
    <row r="18" spans="1:68" s="153" customFormat="1" ht="18" customHeight="1" x14ac:dyDescent="0.15">
      <c r="A18" s="70"/>
      <c r="B18" s="70"/>
      <c r="C18" s="70"/>
      <c r="D18" s="70"/>
      <c r="E18" s="70"/>
      <c r="F18" s="58"/>
      <c r="G18" s="58"/>
      <c r="H18" s="110"/>
      <c r="I18" s="110"/>
      <c r="J18" s="112"/>
      <c r="K18" s="239" t="s">
        <v>486</v>
      </c>
      <c r="L18" s="222" t="s">
        <v>43</v>
      </c>
      <c r="M18" s="207">
        <v>6048</v>
      </c>
    </row>
    <row r="19" spans="1:68" x14ac:dyDescent="0.3">
      <c r="A19" s="70"/>
      <c r="B19" s="70"/>
      <c r="C19" s="70"/>
      <c r="D19" s="70"/>
      <c r="E19" s="70"/>
      <c r="F19" s="450" t="s">
        <v>46</v>
      </c>
      <c r="G19" s="451"/>
      <c r="H19" s="168">
        <f>H20+H23</f>
        <v>36600</v>
      </c>
      <c r="I19" s="168">
        <v>37000</v>
      </c>
      <c r="J19" s="169">
        <f>H19-I19</f>
        <v>-400</v>
      </c>
      <c r="K19" s="170"/>
      <c r="L19" s="61"/>
      <c r="M19" s="63"/>
    </row>
    <row r="20" spans="1:68" x14ac:dyDescent="0.3">
      <c r="A20" s="70"/>
      <c r="B20" s="70"/>
      <c r="C20" s="70"/>
      <c r="D20" s="70"/>
      <c r="E20" s="70"/>
      <c r="F20" s="125"/>
      <c r="G20" s="216" t="s">
        <v>47</v>
      </c>
      <c r="H20" s="230">
        <f>M20</f>
        <v>12600</v>
      </c>
      <c r="I20" s="227">
        <v>11000</v>
      </c>
      <c r="J20" s="219">
        <f>H20-I20</f>
        <v>1600</v>
      </c>
      <c r="K20" s="36" t="s">
        <v>58</v>
      </c>
      <c r="L20" s="232"/>
      <c r="M20" s="242">
        <f>SUM(M21:M22)</f>
        <v>12600</v>
      </c>
    </row>
    <row r="21" spans="1:68" s="153" customFormat="1" ht="18" customHeight="1" x14ac:dyDescent="0.15">
      <c r="A21" s="70"/>
      <c r="B21" s="70"/>
      <c r="C21" s="70"/>
      <c r="D21" s="70"/>
      <c r="E21" s="70"/>
      <c r="F21" s="211"/>
      <c r="G21" s="211"/>
      <c r="H21" s="110"/>
      <c r="I21" s="117"/>
      <c r="J21" s="112"/>
      <c r="K21" s="237" t="s">
        <v>542</v>
      </c>
      <c r="L21" s="103" t="s">
        <v>0</v>
      </c>
      <c r="M21" s="207">
        <v>3360</v>
      </c>
      <c r="N21"/>
      <c r="O21"/>
      <c r="P21"/>
      <c r="Q21"/>
      <c r="R21" s="111"/>
      <c r="U21" s="55"/>
      <c r="V21" s="64"/>
      <c r="W21" s="64"/>
      <c r="X21" s="64"/>
      <c r="Y21" s="64"/>
      <c r="Z21" s="64"/>
      <c r="AA21" s="64"/>
      <c r="AB21" s="64"/>
      <c r="AC21" s="64">
        <v>9</v>
      </c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</row>
    <row r="22" spans="1:68" s="153" customFormat="1" ht="18" customHeight="1" x14ac:dyDescent="0.15">
      <c r="A22" s="70"/>
      <c r="B22" s="70"/>
      <c r="C22" s="70"/>
      <c r="D22" s="70"/>
      <c r="E22" s="70"/>
      <c r="F22" s="211"/>
      <c r="G22" s="211"/>
      <c r="H22" s="110"/>
      <c r="I22" s="117"/>
      <c r="J22" s="112"/>
      <c r="K22" s="239" t="s">
        <v>543</v>
      </c>
      <c r="L22" s="231" t="s">
        <v>0</v>
      </c>
      <c r="M22" s="207">
        <v>9240</v>
      </c>
      <c r="N22"/>
      <c r="O22"/>
      <c r="P22"/>
      <c r="Q22"/>
      <c r="R22" s="111"/>
    </row>
    <row r="23" spans="1:68" x14ac:dyDescent="0.3">
      <c r="A23" s="70"/>
      <c r="B23" s="70"/>
      <c r="C23" s="70"/>
      <c r="D23" s="70"/>
      <c r="E23" s="70"/>
      <c r="F23" s="119"/>
      <c r="G23" s="216" t="s">
        <v>577</v>
      </c>
      <c r="H23" s="230">
        <f>M23</f>
        <v>24000</v>
      </c>
      <c r="I23" s="227">
        <v>26000</v>
      </c>
      <c r="J23" s="219">
        <f>H23-I23</f>
        <v>-2000</v>
      </c>
      <c r="K23" s="36" t="s">
        <v>59</v>
      </c>
      <c r="L23" s="232"/>
      <c r="M23" s="242">
        <f>SUM(M24:M25)</f>
        <v>24000</v>
      </c>
    </row>
    <row r="24" spans="1:68" s="153" customFormat="1" ht="18" customHeight="1" x14ac:dyDescent="0.15">
      <c r="A24" s="70"/>
      <c r="B24" s="70"/>
      <c r="C24" s="70"/>
      <c r="D24" s="70"/>
      <c r="E24" s="70"/>
      <c r="F24" s="211"/>
      <c r="G24" s="211"/>
      <c r="H24" s="110"/>
      <c r="I24" s="117"/>
      <c r="J24" s="112"/>
      <c r="K24" s="237" t="s">
        <v>578</v>
      </c>
      <c r="L24" s="231" t="s">
        <v>0</v>
      </c>
      <c r="M24" s="207">
        <v>24000</v>
      </c>
      <c r="N24"/>
      <c r="O24"/>
      <c r="P24"/>
      <c r="Q24"/>
      <c r="R24" s="111"/>
      <c r="U24" s="55"/>
      <c r="V24" s="64"/>
      <c r="W24" s="64"/>
      <c r="X24" s="64"/>
      <c r="Y24" s="64"/>
      <c r="Z24" s="64"/>
      <c r="AA24" s="64"/>
      <c r="AB24" s="64"/>
      <c r="AC24" s="64">
        <v>9</v>
      </c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</row>
    <row r="25" spans="1:68" x14ac:dyDescent="0.3">
      <c r="A25" s="70"/>
      <c r="B25" s="70"/>
      <c r="C25" s="70"/>
      <c r="D25" s="70"/>
      <c r="E25" s="70"/>
      <c r="F25" s="450" t="s">
        <v>48</v>
      </c>
      <c r="G25" s="451"/>
      <c r="H25" s="168">
        <f>H26</f>
        <v>4000</v>
      </c>
      <c r="I25" s="168">
        <v>3000</v>
      </c>
      <c r="J25" s="169">
        <f>H25-I25</f>
        <v>1000</v>
      </c>
      <c r="K25" s="405"/>
      <c r="L25" s="61"/>
      <c r="M25" s="63"/>
    </row>
    <row r="26" spans="1:68" x14ac:dyDescent="0.3">
      <c r="A26" s="70"/>
      <c r="B26" s="70"/>
      <c r="C26" s="70"/>
      <c r="D26" s="70"/>
      <c r="E26" s="70"/>
      <c r="F26" s="211"/>
      <c r="G26" s="125" t="s">
        <v>49</v>
      </c>
      <c r="H26" s="230">
        <f>M26</f>
        <v>4000</v>
      </c>
      <c r="I26" s="230">
        <v>3000</v>
      </c>
      <c r="J26" s="219">
        <f>H26-I26</f>
        <v>1000</v>
      </c>
      <c r="K26" s="233" t="s">
        <v>162</v>
      </c>
      <c r="L26" s="229"/>
      <c r="M26" s="242">
        <f>SUM(M27:M28)</f>
        <v>4000</v>
      </c>
    </row>
    <row r="27" spans="1:68" x14ac:dyDescent="0.3">
      <c r="A27" s="73"/>
      <c r="B27" s="70"/>
      <c r="C27" s="70"/>
      <c r="D27" s="70"/>
      <c r="E27" s="70"/>
      <c r="F27" s="211"/>
      <c r="G27" s="119"/>
      <c r="H27" s="120"/>
      <c r="I27" s="120"/>
      <c r="J27" s="121"/>
      <c r="K27" s="411" t="s">
        <v>654</v>
      </c>
      <c r="L27" s="103" t="s">
        <v>0</v>
      </c>
      <c r="M27" s="207">
        <v>2000</v>
      </c>
    </row>
    <row r="28" spans="1:68" x14ac:dyDescent="0.3">
      <c r="A28" s="365"/>
      <c r="B28" s="366"/>
      <c r="C28" s="366"/>
      <c r="D28" s="366"/>
      <c r="E28" s="366"/>
      <c r="F28" s="212"/>
      <c r="G28" s="212"/>
      <c r="H28" s="115"/>
      <c r="I28" s="171"/>
      <c r="J28" s="171"/>
      <c r="K28" s="215" t="s">
        <v>655</v>
      </c>
      <c r="L28" s="231" t="s">
        <v>0</v>
      </c>
      <c r="M28" s="213">
        <v>2000</v>
      </c>
    </row>
    <row r="29" spans="1:68" x14ac:dyDescent="0.3">
      <c r="A29" s="68"/>
      <c r="B29" s="70"/>
      <c r="C29" s="70"/>
      <c r="D29" s="70"/>
      <c r="E29" s="70"/>
      <c r="F29" s="383" t="s">
        <v>99</v>
      </c>
      <c r="G29" s="75"/>
      <c r="H29" s="76">
        <f>H30</f>
        <v>2100</v>
      </c>
      <c r="I29" s="76">
        <v>0</v>
      </c>
      <c r="J29" s="162">
        <f>H29-I29</f>
        <v>2100</v>
      </c>
      <c r="K29" s="315"/>
      <c r="L29" s="316"/>
      <c r="M29" s="384"/>
    </row>
    <row r="30" spans="1:68" x14ac:dyDescent="0.3">
      <c r="A30" s="68"/>
      <c r="B30" s="70"/>
      <c r="C30" s="70"/>
      <c r="D30" s="70"/>
      <c r="E30" s="70"/>
      <c r="F30" s="159"/>
      <c r="G30" s="70" t="s">
        <v>103</v>
      </c>
      <c r="H30" s="81">
        <f>M30</f>
        <v>2100</v>
      </c>
      <c r="I30" s="81">
        <v>0</v>
      </c>
      <c r="J30" s="48">
        <f>H30-I30</f>
        <v>2100</v>
      </c>
      <c r="K30" s="36" t="s">
        <v>471</v>
      </c>
      <c r="L30" s="39"/>
      <c r="M30" s="242">
        <f>M31</f>
        <v>2100</v>
      </c>
    </row>
    <row r="31" spans="1:68" ht="17.25" thickBot="1" x14ac:dyDescent="0.35">
      <c r="A31" s="74"/>
      <c r="B31" s="74"/>
      <c r="C31" s="74"/>
      <c r="D31" s="74"/>
      <c r="E31" s="74"/>
      <c r="F31" s="385"/>
      <c r="G31" s="217"/>
      <c r="H31" s="386"/>
      <c r="I31" s="387"/>
      <c r="J31" s="388"/>
      <c r="K31" s="257" t="s">
        <v>475</v>
      </c>
      <c r="L31" s="258" t="s">
        <v>0</v>
      </c>
      <c r="M31" s="271">
        <v>2100</v>
      </c>
    </row>
  </sheetData>
  <protectedRanges>
    <protectedRange password="ECE8" sqref="N17:U18" name="작성자만수정_2_1_1"/>
    <protectedRange password="ECE8" sqref="R21:AD22 R24:AD24" name="작성자만수정_2_1_1_1"/>
  </protectedRanges>
  <autoFilter ref="A3:BP31">
    <filterColumn colId="10" showButton="0"/>
    <filterColumn colId="11" showButton="0"/>
  </autoFilter>
  <mergeCells count="10">
    <mergeCell ref="K2:M3"/>
    <mergeCell ref="A4:G4"/>
    <mergeCell ref="F19:G19"/>
    <mergeCell ref="F25:G25"/>
    <mergeCell ref="A2:A3"/>
    <mergeCell ref="B2:D2"/>
    <mergeCell ref="E2:G2"/>
    <mergeCell ref="H2:H3"/>
    <mergeCell ref="I2:I3"/>
    <mergeCell ref="J2:J3"/>
  </mergeCells>
  <phoneticPr fontId="12" type="noConversion"/>
  <conditionalFormatting sqref="J28">
    <cfRule type="containsText" dxfId="791" priority="187" operator="containsText" text="허하나로">
      <formula>NOT(ISERROR(SEARCH("허하나로",H1054)))</formula>
    </cfRule>
    <cfRule type="containsText" dxfId="790" priority="188" operator="containsText" text="한별">
      <formula>NOT(ISERROR(SEARCH("한별",H1054)))</formula>
    </cfRule>
    <cfRule type="containsText" dxfId="789" priority="189" operator="containsText" text="정홍조">
      <formula>NOT(ISERROR(SEARCH("정홍조",H1054)))</formula>
    </cfRule>
    <cfRule type="containsText" dxfId="788" priority="190" operator="containsText" text="김지윤">
      <formula>NOT(ISERROR(SEARCH("김지윤",H1054)))</formula>
    </cfRule>
    <cfRule type="containsText" dxfId="787" priority="191" operator="containsText" text="전준영">
      <formula>NOT(ISERROR(SEARCH("전준영",H1054)))</formula>
    </cfRule>
    <cfRule type="containsText" dxfId="786" priority="192" operator="containsText" text="차재성">
      <formula>NOT(ISERROR(SEARCH("차재성",H1054)))</formula>
    </cfRule>
  </conditionalFormatting>
  <conditionalFormatting sqref="J2:J3">
    <cfRule type="containsText" dxfId="785" priority="217" operator="containsText" text="허하나로">
      <formula>NOT(ISERROR(SEARCH("허하나로",H692)))</formula>
    </cfRule>
    <cfRule type="containsText" dxfId="784" priority="218" operator="containsText" text="한별">
      <formula>NOT(ISERROR(SEARCH("한별",H692)))</formula>
    </cfRule>
    <cfRule type="containsText" dxfId="783" priority="219" operator="containsText" text="정홍조">
      <formula>NOT(ISERROR(SEARCH("정홍조",H692)))</formula>
    </cfRule>
    <cfRule type="containsText" dxfId="782" priority="220" operator="containsText" text="김지윤">
      <formula>NOT(ISERROR(SEARCH("김지윤",H692)))</formula>
    </cfRule>
    <cfRule type="containsText" dxfId="781" priority="221" operator="containsText" text="전준영">
      <formula>NOT(ISERROR(SEARCH("전준영",H692)))</formula>
    </cfRule>
    <cfRule type="containsText" dxfId="780" priority="222" operator="containsText" text="차재성">
      <formula>NOT(ISERROR(SEARCH("차재성",H692)))</formula>
    </cfRule>
  </conditionalFormatting>
  <conditionalFormatting sqref="J6">
    <cfRule type="containsText" dxfId="779" priority="199" operator="containsText" text="허하나로">
      <formula>NOT(ISERROR(SEARCH("허하나로",H690)))</formula>
    </cfRule>
    <cfRule type="containsText" dxfId="778" priority="200" operator="containsText" text="한별">
      <formula>NOT(ISERROR(SEARCH("한별",H690)))</formula>
    </cfRule>
    <cfRule type="containsText" dxfId="777" priority="201" operator="containsText" text="정홍조">
      <formula>NOT(ISERROR(SEARCH("정홍조",H690)))</formula>
    </cfRule>
    <cfRule type="containsText" dxfId="776" priority="202" operator="containsText" text="김지윤">
      <formula>NOT(ISERROR(SEARCH("김지윤",H690)))</formula>
    </cfRule>
    <cfRule type="containsText" dxfId="775" priority="203" operator="containsText" text="전준영">
      <formula>NOT(ISERROR(SEARCH("전준영",H690)))</formula>
    </cfRule>
    <cfRule type="containsText" dxfId="774" priority="204" operator="containsText" text="차재성">
      <formula>NOT(ISERROR(SEARCH("차재성",H690)))</formula>
    </cfRule>
  </conditionalFormatting>
  <conditionalFormatting sqref="J5">
    <cfRule type="containsText" dxfId="773" priority="193" operator="containsText" text="허하나로">
      <formula>NOT(ISERROR(SEARCH("허하나로",H689)))</formula>
    </cfRule>
    <cfRule type="containsText" dxfId="772" priority="194" operator="containsText" text="한별">
      <formula>NOT(ISERROR(SEARCH("한별",H689)))</formula>
    </cfRule>
    <cfRule type="containsText" dxfId="771" priority="195" operator="containsText" text="정홍조">
      <formula>NOT(ISERROR(SEARCH("정홍조",H689)))</formula>
    </cfRule>
    <cfRule type="containsText" dxfId="770" priority="196" operator="containsText" text="김지윤">
      <formula>NOT(ISERROR(SEARCH("김지윤",H689)))</formula>
    </cfRule>
    <cfRule type="containsText" dxfId="769" priority="197" operator="containsText" text="전준영">
      <formula>NOT(ISERROR(SEARCH("전준영",H689)))</formula>
    </cfRule>
    <cfRule type="containsText" dxfId="768" priority="198" operator="containsText" text="차재성">
      <formula>NOT(ISERROR(SEARCH("차재성",H689)))</formula>
    </cfRule>
  </conditionalFormatting>
  <conditionalFormatting sqref="J7">
    <cfRule type="containsText" dxfId="767" priority="181" operator="containsText" text="허하나로">
      <formula>NOT(ISERROR(SEARCH("허하나로",H823)))</formula>
    </cfRule>
    <cfRule type="containsText" dxfId="766" priority="182" operator="containsText" text="한별">
      <formula>NOT(ISERROR(SEARCH("한별",H823)))</formula>
    </cfRule>
    <cfRule type="containsText" dxfId="765" priority="183" operator="containsText" text="정홍조">
      <formula>NOT(ISERROR(SEARCH("정홍조",H823)))</formula>
    </cfRule>
    <cfRule type="containsText" dxfId="764" priority="184" operator="containsText" text="김지윤">
      <formula>NOT(ISERROR(SEARCH("김지윤",H823)))</formula>
    </cfRule>
    <cfRule type="containsText" dxfId="763" priority="185" operator="containsText" text="전준영">
      <formula>NOT(ISERROR(SEARCH("전준영",H823)))</formula>
    </cfRule>
    <cfRule type="containsText" dxfId="762" priority="186" operator="containsText" text="차재성">
      <formula>NOT(ISERROR(SEARCH("차재성",H823)))</formula>
    </cfRule>
  </conditionalFormatting>
  <conditionalFormatting sqref="J10:J11">
    <cfRule type="containsText" dxfId="761" priority="175" operator="containsText" text="허하나로">
      <formula>NOT(ISERROR(SEARCH("허하나로",H1031)))</formula>
    </cfRule>
    <cfRule type="containsText" dxfId="760" priority="176" operator="containsText" text="한별">
      <formula>NOT(ISERROR(SEARCH("한별",H1031)))</formula>
    </cfRule>
    <cfRule type="containsText" dxfId="759" priority="177" operator="containsText" text="정홍조">
      <formula>NOT(ISERROR(SEARCH("정홍조",H1031)))</formula>
    </cfRule>
    <cfRule type="containsText" dxfId="758" priority="178" operator="containsText" text="김지윤">
      <formula>NOT(ISERROR(SEARCH("김지윤",H1031)))</formula>
    </cfRule>
    <cfRule type="containsText" dxfId="757" priority="179" operator="containsText" text="전준영">
      <formula>NOT(ISERROR(SEARCH("전준영",H1031)))</formula>
    </cfRule>
    <cfRule type="containsText" dxfId="756" priority="180" operator="containsText" text="차재성">
      <formula>NOT(ISERROR(SEARCH("차재성",H1031)))</formula>
    </cfRule>
  </conditionalFormatting>
  <conditionalFormatting sqref="J12">
    <cfRule type="containsText" dxfId="755" priority="169" operator="containsText" text="허하나로">
      <formula>NOT(ISERROR(SEARCH("허하나로",H1022)))</formula>
    </cfRule>
    <cfRule type="containsText" dxfId="754" priority="170" operator="containsText" text="한별">
      <formula>NOT(ISERROR(SEARCH("한별",H1022)))</formula>
    </cfRule>
    <cfRule type="containsText" dxfId="753" priority="171" operator="containsText" text="정홍조">
      <formula>NOT(ISERROR(SEARCH("정홍조",H1022)))</formula>
    </cfRule>
    <cfRule type="containsText" dxfId="752" priority="172" operator="containsText" text="김지윤">
      <formula>NOT(ISERROR(SEARCH("김지윤",H1022)))</formula>
    </cfRule>
    <cfRule type="containsText" dxfId="751" priority="173" operator="containsText" text="전준영">
      <formula>NOT(ISERROR(SEARCH("전준영",H1022)))</formula>
    </cfRule>
    <cfRule type="containsText" dxfId="750" priority="174" operator="containsText" text="차재성">
      <formula>NOT(ISERROR(SEARCH("차재성",H1022)))</formula>
    </cfRule>
  </conditionalFormatting>
  <conditionalFormatting sqref="J9">
    <cfRule type="containsText" dxfId="749" priority="223" operator="containsText" text="허하나로">
      <formula>NOT(ISERROR(SEARCH("허하나로",H1020)))</formula>
    </cfRule>
    <cfRule type="containsText" dxfId="748" priority="224" operator="containsText" text="한별">
      <formula>NOT(ISERROR(SEARCH("한별",H1020)))</formula>
    </cfRule>
    <cfRule type="containsText" dxfId="747" priority="225" operator="containsText" text="정홍조">
      <formula>NOT(ISERROR(SEARCH("정홍조",H1020)))</formula>
    </cfRule>
    <cfRule type="containsText" dxfId="746" priority="226" operator="containsText" text="김지윤">
      <formula>NOT(ISERROR(SEARCH("김지윤",H1020)))</formula>
    </cfRule>
    <cfRule type="containsText" dxfId="745" priority="227" operator="containsText" text="전준영">
      <formula>NOT(ISERROR(SEARCH("전준영",H1020)))</formula>
    </cfRule>
    <cfRule type="containsText" dxfId="744" priority="228" operator="containsText" text="차재성">
      <formula>NOT(ISERROR(SEARCH("차재성",H1020)))</formula>
    </cfRule>
  </conditionalFormatting>
  <conditionalFormatting sqref="J25">
    <cfRule type="containsText" dxfId="743" priority="163" operator="containsText" text="허하나로">
      <formula>NOT(ISERROR(SEARCH("허하나로",H1037)))</formula>
    </cfRule>
    <cfRule type="containsText" dxfId="742" priority="164" operator="containsText" text="한별">
      <formula>NOT(ISERROR(SEARCH("한별",H1037)))</formula>
    </cfRule>
    <cfRule type="containsText" dxfId="741" priority="165" operator="containsText" text="정홍조">
      <formula>NOT(ISERROR(SEARCH("정홍조",H1037)))</formula>
    </cfRule>
    <cfRule type="containsText" dxfId="740" priority="166" operator="containsText" text="김지윤">
      <formula>NOT(ISERROR(SEARCH("김지윤",H1037)))</formula>
    </cfRule>
    <cfRule type="containsText" dxfId="739" priority="167" operator="containsText" text="전준영">
      <formula>NOT(ISERROR(SEARCH("전준영",H1037)))</formula>
    </cfRule>
    <cfRule type="containsText" dxfId="738" priority="168" operator="containsText" text="차재성">
      <formula>NOT(ISERROR(SEARCH("차재성",H1037)))</formula>
    </cfRule>
  </conditionalFormatting>
  <conditionalFormatting sqref="L20">
    <cfRule type="containsText" dxfId="737" priority="157" operator="containsText" text="허하나로">
      <formula>NOT(ISERROR(SEARCH("허하나로",J1168)))</formula>
    </cfRule>
    <cfRule type="containsText" dxfId="736" priority="158" operator="containsText" text="한별">
      <formula>NOT(ISERROR(SEARCH("한별",J1168)))</formula>
    </cfRule>
    <cfRule type="containsText" dxfId="735" priority="159" operator="containsText" text="정홍조">
      <formula>NOT(ISERROR(SEARCH("정홍조",J1168)))</formula>
    </cfRule>
    <cfRule type="containsText" dxfId="734" priority="160" operator="containsText" text="김지윤">
      <formula>NOT(ISERROR(SEARCH("김지윤",J1168)))</formula>
    </cfRule>
    <cfRule type="containsText" dxfId="733" priority="161" operator="containsText" text="전준영">
      <formula>NOT(ISERROR(SEARCH("전준영",J1168)))</formula>
    </cfRule>
    <cfRule type="containsText" dxfId="732" priority="162" operator="containsText" text="차재성">
      <formula>NOT(ISERROR(SEARCH("차재성",J1168)))</formula>
    </cfRule>
  </conditionalFormatting>
  <conditionalFormatting sqref="I28">
    <cfRule type="containsText" dxfId="731" priority="151" operator="containsText" text="허하나로">
      <formula>NOT(ISERROR(SEARCH("허하나로",G1054)))</formula>
    </cfRule>
    <cfRule type="containsText" dxfId="730" priority="152" operator="containsText" text="한별">
      <formula>NOT(ISERROR(SEARCH("한별",G1054)))</formula>
    </cfRule>
    <cfRule type="containsText" dxfId="729" priority="153" operator="containsText" text="정홍조">
      <formula>NOT(ISERROR(SEARCH("정홍조",G1054)))</formula>
    </cfRule>
    <cfRule type="containsText" dxfId="728" priority="154" operator="containsText" text="김지윤">
      <formula>NOT(ISERROR(SEARCH("김지윤",G1054)))</formula>
    </cfRule>
    <cfRule type="containsText" dxfId="727" priority="155" operator="containsText" text="전준영">
      <formula>NOT(ISERROR(SEARCH("전준영",G1054)))</formula>
    </cfRule>
    <cfRule type="containsText" dxfId="726" priority="156" operator="containsText" text="차재성">
      <formula>NOT(ISERROR(SEARCH("차재성",G1054)))</formula>
    </cfRule>
  </conditionalFormatting>
  <conditionalFormatting sqref="J19:J20">
    <cfRule type="containsText" dxfId="725" priority="1333" operator="containsText" text="허하나로">
      <formula>NOT(ISERROR(SEARCH("허하나로",H1033)))</formula>
    </cfRule>
    <cfRule type="containsText" dxfId="724" priority="1334" operator="containsText" text="한별">
      <formula>NOT(ISERROR(SEARCH("한별",H1033)))</formula>
    </cfRule>
    <cfRule type="containsText" dxfId="723" priority="1335" operator="containsText" text="정홍조">
      <formula>NOT(ISERROR(SEARCH("정홍조",H1033)))</formula>
    </cfRule>
    <cfRule type="containsText" dxfId="722" priority="1336" operator="containsText" text="김지윤">
      <formula>NOT(ISERROR(SEARCH("김지윤",H1033)))</formula>
    </cfRule>
    <cfRule type="containsText" dxfId="721" priority="1337" operator="containsText" text="전준영">
      <formula>NOT(ISERROR(SEARCH("전준영",H1033)))</formula>
    </cfRule>
    <cfRule type="containsText" dxfId="720" priority="1338" operator="containsText" text="차재성">
      <formula>NOT(ISERROR(SEARCH("차재성",H1033)))</formula>
    </cfRule>
  </conditionalFormatting>
  <conditionalFormatting sqref="L23">
    <cfRule type="containsText" dxfId="719" priority="7" operator="containsText" text="허하나로">
      <formula>NOT(ISERROR(SEARCH("허하나로",J1171)))</formula>
    </cfRule>
    <cfRule type="containsText" dxfId="718" priority="8" operator="containsText" text="한별">
      <formula>NOT(ISERROR(SEARCH("한별",J1171)))</formula>
    </cfRule>
    <cfRule type="containsText" dxfId="717" priority="9" operator="containsText" text="정홍조">
      <formula>NOT(ISERROR(SEARCH("정홍조",J1171)))</formula>
    </cfRule>
    <cfRule type="containsText" dxfId="716" priority="10" operator="containsText" text="김지윤">
      <formula>NOT(ISERROR(SEARCH("김지윤",J1171)))</formula>
    </cfRule>
    <cfRule type="containsText" dxfId="715" priority="11" operator="containsText" text="전준영">
      <formula>NOT(ISERROR(SEARCH("전준영",J1171)))</formula>
    </cfRule>
    <cfRule type="containsText" dxfId="714" priority="12" operator="containsText" text="차재성">
      <formula>NOT(ISERROR(SEARCH("차재성",J1171)))</formula>
    </cfRule>
  </conditionalFormatting>
  <conditionalFormatting sqref="J23">
    <cfRule type="containsText" dxfId="713" priority="13" operator="containsText" text="허하나로">
      <formula>NOT(ISERROR(SEARCH("허하나로",H1037)))</formula>
    </cfRule>
    <cfRule type="containsText" dxfId="712" priority="14" operator="containsText" text="한별">
      <formula>NOT(ISERROR(SEARCH("한별",H1037)))</formula>
    </cfRule>
    <cfRule type="containsText" dxfId="711" priority="15" operator="containsText" text="정홍조">
      <formula>NOT(ISERROR(SEARCH("정홍조",H1037)))</formula>
    </cfRule>
    <cfRule type="containsText" dxfId="710" priority="16" operator="containsText" text="김지윤">
      <formula>NOT(ISERROR(SEARCH("김지윤",H1037)))</formula>
    </cfRule>
    <cfRule type="containsText" dxfId="709" priority="17" operator="containsText" text="전준영">
      <formula>NOT(ISERROR(SEARCH("전준영",H1037)))</formula>
    </cfRule>
    <cfRule type="containsText" dxfId="708" priority="18" operator="containsText" text="차재성">
      <formula>NOT(ISERROR(SEARCH("차재성",H1037)))</formula>
    </cfRule>
  </conditionalFormatting>
  <conditionalFormatting sqref="J26:J27">
    <cfRule type="containsText" dxfId="707" priority="3955" operator="containsText" text="허하나로">
      <formula>NOT(ISERROR(SEARCH("허하나로",H1053)))</formula>
    </cfRule>
    <cfRule type="containsText" dxfId="706" priority="3956" operator="containsText" text="한별">
      <formula>NOT(ISERROR(SEARCH("한별",H1053)))</formula>
    </cfRule>
    <cfRule type="containsText" dxfId="705" priority="3957" operator="containsText" text="정홍조">
      <formula>NOT(ISERROR(SEARCH("정홍조",H1053)))</formula>
    </cfRule>
    <cfRule type="containsText" dxfId="704" priority="3958" operator="containsText" text="김지윤">
      <formula>NOT(ISERROR(SEARCH("김지윤",H1053)))</formula>
    </cfRule>
    <cfRule type="containsText" dxfId="703" priority="3959" operator="containsText" text="전준영">
      <formula>NOT(ISERROR(SEARCH("전준영",H1053)))</formula>
    </cfRule>
    <cfRule type="containsText" dxfId="702" priority="3960" operator="containsText" text="차재성">
      <formula>NOT(ISERROR(SEARCH("차재성",H1053)))</formula>
    </cfRule>
  </conditionalFormatting>
  <pageMargins left="0.7" right="0.7" top="0.75" bottom="0.75" header="0.3" footer="0.3"/>
  <pageSetup paperSize="8" scale="95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3" operator="containsText" text="허하나로" id="{1494A34C-D8A3-4A8C-912C-87C4FAE6F4D6}">
            <xm:f>NOT(ISERROR(SEARCH("허하나로",수익사업부!H1056)))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4" operator="containsText" text="한별" id="{9A05B581-3CB0-40FA-A3D0-8C32539C02F3}">
            <xm:f>NOT(ISERROR(SEARCH("한별",수익사업부!H1056)))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" operator="containsText" text="정홍조" id="{5CB65F46-528F-4FA5-9C17-1E1ECFAA8C5D}">
            <xm:f>NOT(ISERROR(SEARCH("정홍조",수익사업부!H1056)))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" operator="containsText" text="김지윤" id="{37AD3EC3-7B9F-49D6-8946-4D398A5481FD}">
            <xm:f>NOT(ISERROR(SEARCH("김지윤",수익사업부!H1056)))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7" operator="containsText" text="전준영" id="{5BB14AEF-6986-4F7A-A602-93F94736D366}">
            <xm:f>NOT(ISERROR(SEARCH("전준영",수익사업부!H1056)))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8" operator="containsText" text="차재성" id="{6C58C232-8A4D-477E-A03B-63ABFEA63310}">
            <xm:f>NOT(ISERROR(SEARCH("차재성",수익사업부!H1056)))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J17:J18</xm:sqref>
        </x14:conditionalFormatting>
        <x14:conditionalFormatting xmlns:xm="http://schemas.microsoft.com/office/excel/2006/main">
          <x14:cfRule type="containsText" priority="37" operator="containsText" text="허하나로" id="{45A443E8-C4D8-4C0E-B9C6-937C0ABE67BC}">
            <xm:f>NOT(ISERROR(SEARCH("허하나로",행정관리부!H1064)))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8" operator="containsText" text="한별" id="{6B29D7AA-BD7B-404B-B384-4E108E74B95E}">
            <xm:f>NOT(ISERROR(SEARCH("한별",행정관리부!H1064)))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" operator="containsText" text="정홍조" id="{E8F7FE3E-F176-4BB0-B382-DEB0465BE734}">
            <xm:f>NOT(ISERROR(SEARCH("정홍조",행정관리부!H1064)))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0" operator="containsText" text="김지윤" id="{CA469AEE-8E90-4132-9921-9DF657DF5252}">
            <xm:f>NOT(ISERROR(SEARCH("김지윤",행정관리부!H1064)))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" operator="containsText" text="전준영" id="{1334EC84-C5B8-47A1-AC4E-426C4FED141E}">
            <xm:f>NOT(ISERROR(SEARCH("전준영",행정관리부!H1064)))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2" operator="containsText" text="차재성" id="{F502BF71-523A-4F2B-A23D-5E33A84B616B}">
            <xm:f>NOT(ISERROR(SEARCH("차재성",행정관리부!H1064)))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J31</xm:sqref>
        </x14:conditionalFormatting>
        <x14:conditionalFormatting xmlns:xm="http://schemas.microsoft.com/office/excel/2006/main">
          <x14:cfRule type="containsText" priority="31" operator="containsText" text="허하나로" id="{683107EB-0B48-410E-BE87-36193006F129}">
            <xm:f>NOT(ISERROR(SEARCH("허하나로",행정관리부!H1120)))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2" operator="containsText" text="한별" id="{FF49DDE7-374E-488B-AA43-A31F7AECA83B}">
            <xm:f>NOT(ISERROR(SEARCH("한별",행정관리부!H1120)))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3" operator="containsText" text="정홍조" id="{4E23FB7A-C7E6-4FC1-BE14-6D722D9FA143}">
            <xm:f>NOT(ISERROR(SEARCH("정홍조",행정관리부!H1120)))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34" operator="containsText" text="김지윤" id="{DE2B97C3-6AAE-4706-A105-7CEAFC0529CB}">
            <xm:f>NOT(ISERROR(SEARCH("김지윤",행정관리부!H1120)))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5" operator="containsText" text="전준영" id="{CC69DB47-5128-4DC0-932E-29D124CDF9A6}">
            <xm:f>NOT(ISERROR(SEARCH("전준영",행정관리부!H1120)))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6" operator="containsText" text="차재성" id="{AE3ACC82-37D8-41F2-8D5E-53099CE05503}">
            <xm:f>NOT(ISERROR(SEARCH("차재성",행정관리부!H1120)))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J29:J30</xm:sqref>
        </x14:conditionalFormatting>
        <x14:conditionalFormatting xmlns:xm="http://schemas.microsoft.com/office/excel/2006/main">
          <x14:cfRule type="containsText" priority="19" operator="containsText" text="허하나로" id="{5F8876F6-6D44-4F20-9C56-05284E2F0DA9}">
            <xm:f>NOT(ISERROR(SEARCH("허하나로",수익사업부!H1067)))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0" operator="containsText" text="한별" id="{28E3B3F1-39ED-4490-BD5E-795907F76909}">
            <xm:f>NOT(ISERROR(SEARCH("한별",수익사업부!H1067)))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1" operator="containsText" text="정홍조" id="{F2B1C16F-AC01-47A8-B3A3-25918990979B}">
            <xm:f>NOT(ISERROR(SEARCH("정홍조",수익사업부!H1067)))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2" operator="containsText" text="김지윤" id="{3C9F8655-497D-436E-9A66-1092FDFD16A7}">
            <xm:f>NOT(ISERROR(SEARCH("김지윤",수익사업부!H1067)))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3" operator="containsText" text="전준영" id="{8C357196-AB86-4B1B-9B9B-EB10841D3BE8}">
            <xm:f>NOT(ISERROR(SEARCH("전준영",수익사업부!H1067)))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4" operator="containsText" text="차재성" id="{1F84DB7C-7797-4DF7-B703-0DACB1D12B0E}">
            <xm:f>NOT(ISERROR(SEARCH("차재성",수익사업부!H1067)))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J21:J22 J24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M42"/>
  <sheetViews>
    <sheetView zoomScale="85" zoomScaleNormal="85" workbookViewId="0"/>
  </sheetViews>
  <sheetFormatPr defaultRowHeight="16.5" x14ac:dyDescent="0.3"/>
  <cols>
    <col min="1" max="6" width="3.875" customWidth="1"/>
    <col min="7" max="7" width="32.625" customWidth="1"/>
    <col min="8" max="10" width="14.625" customWidth="1"/>
    <col min="11" max="11" width="60.625" customWidth="1"/>
    <col min="12" max="12" width="3.875" customWidth="1"/>
    <col min="13" max="13" width="10.25" bestFit="1" customWidth="1"/>
  </cols>
  <sheetData>
    <row r="1" spans="1:13" ht="17.25" thickBot="1" x14ac:dyDescent="0.2">
      <c r="A1" s="94" t="s">
        <v>409</v>
      </c>
      <c r="B1" s="43"/>
      <c r="C1" s="94"/>
      <c r="D1" s="94"/>
      <c r="E1" s="94"/>
      <c r="F1" s="94"/>
      <c r="G1" s="199"/>
      <c r="H1" s="200"/>
      <c r="I1" s="200"/>
      <c r="J1" s="199"/>
      <c r="K1" s="199"/>
      <c r="L1" s="199"/>
      <c r="M1" s="198" t="s">
        <v>410</v>
      </c>
    </row>
    <row r="2" spans="1:13" ht="17.25" customHeight="1" x14ac:dyDescent="0.3">
      <c r="A2" s="439" t="s">
        <v>411</v>
      </c>
      <c r="B2" s="441" t="s">
        <v>412</v>
      </c>
      <c r="C2" s="442"/>
      <c r="D2" s="443"/>
      <c r="E2" s="441" t="s">
        <v>413</v>
      </c>
      <c r="F2" s="442"/>
      <c r="G2" s="443"/>
      <c r="H2" s="444" t="s">
        <v>1</v>
      </c>
      <c r="I2" s="446" t="s">
        <v>2</v>
      </c>
      <c r="J2" s="448" t="s">
        <v>3</v>
      </c>
      <c r="K2" s="430" t="s">
        <v>4</v>
      </c>
      <c r="L2" s="431"/>
      <c r="M2" s="432"/>
    </row>
    <row r="3" spans="1:13" ht="17.25" thickBot="1" x14ac:dyDescent="0.35">
      <c r="A3" s="440"/>
      <c r="B3" s="135" t="s">
        <v>635</v>
      </c>
      <c r="C3" s="135" t="s">
        <v>414</v>
      </c>
      <c r="D3" s="135" t="s">
        <v>415</v>
      </c>
      <c r="E3" s="135" t="s">
        <v>416</v>
      </c>
      <c r="F3" s="135" t="s">
        <v>417</v>
      </c>
      <c r="G3" s="135" t="s">
        <v>418</v>
      </c>
      <c r="H3" s="445"/>
      <c r="I3" s="447"/>
      <c r="J3" s="449"/>
      <c r="K3" s="433"/>
      <c r="L3" s="434"/>
      <c r="M3" s="435"/>
    </row>
    <row r="4" spans="1:13" ht="17.25" thickBot="1" x14ac:dyDescent="0.35">
      <c r="A4" s="436" t="s">
        <v>419</v>
      </c>
      <c r="B4" s="437"/>
      <c r="C4" s="437"/>
      <c r="D4" s="437"/>
      <c r="E4" s="437"/>
      <c r="F4" s="437"/>
      <c r="G4" s="438"/>
      <c r="H4" s="201">
        <f>H5</f>
        <v>358632</v>
      </c>
      <c r="I4" s="201">
        <v>104400</v>
      </c>
      <c r="J4" s="136">
        <f>H4-I4</f>
        <v>254232</v>
      </c>
      <c r="K4" s="95"/>
      <c r="L4" s="96"/>
      <c r="M4" s="137"/>
    </row>
    <row r="5" spans="1:13" x14ac:dyDescent="0.3">
      <c r="A5" s="223" t="s">
        <v>420</v>
      </c>
      <c r="B5" s="138"/>
      <c r="C5" s="139"/>
      <c r="D5" s="139"/>
      <c r="E5" s="139"/>
      <c r="F5" s="139"/>
      <c r="G5" s="140"/>
      <c r="H5" s="100">
        <f>H6</f>
        <v>358632</v>
      </c>
      <c r="I5" s="100">
        <v>104400</v>
      </c>
      <c r="J5" s="101">
        <f>H5-I5</f>
        <v>254232</v>
      </c>
      <c r="K5" s="84"/>
      <c r="L5" s="85"/>
      <c r="M5" s="86"/>
    </row>
    <row r="6" spans="1:13" x14ac:dyDescent="0.3">
      <c r="A6" s="10"/>
      <c r="B6" s="145" t="s">
        <v>283</v>
      </c>
      <c r="C6" s="145"/>
      <c r="D6" s="146"/>
      <c r="E6" s="146"/>
      <c r="F6" s="146"/>
      <c r="G6" s="147"/>
      <c r="H6" s="100">
        <f>SUM(H7,H18)</f>
        <v>358632</v>
      </c>
      <c r="I6" s="100">
        <v>104400</v>
      </c>
      <c r="J6" s="101">
        <f>H6-I6</f>
        <v>254232</v>
      </c>
      <c r="K6" s="84"/>
      <c r="L6" s="85"/>
      <c r="M6" s="86"/>
    </row>
    <row r="7" spans="1:13" x14ac:dyDescent="0.3">
      <c r="A7" s="10"/>
      <c r="B7" s="6"/>
      <c r="C7" s="195" t="s">
        <v>421</v>
      </c>
      <c r="D7" s="146"/>
      <c r="E7" s="146"/>
      <c r="F7" s="146"/>
      <c r="G7" s="147"/>
      <c r="H7" s="100">
        <f>SUM(H8)</f>
        <v>306500</v>
      </c>
      <c r="I7" s="100">
        <v>104400</v>
      </c>
      <c r="J7" s="101">
        <f t="shared" ref="J7:J11" si="0">H7-I7</f>
        <v>202100</v>
      </c>
      <c r="K7" s="84"/>
      <c r="L7" s="85"/>
      <c r="M7" s="86"/>
    </row>
    <row r="8" spans="1:13" x14ac:dyDescent="0.3">
      <c r="A8" s="10"/>
      <c r="B8" s="6"/>
      <c r="C8" s="7"/>
      <c r="D8" s="145" t="s">
        <v>422</v>
      </c>
      <c r="E8" s="146"/>
      <c r="F8" s="146"/>
      <c r="G8" s="147"/>
      <c r="H8" s="148">
        <f>SUM(H9)</f>
        <v>306500</v>
      </c>
      <c r="I8" s="148">
        <v>0</v>
      </c>
      <c r="J8" s="101">
        <f t="shared" si="0"/>
        <v>306500</v>
      </c>
      <c r="K8" s="87"/>
      <c r="L8" s="149"/>
      <c r="M8" s="86"/>
    </row>
    <row r="9" spans="1:13" x14ac:dyDescent="0.3">
      <c r="A9" s="10"/>
      <c r="B9" s="6"/>
      <c r="C9" s="150"/>
      <c r="D9" s="151"/>
      <c r="E9" s="145" t="s">
        <v>423</v>
      </c>
      <c r="F9" s="146"/>
      <c r="G9" s="147"/>
      <c r="H9" s="97">
        <f>H10</f>
        <v>306500</v>
      </c>
      <c r="I9" s="97">
        <v>0</v>
      </c>
      <c r="J9" s="101">
        <f t="shared" si="0"/>
        <v>306500</v>
      </c>
      <c r="K9" s="90"/>
      <c r="L9" s="99"/>
      <c r="M9" s="88"/>
    </row>
    <row r="10" spans="1:13" x14ac:dyDescent="0.3">
      <c r="A10" s="68"/>
      <c r="B10" s="70"/>
      <c r="C10" s="202"/>
      <c r="D10" s="203"/>
      <c r="E10" s="204"/>
      <c r="F10" s="152" t="s">
        <v>68</v>
      </c>
      <c r="G10" s="205"/>
      <c r="H10" s="77">
        <f>SUM(M11,M14,M16)</f>
        <v>306500</v>
      </c>
      <c r="I10" s="77">
        <v>0</v>
      </c>
      <c r="J10" s="77">
        <f t="shared" si="0"/>
        <v>306500</v>
      </c>
      <c r="K10" s="53"/>
      <c r="L10" s="54"/>
      <c r="M10" s="40"/>
    </row>
    <row r="11" spans="1:13" x14ac:dyDescent="0.3">
      <c r="A11" s="68"/>
      <c r="B11" s="70"/>
      <c r="C11" s="70"/>
      <c r="D11" s="161"/>
      <c r="E11" s="206"/>
      <c r="F11" s="206"/>
      <c r="G11" s="154" t="s">
        <v>424</v>
      </c>
      <c r="H11" s="78">
        <f>M11</f>
        <v>6000</v>
      </c>
      <c r="I11" s="78">
        <v>0</v>
      </c>
      <c r="J11" s="78">
        <f t="shared" si="0"/>
        <v>6000</v>
      </c>
      <c r="K11" s="36" t="s">
        <v>70</v>
      </c>
      <c r="L11" s="44"/>
      <c r="M11" s="390">
        <f>SUM(M12:M13)</f>
        <v>6000</v>
      </c>
    </row>
    <row r="12" spans="1:13" x14ac:dyDescent="0.3">
      <c r="A12" s="68"/>
      <c r="B12" s="70"/>
      <c r="C12" s="70"/>
      <c r="D12" s="161"/>
      <c r="E12" s="206"/>
      <c r="F12" s="206"/>
      <c r="G12" s="73"/>
      <c r="H12" s="79"/>
      <c r="I12" s="79"/>
      <c r="J12" s="79"/>
      <c r="K12" s="237" t="s">
        <v>425</v>
      </c>
      <c r="L12" s="45" t="s">
        <v>427</v>
      </c>
      <c r="M12" s="391">
        <v>5000</v>
      </c>
    </row>
    <row r="13" spans="1:13" x14ac:dyDescent="0.3">
      <c r="A13" s="68"/>
      <c r="B13" s="70"/>
      <c r="C13" s="70"/>
      <c r="D13" s="161"/>
      <c r="E13" s="206"/>
      <c r="F13" s="206"/>
      <c r="G13" s="72"/>
      <c r="H13" s="76"/>
      <c r="I13" s="76"/>
      <c r="J13" s="76"/>
      <c r="K13" s="239" t="s">
        <v>428</v>
      </c>
      <c r="L13" s="158" t="s">
        <v>426</v>
      </c>
      <c r="M13" s="259">
        <v>1000</v>
      </c>
    </row>
    <row r="14" spans="1:13" x14ac:dyDescent="0.3">
      <c r="A14" s="68"/>
      <c r="B14" s="70"/>
      <c r="C14" s="70"/>
      <c r="D14" s="70"/>
      <c r="E14" s="70"/>
      <c r="F14" s="159"/>
      <c r="G14" s="70" t="s">
        <v>71</v>
      </c>
      <c r="H14" s="81">
        <f>M14</f>
        <v>300000</v>
      </c>
      <c r="I14" s="81">
        <v>0</v>
      </c>
      <c r="J14" s="48">
        <f>H14-I14</f>
        <v>300000</v>
      </c>
      <c r="K14" s="236" t="s">
        <v>517</v>
      </c>
      <c r="L14" s="52"/>
      <c r="M14" s="210">
        <v>300000</v>
      </c>
    </row>
    <row r="15" spans="1:13" x14ac:dyDescent="0.3">
      <c r="A15" s="68"/>
      <c r="B15" s="70"/>
      <c r="C15" s="70"/>
      <c r="D15" s="70"/>
      <c r="E15" s="70"/>
      <c r="F15" s="159"/>
      <c r="G15" s="72"/>
      <c r="H15" s="82"/>
      <c r="I15" s="82"/>
      <c r="J15" s="49"/>
      <c r="K15" s="239" t="s">
        <v>430</v>
      </c>
      <c r="L15" s="222" t="s">
        <v>0</v>
      </c>
      <c r="M15" s="213">
        <v>300000</v>
      </c>
    </row>
    <row r="16" spans="1:13" x14ac:dyDescent="0.3">
      <c r="A16" s="68"/>
      <c r="B16" s="70"/>
      <c r="C16" s="70"/>
      <c r="D16" s="70"/>
      <c r="E16" s="70"/>
      <c r="F16" s="159"/>
      <c r="G16" s="70" t="s">
        <v>431</v>
      </c>
      <c r="H16" s="81">
        <f>M16</f>
        <v>500</v>
      </c>
      <c r="I16" s="81">
        <v>0</v>
      </c>
      <c r="J16" s="48">
        <f>H16-I16</f>
        <v>500</v>
      </c>
      <c r="K16" s="236" t="s">
        <v>432</v>
      </c>
      <c r="L16" s="39"/>
      <c r="M16" s="210">
        <f>M17</f>
        <v>500</v>
      </c>
    </row>
    <row r="17" spans="1:13" x14ac:dyDescent="0.3">
      <c r="A17" s="68"/>
      <c r="B17" s="70"/>
      <c r="C17" s="70"/>
      <c r="D17" s="70"/>
      <c r="E17" s="70"/>
      <c r="F17" s="159"/>
      <c r="G17" s="72"/>
      <c r="H17" s="82"/>
      <c r="I17" s="82"/>
      <c r="J17" s="49"/>
      <c r="K17" s="239" t="s">
        <v>433</v>
      </c>
      <c r="L17" s="222" t="s">
        <v>0</v>
      </c>
      <c r="M17" s="207">
        <v>500</v>
      </c>
    </row>
    <row r="18" spans="1:13" x14ac:dyDescent="0.3">
      <c r="A18" s="10"/>
      <c r="B18" s="6"/>
      <c r="C18" s="195" t="s">
        <v>434</v>
      </c>
      <c r="D18" s="146"/>
      <c r="E18" s="146"/>
      <c r="F18" s="146"/>
      <c r="G18" s="147"/>
      <c r="H18" s="97">
        <f>H19</f>
        <v>52132</v>
      </c>
      <c r="I18" s="97">
        <v>10425</v>
      </c>
      <c r="J18" s="98">
        <f t="shared" ref="J18:J22" si="1">H18-I18</f>
        <v>41707</v>
      </c>
      <c r="K18" s="175"/>
      <c r="L18" s="165"/>
      <c r="M18" s="166"/>
    </row>
    <row r="19" spans="1:13" x14ac:dyDescent="0.3">
      <c r="A19" s="10"/>
      <c r="B19" s="6"/>
      <c r="C19" s="163"/>
      <c r="D19" s="145" t="s">
        <v>435</v>
      </c>
      <c r="E19" s="146"/>
      <c r="F19" s="146"/>
      <c r="G19" s="147"/>
      <c r="H19" s="148">
        <f>H20</f>
        <v>52132</v>
      </c>
      <c r="I19" s="148">
        <v>10425</v>
      </c>
      <c r="J19" s="9">
        <f t="shared" si="1"/>
        <v>41707</v>
      </c>
      <c r="K19" s="164"/>
      <c r="L19" s="165"/>
      <c r="M19" s="166"/>
    </row>
    <row r="20" spans="1:13" s="153" customFormat="1" ht="18" customHeight="1" x14ac:dyDescent="0.15">
      <c r="A20" s="10"/>
      <c r="B20" s="6"/>
      <c r="C20" s="150"/>
      <c r="D20" s="151"/>
      <c r="E20" s="145" t="s">
        <v>423</v>
      </c>
      <c r="F20" s="146"/>
      <c r="G20" s="147"/>
      <c r="H20" s="97">
        <f>SUM(H21,H28,H32,H38)</f>
        <v>52132</v>
      </c>
      <c r="I20" s="97">
        <v>10425</v>
      </c>
      <c r="J20" s="98">
        <f t="shared" si="1"/>
        <v>41707</v>
      </c>
      <c r="K20" s="90"/>
      <c r="L20" s="99"/>
      <c r="M20" s="88"/>
    </row>
    <row r="21" spans="1:13" s="153" customFormat="1" ht="18" customHeight="1" x14ac:dyDescent="0.15">
      <c r="A21" s="68"/>
      <c r="B21" s="70"/>
      <c r="C21" s="70"/>
      <c r="D21" s="70"/>
      <c r="E21" s="70"/>
      <c r="F21" s="152" t="s">
        <v>436</v>
      </c>
      <c r="G21" s="156"/>
      <c r="H21" s="77">
        <f>SUM(H22,H26)</f>
        <v>19912</v>
      </c>
      <c r="I21" s="77">
        <v>5275</v>
      </c>
      <c r="J21" s="106">
        <f t="shared" si="1"/>
        <v>14637</v>
      </c>
      <c r="K21" s="160"/>
      <c r="L21" s="38"/>
      <c r="M21" s="37"/>
    </row>
    <row r="22" spans="1:13" x14ac:dyDescent="0.3">
      <c r="A22" s="57"/>
      <c r="B22" s="60"/>
      <c r="C22" s="70"/>
      <c r="D22" s="70"/>
      <c r="E22" s="70"/>
      <c r="F22" s="208"/>
      <c r="G22" s="226" t="s">
        <v>424</v>
      </c>
      <c r="H22" s="227">
        <f>M22</f>
        <v>13000</v>
      </c>
      <c r="I22" s="78">
        <v>5275</v>
      </c>
      <c r="J22" s="41">
        <f t="shared" si="1"/>
        <v>7725</v>
      </c>
      <c r="K22" s="36" t="s">
        <v>82</v>
      </c>
      <c r="L22" s="229"/>
      <c r="M22" s="242">
        <f>SUM(M23:M25)</f>
        <v>13000</v>
      </c>
    </row>
    <row r="23" spans="1:13" x14ac:dyDescent="0.3">
      <c r="A23" s="57"/>
      <c r="B23" s="60"/>
      <c r="C23" s="70"/>
      <c r="D23" s="70"/>
      <c r="E23" s="70"/>
      <c r="F23" s="247"/>
      <c r="G23" s="58"/>
      <c r="H23" s="110"/>
      <c r="I23" s="110"/>
      <c r="J23" s="50"/>
      <c r="K23" s="237" t="s">
        <v>533</v>
      </c>
      <c r="L23" s="220" t="s">
        <v>0</v>
      </c>
      <c r="M23" s="207">
        <v>5000</v>
      </c>
    </row>
    <row r="24" spans="1:13" x14ac:dyDescent="0.3">
      <c r="A24" s="57"/>
      <c r="B24" s="60"/>
      <c r="C24" s="70"/>
      <c r="D24" s="70"/>
      <c r="E24" s="70"/>
      <c r="F24" s="247"/>
      <c r="G24" s="58"/>
      <c r="H24" s="110"/>
      <c r="I24" s="110"/>
      <c r="J24" s="50"/>
      <c r="K24" s="237" t="s">
        <v>437</v>
      </c>
      <c r="L24" s="220" t="s">
        <v>0</v>
      </c>
      <c r="M24" s="207">
        <v>3000</v>
      </c>
    </row>
    <row r="25" spans="1:13" x14ac:dyDescent="0.3">
      <c r="A25" s="57"/>
      <c r="B25" s="60"/>
      <c r="C25" s="70"/>
      <c r="D25" s="70"/>
      <c r="E25" s="70"/>
      <c r="F25" s="247"/>
      <c r="G25" s="224"/>
      <c r="H25" s="115"/>
      <c r="I25" s="115"/>
      <c r="J25" s="162"/>
      <c r="K25" s="239" t="s">
        <v>438</v>
      </c>
      <c r="L25" s="222" t="s">
        <v>0</v>
      </c>
      <c r="M25" s="213">
        <v>5000</v>
      </c>
    </row>
    <row r="26" spans="1:13" x14ac:dyDescent="0.3">
      <c r="A26" s="73"/>
      <c r="B26" s="70"/>
      <c r="C26" s="70"/>
      <c r="D26" s="70"/>
      <c r="E26" s="70"/>
      <c r="F26" s="119"/>
      <c r="G26" s="382" t="s">
        <v>439</v>
      </c>
      <c r="H26" s="120">
        <f>M27</f>
        <v>6912</v>
      </c>
      <c r="I26" s="248">
        <v>0</v>
      </c>
      <c r="J26" s="121">
        <f>H26-I26</f>
        <v>6912</v>
      </c>
      <c r="K26" s="268" t="s">
        <v>440</v>
      </c>
      <c r="L26" s="220"/>
      <c r="M26" s="210">
        <f>M27</f>
        <v>6912</v>
      </c>
    </row>
    <row r="27" spans="1:13" x14ac:dyDescent="0.3">
      <c r="A27" s="73"/>
      <c r="B27" s="70"/>
      <c r="C27" s="70"/>
      <c r="D27" s="70"/>
      <c r="E27" s="70"/>
      <c r="F27" s="250"/>
      <c r="G27" s="214"/>
      <c r="H27" s="120"/>
      <c r="I27" s="248"/>
      <c r="J27" s="121"/>
      <c r="K27" s="239" t="s">
        <v>482</v>
      </c>
      <c r="L27" s="222" t="s">
        <v>0</v>
      </c>
      <c r="M27" s="207">
        <v>6912</v>
      </c>
    </row>
    <row r="28" spans="1:13" x14ac:dyDescent="0.3">
      <c r="A28" s="70"/>
      <c r="B28" s="70"/>
      <c r="C28" s="70"/>
      <c r="D28" s="70"/>
      <c r="E28" s="70"/>
      <c r="F28" s="450" t="s">
        <v>61</v>
      </c>
      <c r="G28" s="451"/>
      <c r="H28" s="168">
        <f>H29</f>
        <v>14400</v>
      </c>
      <c r="I28" s="168">
        <v>4400</v>
      </c>
      <c r="J28" s="169">
        <f>H28-I28</f>
        <v>10000</v>
      </c>
      <c r="K28" s="170"/>
      <c r="L28" s="61"/>
      <c r="M28" s="63"/>
    </row>
    <row r="29" spans="1:13" x14ac:dyDescent="0.3">
      <c r="A29" s="70"/>
      <c r="B29" s="70"/>
      <c r="C29" s="70"/>
      <c r="D29" s="70"/>
      <c r="E29" s="70"/>
      <c r="F29" s="125"/>
      <c r="G29" s="216" t="s">
        <v>441</v>
      </c>
      <c r="H29" s="230">
        <f>M29</f>
        <v>14400</v>
      </c>
      <c r="I29" s="78">
        <v>4400</v>
      </c>
      <c r="J29" s="219">
        <f>H29-I29</f>
        <v>10000</v>
      </c>
      <c r="K29" s="36" t="s">
        <v>442</v>
      </c>
      <c r="L29" s="232"/>
      <c r="M29" s="242">
        <f>SUM(M30:M31)</f>
        <v>14400</v>
      </c>
    </row>
    <row r="30" spans="1:13" x14ac:dyDescent="0.3">
      <c r="A30" s="70"/>
      <c r="B30" s="70"/>
      <c r="C30" s="70"/>
      <c r="D30" s="70"/>
      <c r="E30" s="70"/>
      <c r="F30" s="119"/>
      <c r="G30" s="211"/>
      <c r="H30" s="120"/>
      <c r="I30" s="110"/>
      <c r="J30" s="121"/>
      <c r="K30" s="237" t="s">
        <v>536</v>
      </c>
      <c r="L30" s="103" t="s">
        <v>0</v>
      </c>
      <c r="M30" s="207">
        <v>3840</v>
      </c>
    </row>
    <row r="31" spans="1:13" x14ac:dyDescent="0.3">
      <c r="A31" s="70"/>
      <c r="B31" s="70"/>
      <c r="C31" s="70"/>
      <c r="D31" s="70"/>
      <c r="E31" s="70"/>
      <c r="F31" s="211"/>
      <c r="G31" s="211"/>
      <c r="H31" s="110"/>
      <c r="I31" s="117"/>
      <c r="J31" s="112"/>
      <c r="K31" s="237" t="s">
        <v>518</v>
      </c>
      <c r="L31" s="103" t="s">
        <v>0</v>
      </c>
      <c r="M31" s="207">
        <v>10560</v>
      </c>
    </row>
    <row r="32" spans="1:13" x14ac:dyDescent="0.3">
      <c r="A32" s="68"/>
      <c r="B32" s="70"/>
      <c r="C32" s="70"/>
      <c r="D32" s="70"/>
      <c r="E32" s="70"/>
      <c r="F32" s="152" t="s">
        <v>443</v>
      </c>
      <c r="G32" s="156"/>
      <c r="H32" s="77">
        <f>H33</f>
        <v>13400</v>
      </c>
      <c r="I32" s="77">
        <v>750</v>
      </c>
      <c r="J32" s="106">
        <f>H32-I32</f>
        <v>12650</v>
      </c>
      <c r="K32" s="160"/>
      <c r="L32" s="38"/>
      <c r="M32" s="262"/>
    </row>
    <row r="33" spans="1:13" x14ac:dyDescent="0.3">
      <c r="A33" s="68"/>
      <c r="B33" s="70"/>
      <c r="C33" s="70"/>
      <c r="D33" s="70"/>
      <c r="E33" s="70"/>
      <c r="F33" s="159"/>
      <c r="G33" s="70" t="s">
        <v>444</v>
      </c>
      <c r="H33" s="81">
        <f>SUM(M33,M35)</f>
        <v>13400</v>
      </c>
      <c r="I33" s="81">
        <v>750</v>
      </c>
      <c r="J33" s="48">
        <f>H33-I33</f>
        <v>12650</v>
      </c>
      <c r="K33" s="36" t="s">
        <v>445</v>
      </c>
      <c r="L33" s="39"/>
      <c r="M33" s="242">
        <f>SUM(M34:M34)</f>
        <v>6600</v>
      </c>
    </row>
    <row r="34" spans="1:13" x14ac:dyDescent="0.3">
      <c r="A34" s="70"/>
      <c r="B34" s="70"/>
      <c r="C34" s="70"/>
      <c r="D34" s="70"/>
      <c r="E34" s="70"/>
      <c r="F34" s="119"/>
      <c r="G34" s="214"/>
      <c r="H34" s="120"/>
      <c r="I34" s="248"/>
      <c r="J34" s="121"/>
      <c r="K34" s="237" t="s">
        <v>446</v>
      </c>
      <c r="L34" s="220" t="s">
        <v>0</v>
      </c>
      <c r="M34" s="207">
        <v>6600</v>
      </c>
    </row>
    <row r="35" spans="1:13" x14ac:dyDescent="0.3">
      <c r="A35" s="70"/>
      <c r="B35" s="70"/>
      <c r="C35" s="70"/>
      <c r="D35" s="70"/>
      <c r="E35" s="70"/>
      <c r="F35" s="119"/>
      <c r="G35" s="214"/>
      <c r="H35" s="120"/>
      <c r="I35" s="248"/>
      <c r="J35" s="121"/>
      <c r="K35" s="236" t="s">
        <v>93</v>
      </c>
      <c r="L35" s="241"/>
      <c r="M35" s="210">
        <f>SUM(M36:M37)</f>
        <v>6800</v>
      </c>
    </row>
    <row r="36" spans="1:13" x14ac:dyDescent="0.3">
      <c r="A36" s="70"/>
      <c r="B36" s="70"/>
      <c r="C36" s="70"/>
      <c r="D36" s="70"/>
      <c r="E36" s="70"/>
      <c r="F36" s="119"/>
      <c r="G36" s="214"/>
      <c r="H36" s="120"/>
      <c r="I36" s="248"/>
      <c r="J36" s="121"/>
      <c r="K36" s="237" t="s">
        <v>493</v>
      </c>
      <c r="L36" s="220" t="s">
        <v>0</v>
      </c>
      <c r="M36" s="207">
        <v>4800</v>
      </c>
    </row>
    <row r="37" spans="1:13" x14ac:dyDescent="0.3">
      <c r="A37" s="68"/>
      <c r="B37" s="70"/>
      <c r="C37" s="202"/>
      <c r="D37" s="203"/>
      <c r="E37" s="243"/>
      <c r="F37" s="161"/>
      <c r="G37" s="246"/>
      <c r="H37" s="79"/>
      <c r="I37" s="79"/>
      <c r="J37" s="79"/>
      <c r="K37" s="237" t="s">
        <v>656</v>
      </c>
      <c r="L37" s="45" t="s">
        <v>0</v>
      </c>
      <c r="M37" s="207">
        <v>2000</v>
      </c>
    </row>
    <row r="38" spans="1:13" x14ac:dyDescent="0.3">
      <c r="A38" s="68"/>
      <c r="B38" s="70"/>
      <c r="C38" s="70"/>
      <c r="D38" s="70"/>
      <c r="E38" s="70"/>
      <c r="F38" s="152" t="s">
        <v>447</v>
      </c>
      <c r="G38" s="156"/>
      <c r="H38" s="77">
        <f>SUM(M39,M41)</f>
        <v>4420</v>
      </c>
      <c r="I38" s="77">
        <v>0</v>
      </c>
      <c r="J38" s="106">
        <f>H38-I38</f>
        <v>4420</v>
      </c>
      <c r="K38" s="160"/>
      <c r="L38" s="38"/>
      <c r="M38" s="262"/>
    </row>
    <row r="39" spans="1:13" x14ac:dyDescent="0.3">
      <c r="A39" s="68"/>
      <c r="B39" s="70"/>
      <c r="C39" s="70"/>
      <c r="D39" s="70"/>
      <c r="E39" s="70"/>
      <c r="F39" s="159"/>
      <c r="G39" s="70" t="s">
        <v>100</v>
      </c>
      <c r="H39" s="81">
        <f>M39</f>
        <v>2320</v>
      </c>
      <c r="I39" s="81">
        <v>0</v>
      </c>
      <c r="J39" s="48">
        <f>H39-I39</f>
        <v>2320</v>
      </c>
      <c r="K39" s="36" t="s">
        <v>448</v>
      </c>
      <c r="L39" s="39"/>
      <c r="M39" s="242">
        <f>M40</f>
        <v>2320</v>
      </c>
    </row>
    <row r="40" spans="1:13" x14ac:dyDescent="0.3">
      <c r="A40" s="70"/>
      <c r="B40" s="70"/>
      <c r="C40" s="70"/>
      <c r="D40" s="70"/>
      <c r="E40" s="70"/>
      <c r="F40" s="119"/>
      <c r="G40" s="212"/>
      <c r="H40" s="124"/>
      <c r="I40" s="251"/>
      <c r="J40" s="172"/>
      <c r="K40" s="239" t="s">
        <v>483</v>
      </c>
      <c r="L40" s="222" t="s">
        <v>0</v>
      </c>
      <c r="M40" s="213">
        <v>2320</v>
      </c>
    </row>
    <row r="41" spans="1:13" x14ac:dyDescent="0.3">
      <c r="A41" s="70"/>
      <c r="B41" s="70"/>
      <c r="C41" s="70"/>
      <c r="D41" s="70"/>
      <c r="E41" s="70"/>
      <c r="F41" s="119"/>
      <c r="G41" s="382" t="s">
        <v>449</v>
      </c>
      <c r="H41" s="120">
        <f>M41</f>
        <v>2100</v>
      </c>
      <c r="I41" s="78">
        <v>0</v>
      </c>
      <c r="J41" s="121">
        <f>H41-I41</f>
        <v>2100</v>
      </c>
      <c r="K41" s="236" t="s">
        <v>104</v>
      </c>
      <c r="L41" s="241"/>
      <c r="M41" s="210">
        <f>M42</f>
        <v>2100</v>
      </c>
    </row>
    <row r="42" spans="1:13" ht="17.25" thickBot="1" x14ac:dyDescent="0.35">
      <c r="A42" s="74"/>
      <c r="B42" s="74"/>
      <c r="C42" s="74"/>
      <c r="D42" s="74"/>
      <c r="E42" s="74"/>
      <c r="F42" s="385"/>
      <c r="G42" s="389"/>
      <c r="H42" s="386"/>
      <c r="I42" s="387"/>
      <c r="J42" s="388"/>
      <c r="K42" s="257" t="s">
        <v>484</v>
      </c>
      <c r="L42" s="258" t="s">
        <v>0</v>
      </c>
      <c r="M42" s="271">
        <v>2100</v>
      </c>
    </row>
  </sheetData>
  <autoFilter ref="A3:M42">
    <filterColumn colId="10" showButton="0"/>
    <filterColumn colId="11" showButton="0"/>
  </autoFilter>
  <mergeCells count="9">
    <mergeCell ref="F28:G28"/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677" priority="139" operator="containsText" text="허하나로">
      <formula>NOT(ISERROR(SEARCH("허하나로",H700)))</formula>
    </cfRule>
    <cfRule type="containsText" dxfId="676" priority="140" operator="containsText" text="한별">
      <formula>NOT(ISERROR(SEARCH("한별",H700)))</formula>
    </cfRule>
    <cfRule type="containsText" dxfId="675" priority="141" operator="containsText" text="정홍조">
      <formula>NOT(ISERROR(SEARCH("정홍조",H700)))</formula>
    </cfRule>
    <cfRule type="containsText" dxfId="674" priority="142" operator="containsText" text="김지윤">
      <formula>NOT(ISERROR(SEARCH("김지윤",H700)))</formula>
    </cfRule>
    <cfRule type="containsText" dxfId="673" priority="143" operator="containsText" text="전준영">
      <formula>NOT(ISERROR(SEARCH("전준영",H700)))</formula>
    </cfRule>
    <cfRule type="containsText" dxfId="672" priority="144" operator="containsText" text="차재성">
      <formula>NOT(ISERROR(SEARCH("차재성",H700)))</formula>
    </cfRule>
  </conditionalFormatting>
  <conditionalFormatting sqref="J6:J9">
    <cfRule type="containsText" dxfId="671" priority="133" operator="containsText" text="허하나로">
      <formula>NOT(ISERROR(SEARCH("허하나로",H698)))</formula>
    </cfRule>
    <cfRule type="containsText" dxfId="670" priority="134" operator="containsText" text="한별">
      <formula>NOT(ISERROR(SEARCH("한별",H698)))</formula>
    </cfRule>
    <cfRule type="containsText" dxfId="669" priority="135" operator="containsText" text="정홍조">
      <formula>NOT(ISERROR(SEARCH("정홍조",H698)))</formula>
    </cfRule>
    <cfRule type="containsText" dxfId="668" priority="136" operator="containsText" text="김지윤">
      <formula>NOT(ISERROR(SEARCH("김지윤",H698)))</formula>
    </cfRule>
    <cfRule type="containsText" dxfId="667" priority="137" operator="containsText" text="전준영">
      <formula>NOT(ISERROR(SEARCH("전준영",H698)))</formula>
    </cfRule>
    <cfRule type="containsText" dxfId="666" priority="138" operator="containsText" text="차재성">
      <formula>NOT(ISERROR(SEARCH("차재성",H698)))</formula>
    </cfRule>
  </conditionalFormatting>
  <conditionalFormatting sqref="J5">
    <cfRule type="containsText" dxfId="665" priority="127" operator="containsText" text="허하나로">
      <formula>NOT(ISERROR(SEARCH("허하나로",H697)))</formula>
    </cfRule>
    <cfRule type="containsText" dxfId="664" priority="128" operator="containsText" text="한별">
      <formula>NOT(ISERROR(SEARCH("한별",H697)))</formula>
    </cfRule>
    <cfRule type="containsText" dxfId="663" priority="129" operator="containsText" text="정홍조">
      <formula>NOT(ISERROR(SEARCH("정홍조",H697)))</formula>
    </cfRule>
    <cfRule type="containsText" dxfId="662" priority="130" operator="containsText" text="김지윤">
      <formula>NOT(ISERROR(SEARCH("김지윤",H697)))</formula>
    </cfRule>
    <cfRule type="containsText" dxfId="661" priority="131" operator="containsText" text="전준영">
      <formula>NOT(ISERROR(SEARCH("전준영",H697)))</formula>
    </cfRule>
    <cfRule type="containsText" dxfId="660" priority="132" operator="containsText" text="차재성">
      <formula>NOT(ISERROR(SEARCH("차재성",H697)))</formula>
    </cfRule>
  </conditionalFormatting>
  <conditionalFormatting sqref="J18">
    <cfRule type="containsText" dxfId="659" priority="121" operator="containsText" text="허하나로">
      <formula>NOT(ISERROR(SEARCH("허하나로",H831)))</formula>
    </cfRule>
    <cfRule type="containsText" dxfId="658" priority="122" operator="containsText" text="한별">
      <formula>NOT(ISERROR(SEARCH("한별",H831)))</formula>
    </cfRule>
    <cfRule type="containsText" dxfId="657" priority="123" operator="containsText" text="정홍조">
      <formula>NOT(ISERROR(SEARCH("정홍조",H831)))</formula>
    </cfRule>
    <cfRule type="containsText" dxfId="656" priority="124" operator="containsText" text="김지윤">
      <formula>NOT(ISERROR(SEARCH("김지윤",H831)))</formula>
    </cfRule>
    <cfRule type="containsText" dxfId="655" priority="125" operator="containsText" text="전준영">
      <formula>NOT(ISERROR(SEARCH("전준영",H831)))</formula>
    </cfRule>
    <cfRule type="containsText" dxfId="654" priority="126" operator="containsText" text="차재성">
      <formula>NOT(ISERROR(SEARCH("차재성",H831)))</formula>
    </cfRule>
  </conditionalFormatting>
  <conditionalFormatting sqref="J20">
    <cfRule type="containsText" dxfId="653" priority="145" operator="containsText" text="허하나로">
      <formula>NOT(ISERROR(SEARCH("허하나로",H1028)))</formula>
    </cfRule>
    <cfRule type="containsText" dxfId="652" priority="146" operator="containsText" text="한별">
      <formula>NOT(ISERROR(SEARCH("한별",H1028)))</formula>
    </cfRule>
    <cfRule type="containsText" dxfId="651" priority="147" operator="containsText" text="정홍조">
      <formula>NOT(ISERROR(SEARCH("정홍조",H1028)))</formula>
    </cfRule>
    <cfRule type="containsText" dxfId="650" priority="148" operator="containsText" text="김지윤">
      <formula>NOT(ISERROR(SEARCH("김지윤",H1028)))</formula>
    </cfRule>
    <cfRule type="containsText" dxfId="649" priority="149" operator="containsText" text="전준영">
      <formula>NOT(ISERROR(SEARCH("전준영",H1028)))</formula>
    </cfRule>
    <cfRule type="containsText" dxfId="648" priority="150" operator="containsText" text="차재성">
      <formula>NOT(ISERROR(SEARCH("차재성",H1028)))</formula>
    </cfRule>
  </conditionalFormatting>
  <conditionalFormatting sqref="J31">
    <cfRule type="containsText" dxfId="647" priority="151" operator="containsText" text="허하나로">
      <formula>NOT(ISERROR(SEARCH("허하나로",H1043)))</formula>
    </cfRule>
    <cfRule type="containsText" dxfId="646" priority="152" operator="containsText" text="한별">
      <formula>NOT(ISERROR(SEARCH("한별",H1043)))</formula>
    </cfRule>
    <cfRule type="containsText" dxfId="645" priority="153" operator="containsText" text="정홍조">
      <formula>NOT(ISERROR(SEARCH("정홍조",H1043)))</formula>
    </cfRule>
    <cfRule type="containsText" dxfId="644" priority="154" operator="containsText" text="김지윤">
      <formula>NOT(ISERROR(SEARCH("김지윤",H1043)))</formula>
    </cfRule>
    <cfRule type="containsText" dxfId="643" priority="155" operator="containsText" text="전준영">
      <formula>NOT(ISERROR(SEARCH("전준영",H1043)))</formula>
    </cfRule>
    <cfRule type="containsText" dxfId="642" priority="156" operator="containsText" text="차재성">
      <formula>NOT(ISERROR(SEARCH("차재성",H1043)))</formula>
    </cfRule>
  </conditionalFormatting>
  <conditionalFormatting sqref="L29">
    <cfRule type="containsText" dxfId="641" priority="115" operator="containsText" text="허하나로">
      <formula>NOT(ISERROR(SEARCH("허하나로",J1176)))</formula>
    </cfRule>
    <cfRule type="containsText" dxfId="640" priority="116" operator="containsText" text="한별">
      <formula>NOT(ISERROR(SEARCH("한별",J1176)))</formula>
    </cfRule>
    <cfRule type="containsText" dxfId="639" priority="117" operator="containsText" text="정홍조">
      <formula>NOT(ISERROR(SEARCH("정홍조",J1176)))</formula>
    </cfRule>
    <cfRule type="containsText" dxfId="638" priority="118" operator="containsText" text="김지윤">
      <formula>NOT(ISERROR(SEARCH("김지윤",J1176)))</formula>
    </cfRule>
    <cfRule type="containsText" dxfId="637" priority="119" operator="containsText" text="전준영">
      <formula>NOT(ISERROR(SEARCH("전준영",J1176)))</formula>
    </cfRule>
    <cfRule type="containsText" dxfId="636" priority="120" operator="containsText" text="차재성">
      <formula>NOT(ISERROR(SEARCH("차재성",J1176)))</formula>
    </cfRule>
  </conditionalFormatting>
  <conditionalFormatting sqref="J21:J22">
    <cfRule type="containsText" dxfId="635" priority="109" operator="containsText" text="허하나로">
      <formula>NOT(ISERROR(SEARCH("허하나로",H1035)))</formula>
    </cfRule>
    <cfRule type="containsText" dxfId="634" priority="110" operator="containsText" text="한별">
      <formula>NOT(ISERROR(SEARCH("한별",H1035)))</formula>
    </cfRule>
    <cfRule type="containsText" dxfId="633" priority="111" operator="containsText" text="정홍조">
      <formula>NOT(ISERROR(SEARCH("정홍조",H1035)))</formula>
    </cfRule>
    <cfRule type="containsText" dxfId="632" priority="112" operator="containsText" text="김지윤">
      <formula>NOT(ISERROR(SEARCH("김지윤",H1035)))</formula>
    </cfRule>
    <cfRule type="containsText" dxfId="631" priority="113" operator="containsText" text="전준영">
      <formula>NOT(ISERROR(SEARCH("전준영",H1035)))</formula>
    </cfRule>
    <cfRule type="containsText" dxfId="630" priority="114" operator="containsText" text="차재성">
      <formula>NOT(ISERROR(SEARCH("차재성",H1035)))</formula>
    </cfRule>
  </conditionalFormatting>
  <conditionalFormatting sqref="J16">
    <cfRule type="containsText" dxfId="629" priority="97" operator="containsText" text="허하나로">
      <formula>NOT(ISERROR(SEARCH("허하나로",H1101)))</formula>
    </cfRule>
    <cfRule type="containsText" dxfId="628" priority="98" operator="containsText" text="한별">
      <formula>NOT(ISERROR(SEARCH("한별",H1101)))</formula>
    </cfRule>
    <cfRule type="containsText" dxfId="627" priority="99" operator="containsText" text="정홍조">
      <formula>NOT(ISERROR(SEARCH("정홍조",H1101)))</formula>
    </cfRule>
    <cfRule type="containsText" dxfId="626" priority="100" operator="containsText" text="김지윤">
      <formula>NOT(ISERROR(SEARCH("김지윤",H1101)))</formula>
    </cfRule>
    <cfRule type="containsText" dxfId="625" priority="101" operator="containsText" text="전준영">
      <formula>NOT(ISERROR(SEARCH("전준영",H1101)))</formula>
    </cfRule>
    <cfRule type="containsText" dxfId="624" priority="102" operator="containsText" text="차재성">
      <formula>NOT(ISERROR(SEARCH("차재성",H1101)))</formula>
    </cfRule>
  </conditionalFormatting>
  <conditionalFormatting sqref="J17">
    <cfRule type="containsText" dxfId="623" priority="103" operator="containsText" text="허하나로">
      <formula>NOT(ISERROR(SEARCH("허하나로",H1101)))</formula>
    </cfRule>
    <cfRule type="containsText" dxfId="622" priority="104" operator="containsText" text="한별">
      <formula>NOT(ISERROR(SEARCH("한별",H1101)))</formula>
    </cfRule>
    <cfRule type="containsText" dxfId="621" priority="105" operator="containsText" text="정홍조">
      <formula>NOT(ISERROR(SEARCH("정홍조",H1101)))</formula>
    </cfRule>
    <cfRule type="containsText" dxfId="620" priority="106" operator="containsText" text="김지윤">
      <formula>NOT(ISERROR(SEARCH("김지윤",H1101)))</formula>
    </cfRule>
    <cfRule type="containsText" dxfId="619" priority="107" operator="containsText" text="전준영">
      <formula>NOT(ISERROR(SEARCH("전준영",H1101)))</formula>
    </cfRule>
    <cfRule type="containsText" dxfId="618" priority="108" operator="containsText" text="차재성">
      <formula>NOT(ISERROR(SEARCH("차재성",H1101)))</formula>
    </cfRule>
  </conditionalFormatting>
  <conditionalFormatting sqref="J14">
    <cfRule type="containsText" dxfId="617" priority="85" operator="containsText" text="허하나로">
      <formula>NOT(ISERROR(SEARCH("허하나로",H1099)))</formula>
    </cfRule>
    <cfRule type="containsText" dxfId="616" priority="86" operator="containsText" text="한별">
      <formula>NOT(ISERROR(SEARCH("한별",H1099)))</formula>
    </cfRule>
    <cfRule type="containsText" dxfId="615" priority="87" operator="containsText" text="정홍조">
      <formula>NOT(ISERROR(SEARCH("정홍조",H1099)))</formula>
    </cfRule>
    <cfRule type="containsText" dxfId="614" priority="88" operator="containsText" text="김지윤">
      <formula>NOT(ISERROR(SEARCH("김지윤",H1099)))</formula>
    </cfRule>
    <cfRule type="containsText" dxfId="613" priority="89" operator="containsText" text="전준영">
      <formula>NOT(ISERROR(SEARCH("전준영",H1099)))</formula>
    </cfRule>
    <cfRule type="containsText" dxfId="612" priority="90" operator="containsText" text="차재성">
      <formula>NOT(ISERROR(SEARCH("차재성",H1099)))</formula>
    </cfRule>
  </conditionalFormatting>
  <conditionalFormatting sqref="J15">
    <cfRule type="containsText" dxfId="611" priority="91" operator="containsText" text="허하나로">
      <formula>NOT(ISERROR(SEARCH("허하나로",H1099)))</formula>
    </cfRule>
    <cfRule type="containsText" dxfId="610" priority="92" operator="containsText" text="한별">
      <formula>NOT(ISERROR(SEARCH("한별",H1099)))</formula>
    </cfRule>
    <cfRule type="containsText" dxfId="609" priority="93" operator="containsText" text="정홍조">
      <formula>NOT(ISERROR(SEARCH("정홍조",H1099)))</formula>
    </cfRule>
    <cfRule type="containsText" dxfId="608" priority="94" operator="containsText" text="김지윤">
      <formula>NOT(ISERROR(SEARCH("김지윤",H1099)))</formula>
    </cfRule>
    <cfRule type="containsText" dxfId="607" priority="95" operator="containsText" text="전준영">
      <formula>NOT(ISERROR(SEARCH("전준영",H1099)))</formula>
    </cfRule>
    <cfRule type="containsText" dxfId="606" priority="96" operator="containsText" text="차재성">
      <formula>NOT(ISERROR(SEARCH("차재성",H1099)))</formula>
    </cfRule>
  </conditionalFormatting>
  <conditionalFormatting sqref="J34">
    <cfRule type="containsText" dxfId="605" priority="67" operator="containsText" text="허하나로">
      <formula>NOT(ISERROR(SEARCH("허하나로",H1068)))</formula>
    </cfRule>
    <cfRule type="containsText" dxfId="604" priority="68" operator="containsText" text="한별">
      <formula>NOT(ISERROR(SEARCH("한별",H1068)))</formula>
    </cfRule>
    <cfRule type="containsText" dxfId="603" priority="69" operator="containsText" text="정홍조">
      <formula>NOT(ISERROR(SEARCH("정홍조",H1068)))</formula>
    </cfRule>
    <cfRule type="containsText" dxfId="602" priority="70" operator="containsText" text="김지윤">
      <formula>NOT(ISERROR(SEARCH("김지윤",H1068)))</formula>
    </cfRule>
    <cfRule type="containsText" dxfId="601" priority="71" operator="containsText" text="전준영">
      <formula>NOT(ISERROR(SEARCH("전준영",H1068)))</formula>
    </cfRule>
    <cfRule type="containsText" dxfId="600" priority="72" operator="containsText" text="차재성">
      <formula>NOT(ISERROR(SEARCH("차재성",H1068)))</formula>
    </cfRule>
  </conditionalFormatting>
  <conditionalFormatting sqref="J32">
    <cfRule type="containsText" dxfId="599" priority="61" operator="containsText" text="허하나로">
      <formula>NOT(ISERROR(SEARCH("허하나로",H1114)))</formula>
    </cfRule>
    <cfRule type="containsText" dxfId="598" priority="62" operator="containsText" text="한별">
      <formula>NOT(ISERROR(SEARCH("한별",H1114)))</formula>
    </cfRule>
    <cfRule type="containsText" dxfId="597" priority="63" operator="containsText" text="정홍조">
      <formula>NOT(ISERROR(SEARCH("정홍조",H1114)))</formula>
    </cfRule>
    <cfRule type="containsText" dxfId="596" priority="64" operator="containsText" text="김지윤">
      <formula>NOT(ISERROR(SEARCH("김지윤",H1114)))</formula>
    </cfRule>
    <cfRule type="containsText" dxfId="595" priority="65" operator="containsText" text="전준영">
      <formula>NOT(ISERROR(SEARCH("전준영",H1114)))</formula>
    </cfRule>
    <cfRule type="containsText" dxfId="594" priority="66" operator="containsText" text="차재성">
      <formula>NOT(ISERROR(SEARCH("차재성",H1114)))</formula>
    </cfRule>
  </conditionalFormatting>
  <conditionalFormatting sqref="J33">
    <cfRule type="containsText" dxfId="593" priority="55" operator="containsText" text="허하나로">
      <formula>NOT(ISERROR(SEARCH("허하나로",H1115)))</formula>
    </cfRule>
    <cfRule type="containsText" dxfId="592" priority="56" operator="containsText" text="한별">
      <formula>NOT(ISERROR(SEARCH("한별",H1115)))</formula>
    </cfRule>
    <cfRule type="containsText" dxfId="591" priority="57" operator="containsText" text="정홍조">
      <formula>NOT(ISERROR(SEARCH("정홍조",H1115)))</formula>
    </cfRule>
    <cfRule type="containsText" dxfId="590" priority="58" operator="containsText" text="김지윤">
      <formula>NOT(ISERROR(SEARCH("김지윤",H1115)))</formula>
    </cfRule>
    <cfRule type="containsText" dxfId="589" priority="59" operator="containsText" text="전준영">
      <formula>NOT(ISERROR(SEARCH("전준영",H1115)))</formula>
    </cfRule>
    <cfRule type="containsText" dxfId="588" priority="60" operator="containsText" text="차재성">
      <formula>NOT(ISERROR(SEARCH("차재성",H1115)))</formula>
    </cfRule>
  </conditionalFormatting>
  <conditionalFormatting sqref="J27">
    <cfRule type="containsText" dxfId="587" priority="43" operator="containsText" text="허하나로">
      <formula>NOT(ISERROR(SEARCH("허하나로",H1069)))</formula>
    </cfRule>
    <cfRule type="containsText" dxfId="586" priority="44" operator="containsText" text="한별">
      <formula>NOT(ISERROR(SEARCH("한별",H1069)))</formula>
    </cfRule>
    <cfRule type="containsText" dxfId="585" priority="45" operator="containsText" text="정홍조">
      <formula>NOT(ISERROR(SEARCH("정홍조",H1069)))</formula>
    </cfRule>
    <cfRule type="containsText" dxfId="584" priority="46" operator="containsText" text="김지윤">
      <formula>NOT(ISERROR(SEARCH("김지윤",H1069)))</formula>
    </cfRule>
    <cfRule type="containsText" dxfId="583" priority="47" operator="containsText" text="전준영">
      <formula>NOT(ISERROR(SEARCH("전준영",H1069)))</formula>
    </cfRule>
    <cfRule type="containsText" dxfId="582" priority="48" operator="containsText" text="차재성">
      <formula>NOT(ISERROR(SEARCH("차재성",H1069)))</formula>
    </cfRule>
  </conditionalFormatting>
  <conditionalFormatting sqref="J26">
    <cfRule type="containsText" dxfId="581" priority="49" operator="containsText" text="허하나로">
      <formula>NOT(ISERROR(SEARCH("허하나로",H1069)))</formula>
    </cfRule>
    <cfRule type="containsText" dxfId="580" priority="50" operator="containsText" text="한별">
      <formula>NOT(ISERROR(SEARCH("한별",H1069)))</formula>
    </cfRule>
    <cfRule type="containsText" dxfId="579" priority="51" operator="containsText" text="정홍조">
      <formula>NOT(ISERROR(SEARCH("정홍조",H1069)))</formula>
    </cfRule>
    <cfRule type="containsText" dxfId="578" priority="52" operator="containsText" text="김지윤">
      <formula>NOT(ISERROR(SEARCH("김지윤",H1069)))</formula>
    </cfRule>
    <cfRule type="containsText" dxfId="577" priority="53" operator="containsText" text="전준영">
      <formula>NOT(ISERROR(SEARCH("전준영",H1069)))</formula>
    </cfRule>
    <cfRule type="containsText" dxfId="576" priority="54" operator="containsText" text="차재성">
      <formula>NOT(ISERROR(SEARCH("차재성",H1069)))</formula>
    </cfRule>
  </conditionalFormatting>
  <conditionalFormatting sqref="J42">
    <cfRule type="containsText" dxfId="575" priority="31" operator="containsText" text="허하나로">
      <formula>NOT(ISERROR(SEARCH("허하나로",H1057)))</formula>
    </cfRule>
    <cfRule type="containsText" dxfId="574" priority="32" operator="containsText" text="한별">
      <formula>NOT(ISERROR(SEARCH("한별",H1057)))</formula>
    </cfRule>
    <cfRule type="containsText" dxfId="573" priority="33" operator="containsText" text="정홍조">
      <formula>NOT(ISERROR(SEARCH("정홍조",H1057)))</formula>
    </cfRule>
    <cfRule type="containsText" dxfId="572" priority="34" operator="containsText" text="김지윤">
      <formula>NOT(ISERROR(SEARCH("김지윤",H1057)))</formula>
    </cfRule>
    <cfRule type="containsText" dxfId="571" priority="35" operator="containsText" text="전준영">
      <formula>NOT(ISERROR(SEARCH("전준영",H1057)))</formula>
    </cfRule>
    <cfRule type="containsText" dxfId="570" priority="36" operator="containsText" text="차재성">
      <formula>NOT(ISERROR(SEARCH("차재성",H1057)))</formula>
    </cfRule>
  </conditionalFormatting>
  <conditionalFormatting sqref="J41">
    <cfRule type="containsText" dxfId="569" priority="37" operator="containsText" text="허하나로">
      <formula>NOT(ISERROR(SEARCH("허하나로",H1057)))</formula>
    </cfRule>
    <cfRule type="containsText" dxfId="568" priority="38" operator="containsText" text="한별">
      <formula>NOT(ISERROR(SEARCH("한별",H1057)))</formula>
    </cfRule>
    <cfRule type="containsText" dxfId="567" priority="39" operator="containsText" text="정홍조">
      <formula>NOT(ISERROR(SEARCH("정홍조",H1057)))</formula>
    </cfRule>
    <cfRule type="containsText" dxfId="566" priority="40" operator="containsText" text="김지윤">
      <formula>NOT(ISERROR(SEARCH("김지윤",H1057)))</formula>
    </cfRule>
    <cfRule type="containsText" dxfId="565" priority="41" operator="containsText" text="전준영">
      <formula>NOT(ISERROR(SEARCH("전준영",H1057)))</formula>
    </cfRule>
    <cfRule type="containsText" dxfId="564" priority="42" operator="containsText" text="차재성">
      <formula>NOT(ISERROR(SEARCH("차재성",H1057)))</formula>
    </cfRule>
  </conditionalFormatting>
  <conditionalFormatting sqref="J40">
    <cfRule type="containsText" dxfId="563" priority="25" operator="containsText" text="허하나로">
      <formula>NOT(ISERROR(SEARCH("허하나로",H1063)))</formula>
    </cfRule>
    <cfRule type="containsText" dxfId="562" priority="26" operator="containsText" text="한별">
      <formula>NOT(ISERROR(SEARCH("한별",H1063)))</formula>
    </cfRule>
    <cfRule type="containsText" dxfId="561" priority="27" operator="containsText" text="정홍조">
      <formula>NOT(ISERROR(SEARCH("정홍조",H1063)))</formula>
    </cfRule>
    <cfRule type="containsText" dxfId="560" priority="28" operator="containsText" text="김지윤">
      <formula>NOT(ISERROR(SEARCH("김지윤",H1063)))</formula>
    </cfRule>
    <cfRule type="containsText" dxfId="559" priority="29" operator="containsText" text="전준영">
      <formula>NOT(ISERROR(SEARCH("전준영",H1063)))</formula>
    </cfRule>
    <cfRule type="containsText" dxfId="558" priority="30" operator="containsText" text="차재성">
      <formula>NOT(ISERROR(SEARCH("차재성",H1063)))</formula>
    </cfRule>
  </conditionalFormatting>
  <conditionalFormatting sqref="J38">
    <cfRule type="containsText" dxfId="557" priority="19" operator="containsText" text="허하나로">
      <formula>NOT(ISERROR(SEARCH("허하나로",H1119)))</formula>
    </cfRule>
    <cfRule type="containsText" dxfId="556" priority="20" operator="containsText" text="한별">
      <formula>NOT(ISERROR(SEARCH("한별",H1119)))</formula>
    </cfRule>
    <cfRule type="containsText" dxfId="555" priority="21" operator="containsText" text="정홍조">
      <formula>NOT(ISERROR(SEARCH("정홍조",H1119)))</formula>
    </cfRule>
    <cfRule type="containsText" dxfId="554" priority="22" operator="containsText" text="김지윤">
      <formula>NOT(ISERROR(SEARCH("김지윤",H1119)))</formula>
    </cfRule>
    <cfRule type="containsText" dxfId="553" priority="23" operator="containsText" text="전준영">
      <formula>NOT(ISERROR(SEARCH("전준영",H1119)))</formula>
    </cfRule>
    <cfRule type="containsText" dxfId="552" priority="24" operator="containsText" text="차재성">
      <formula>NOT(ISERROR(SEARCH("차재성",H1119)))</formula>
    </cfRule>
  </conditionalFormatting>
  <conditionalFormatting sqref="J39">
    <cfRule type="containsText" dxfId="551" priority="13" operator="containsText" text="허하나로">
      <formula>NOT(ISERROR(SEARCH("허하나로",H1120)))</formula>
    </cfRule>
    <cfRule type="containsText" dxfId="550" priority="14" operator="containsText" text="한별">
      <formula>NOT(ISERROR(SEARCH("한별",H1120)))</formula>
    </cfRule>
    <cfRule type="containsText" dxfId="549" priority="15" operator="containsText" text="정홍조">
      <formula>NOT(ISERROR(SEARCH("정홍조",H1120)))</formula>
    </cfRule>
    <cfRule type="containsText" dxfId="548" priority="16" operator="containsText" text="김지윤">
      <formula>NOT(ISERROR(SEARCH("김지윤",H1120)))</formula>
    </cfRule>
    <cfRule type="containsText" dxfId="547" priority="17" operator="containsText" text="전준영">
      <formula>NOT(ISERROR(SEARCH("전준영",H1120)))</formula>
    </cfRule>
    <cfRule type="containsText" dxfId="546" priority="18" operator="containsText" text="차재성">
      <formula>NOT(ISERROR(SEARCH("차재성",H1120)))</formula>
    </cfRule>
  </conditionalFormatting>
  <conditionalFormatting sqref="J28:J30">
    <cfRule type="containsText" dxfId="545" priority="3535" operator="containsText" text="허하나로">
      <formula>NOT(ISERROR(SEARCH("허하나로",H1041)))</formula>
    </cfRule>
    <cfRule type="containsText" dxfId="544" priority="3536" operator="containsText" text="한별">
      <formula>NOT(ISERROR(SEARCH("한별",H1041)))</formula>
    </cfRule>
    <cfRule type="containsText" dxfId="543" priority="3537" operator="containsText" text="정홍조">
      <formula>NOT(ISERROR(SEARCH("정홍조",H1041)))</formula>
    </cfRule>
    <cfRule type="containsText" dxfId="542" priority="3538" operator="containsText" text="김지윤">
      <formula>NOT(ISERROR(SEARCH("김지윤",H1041)))</formula>
    </cfRule>
    <cfRule type="containsText" dxfId="541" priority="3539" operator="containsText" text="전준영">
      <formula>NOT(ISERROR(SEARCH("전준영",H1041)))</formula>
    </cfRule>
    <cfRule type="containsText" dxfId="540" priority="3540" operator="containsText" text="차재성">
      <formula>NOT(ISERROR(SEARCH("차재성",H1041)))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3" operator="containsText" text="허하나로" id="{C294F580-39A9-4097-98FA-8F17556D2A41}">
            <xm:f>NOT(ISERROR(SEARCH("허하나로",'[2025년 본예산1.xlsx]행정관리부'!#REF!)))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74" operator="containsText" text="한별" id="{E7D6554B-9C46-4666-A85D-C58AD45BA43E}">
            <xm:f>NOT(ISERROR(SEARCH("한별",'[2025년 본예산1.xlsx]행정관리부'!#REF!)))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75" operator="containsText" text="정홍조" id="{7C07EAAA-F9A7-4E58-83CC-2C49472B8520}">
            <xm:f>NOT(ISERROR(SEARCH("정홍조",'[2025년 본예산1.xlsx]행정관리부'!#REF!)))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6" operator="containsText" text="김지윤" id="{1AF6A9A8-B2DD-42B6-81DF-A708F725FAEE}">
            <xm:f>NOT(ISERROR(SEARCH("김지윤",'[2025년 본예산1.xlsx]행정관리부'!#REF!)))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7" operator="containsText" text="전준영" id="{2DC022A8-EE30-4726-8784-39BFC158A152}">
            <xm:f>NOT(ISERROR(SEARCH("전준영",'[2025년 본예산1.xlsx]행정관리부'!#REF!)))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8" operator="containsText" text="차재성" id="{F9BAE3D1-2C60-4D14-9EA3-DA93C37C3B12}">
            <xm:f>NOT(ISERROR(SEARCH("차재성",'[2025년 본예산1.xlsx]행정관리부'!#REF!)))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J25</xm:sqref>
        </x14:conditionalFormatting>
        <x14:conditionalFormatting xmlns:xm="http://schemas.microsoft.com/office/excel/2006/main">
          <x14:cfRule type="containsText" priority="79" operator="containsText" text="허하나로" id="{D420B4E7-1BEB-4CD1-A9C9-65CC61F04197}">
            <xm:f>NOT(ISERROR(SEARCH("허하나로",'[2025년 본예산1.xlsx]행정관리부'!#REF!)))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90F099D4-7C37-4BDB-901B-04D78DC2D524}">
            <xm:f>NOT(ISERROR(SEARCH("한별",'[2025년 본예산1.xlsx]행정관리부'!#REF!)))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21538F85-3204-4525-8782-CBF07A523A8D}">
            <xm:f>NOT(ISERROR(SEARCH("정홍조",'[2025년 본예산1.xlsx]행정관리부'!#REF!)))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8529A7A3-9362-4706-81B8-C7F4319C3C58}">
            <xm:f>NOT(ISERROR(SEARCH("김지윤",'[2025년 본예산1.xlsx]행정관리부'!#REF!)))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800EB218-3CD1-4F18-A482-DB1E0FE67E65}">
            <xm:f>NOT(ISERROR(SEARCH("전준영",'[2025년 본예산1.xlsx]행정관리부'!#REF!)))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101D2B35-E144-4998-A601-0B57C844CF62}">
            <xm:f>NOT(ISERROR(SEARCH("차재성",'[2025년 본예산1.xlsx]행정관리부'!#REF!)))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J23:J24</xm:sqref>
        </x14:conditionalFormatting>
        <x14:conditionalFormatting xmlns:xm="http://schemas.microsoft.com/office/excel/2006/main">
          <x14:cfRule type="containsText" priority="7" operator="containsText" text="허하나로" id="{D43E79B1-EE6A-4EA3-B52C-6BD7978B8DEE}">
            <xm:f>NOT(ISERROR(SEARCH("허하나로",행정관리부!H1059)))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9A4F73E9-1D7E-4266-B557-5ACD8AA5E762}">
            <xm:f>NOT(ISERROR(SEARCH("한별",행정관리부!H1059)))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32804C67-EC96-4BA9-ACCB-ECCFBC9E3A3A}">
            <xm:f>NOT(ISERROR(SEARCH("정홍조",행정관리부!H1059)))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C38D4C6C-F422-410A-8EBD-B53F54AD5EEC}">
            <xm:f>NOT(ISERROR(SEARCH("김지윤",행정관리부!H1059)))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C76CB348-C024-4FC3-907D-DF0066147DB2}">
            <xm:f>NOT(ISERROR(SEARCH("전준영",행정관리부!H1059)))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8B876EBE-049B-4999-A9C7-262844F64215}">
            <xm:f>NOT(ISERROR(SEARCH("차재성",행정관리부!H1059)))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J35</xm:sqref>
        </x14:conditionalFormatting>
        <x14:conditionalFormatting xmlns:xm="http://schemas.microsoft.com/office/excel/2006/main">
          <x14:cfRule type="containsText" priority="1" operator="containsText" text="허하나로" id="{08CD5C75-19D4-4A24-ADA7-CFB6DC3C4BA0}">
            <xm:f>NOT(ISERROR(SEARCH("허하나로",행정관리부!H1058)))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" operator="containsText" text="한별" id="{99960472-C61B-40D2-A3BC-3BA232C4FDED}">
            <xm:f>NOT(ISERROR(SEARCH("한별",행정관리부!H1058)))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" operator="containsText" text="정홍조" id="{20CEEC82-27B8-4AD0-B37E-2F4091C6F9BD}">
            <xm:f>NOT(ISERROR(SEARCH("정홍조",행정관리부!H1058)))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" operator="containsText" text="김지윤" id="{5D7B9C1E-0A64-49F9-A95C-24667468298A}">
            <xm:f>NOT(ISERROR(SEARCH("김지윤",행정관리부!H1058)))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" operator="containsText" text="전준영" id="{E193CF20-FF69-48C7-84C2-19442BB48DEB}">
            <xm:f>NOT(ISERROR(SEARCH("전준영",행정관리부!H1058)))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" operator="containsText" text="차재성" id="{515AFE08-532C-4B52-BA37-2D16F4065E65}">
            <xm:f>NOT(ISERROR(SEARCH("차재성",행정관리부!H1058)))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M24"/>
  <sheetViews>
    <sheetView zoomScale="85" zoomScaleNormal="85" workbookViewId="0"/>
  </sheetViews>
  <sheetFormatPr defaultRowHeight="16.5" x14ac:dyDescent="0.3"/>
  <cols>
    <col min="1" max="6" width="3.875" customWidth="1"/>
    <col min="7" max="7" width="32.625" customWidth="1"/>
    <col min="8" max="10" width="14.625" customWidth="1"/>
    <col min="11" max="11" width="60.625" customWidth="1"/>
    <col min="12" max="12" width="3.875" customWidth="1"/>
    <col min="13" max="13" width="14.625" customWidth="1"/>
  </cols>
  <sheetData>
    <row r="1" spans="1:13" ht="17.25" thickBot="1" x14ac:dyDescent="0.2">
      <c r="A1" s="94" t="s">
        <v>188</v>
      </c>
      <c r="B1" s="43"/>
      <c r="C1" s="94"/>
      <c r="D1" s="94"/>
      <c r="E1" s="94"/>
      <c r="F1" s="94"/>
      <c r="G1" s="199"/>
      <c r="H1" s="200"/>
      <c r="I1" s="200"/>
      <c r="J1" s="199"/>
      <c r="K1" s="199"/>
      <c r="L1" s="199"/>
      <c r="M1" s="198" t="s">
        <v>38</v>
      </c>
    </row>
    <row r="2" spans="1:13" x14ac:dyDescent="0.3">
      <c r="A2" s="439" t="s">
        <v>27</v>
      </c>
      <c r="B2" s="441" t="s">
        <v>28</v>
      </c>
      <c r="C2" s="442"/>
      <c r="D2" s="443"/>
      <c r="E2" s="441" t="s">
        <v>29</v>
      </c>
      <c r="F2" s="442"/>
      <c r="G2" s="443"/>
      <c r="H2" s="444" t="s">
        <v>1</v>
      </c>
      <c r="I2" s="446" t="s">
        <v>2</v>
      </c>
      <c r="J2" s="448" t="s">
        <v>3</v>
      </c>
      <c r="K2" s="430" t="s">
        <v>4</v>
      </c>
      <c r="L2" s="431"/>
      <c r="M2" s="432"/>
    </row>
    <row r="3" spans="1:13" ht="17.25" thickBot="1" x14ac:dyDescent="0.35">
      <c r="A3" s="440"/>
      <c r="B3" s="135" t="s">
        <v>30</v>
      </c>
      <c r="C3" s="135" t="s">
        <v>31</v>
      </c>
      <c r="D3" s="135" t="s">
        <v>32</v>
      </c>
      <c r="E3" s="135" t="s">
        <v>33</v>
      </c>
      <c r="F3" s="135" t="s">
        <v>34</v>
      </c>
      <c r="G3" s="135" t="s">
        <v>35</v>
      </c>
      <c r="H3" s="445"/>
      <c r="I3" s="447"/>
      <c r="J3" s="449"/>
      <c r="K3" s="433"/>
      <c r="L3" s="434"/>
      <c r="M3" s="435"/>
    </row>
    <row r="4" spans="1:13" ht="17.25" thickBot="1" x14ac:dyDescent="0.35">
      <c r="A4" s="436" t="s">
        <v>36</v>
      </c>
      <c r="B4" s="437"/>
      <c r="C4" s="437"/>
      <c r="D4" s="437"/>
      <c r="E4" s="437"/>
      <c r="F4" s="437"/>
      <c r="G4" s="438"/>
      <c r="H4" s="201">
        <f>H5</f>
        <v>25268</v>
      </c>
      <c r="I4" s="201">
        <v>0</v>
      </c>
      <c r="J4" s="136">
        <f t="shared" ref="J4:J11" si="0">H4-I4</f>
        <v>25268</v>
      </c>
      <c r="K4" s="95"/>
      <c r="L4" s="96"/>
      <c r="M4" s="137"/>
    </row>
    <row r="5" spans="1:13" x14ac:dyDescent="0.3">
      <c r="A5" s="223" t="s">
        <v>5</v>
      </c>
      <c r="B5" s="138"/>
      <c r="C5" s="139"/>
      <c r="D5" s="139"/>
      <c r="E5" s="139"/>
      <c r="F5" s="139"/>
      <c r="G5" s="140"/>
      <c r="H5" s="100">
        <f>H6</f>
        <v>25268</v>
      </c>
      <c r="I5" s="100">
        <v>0</v>
      </c>
      <c r="J5" s="101">
        <f t="shared" si="0"/>
        <v>25268</v>
      </c>
      <c r="K5" s="84"/>
      <c r="L5" s="85"/>
      <c r="M5" s="86"/>
    </row>
    <row r="6" spans="1:13" x14ac:dyDescent="0.3">
      <c r="A6" s="10"/>
      <c r="B6" s="145" t="s">
        <v>318</v>
      </c>
      <c r="C6" s="145"/>
      <c r="D6" s="146"/>
      <c r="E6" s="146"/>
      <c r="F6" s="146"/>
      <c r="G6" s="147"/>
      <c r="H6" s="100">
        <f>H7</f>
        <v>25268</v>
      </c>
      <c r="I6" s="100">
        <v>0</v>
      </c>
      <c r="J6" s="101">
        <f t="shared" si="0"/>
        <v>25268</v>
      </c>
      <c r="K6" s="84"/>
      <c r="L6" s="85"/>
      <c r="M6" s="86"/>
    </row>
    <row r="7" spans="1:13" x14ac:dyDescent="0.3">
      <c r="A7" s="10"/>
      <c r="B7" s="6"/>
      <c r="C7" s="195" t="s">
        <v>260</v>
      </c>
      <c r="D7" s="146"/>
      <c r="E7" s="146"/>
      <c r="F7" s="146"/>
      <c r="G7" s="147"/>
      <c r="H7" s="97">
        <f>H8</f>
        <v>25268</v>
      </c>
      <c r="I7" s="97">
        <v>0</v>
      </c>
      <c r="J7" s="98">
        <f t="shared" si="0"/>
        <v>25268</v>
      </c>
      <c r="K7" s="175"/>
      <c r="L7" s="165"/>
      <c r="M7" s="166"/>
    </row>
    <row r="8" spans="1:13" x14ac:dyDescent="0.3">
      <c r="A8" s="10"/>
      <c r="B8" s="6"/>
      <c r="C8" s="163"/>
      <c r="D8" s="145" t="s">
        <v>40</v>
      </c>
      <c r="E8" s="146"/>
      <c r="F8" s="146"/>
      <c r="G8" s="147"/>
      <c r="H8" s="148">
        <f>H9</f>
        <v>25268</v>
      </c>
      <c r="I8" s="148">
        <v>0</v>
      </c>
      <c r="J8" s="9">
        <f t="shared" si="0"/>
        <v>25268</v>
      </c>
      <c r="K8" s="164"/>
      <c r="L8" s="165"/>
      <c r="M8" s="166"/>
    </row>
    <row r="9" spans="1:13" x14ac:dyDescent="0.3">
      <c r="A9" s="10"/>
      <c r="B9" s="6"/>
      <c r="C9" s="150"/>
      <c r="D9" s="151"/>
      <c r="E9" s="145" t="s">
        <v>37</v>
      </c>
      <c r="F9" s="146"/>
      <c r="G9" s="147"/>
      <c r="H9" s="97">
        <f>SUM(H10,H15,H19,H22)</f>
        <v>25268</v>
      </c>
      <c r="I9" s="97">
        <v>0</v>
      </c>
      <c r="J9" s="98">
        <f t="shared" si="0"/>
        <v>25268</v>
      </c>
      <c r="K9" s="90"/>
      <c r="L9" s="99"/>
      <c r="M9" s="88"/>
    </row>
    <row r="10" spans="1:13" x14ac:dyDescent="0.3">
      <c r="A10" s="68"/>
      <c r="B10" s="70"/>
      <c r="C10" s="70"/>
      <c r="D10" s="70"/>
      <c r="E10" s="70"/>
      <c r="F10" s="152" t="s">
        <v>41</v>
      </c>
      <c r="G10" s="156"/>
      <c r="H10" s="77">
        <f>SUM(H11,H13)</f>
        <v>8568</v>
      </c>
      <c r="I10" s="77">
        <v>0</v>
      </c>
      <c r="J10" s="106">
        <f t="shared" si="0"/>
        <v>8568</v>
      </c>
      <c r="K10" s="160"/>
      <c r="L10" s="38"/>
      <c r="M10" s="37"/>
    </row>
    <row r="11" spans="1:13" x14ac:dyDescent="0.3">
      <c r="A11" s="57"/>
      <c r="B11" s="60"/>
      <c r="C11" s="70"/>
      <c r="D11" s="70"/>
      <c r="E11" s="70"/>
      <c r="F11" s="208"/>
      <c r="G11" s="226" t="s">
        <v>42</v>
      </c>
      <c r="H11" s="227">
        <f>M11</f>
        <v>2520</v>
      </c>
      <c r="I11" s="227">
        <v>0</v>
      </c>
      <c r="J11" s="41">
        <f t="shared" si="0"/>
        <v>2520</v>
      </c>
      <c r="K11" s="36" t="s">
        <v>54</v>
      </c>
      <c r="L11" s="229"/>
      <c r="M11" s="242">
        <f>SUM(M12:M12)</f>
        <v>2520</v>
      </c>
    </row>
    <row r="12" spans="1:13" x14ac:dyDescent="0.3">
      <c r="A12" s="57"/>
      <c r="B12" s="60"/>
      <c r="C12" s="70"/>
      <c r="D12" s="70"/>
      <c r="E12" s="70"/>
      <c r="F12" s="58"/>
      <c r="G12" s="58"/>
      <c r="H12" s="110"/>
      <c r="I12" s="110"/>
      <c r="J12" s="112"/>
      <c r="K12" s="209" t="s">
        <v>463</v>
      </c>
      <c r="L12" s="220" t="s">
        <v>43</v>
      </c>
      <c r="M12" s="207">
        <v>2520</v>
      </c>
    </row>
    <row r="13" spans="1:13" x14ac:dyDescent="0.3">
      <c r="A13" s="57"/>
      <c r="B13" s="60"/>
      <c r="C13" s="70"/>
      <c r="D13" s="70"/>
      <c r="E13" s="70"/>
      <c r="F13" s="58"/>
      <c r="G13" s="226" t="s">
        <v>342</v>
      </c>
      <c r="H13" s="227">
        <f>M13</f>
        <v>6048</v>
      </c>
      <c r="I13" s="227">
        <v>0</v>
      </c>
      <c r="J13" s="228">
        <f>H13-I13</f>
        <v>6048</v>
      </c>
      <c r="K13" s="36" t="s">
        <v>343</v>
      </c>
      <c r="L13" s="51"/>
      <c r="M13" s="242">
        <f>SUM(M14)</f>
        <v>6048</v>
      </c>
    </row>
    <row r="14" spans="1:13" x14ac:dyDescent="0.3">
      <c r="A14" s="70"/>
      <c r="B14" s="70"/>
      <c r="C14" s="70"/>
      <c r="D14" s="70"/>
      <c r="E14" s="70"/>
      <c r="F14" s="58"/>
      <c r="G14" s="58"/>
      <c r="H14" s="110"/>
      <c r="I14" s="110"/>
      <c r="J14" s="112"/>
      <c r="K14" s="239" t="s">
        <v>461</v>
      </c>
      <c r="L14" s="222" t="s">
        <v>43</v>
      </c>
      <c r="M14" s="207">
        <v>6048</v>
      </c>
    </row>
    <row r="15" spans="1:13" x14ac:dyDescent="0.3">
      <c r="A15" s="70"/>
      <c r="B15" s="70"/>
      <c r="C15" s="70"/>
      <c r="D15" s="70"/>
      <c r="E15" s="70"/>
      <c r="F15" s="450" t="s">
        <v>46</v>
      </c>
      <c r="G15" s="451"/>
      <c r="H15" s="168">
        <f>H16</f>
        <v>12600</v>
      </c>
      <c r="I15" s="168">
        <v>0</v>
      </c>
      <c r="J15" s="169">
        <f>H15-I15</f>
        <v>12600</v>
      </c>
      <c r="K15" s="170"/>
      <c r="L15" s="61"/>
      <c r="M15" s="63"/>
    </row>
    <row r="16" spans="1:13" x14ac:dyDescent="0.3">
      <c r="A16" s="70"/>
      <c r="B16" s="70"/>
      <c r="C16" s="70"/>
      <c r="D16" s="70"/>
      <c r="E16" s="70"/>
      <c r="F16" s="125"/>
      <c r="G16" s="216" t="s">
        <v>47</v>
      </c>
      <c r="H16" s="230">
        <f>M16</f>
        <v>12600</v>
      </c>
      <c r="I16" s="227">
        <v>0</v>
      </c>
      <c r="J16" s="219">
        <f>H16-I16</f>
        <v>12600</v>
      </c>
      <c r="K16" s="36" t="s">
        <v>56</v>
      </c>
      <c r="L16" s="232"/>
      <c r="M16" s="242">
        <f>SUM(M17:M18)</f>
        <v>12600</v>
      </c>
    </row>
    <row r="17" spans="1:13" x14ac:dyDescent="0.3">
      <c r="A17" s="70"/>
      <c r="B17" s="70"/>
      <c r="C17" s="70"/>
      <c r="D17" s="70"/>
      <c r="E17" s="70"/>
      <c r="F17" s="211"/>
      <c r="G17" s="211"/>
      <c r="H17" s="110"/>
      <c r="I17" s="117"/>
      <c r="J17" s="112"/>
      <c r="K17" s="237" t="s">
        <v>537</v>
      </c>
      <c r="L17" s="103" t="s">
        <v>0</v>
      </c>
      <c r="M17" s="207">
        <v>3360</v>
      </c>
    </row>
    <row r="18" spans="1:13" x14ac:dyDescent="0.3">
      <c r="A18" s="70"/>
      <c r="B18" s="70"/>
      <c r="C18" s="70"/>
      <c r="D18" s="70"/>
      <c r="E18" s="70"/>
      <c r="F18" s="211"/>
      <c r="G18" s="211"/>
      <c r="H18" s="110"/>
      <c r="I18" s="117"/>
      <c r="J18" s="112"/>
      <c r="K18" s="239" t="s">
        <v>534</v>
      </c>
      <c r="L18" s="231" t="s">
        <v>0</v>
      </c>
      <c r="M18" s="207">
        <v>9240</v>
      </c>
    </row>
    <row r="19" spans="1:13" x14ac:dyDescent="0.3">
      <c r="A19" s="70"/>
      <c r="B19" s="70"/>
      <c r="C19" s="70"/>
      <c r="D19" s="70"/>
      <c r="E19" s="70"/>
      <c r="F19" s="450" t="s">
        <v>48</v>
      </c>
      <c r="G19" s="451"/>
      <c r="H19" s="168">
        <f>H20</f>
        <v>2000</v>
      </c>
      <c r="I19" s="168">
        <v>0</v>
      </c>
      <c r="J19" s="169">
        <f>H19-I19</f>
        <v>2000</v>
      </c>
      <c r="K19" s="170"/>
      <c r="L19" s="61"/>
      <c r="M19" s="63"/>
    </row>
    <row r="20" spans="1:13" x14ac:dyDescent="0.3">
      <c r="A20" s="70"/>
      <c r="B20" s="70"/>
      <c r="C20" s="70"/>
      <c r="D20" s="70"/>
      <c r="E20" s="70"/>
      <c r="F20" s="211"/>
      <c r="G20" s="125" t="s">
        <v>49</v>
      </c>
      <c r="H20" s="230">
        <f>M20</f>
        <v>2000</v>
      </c>
      <c r="I20" s="230">
        <v>0</v>
      </c>
      <c r="J20" s="219">
        <f>H20-I20</f>
        <v>2000</v>
      </c>
      <c r="K20" s="36" t="s">
        <v>57</v>
      </c>
      <c r="L20" s="229"/>
      <c r="M20" s="242">
        <f>SUM(M21)</f>
        <v>2000</v>
      </c>
    </row>
    <row r="21" spans="1:13" x14ac:dyDescent="0.3">
      <c r="A21" s="365"/>
      <c r="B21" s="366"/>
      <c r="C21" s="366"/>
      <c r="D21" s="366"/>
      <c r="E21" s="366"/>
      <c r="F21" s="212"/>
      <c r="G21" s="212"/>
      <c r="H21" s="115"/>
      <c r="I21" s="171"/>
      <c r="J21" s="171"/>
      <c r="K21" s="215" t="s">
        <v>657</v>
      </c>
      <c r="L21" s="231" t="s">
        <v>0</v>
      </c>
      <c r="M21" s="207">
        <v>2000</v>
      </c>
    </row>
    <row r="22" spans="1:13" x14ac:dyDescent="0.3">
      <c r="A22" s="68"/>
      <c r="B22" s="70"/>
      <c r="C22" s="70"/>
      <c r="D22" s="70"/>
      <c r="E22" s="70"/>
      <c r="F22" s="383" t="s">
        <v>99</v>
      </c>
      <c r="G22" s="75"/>
      <c r="H22" s="76">
        <f>H23</f>
        <v>2100</v>
      </c>
      <c r="I22" s="76">
        <v>0</v>
      </c>
      <c r="J22" s="162">
        <f>H22-I22</f>
        <v>2100</v>
      </c>
      <c r="K22" s="315"/>
      <c r="L22" s="316"/>
      <c r="M22" s="262"/>
    </row>
    <row r="23" spans="1:13" x14ac:dyDescent="0.3">
      <c r="A23" s="68"/>
      <c r="B23" s="70"/>
      <c r="C23" s="70"/>
      <c r="D23" s="70"/>
      <c r="E23" s="70"/>
      <c r="F23" s="159"/>
      <c r="G23" s="70" t="s">
        <v>103</v>
      </c>
      <c r="H23" s="81">
        <f>M23</f>
        <v>2100</v>
      </c>
      <c r="I23" s="81">
        <v>0</v>
      </c>
      <c r="J23" s="48">
        <f>H23-I23</f>
        <v>2100</v>
      </c>
      <c r="K23" s="36" t="s">
        <v>471</v>
      </c>
      <c r="L23" s="39"/>
      <c r="M23" s="242">
        <f>M24</f>
        <v>2100</v>
      </c>
    </row>
    <row r="24" spans="1:13" ht="17.25" thickBot="1" x14ac:dyDescent="0.35">
      <c r="A24" s="74"/>
      <c r="B24" s="74"/>
      <c r="C24" s="74"/>
      <c r="D24" s="74"/>
      <c r="E24" s="74"/>
      <c r="F24" s="385"/>
      <c r="G24" s="217"/>
      <c r="H24" s="386"/>
      <c r="I24" s="387"/>
      <c r="J24" s="388"/>
      <c r="K24" s="257" t="s">
        <v>479</v>
      </c>
      <c r="L24" s="258" t="s">
        <v>0</v>
      </c>
      <c r="M24" s="271">
        <v>2100</v>
      </c>
    </row>
  </sheetData>
  <autoFilter ref="A3:M24">
    <filterColumn colId="10" showButton="0"/>
    <filterColumn colId="11" showButton="0"/>
  </autoFilter>
  <mergeCells count="10">
    <mergeCell ref="K2:M3"/>
    <mergeCell ref="A4:G4"/>
    <mergeCell ref="F15:G15"/>
    <mergeCell ref="F19:G19"/>
    <mergeCell ref="A2:A3"/>
    <mergeCell ref="B2:D2"/>
    <mergeCell ref="E2:G2"/>
    <mergeCell ref="H2:H3"/>
    <mergeCell ref="I2:I3"/>
    <mergeCell ref="J2:J3"/>
  </mergeCells>
  <phoneticPr fontId="12" type="noConversion"/>
  <conditionalFormatting sqref="J20:J21">
    <cfRule type="containsText" dxfId="515" priority="55" operator="containsText" text="허하나로">
      <formula>NOT(ISERROR(SEARCH("허하나로",H1046)))</formula>
    </cfRule>
    <cfRule type="containsText" dxfId="514" priority="56" operator="containsText" text="한별">
      <formula>NOT(ISERROR(SEARCH("한별",H1046)))</formula>
    </cfRule>
    <cfRule type="containsText" dxfId="513" priority="57" operator="containsText" text="정홍조">
      <formula>NOT(ISERROR(SEARCH("정홍조",H1046)))</formula>
    </cfRule>
    <cfRule type="containsText" dxfId="512" priority="58" operator="containsText" text="김지윤">
      <formula>NOT(ISERROR(SEARCH("김지윤",H1046)))</formula>
    </cfRule>
    <cfRule type="containsText" dxfId="511" priority="59" operator="containsText" text="전준영">
      <formula>NOT(ISERROR(SEARCH("전준영",H1046)))</formula>
    </cfRule>
    <cfRule type="containsText" dxfId="510" priority="60" operator="containsText" text="차재성">
      <formula>NOT(ISERROR(SEARCH("차재성",H1046)))</formula>
    </cfRule>
  </conditionalFormatting>
  <conditionalFormatting sqref="J2:J3">
    <cfRule type="containsText" dxfId="509" priority="79" operator="containsText" text="허하나로">
      <formula>NOT(ISERROR(SEARCH("허하나로",H685)))</formula>
    </cfRule>
    <cfRule type="containsText" dxfId="508" priority="80" operator="containsText" text="한별">
      <formula>NOT(ISERROR(SEARCH("한별",H685)))</formula>
    </cfRule>
    <cfRule type="containsText" dxfId="507" priority="81" operator="containsText" text="정홍조">
      <formula>NOT(ISERROR(SEARCH("정홍조",H685)))</formula>
    </cfRule>
    <cfRule type="containsText" dxfId="506" priority="82" operator="containsText" text="김지윤">
      <formula>NOT(ISERROR(SEARCH("김지윤",H685)))</formula>
    </cfRule>
    <cfRule type="containsText" dxfId="505" priority="83" operator="containsText" text="전준영">
      <formula>NOT(ISERROR(SEARCH("전준영",H685)))</formula>
    </cfRule>
    <cfRule type="containsText" dxfId="504" priority="84" operator="containsText" text="차재성">
      <formula>NOT(ISERROR(SEARCH("차재성",H685)))</formula>
    </cfRule>
  </conditionalFormatting>
  <conditionalFormatting sqref="J6">
    <cfRule type="containsText" dxfId="503" priority="67" operator="containsText" text="허하나로">
      <formula>NOT(ISERROR(SEARCH("허하나로",H683)))</formula>
    </cfRule>
    <cfRule type="containsText" dxfId="502" priority="68" operator="containsText" text="한별">
      <formula>NOT(ISERROR(SEARCH("한별",H683)))</formula>
    </cfRule>
    <cfRule type="containsText" dxfId="501" priority="69" operator="containsText" text="정홍조">
      <formula>NOT(ISERROR(SEARCH("정홍조",H683)))</formula>
    </cfRule>
    <cfRule type="containsText" dxfId="500" priority="70" operator="containsText" text="김지윤">
      <formula>NOT(ISERROR(SEARCH("김지윤",H683)))</formula>
    </cfRule>
    <cfRule type="containsText" dxfId="499" priority="71" operator="containsText" text="전준영">
      <formula>NOT(ISERROR(SEARCH("전준영",H683)))</formula>
    </cfRule>
    <cfRule type="containsText" dxfId="498" priority="72" operator="containsText" text="차재성">
      <formula>NOT(ISERROR(SEARCH("차재성",H683)))</formula>
    </cfRule>
  </conditionalFormatting>
  <conditionalFormatting sqref="J5">
    <cfRule type="containsText" dxfId="497" priority="61" operator="containsText" text="허하나로">
      <formula>NOT(ISERROR(SEARCH("허하나로",H682)))</formula>
    </cfRule>
    <cfRule type="containsText" dxfId="496" priority="62" operator="containsText" text="한별">
      <formula>NOT(ISERROR(SEARCH("한별",H682)))</formula>
    </cfRule>
    <cfRule type="containsText" dxfId="495" priority="63" operator="containsText" text="정홍조">
      <formula>NOT(ISERROR(SEARCH("정홍조",H682)))</formula>
    </cfRule>
    <cfRule type="containsText" dxfId="494" priority="64" operator="containsText" text="김지윤">
      <formula>NOT(ISERROR(SEARCH("김지윤",H682)))</formula>
    </cfRule>
    <cfRule type="containsText" dxfId="493" priority="65" operator="containsText" text="전준영">
      <formula>NOT(ISERROR(SEARCH("전준영",H682)))</formula>
    </cfRule>
    <cfRule type="containsText" dxfId="492" priority="66" operator="containsText" text="차재성">
      <formula>NOT(ISERROR(SEARCH("차재성",H682)))</formula>
    </cfRule>
  </conditionalFormatting>
  <conditionalFormatting sqref="J7">
    <cfRule type="containsText" dxfId="491" priority="49" operator="containsText" text="허하나로">
      <formula>NOT(ISERROR(SEARCH("허하나로",H816)))</formula>
    </cfRule>
    <cfRule type="containsText" dxfId="490" priority="50" operator="containsText" text="한별">
      <formula>NOT(ISERROR(SEARCH("한별",H816)))</formula>
    </cfRule>
    <cfRule type="containsText" dxfId="489" priority="51" operator="containsText" text="정홍조">
      <formula>NOT(ISERROR(SEARCH("정홍조",H816)))</formula>
    </cfRule>
    <cfRule type="containsText" dxfId="488" priority="52" operator="containsText" text="김지윤">
      <formula>NOT(ISERROR(SEARCH("김지윤",H816)))</formula>
    </cfRule>
    <cfRule type="containsText" dxfId="487" priority="53" operator="containsText" text="전준영">
      <formula>NOT(ISERROR(SEARCH("전준영",H816)))</formula>
    </cfRule>
    <cfRule type="containsText" dxfId="486" priority="54" operator="containsText" text="차재성">
      <formula>NOT(ISERROR(SEARCH("차재성",H816)))</formula>
    </cfRule>
  </conditionalFormatting>
  <conditionalFormatting sqref="J10:J11">
    <cfRule type="containsText" dxfId="485" priority="43" operator="containsText" text="허하나로">
      <formula>NOT(ISERROR(SEARCH("허하나로",H1024)))</formula>
    </cfRule>
    <cfRule type="containsText" dxfId="484" priority="44" operator="containsText" text="한별">
      <formula>NOT(ISERROR(SEARCH("한별",H1024)))</formula>
    </cfRule>
    <cfRule type="containsText" dxfId="483" priority="45" operator="containsText" text="정홍조">
      <formula>NOT(ISERROR(SEARCH("정홍조",H1024)))</formula>
    </cfRule>
    <cfRule type="containsText" dxfId="482" priority="46" operator="containsText" text="김지윤">
      <formula>NOT(ISERROR(SEARCH("김지윤",H1024)))</formula>
    </cfRule>
    <cfRule type="containsText" dxfId="481" priority="47" operator="containsText" text="전준영">
      <formula>NOT(ISERROR(SEARCH("전준영",H1024)))</formula>
    </cfRule>
    <cfRule type="containsText" dxfId="480" priority="48" operator="containsText" text="차재성">
      <formula>NOT(ISERROR(SEARCH("차재성",H1024)))</formula>
    </cfRule>
  </conditionalFormatting>
  <conditionalFormatting sqref="J9">
    <cfRule type="containsText" dxfId="479" priority="85" operator="containsText" text="허하나로">
      <formula>NOT(ISERROR(SEARCH("허하나로",H1013)))</formula>
    </cfRule>
    <cfRule type="containsText" dxfId="478" priority="86" operator="containsText" text="한별">
      <formula>NOT(ISERROR(SEARCH("한별",H1013)))</formula>
    </cfRule>
    <cfRule type="containsText" dxfId="477" priority="87" operator="containsText" text="정홍조">
      <formula>NOT(ISERROR(SEARCH("정홍조",H1013)))</formula>
    </cfRule>
    <cfRule type="containsText" dxfId="476" priority="88" operator="containsText" text="김지윤">
      <formula>NOT(ISERROR(SEARCH("김지윤",H1013)))</formula>
    </cfRule>
    <cfRule type="containsText" dxfId="475" priority="89" operator="containsText" text="전준영">
      <formula>NOT(ISERROR(SEARCH("전준영",H1013)))</formula>
    </cfRule>
    <cfRule type="containsText" dxfId="474" priority="90" operator="containsText" text="차재성">
      <formula>NOT(ISERROR(SEARCH("차재성",H1013)))</formula>
    </cfRule>
  </conditionalFormatting>
  <conditionalFormatting sqref="J15:J18">
    <cfRule type="containsText" dxfId="473" priority="91" operator="containsText" text="허하나로">
      <formula>NOT(ISERROR(SEARCH("허하나로",H1026)))</formula>
    </cfRule>
    <cfRule type="containsText" dxfId="472" priority="92" operator="containsText" text="한별">
      <formula>NOT(ISERROR(SEARCH("한별",H1026)))</formula>
    </cfRule>
    <cfRule type="containsText" dxfId="471" priority="93" operator="containsText" text="정홍조">
      <formula>NOT(ISERROR(SEARCH("정홍조",H1026)))</formula>
    </cfRule>
    <cfRule type="containsText" dxfId="470" priority="94" operator="containsText" text="김지윤">
      <formula>NOT(ISERROR(SEARCH("김지윤",H1026)))</formula>
    </cfRule>
    <cfRule type="containsText" dxfId="469" priority="95" operator="containsText" text="전준영">
      <formula>NOT(ISERROR(SEARCH("전준영",H1026)))</formula>
    </cfRule>
    <cfRule type="containsText" dxfId="468" priority="96" operator="containsText" text="차재성">
      <formula>NOT(ISERROR(SEARCH("차재성",H1026)))</formula>
    </cfRule>
  </conditionalFormatting>
  <conditionalFormatting sqref="J19">
    <cfRule type="containsText" dxfId="467" priority="31" operator="containsText" text="허하나로">
      <formula>NOT(ISERROR(SEARCH("허하나로",H1030)))</formula>
    </cfRule>
    <cfRule type="containsText" dxfId="466" priority="32" operator="containsText" text="한별">
      <formula>NOT(ISERROR(SEARCH("한별",H1030)))</formula>
    </cfRule>
    <cfRule type="containsText" dxfId="465" priority="33" operator="containsText" text="정홍조">
      <formula>NOT(ISERROR(SEARCH("정홍조",H1030)))</formula>
    </cfRule>
    <cfRule type="containsText" dxfId="464" priority="34" operator="containsText" text="김지윤">
      <formula>NOT(ISERROR(SEARCH("김지윤",H1030)))</formula>
    </cfRule>
    <cfRule type="containsText" dxfId="463" priority="35" operator="containsText" text="전준영">
      <formula>NOT(ISERROR(SEARCH("전준영",H1030)))</formula>
    </cfRule>
    <cfRule type="containsText" dxfId="462" priority="36" operator="containsText" text="차재성">
      <formula>NOT(ISERROR(SEARCH("차재성",H1030)))</formula>
    </cfRule>
  </conditionalFormatting>
  <conditionalFormatting sqref="L16">
    <cfRule type="containsText" dxfId="461" priority="25" operator="containsText" text="허하나로">
      <formula>NOT(ISERROR(SEARCH("허하나로",J1161)))</formula>
    </cfRule>
    <cfRule type="containsText" dxfId="460" priority="26" operator="containsText" text="한별">
      <formula>NOT(ISERROR(SEARCH("한별",J1161)))</formula>
    </cfRule>
    <cfRule type="containsText" dxfId="459" priority="27" operator="containsText" text="정홍조">
      <formula>NOT(ISERROR(SEARCH("정홍조",J1161)))</formula>
    </cfRule>
    <cfRule type="containsText" dxfId="458" priority="28" operator="containsText" text="김지윤">
      <formula>NOT(ISERROR(SEARCH("김지윤",J1161)))</formula>
    </cfRule>
    <cfRule type="containsText" dxfId="457" priority="29" operator="containsText" text="전준영">
      <formula>NOT(ISERROR(SEARCH("전준영",J1161)))</formula>
    </cfRule>
    <cfRule type="containsText" dxfId="456" priority="30" operator="containsText" text="차재성">
      <formula>NOT(ISERROR(SEARCH("차재성",J1161)))</formula>
    </cfRule>
  </conditionalFormatting>
  <conditionalFormatting sqref="I21">
    <cfRule type="containsText" dxfId="455" priority="19" operator="containsText" text="허하나로">
      <formula>NOT(ISERROR(SEARCH("허하나로",G1047)))</formula>
    </cfRule>
    <cfRule type="containsText" dxfId="454" priority="20" operator="containsText" text="한별">
      <formula>NOT(ISERROR(SEARCH("한별",G1047)))</formula>
    </cfRule>
    <cfRule type="containsText" dxfId="453" priority="21" operator="containsText" text="정홍조">
      <formula>NOT(ISERROR(SEARCH("정홍조",G1047)))</formula>
    </cfRule>
    <cfRule type="containsText" dxfId="452" priority="22" operator="containsText" text="김지윤">
      <formula>NOT(ISERROR(SEARCH("김지윤",G1047)))</formula>
    </cfRule>
    <cfRule type="containsText" dxfId="451" priority="23" operator="containsText" text="전준영">
      <formula>NOT(ISERROR(SEARCH("전준영",G1047)))</formula>
    </cfRule>
    <cfRule type="containsText" dxfId="450" priority="24" operator="containsText" text="차재성">
      <formula>NOT(ISERROR(SEARCH("차재성",G1047)))</formula>
    </cfRule>
  </conditionalFormatting>
  <conditionalFormatting sqref="J13:J14">
    <cfRule type="containsText" dxfId="449" priority="13" operator="containsText" text="허하나로">
      <formula>NOT(ISERROR(SEARCH("허하나로",H1022)))</formula>
    </cfRule>
    <cfRule type="containsText" dxfId="448" priority="14" operator="containsText" text="한별">
      <formula>NOT(ISERROR(SEARCH("한별",H1022)))</formula>
    </cfRule>
    <cfRule type="containsText" dxfId="447" priority="15" operator="containsText" text="정홍조">
      <formula>NOT(ISERROR(SEARCH("정홍조",H1022)))</formula>
    </cfRule>
    <cfRule type="containsText" dxfId="446" priority="16" operator="containsText" text="김지윤">
      <formula>NOT(ISERROR(SEARCH("김지윤",H1022)))</formula>
    </cfRule>
    <cfRule type="containsText" dxfId="445" priority="17" operator="containsText" text="전준영">
      <formula>NOT(ISERROR(SEARCH("전준영",H1022)))</formula>
    </cfRule>
    <cfRule type="containsText" dxfId="444" priority="18" operator="containsText" text="차재성">
      <formula>NOT(ISERROR(SEARCH("차재성",H1022)))</formula>
    </cfRule>
  </conditionalFormatting>
  <conditionalFormatting sqref="J12">
    <cfRule type="containsText" dxfId="443" priority="3445" operator="containsText" text="허하나로">
      <formula>NOT(ISERROR(SEARCH("허하나로",H1015)))</formula>
    </cfRule>
    <cfRule type="containsText" dxfId="442" priority="3446" operator="containsText" text="한별">
      <formula>NOT(ISERROR(SEARCH("한별",H1015)))</formula>
    </cfRule>
    <cfRule type="containsText" dxfId="441" priority="3447" operator="containsText" text="정홍조">
      <formula>NOT(ISERROR(SEARCH("정홍조",H1015)))</formula>
    </cfRule>
    <cfRule type="containsText" dxfId="440" priority="3448" operator="containsText" text="김지윤">
      <formula>NOT(ISERROR(SEARCH("김지윤",H1015)))</formula>
    </cfRule>
    <cfRule type="containsText" dxfId="439" priority="3449" operator="containsText" text="전준영">
      <formula>NOT(ISERROR(SEARCH("전준영",H1015)))</formula>
    </cfRule>
    <cfRule type="containsText" dxfId="438" priority="3450" operator="containsText" text="차재성">
      <formula>NOT(ISERROR(SEARCH("차재성",H1015)))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text="허하나로" id="{774F1957-6F7E-47F0-83F6-DDCC9E32F87C}">
            <xm:f>NOT(ISERROR(SEARCH("허하나로",행정관리부!H1037)))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5BA179BA-92F8-4DA7-8572-8DD8D06767D6}">
            <xm:f>NOT(ISERROR(SEARCH("한별",행정관리부!H1037)))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C9A7CB98-1908-4097-B954-21561F3ED660}">
            <xm:f>NOT(ISERROR(SEARCH("정홍조",행정관리부!H1037)))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F42696BF-6191-453B-91F0-A4C50C1E5F51}">
            <xm:f>NOT(ISERROR(SEARCH("김지윤",행정관리부!H1037)))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F6BE78ED-6A1A-4876-B007-2C5A7559D9E8}">
            <xm:f>NOT(ISERROR(SEARCH("전준영",행정관리부!H1037)))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DC424755-C126-42D9-900C-CDA0AA09D931}">
            <xm:f>NOT(ISERROR(SEARCH("차재성",행정관리부!H1037)))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J24</xm:sqref>
        </x14:conditionalFormatting>
        <x14:conditionalFormatting xmlns:xm="http://schemas.microsoft.com/office/excel/2006/main">
          <x14:cfRule type="containsText" priority="1" operator="containsText" text="허하나로" id="{D86B4523-9939-4486-9282-D4DDFE713595}">
            <xm:f>NOT(ISERROR(SEARCH("허하나로",행정관리부!H1093)))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" operator="containsText" text="한별" id="{0C3EB3C8-FCE3-46D8-9153-BE59AF7908E1}">
            <xm:f>NOT(ISERROR(SEARCH("한별",행정관리부!H1093)))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" operator="containsText" text="정홍조" id="{F55C4DC4-1262-47FA-8412-8512C9DB54EC}">
            <xm:f>NOT(ISERROR(SEARCH("정홍조",행정관리부!H1093)))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" operator="containsText" text="김지윤" id="{E5306826-E6C4-4F06-8750-02736BA2C452}">
            <xm:f>NOT(ISERROR(SEARCH("김지윤",행정관리부!H1093)))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" operator="containsText" text="전준영" id="{980CAFB1-FB54-401A-ABE4-71AF55BB55BA}">
            <xm:f>NOT(ISERROR(SEARCH("전준영",행정관리부!H1093)))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" operator="containsText" text="차재성" id="{483E4931-8C71-4D92-A93D-6BB4D2EF8801}">
            <xm:f>NOT(ISERROR(SEARCH("차재성",행정관리부!H1093)))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J22:J23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M24"/>
  <sheetViews>
    <sheetView zoomScale="85" zoomScaleNormal="85" workbookViewId="0"/>
  </sheetViews>
  <sheetFormatPr defaultRowHeight="16.5" x14ac:dyDescent="0.3"/>
  <cols>
    <col min="1" max="6" width="3.875" customWidth="1"/>
    <col min="7" max="7" width="32.625" customWidth="1"/>
    <col min="8" max="10" width="14.625" customWidth="1"/>
    <col min="11" max="11" width="60.625" customWidth="1"/>
    <col min="12" max="12" width="3.875" customWidth="1"/>
    <col min="13" max="13" width="14.625" customWidth="1"/>
  </cols>
  <sheetData>
    <row r="1" spans="1:13" ht="17.25" thickBot="1" x14ac:dyDescent="0.2">
      <c r="A1" s="94" t="s">
        <v>189</v>
      </c>
      <c r="B1" s="43"/>
      <c r="C1" s="94"/>
      <c r="D1" s="94"/>
      <c r="E1" s="94"/>
      <c r="F1" s="94"/>
      <c r="G1" s="199"/>
      <c r="H1" s="200"/>
      <c r="I1" s="200"/>
      <c r="J1" s="199"/>
      <c r="K1" s="199"/>
      <c r="L1" s="199"/>
      <c r="M1" s="198" t="s">
        <v>38</v>
      </c>
    </row>
    <row r="2" spans="1:13" x14ac:dyDescent="0.3">
      <c r="A2" s="439" t="s">
        <v>27</v>
      </c>
      <c r="B2" s="441" t="s">
        <v>28</v>
      </c>
      <c r="C2" s="442"/>
      <c r="D2" s="443"/>
      <c r="E2" s="441" t="s">
        <v>29</v>
      </c>
      <c r="F2" s="442"/>
      <c r="G2" s="443"/>
      <c r="H2" s="444" t="s">
        <v>1</v>
      </c>
      <c r="I2" s="446" t="s">
        <v>2</v>
      </c>
      <c r="J2" s="448" t="s">
        <v>3</v>
      </c>
      <c r="K2" s="430" t="s">
        <v>4</v>
      </c>
      <c r="L2" s="431"/>
      <c r="M2" s="432"/>
    </row>
    <row r="3" spans="1:13" ht="17.25" thickBot="1" x14ac:dyDescent="0.35">
      <c r="A3" s="440"/>
      <c r="B3" s="135" t="s">
        <v>30</v>
      </c>
      <c r="C3" s="135" t="s">
        <v>31</v>
      </c>
      <c r="D3" s="135" t="s">
        <v>32</v>
      </c>
      <c r="E3" s="135" t="s">
        <v>33</v>
      </c>
      <c r="F3" s="135" t="s">
        <v>34</v>
      </c>
      <c r="G3" s="135" t="s">
        <v>35</v>
      </c>
      <c r="H3" s="445"/>
      <c r="I3" s="447"/>
      <c r="J3" s="449"/>
      <c r="K3" s="433"/>
      <c r="L3" s="434"/>
      <c r="M3" s="435"/>
    </row>
    <row r="4" spans="1:13" ht="17.25" thickBot="1" x14ac:dyDescent="0.35">
      <c r="A4" s="436" t="s">
        <v>36</v>
      </c>
      <c r="B4" s="437"/>
      <c r="C4" s="437"/>
      <c r="D4" s="437"/>
      <c r="E4" s="437"/>
      <c r="F4" s="437"/>
      <c r="G4" s="438"/>
      <c r="H4" s="201">
        <f>H5</f>
        <v>25268</v>
      </c>
      <c r="I4" s="201">
        <v>47200</v>
      </c>
      <c r="J4" s="136">
        <f t="shared" ref="J4:J11" si="0">H4-I4</f>
        <v>-21932</v>
      </c>
      <c r="K4" s="95"/>
      <c r="L4" s="96"/>
      <c r="M4" s="137"/>
    </row>
    <row r="5" spans="1:13" x14ac:dyDescent="0.3">
      <c r="A5" s="223" t="s">
        <v>5</v>
      </c>
      <c r="B5" s="138"/>
      <c r="C5" s="139"/>
      <c r="D5" s="139"/>
      <c r="E5" s="139"/>
      <c r="F5" s="139"/>
      <c r="G5" s="140"/>
      <c r="H5" s="100">
        <f>H6</f>
        <v>25268</v>
      </c>
      <c r="I5" s="100">
        <v>47200</v>
      </c>
      <c r="J5" s="101">
        <f t="shared" si="0"/>
        <v>-21932</v>
      </c>
      <c r="K5" s="84"/>
      <c r="L5" s="85"/>
      <c r="M5" s="86"/>
    </row>
    <row r="6" spans="1:13" x14ac:dyDescent="0.3">
      <c r="A6" s="10"/>
      <c r="B6" s="145" t="s">
        <v>317</v>
      </c>
      <c r="C6" s="145"/>
      <c r="D6" s="146"/>
      <c r="E6" s="146"/>
      <c r="F6" s="146"/>
      <c r="G6" s="147"/>
      <c r="H6" s="100">
        <f>H7</f>
        <v>25268</v>
      </c>
      <c r="I6" s="100">
        <v>47200</v>
      </c>
      <c r="J6" s="101">
        <f t="shared" si="0"/>
        <v>-21932</v>
      </c>
      <c r="K6" s="84"/>
      <c r="L6" s="85"/>
      <c r="M6" s="86"/>
    </row>
    <row r="7" spans="1:13" x14ac:dyDescent="0.3">
      <c r="A7" s="10"/>
      <c r="B7" s="6"/>
      <c r="C7" s="195" t="s">
        <v>261</v>
      </c>
      <c r="D7" s="146"/>
      <c r="E7" s="146"/>
      <c r="F7" s="146"/>
      <c r="G7" s="147"/>
      <c r="H7" s="97">
        <f>H8</f>
        <v>25268</v>
      </c>
      <c r="I7" s="97">
        <v>47200</v>
      </c>
      <c r="J7" s="98">
        <f t="shared" si="0"/>
        <v>-21932</v>
      </c>
      <c r="K7" s="175"/>
      <c r="L7" s="165"/>
      <c r="M7" s="166"/>
    </row>
    <row r="8" spans="1:13" x14ac:dyDescent="0.3">
      <c r="A8" s="10"/>
      <c r="B8" s="6"/>
      <c r="C8" s="163"/>
      <c r="D8" s="145" t="s">
        <v>40</v>
      </c>
      <c r="E8" s="146"/>
      <c r="F8" s="146"/>
      <c r="G8" s="147"/>
      <c r="H8" s="148">
        <f>H9</f>
        <v>25268</v>
      </c>
      <c r="I8" s="148">
        <v>47200</v>
      </c>
      <c r="J8" s="9">
        <f t="shared" si="0"/>
        <v>-21932</v>
      </c>
      <c r="K8" s="164"/>
      <c r="L8" s="165"/>
      <c r="M8" s="166"/>
    </row>
    <row r="9" spans="1:13" x14ac:dyDescent="0.3">
      <c r="A9" s="10"/>
      <c r="B9" s="6"/>
      <c r="C9" s="150"/>
      <c r="D9" s="151"/>
      <c r="E9" s="145" t="s">
        <v>37</v>
      </c>
      <c r="F9" s="146"/>
      <c r="G9" s="147"/>
      <c r="H9" s="97">
        <f>SUM(H10,H15,H19,H22)</f>
        <v>25268</v>
      </c>
      <c r="I9" s="97">
        <v>47200</v>
      </c>
      <c r="J9" s="98">
        <f t="shared" si="0"/>
        <v>-21932</v>
      </c>
      <c r="K9" s="90"/>
      <c r="L9" s="99"/>
      <c r="M9" s="88"/>
    </row>
    <row r="10" spans="1:13" x14ac:dyDescent="0.3">
      <c r="A10" s="68"/>
      <c r="B10" s="70"/>
      <c r="C10" s="70"/>
      <c r="D10" s="70"/>
      <c r="E10" s="70"/>
      <c r="F10" s="152" t="s">
        <v>41</v>
      </c>
      <c r="G10" s="156"/>
      <c r="H10" s="77">
        <f>SUM(H11,H13)</f>
        <v>8568</v>
      </c>
      <c r="I10" s="77">
        <v>21100</v>
      </c>
      <c r="J10" s="106">
        <f t="shared" si="0"/>
        <v>-12532</v>
      </c>
      <c r="K10" s="160"/>
      <c r="L10" s="38"/>
      <c r="M10" s="37"/>
    </row>
    <row r="11" spans="1:13" x14ac:dyDescent="0.3">
      <c r="A11" s="57"/>
      <c r="B11" s="60"/>
      <c r="C11" s="70"/>
      <c r="D11" s="70"/>
      <c r="E11" s="70"/>
      <c r="F11" s="208"/>
      <c r="G11" s="226" t="s">
        <v>42</v>
      </c>
      <c r="H11" s="227">
        <f>M11</f>
        <v>2520</v>
      </c>
      <c r="I11" s="227">
        <v>21100</v>
      </c>
      <c r="J11" s="41">
        <f t="shared" si="0"/>
        <v>-18580</v>
      </c>
      <c r="K11" s="36" t="s">
        <v>54</v>
      </c>
      <c r="L11" s="229"/>
      <c r="M11" s="242">
        <f>SUM(M12:M12)</f>
        <v>2520</v>
      </c>
    </row>
    <row r="12" spans="1:13" x14ac:dyDescent="0.3">
      <c r="A12" s="57"/>
      <c r="B12" s="60"/>
      <c r="C12" s="70"/>
      <c r="D12" s="70"/>
      <c r="E12" s="70"/>
      <c r="F12" s="58"/>
      <c r="G12" s="58"/>
      <c r="H12" s="110"/>
      <c r="I12" s="110"/>
      <c r="J12" s="112"/>
      <c r="K12" s="209" t="s">
        <v>463</v>
      </c>
      <c r="L12" s="220" t="s">
        <v>43</v>
      </c>
      <c r="M12" s="207">
        <v>2520</v>
      </c>
    </row>
    <row r="13" spans="1:13" x14ac:dyDescent="0.3">
      <c r="A13" s="57"/>
      <c r="B13" s="60"/>
      <c r="C13" s="70"/>
      <c r="D13" s="70"/>
      <c r="E13" s="70"/>
      <c r="F13" s="58"/>
      <c r="G13" s="226" t="s">
        <v>342</v>
      </c>
      <c r="H13" s="227">
        <f>M13</f>
        <v>6048</v>
      </c>
      <c r="I13" s="227">
        <v>0</v>
      </c>
      <c r="J13" s="228">
        <f>H13-I13</f>
        <v>6048</v>
      </c>
      <c r="K13" s="36" t="s">
        <v>343</v>
      </c>
      <c r="L13" s="51"/>
      <c r="M13" s="242">
        <f>M14</f>
        <v>6048</v>
      </c>
    </row>
    <row r="14" spans="1:13" x14ac:dyDescent="0.3">
      <c r="A14" s="70"/>
      <c r="B14" s="70"/>
      <c r="C14" s="70"/>
      <c r="D14" s="70"/>
      <c r="E14" s="70"/>
      <c r="F14" s="58"/>
      <c r="G14" s="58"/>
      <c r="H14" s="110"/>
      <c r="I14" s="110"/>
      <c r="J14" s="112"/>
      <c r="K14" s="239" t="s">
        <v>461</v>
      </c>
      <c r="L14" s="222" t="s">
        <v>43</v>
      </c>
      <c r="M14" s="207">
        <v>6048</v>
      </c>
    </row>
    <row r="15" spans="1:13" x14ac:dyDescent="0.3">
      <c r="A15" s="70"/>
      <c r="B15" s="70"/>
      <c r="C15" s="70"/>
      <c r="D15" s="70"/>
      <c r="E15" s="70"/>
      <c r="F15" s="450" t="s">
        <v>46</v>
      </c>
      <c r="G15" s="451"/>
      <c r="H15" s="168">
        <f>H16</f>
        <v>12600</v>
      </c>
      <c r="I15" s="168">
        <v>23100</v>
      </c>
      <c r="J15" s="169">
        <f>H15-I15</f>
        <v>-10500</v>
      </c>
      <c r="K15" s="170"/>
      <c r="L15" s="61"/>
      <c r="M15" s="63"/>
    </row>
    <row r="16" spans="1:13" x14ac:dyDescent="0.3">
      <c r="A16" s="70"/>
      <c r="B16" s="70"/>
      <c r="C16" s="70"/>
      <c r="D16" s="70"/>
      <c r="E16" s="70"/>
      <c r="F16" s="125"/>
      <c r="G16" s="216" t="s">
        <v>47</v>
      </c>
      <c r="H16" s="230">
        <f>M16</f>
        <v>12600</v>
      </c>
      <c r="I16" s="227">
        <v>23100</v>
      </c>
      <c r="J16" s="219">
        <f>H16-I16</f>
        <v>-10500</v>
      </c>
      <c r="K16" s="36" t="s">
        <v>56</v>
      </c>
      <c r="L16" s="232"/>
      <c r="M16" s="242">
        <f>SUM(M17:M18)</f>
        <v>12600</v>
      </c>
    </row>
    <row r="17" spans="1:13" x14ac:dyDescent="0.3">
      <c r="A17" s="70"/>
      <c r="B17" s="70"/>
      <c r="C17" s="70"/>
      <c r="D17" s="70"/>
      <c r="E17" s="70"/>
      <c r="F17" s="211"/>
      <c r="G17" s="211"/>
      <c r="H17" s="110"/>
      <c r="I17" s="117"/>
      <c r="J17" s="112"/>
      <c r="K17" s="237" t="s">
        <v>538</v>
      </c>
      <c r="L17" s="103" t="s">
        <v>0</v>
      </c>
      <c r="M17" s="207">
        <v>3360</v>
      </c>
    </row>
    <row r="18" spans="1:13" x14ac:dyDescent="0.3">
      <c r="A18" s="70"/>
      <c r="B18" s="70"/>
      <c r="C18" s="70"/>
      <c r="D18" s="70"/>
      <c r="E18" s="70"/>
      <c r="F18" s="211"/>
      <c r="G18" s="211"/>
      <c r="H18" s="110"/>
      <c r="I18" s="117"/>
      <c r="J18" s="112"/>
      <c r="K18" s="215" t="s">
        <v>539</v>
      </c>
      <c r="L18" s="231" t="s">
        <v>0</v>
      </c>
      <c r="M18" s="207">
        <v>9240</v>
      </c>
    </row>
    <row r="19" spans="1:13" x14ac:dyDescent="0.3">
      <c r="A19" s="70"/>
      <c r="B19" s="70"/>
      <c r="C19" s="70"/>
      <c r="D19" s="70"/>
      <c r="E19" s="70"/>
      <c r="F19" s="450" t="s">
        <v>48</v>
      </c>
      <c r="G19" s="451"/>
      <c r="H19" s="168">
        <f>H20</f>
        <v>2000</v>
      </c>
      <c r="I19" s="168">
        <v>3000</v>
      </c>
      <c r="J19" s="169">
        <f>H19-I19</f>
        <v>-1000</v>
      </c>
      <c r="K19" s="170"/>
      <c r="L19" s="61"/>
      <c r="M19" s="63"/>
    </row>
    <row r="20" spans="1:13" x14ac:dyDescent="0.3">
      <c r="A20" s="70"/>
      <c r="B20" s="70"/>
      <c r="C20" s="70"/>
      <c r="D20" s="70"/>
      <c r="E20" s="70"/>
      <c r="F20" s="211"/>
      <c r="G20" s="125" t="s">
        <v>49</v>
      </c>
      <c r="H20" s="230">
        <f>M20</f>
        <v>2000</v>
      </c>
      <c r="I20" s="230">
        <v>3000</v>
      </c>
      <c r="J20" s="219">
        <f>H20-I20</f>
        <v>-1000</v>
      </c>
      <c r="K20" s="36" t="s">
        <v>57</v>
      </c>
      <c r="L20" s="229"/>
      <c r="M20" s="242">
        <f>SUM(M21)</f>
        <v>2000</v>
      </c>
    </row>
    <row r="21" spans="1:13" x14ac:dyDescent="0.3">
      <c r="A21" s="365"/>
      <c r="B21" s="366"/>
      <c r="C21" s="366"/>
      <c r="D21" s="366"/>
      <c r="E21" s="366"/>
      <c r="F21" s="212"/>
      <c r="G21" s="212"/>
      <c r="H21" s="115"/>
      <c r="I21" s="171"/>
      <c r="J21" s="171"/>
      <c r="K21" s="215" t="s">
        <v>658</v>
      </c>
      <c r="L21" s="231" t="s">
        <v>0</v>
      </c>
      <c r="M21" s="213">
        <v>2000</v>
      </c>
    </row>
    <row r="22" spans="1:13" x14ac:dyDescent="0.3">
      <c r="A22" s="68"/>
      <c r="B22" s="70"/>
      <c r="C22" s="70"/>
      <c r="D22" s="70"/>
      <c r="E22" s="70"/>
      <c r="F22" s="383" t="s">
        <v>99</v>
      </c>
      <c r="G22" s="75"/>
      <c r="H22" s="76">
        <f>H23</f>
        <v>2100</v>
      </c>
      <c r="I22" s="76">
        <v>0</v>
      </c>
      <c r="J22" s="162">
        <f>H22-I22</f>
        <v>2100</v>
      </c>
      <c r="K22" s="315"/>
      <c r="L22" s="316"/>
      <c r="M22" s="384"/>
    </row>
    <row r="23" spans="1:13" x14ac:dyDescent="0.3">
      <c r="A23" s="68"/>
      <c r="B23" s="70"/>
      <c r="C23" s="70"/>
      <c r="D23" s="70"/>
      <c r="E23" s="70"/>
      <c r="F23" s="159"/>
      <c r="G23" s="70" t="s">
        <v>103</v>
      </c>
      <c r="H23" s="81">
        <f>M23</f>
        <v>2100</v>
      </c>
      <c r="I23" s="81">
        <v>0</v>
      </c>
      <c r="J23" s="48">
        <f>H23-I23</f>
        <v>2100</v>
      </c>
      <c r="K23" s="36" t="s">
        <v>471</v>
      </c>
      <c r="L23" s="39"/>
      <c r="M23" s="242">
        <f>M24</f>
        <v>2100</v>
      </c>
    </row>
    <row r="24" spans="1:13" ht="17.25" thickBot="1" x14ac:dyDescent="0.35">
      <c r="A24" s="74"/>
      <c r="B24" s="74"/>
      <c r="C24" s="74"/>
      <c r="D24" s="74"/>
      <c r="E24" s="74"/>
      <c r="F24" s="385"/>
      <c r="G24" s="217"/>
      <c r="H24" s="386"/>
      <c r="I24" s="387"/>
      <c r="J24" s="388"/>
      <c r="K24" s="257" t="s">
        <v>480</v>
      </c>
      <c r="L24" s="258" t="s">
        <v>0</v>
      </c>
      <c r="M24" s="271">
        <v>2100</v>
      </c>
    </row>
  </sheetData>
  <autoFilter ref="A3:M24">
    <filterColumn colId="10" showButton="0"/>
    <filterColumn colId="11" showButton="0"/>
  </autoFilter>
  <mergeCells count="10">
    <mergeCell ref="K2:M3"/>
    <mergeCell ref="A4:G4"/>
    <mergeCell ref="F15:G15"/>
    <mergeCell ref="F19:G19"/>
    <mergeCell ref="A2:A3"/>
    <mergeCell ref="B2:D2"/>
    <mergeCell ref="E2:G2"/>
    <mergeCell ref="H2:H3"/>
    <mergeCell ref="I2:I3"/>
    <mergeCell ref="J2:J3"/>
  </mergeCells>
  <phoneticPr fontId="12" type="noConversion"/>
  <conditionalFormatting sqref="J20:J21">
    <cfRule type="containsText" dxfId="425" priority="67" operator="containsText" text="허하나로">
      <formula>NOT(ISERROR(SEARCH("허하나로",H1038)))</formula>
    </cfRule>
    <cfRule type="containsText" dxfId="424" priority="68" operator="containsText" text="한별">
      <formula>NOT(ISERROR(SEARCH("한별",H1038)))</formula>
    </cfRule>
    <cfRule type="containsText" dxfId="423" priority="69" operator="containsText" text="정홍조">
      <formula>NOT(ISERROR(SEARCH("정홍조",H1038)))</formula>
    </cfRule>
    <cfRule type="containsText" dxfId="422" priority="70" operator="containsText" text="김지윤">
      <formula>NOT(ISERROR(SEARCH("김지윤",H1038)))</formula>
    </cfRule>
    <cfRule type="containsText" dxfId="421" priority="71" operator="containsText" text="전준영">
      <formula>NOT(ISERROR(SEARCH("전준영",H1038)))</formula>
    </cfRule>
    <cfRule type="containsText" dxfId="420" priority="72" operator="containsText" text="차재성">
      <formula>NOT(ISERROR(SEARCH("차재성",H1038)))</formula>
    </cfRule>
  </conditionalFormatting>
  <conditionalFormatting sqref="J2:J3">
    <cfRule type="containsText" dxfId="419" priority="91" operator="containsText" text="허하나로">
      <formula>NOT(ISERROR(SEARCH("허하나로",H677)))</formula>
    </cfRule>
    <cfRule type="containsText" dxfId="418" priority="92" operator="containsText" text="한별">
      <formula>NOT(ISERROR(SEARCH("한별",H677)))</formula>
    </cfRule>
    <cfRule type="containsText" dxfId="417" priority="93" operator="containsText" text="정홍조">
      <formula>NOT(ISERROR(SEARCH("정홍조",H677)))</formula>
    </cfRule>
    <cfRule type="containsText" dxfId="416" priority="94" operator="containsText" text="김지윤">
      <formula>NOT(ISERROR(SEARCH("김지윤",H677)))</formula>
    </cfRule>
    <cfRule type="containsText" dxfId="415" priority="95" operator="containsText" text="전준영">
      <formula>NOT(ISERROR(SEARCH("전준영",H677)))</formula>
    </cfRule>
    <cfRule type="containsText" dxfId="414" priority="96" operator="containsText" text="차재성">
      <formula>NOT(ISERROR(SEARCH("차재성",H677)))</formula>
    </cfRule>
  </conditionalFormatting>
  <conditionalFormatting sqref="J6">
    <cfRule type="containsText" dxfId="413" priority="79" operator="containsText" text="허하나로">
      <formula>NOT(ISERROR(SEARCH("허하나로",H675)))</formula>
    </cfRule>
    <cfRule type="containsText" dxfId="412" priority="80" operator="containsText" text="한별">
      <formula>NOT(ISERROR(SEARCH("한별",H675)))</formula>
    </cfRule>
    <cfRule type="containsText" dxfId="411" priority="81" operator="containsText" text="정홍조">
      <formula>NOT(ISERROR(SEARCH("정홍조",H675)))</formula>
    </cfRule>
    <cfRule type="containsText" dxfId="410" priority="82" operator="containsText" text="김지윤">
      <formula>NOT(ISERROR(SEARCH("김지윤",H675)))</formula>
    </cfRule>
    <cfRule type="containsText" dxfId="409" priority="83" operator="containsText" text="전준영">
      <formula>NOT(ISERROR(SEARCH("전준영",H675)))</formula>
    </cfRule>
    <cfRule type="containsText" dxfId="408" priority="84" operator="containsText" text="차재성">
      <formula>NOT(ISERROR(SEARCH("차재성",H675)))</formula>
    </cfRule>
  </conditionalFormatting>
  <conditionalFormatting sqref="J5">
    <cfRule type="containsText" dxfId="407" priority="73" operator="containsText" text="허하나로">
      <formula>NOT(ISERROR(SEARCH("허하나로",H674)))</formula>
    </cfRule>
    <cfRule type="containsText" dxfId="406" priority="74" operator="containsText" text="한별">
      <formula>NOT(ISERROR(SEARCH("한별",H674)))</formula>
    </cfRule>
    <cfRule type="containsText" dxfId="405" priority="75" operator="containsText" text="정홍조">
      <formula>NOT(ISERROR(SEARCH("정홍조",H674)))</formula>
    </cfRule>
    <cfRule type="containsText" dxfId="404" priority="76" operator="containsText" text="김지윤">
      <formula>NOT(ISERROR(SEARCH("김지윤",H674)))</formula>
    </cfRule>
    <cfRule type="containsText" dxfId="403" priority="77" operator="containsText" text="전준영">
      <formula>NOT(ISERROR(SEARCH("전준영",H674)))</formula>
    </cfRule>
    <cfRule type="containsText" dxfId="402" priority="78" operator="containsText" text="차재성">
      <formula>NOT(ISERROR(SEARCH("차재성",H674)))</formula>
    </cfRule>
  </conditionalFormatting>
  <conditionalFormatting sqref="J7">
    <cfRule type="containsText" dxfId="401" priority="61" operator="containsText" text="허하나로">
      <formula>NOT(ISERROR(SEARCH("허하나로",H808)))</formula>
    </cfRule>
    <cfRule type="containsText" dxfId="400" priority="62" operator="containsText" text="한별">
      <formula>NOT(ISERROR(SEARCH("한별",H808)))</formula>
    </cfRule>
    <cfRule type="containsText" dxfId="399" priority="63" operator="containsText" text="정홍조">
      <formula>NOT(ISERROR(SEARCH("정홍조",H808)))</formula>
    </cfRule>
    <cfRule type="containsText" dxfId="398" priority="64" operator="containsText" text="김지윤">
      <formula>NOT(ISERROR(SEARCH("김지윤",H808)))</formula>
    </cfRule>
    <cfRule type="containsText" dxfId="397" priority="65" operator="containsText" text="전준영">
      <formula>NOT(ISERROR(SEARCH("전준영",H808)))</formula>
    </cfRule>
    <cfRule type="containsText" dxfId="396" priority="66" operator="containsText" text="차재성">
      <formula>NOT(ISERROR(SEARCH("차재성",H808)))</formula>
    </cfRule>
  </conditionalFormatting>
  <conditionalFormatting sqref="J10:J11">
    <cfRule type="containsText" dxfId="395" priority="55" operator="containsText" text="허하나로">
      <formula>NOT(ISERROR(SEARCH("허하나로",H1016)))</formula>
    </cfRule>
    <cfRule type="containsText" dxfId="394" priority="56" operator="containsText" text="한별">
      <formula>NOT(ISERROR(SEARCH("한별",H1016)))</formula>
    </cfRule>
    <cfRule type="containsText" dxfId="393" priority="57" operator="containsText" text="정홍조">
      <formula>NOT(ISERROR(SEARCH("정홍조",H1016)))</formula>
    </cfRule>
    <cfRule type="containsText" dxfId="392" priority="58" operator="containsText" text="김지윤">
      <formula>NOT(ISERROR(SEARCH("김지윤",H1016)))</formula>
    </cfRule>
    <cfRule type="containsText" dxfId="391" priority="59" operator="containsText" text="전준영">
      <formula>NOT(ISERROR(SEARCH("전준영",H1016)))</formula>
    </cfRule>
    <cfRule type="containsText" dxfId="390" priority="60" operator="containsText" text="차재성">
      <formula>NOT(ISERROR(SEARCH("차재성",H1016)))</formula>
    </cfRule>
  </conditionalFormatting>
  <conditionalFormatting sqref="J9">
    <cfRule type="containsText" dxfId="389" priority="97" operator="containsText" text="허하나로">
      <formula>NOT(ISERROR(SEARCH("허하나로",H1005)))</formula>
    </cfRule>
    <cfRule type="containsText" dxfId="388" priority="98" operator="containsText" text="한별">
      <formula>NOT(ISERROR(SEARCH("한별",H1005)))</formula>
    </cfRule>
    <cfRule type="containsText" dxfId="387" priority="99" operator="containsText" text="정홍조">
      <formula>NOT(ISERROR(SEARCH("정홍조",H1005)))</formula>
    </cfRule>
    <cfRule type="containsText" dxfId="386" priority="100" operator="containsText" text="김지윤">
      <formula>NOT(ISERROR(SEARCH("김지윤",H1005)))</formula>
    </cfRule>
    <cfRule type="containsText" dxfId="385" priority="101" operator="containsText" text="전준영">
      <formula>NOT(ISERROR(SEARCH("전준영",H1005)))</formula>
    </cfRule>
    <cfRule type="containsText" dxfId="384" priority="102" operator="containsText" text="차재성">
      <formula>NOT(ISERROR(SEARCH("차재성",H1005)))</formula>
    </cfRule>
  </conditionalFormatting>
  <conditionalFormatting sqref="J15:J18">
    <cfRule type="containsText" dxfId="383" priority="103" operator="containsText" text="허하나로">
      <formula>NOT(ISERROR(SEARCH("허하나로",H1018)))</formula>
    </cfRule>
    <cfRule type="containsText" dxfId="382" priority="104" operator="containsText" text="한별">
      <formula>NOT(ISERROR(SEARCH("한별",H1018)))</formula>
    </cfRule>
    <cfRule type="containsText" dxfId="381" priority="105" operator="containsText" text="정홍조">
      <formula>NOT(ISERROR(SEARCH("정홍조",H1018)))</formula>
    </cfRule>
    <cfRule type="containsText" dxfId="380" priority="106" operator="containsText" text="김지윤">
      <formula>NOT(ISERROR(SEARCH("김지윤",H1018)))</formula>
    </cfRule>
    <cfRule type="containsText" dxfId="379" priority="107" operator="containsText" text="전준영">
      <formula>NOT(ISERROR(SEARCH("전준영",H1018)))</formula>
    </cfRule>
    <cfRule type="containsText" dxfId="378" priority="108" operator="containsText" text="차재성">
      <formula>NOT(ISERROR(SEARCH("차재성",H1018)))</formula>
    </cfRule>
  </conditionalFormatting>
  <conditionalFormatting sqref="J19">
    <cfRule type="containsText" dxfId="377" priority="43" operator="containsText" text="허하나로">
      <formula>NOT(ISERROR(SEARCH("허하나로",H1022)))</formula>
    </cfRule>
    <cfRule type="containsText" dxfId="376" priority="44" operator="containsText" text="한별">
      <formula>NOT(ISERROR(SEARCH("한별",H1022)))</formula>
    </cfRule>
    <cfRule type="containsText" dxfId="375" priority="45" operator="containsText" text="정홍조">
      <formula>NOT(ISERROR(SEARCH("정홍조",H1022)))</formula>
    </cfRule>
    <cfRule type="containsText" dxfId="374" priority="46" operator="containsText" text="김지윤">
      <formula>NOT(ISERROR(SEARCH("김지윤",H1022)))</formula>
    </cfRule>
    <cfRule type="containsText" dxfId="373" priority="47" operator="containsText" text="전준영">
      <formula>NOT(ISERROR(SEARCH("전준영",H1022)))</formula>
    </cfRule>
    <cfRule type="containsText" dxfId="372" priority="48" operator="containsText" text="차재성">
      <formula>NOT(ISERROR(SEARCH("차재성",H1022)))</formula>
    </cfRule>
  </conditionalFormatting>
  <conditionalFormatting sqref="L16">
    <cfRule type="containsText" dxfId="371" priority="37" operator="containsText" text="허하나로">
      <formula>NOT(ISERROR(SEARCH("허하나로",J1153)))</formula>
    </cfRule>
    <cfRule type="containsText" dxfId="370" priority="38" operator="containsText" text="한별">
      <formula>NOT(ISERROR(SEARCH("한별",J1153)))</formula>
    </cfRule>
    <cfRule type="containsText" dxfId="369" priority="39" operator="containsText" text="정홍조">
      <formula>NOT(ISERROR(SEARCH("정홍조",J1153)))</formula>
    </cfRule>
    <cfRule type="containsText" dxfId="368" priority="40" operator="containsText" text="김지윤">
      <formula>NOT(ISERROR(SEARCH("김지윤",J1153)))</formula>
    </cfRule>
    <cfRule type="containsText" dxfId="367" priority="41" operator="containsText" text="전준영">
      <formula>NOT(ISERROR(SEARCH("전준영",J1153)))</formula>
    </cfRule>
    <cfRule type="containsText" dxfId="366" priority="42" operator="containsText" text="차재성">
      <formula>NOT(ISERROR(SEARCH("차재성",J1153)))</formula>
    </cfRule>
  </conditionalFormatting>
  <conditionalFormatting sqref="I21">
    <cfRule type="containsText" dxfId="365" priority="31" operator="containsText" text="허하나로">
      <formula>NOT(ISERROR(SEARCH("허하나로",G1039)))</formula>
    </cfRule>
    <cfRule type="containsText" dxfId="364" priority="32" operator="containsText" text="한별">
      <formula>NOT(ISERROR(SEARCH("한별",G1039)))</formula>
    </cfRule>
    <cfRule type="containsText" dxfId="363" priority="33" operator="containsText" text="정홍조">
      <formula>NOT(ISERROR(SEARCH("정홍조",G1039)))</formula>
    </cfRule>
    <cfRule type="containsText" dxfId="362" priority="34" operator="containsText" text="김지윤">
      <formula>NOT(ISERROR(SEARCH("김지윤",G1039)))</formula>
    </cfRule>
    <cfRule type="containsText" dxfId="361" priority="35" operator="containsText" text="전준영">
      <formula>NOT(ISERROR(SEARCH("전준영",G1039)))</formula>
    </cfRule>
    <cfRule type="containsText" dxfId="360" priority="36" operator="containsText" text="차재성">
      <formula>NOT(ISERROR(SEARCH("차재성",G1039)))</formula>
    </cfRule>
  </conditionalFormatting>
  <conditionalFormatting sqref="J12">
    <cfRule type="containsText" dxfId="359" priority="3745" operator="containsText" text="허하나로">
      <formula>NOT(ISERROR(SEARCH("허하나로",H1007)))</formula>
    </cfRule>
    <cfRule type="containsText" dxfId="358" priority="3746" operator="containsText" text="한별">
      <formula>NOT(ISERROR(SEARCH("한별",H1007)))</formula>
    </cfRule>
    <cfRule type="containsText" dxfId="357" priority="3747" operator="containsText" text="정홍조">
      <formula>NOT(ISERROR(SEARCH("정홍조",H1007)))</formula>
    </cfRule>
    <cfRule type="containsText" dxfId="356" priority="3748" operator="containsText" text="김지윤">
      <formula>NOT(ISERROR(SEARCH("김지윤",H1007)))</formula>
    </cfRule>
    <cfRule type="containsText" dxfId="355" priority="3749" operator="containsText" text="전준영">
      <formula>NOT(ISERROR(SEARCH("전준영",H1007)))</formula>
    </cfRule>
    <cfRule type="containsText" dxfId="354" priority="3750" operator="containsText" text="차재성">
      <formula>NOT(ISERROR(SEARCH("차재성",H1007)))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" operator="containsText" text="허하나로" id="{84904E4D-5B15-4B62-AA9C-8EB1E5502C8B}">
            <xm:f>NOT(ISERROR(SEARCH("허하나로",행사부!H1022)))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3AE28599-61A9-40FF-910A-ED8FEC8BB27B}">
            <xm:f>NOT(ISERROR(SEARCH("한별",행사부!H1022)))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2121DB8C-F976-45F3-8569-4B4FACF40458}">
            <xm:f>NOT(ISERROR(SEARCH("정홍조",행사부!H1022)))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CC22703E-A09D-41E3-854D-D4FA6F2E1DCE}">
            <xm:f>NOT(ISERROR(SEARCH("김지윤",행사부!H1022)))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211100FC-96EF-4F21-B3AA-EAB7669CDF51}">
            <xm:f>NOT(ISERROR(SEARCH("전준영",행사부!H1022)))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D5343758-1DA8-4C58-AC02-3AE3F9CAD79A}">
            <xm:f>NOT(ISERROR(SEARCH("차재성",행사부!H1022)))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J13:J14</xm:sqref>
        </x14:conditionalFormatting>
        <x14:conditionalFormatting xmlns:xm="http://schemas.microsoft.com/office/excel/2006/main">
          <x14:cfRule type="containsText" priority="7" operator="containsText" text="허하나로" id="{73EEA989-06D8-43D8-97E0-C9877023C63C}">
            <xm:f>NOT(ISERROR(SEARCH("허하나로",행정관리부!H1047)))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C16141EF-4399-46BB-812F-F1F5F5C8F599}">
            <xm:f>NOT(ISERROR(SEARCH("한별",행정관리부!H1047)))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32A3A687-A26F-4881-8BE8-098DB7C7C929}">
            <xm:f>NOT(ISERROR(SEARCH("정홍조",행정관리부!H1047)))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75BD8FE2-8F17-4E0F-AF68-57AD6388DF06}">
            <xm:f>NOT(ISERROR(SEARCH("김지윤",행정관리부!H1047)))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D5FE593C-1B16-48A5-9411-143133F13B5D}">
            <xm:f>NOT(ISERROR(SEARCH("전준영",행정관리부!H1047)))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BFFD7824-8657-4D20-ADF4-0A510F7278D6}">
            <xm:f>NOT(ISERROR(SEARCH("차재성",행정관리부!H1047)))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J24</xm:sqref>
        </x14:conditionalFormatting>
        <x14:conditionalFormatting xmlns:xm="http://schemas.microsoft.com/office/excel/2006/main">
          <x14:cfRule type="containsText" priority="1" operator="containsText" text="허하나로" id="{05D302D0-1596-4FFA-9E67-35D13F14893F}">
            <xm:f>NOT(ISERROR(SEARCH("허하나로",행정관리부!H1103)))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" operator="containsText" text="한별" id="{59E41D1D-434E-49CE-875B-7F9D602DB4C5}">
            <xm:f>NOT(ISERROR(SEARCH("한별",행정관리부!H1103)))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" operator="containsText" text="정홍조" id="{314939BA-B48C-4E1B-BB16-261B18A7D298}">
            <xm:f>NOT(ISERROR(SEARCH("정홍조",행정관리부!H1103)))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" operator="containsText" text="김지윤" id="{F7B68215-819D-44FE-8EA7-3057AB7CDE8B}">
            <xm:f>NOT(ISERROR(SEARCH("김지윤",행정관리부!H1103)))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" operator="containsText" text="전준영" id="{A35168AE-39FE-4977-B984-4C61F6F4B286}">
            <xm:f>NOT(ISERROR(SEARCH("전준영",행정관리부!H1103)))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" operator="containsText" text="차재성" id="{FBFB1745-6FD6-4FB0-829C-839E13FAD414}">
            <xm:f>NOT(ISERROR(SEARCH("차재성",행정관리부!H1103)))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J22:J23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M24"/>
  <sheetViews>
    <sheetView zoomScale="85" zoomScaleNormal="85" workbookViewId="0">
      <selection activeCell="G42" sqref="G42"/>
    </sheetView>
  </sheetViews>
  <sheetFormatPr defaultRowHeight="16.5" x14ac:dyDescent="0.3"/>
  <cols>
    <col min="1" max="6" width="3.875" customWidth="1"/>
    <col min="7" max="7" width="32.625" customWidth="1"/>
    <col min="8" max="10" width="14.625" customWidth="1"/>
    <col min="11" max="11" width="60.625" customWidth="1"/>
    <col min="12" max="12" width="3.875" customWidth="1"/>
    <col min="13" max="13" width="14.625" customWidth="1"/>
  </cols>
  <sheetData>
    <row r="1" spans="1:13" ht="17.25" thickBot="1" x14ac:dyDescent="0.2">
      <c r="A1" s="94" t="s">
        <v>685</v>
      </c>
      <c r="B1" s="43"/>
      <c r="C1" s="94"/>
      <c r="D1" s="94"/>
      <c r="E1" s="94"/>
      <c r="F1" s="94"/>
      <c r="G1" s="199"/>
      <c r="H1" s="200"/>
      <c r="I1" s="200"/>
      <c r="J1" s="199"/>
      <c r="K1" s="199"/>
      <c r="L1" s="199"/>
      <c r="M1" s="198" t="s">
        <v>38</v>
      </c>
    </row>
    <row r="2" spans="1:13" x14ac:dyDescent="0.3">
      <c r="A2" s="439" t="s">
        <v>27</v>
      </c>
      <c r="B2" s="441" t="s">
        <v>28</v>
      </c>
      <c r="C2" s="442"/>
      <c r="D2" s="443"/>
      <c r="E2" s="441" t="s">
        <v>29</v>
      </c>
      <c r="F2" s="442"/>
      <c r="G2" s="443"/>
      <c r="H2" s="444" t="s">
        <v>1</v>
      </c>
      <c r="I2" s="446" t="s">
        <v>2</v>
      </c>
      <c r="J2" s="448" t="s">
        <v>3</v>
      </c>
      <c r="K2" s="430" t="s">
        <v>4</v>
      </c>
      <c r="L2" s="431"/>
      <c r="M2" s="432"/>
    </row>
    <row r="3" spans="1:13" ht="17.25" thickBot="1" x14ac:dyDescent="0.35">
      <c r="A3" s="440"/>
      <c r="B3" s="135" t="s">
        <v>30</v>
      </c>
      <c r="C3" s="135" t="s">
        <v>31</v>
      </c>
      <c r="D3" s="135" t="s">
        <v>32</v>
      </c>
      <c r="E3" s="135" t="s">
        <v>33</v>
      </c>
      <c r="F3" s="135" t="s">
        <v>34</v>
      </c>
      <c r="G3" s="135" t="s">
        <v>35</v>
      </c>
      <c r="H3" s="445"/>
      <c r="I3" s="447"/>
      <c r="J3" s="449"/>
      <c r="K3" s="433"/>
      <c r="L3" s="434"/>
      <c r="M3" s="435"/>
    </row>
    <row r="4" spans="1:13" ht="17.25" thickBot="1" x14ac:dyDescent="0.35">
      <c r="A4" s="436" t="s">
        <v>36</v>
      </c>
      <c r="B4" s="437"/>
      <c r="C4" s="437"/>
      <c r="D4" s="437"/>
      <c r="E4" s="437"/>
      <c r="F4" s="437"/>
      <c r="G4" s="438"/>
      <c r="H4" s="201">
        <f>H5</f>
        <v>25268</v>
      </c>
      <c r="I4" s="201">
        <v>104400</v>
      </c>
      <c r="J4" s="136">
        <f t="shared" ref="J4:J11" si="0">H4-I4</f>
        <v>-79132</v>
      </c>
      <c r="K4" s="95"/>
      <c r="L4" s="96"/>
      <c r="M4" s="137"/>
    </row>
    <row r="5" spans="1:13" x14ac:dyDescent="0.3">
      <c r="A5" s="223" t="s">
        <v>5</v>
      </c>
      <c r="B5" s="138"/>
      <c r="C5" s="139"/>
      <c r="D5" s="139"/>
      <c r="E5" s="139"/>
      <c r="F5" s="139"/>
      <c r="G5" s="140"/>
      <c r="H5" s="100">
        <f>H6</f>
        <v>25268</v>
      </c>
      <c r="I5" s="100">
        <v>104000</v>
      </c>
      <c r="J5" s="101">
        <f t="shared" si="0"/>
        <v>-78732</v>
      </c>
      <c r="K5" s="84"/>
      <c r="L5" s="85"/>
      <c r="M5" s="86"/>
    </row>
    <row r="6" spans="1:13" x14ac:dyDescent="0.3">
      <c r="A6" s="10"/>
      <c r="B6" s="145" t="s">
        <v>316</v>
      </c>
      <c r="C6" s="145"/>
      <c r="D6" s="146"/>
      <c r="E6" s="146"/>
      <c r="F6" s="146"/>
      <c r="G6" s="147"/>
      <c r="H6" s="100">
        <f>H7</f>
        <v>25268</v>
      </c>
      <c r="I6" s="100">
        <v>104000</v>
      </c>
      <c r="J6" s="101">
        <f t="shared" si="0"/>
        <v>-78732</v>
      </c>
      <c r="K6" s="84"/>
      <c r="L6" s="85"/>
      <c r="M6" s="86"/>
    </row>
    <row r="7" spans="1:13" x14ac:dyDescent="0.3">
      <c r="A7" s="10"/>
      <c r="B7" s="6"/>
      <c r="C7" s="195" t="s">
        <v>262</v>
      </c>
      <c r="D7" s="146"/>
      <c r="E7" s="146"/>
      <c r="F7" s="146"/>
      <c r="G7" s="147"/>
      <c r="H7" s="97">
        <f>H8</f>
        <v>25268</v>
      </c>
      <c r="I7" s="97">
        <v>10425</v>
      </c>
      <c r="J7" s="98">
        <f t="shared" si="0"/>
        <v>14843</v>
      </c>
      <c r="K7" s="175"/>
      <c r="L7" s="165"/>
      <c r="M7" s="166"/>
    </row>
    <row r="8" spans="1:13" x14ac:dyDescent="0.3">
      <c r="A8" s="10"/>
      <c r="B8" s="6"/>
      <c r="C8" s="163"/>
      <c r="D8" s="145" t="s">
        <v>40</v>
      </c>
      <c r="E8" s="146"/>
      <c r="F8" s="146"/>
      <c r="G8" s="147"/>
      <c r="H8" s="148">
        <f>H9</f>
        <v>25268</v>
      </c>
      <c r="I8" s="148">
        <v>10425</v>
      </c>
      <c r="J8" s="9">
        <f t="shared" si="0"/>
        <v>14843</v>
      </c>
      <c r="K8" s="164"/>
      <c r="L8" s="165"/>
      <c r="M8" s="166"/>
    </row>
    <row r="9" spans="1:13" x14ac:dyDescent="0.3">
      <c r="A9" s="10"/>
      <c r="B9" s="6"/>
      <c r="C9" s="150"/>
      <c r="D9" s="151"/>
      <c r="E9" s="145" t="s">
        <v>37</v>
      </c>
      <c r="F9" s="146"/>
      <c r="G9" s="147"/>
      <c r="H9" s="97">
        <f>SUM(H10,H15,H19,H22)</f>
        <v>25268</v>
      </c>
      <c r="I9" s="97">
        <v>10425</v>
      </c>
      <c r="J9" s="98">
        <f t="shared" si="0"/>
        <v>14843</v>
      </c>
      <c r="K9" s="90"/>
      <c r="L9" s="99"/>
      <c r="M9" s="88"/>
    </row>
    <row r="10" spans="1:13" x14ac:dyDescent="0.3">
      <c r="A10" s="68"/>
      <c r="B10" s="70"/>
      <c r="C10" s="70"/>
      <c r="D10" s="70"/>
      <c r="E10" s="70"/>
      <c r="F10" s="152" t="s">
        <v>41</v>
      </c>
      <c r="G10" s="156"/>
      <c r="H10" s="77">
        <f>SUM(H11,H13)</f>
        <v>8568</v>
      </c>
      <c r="I10" s="77">
        <v>5275</v>
      </c>
      <c r="J10" s="106">
        <f t="shared" si="0"/>
        <v>3293</v>
      </c>
      <c r="K10" s="160"/>
      <c r="L10" s="38"/>
      <c r="M10" s="37"/>
    </row>
    <row r="11" spans="1:13" x14ac:dyDescent="0.3">
      <c r="A11" s="57"/>
      <c r="B11" s="60"/>
      <c r="C11" s="70"/>
      <c r="D11" s="70"/>
      <c r="E11" s="70"/>
      <c r="F11" s="208"/>
      <c r="G11" s="226" t="s">
        <v>42</v>
      </c>
      <c r="H11" s="227">
        <f>M11</f>
        <v>2520</v>
      </c>
      <c r="I11" s="227">
        <v>5275</v>
      </c>
      <c r="J11" s="41">
        <f t="shared" si="0"/>
        <v>-2755</v>
      </c>
      <c r="K11" s="36" t="s">
        <v>54</v>
      </c>
      <c r="L11" s="229"/>
      <c r="M11" s="242">
        <f>SUM(M12:M12)</f>
        <v>2520</v>
      </c>
    </row>
    <row r="12" spans="1:13" x14ac:dyDescent="0.3">
      <c r="A12" s="57"/>
      <c r="B12" s="60"/>
      <c r="C12" s="70"/>
      <c r="D12" s="70"/>
      <c r="E12" s="70"/>
      <c r="F12" s="58"/>
      <c r="G12" s="58"/>
      <c r="H12" s="110"/>
      <c r="I12" s="110"/>
      <c r="J12" s="112"/>
      <c r="K12" s="209" t="s">
        <v>463</v>
      </c>
      <c r="L12" s="220" t="s">
        <v>43</v>
      </c>
      <c r="M12" s="207">
        <v>2520</v>
      </c>
    </row>
    <row r="13" spans="1:13" x14ac:dyDescent="0.3">
      <c r="A13" s="57"/>
      <c r="B13" s="60"/>
      <c r="C13" s="70"/>
      <c r="D13" s="70"/>
      <c r="E13" s="70"/>
      <c r="F13" s="58"/>
      <c r="G13" s="226" t="s">
        <v>342</v>
      </c>
      <c r="H13" s="227">
        <f>M13</f>
        <v>6048</v>
      </c>
      <c r="I13" s="227">
        <v>0</v>
      </c>
      <c r="J13" s="228">
        <f>H13-I13</f>
        <v>6048</v>
      </c>
      <c r="K13" s="36" t="s">
        <v>343</v>
      </c>
      <c r="L13" s="51"/>
      <c r="M13" s="242">
        <f>SUM(M14)</f>
        <v>6048</v>
      </c>
    </row>
    <row r="14" spans="1:13" x14ac:dyDescent="0.3">
      <c r="A14" s="70"/>
      <c r="B14" s="70"/>
      <c r="C14" s="70"/>
      <c r="D14" s="70"/>
      <c r="E14" s="70"/>
      <c r="F14" s="58"/>
      <c r="G14" s="58"/>
      <c r="H14" s="110"/>
      <c r="I14" s="110"/>
      <c r="J14" s="112"/>
      <c r="K14" s="239" t="s">
        <v>461</v>
      </c>
      <c r="L14" s="222" t="s">
        <v>43</v>
      </c>
      <c r="M14" s="207">
        <v>6048</v>
      </c>
    </row>
    <row r="15" spans="1:13" x14ac:dyDescent="0.3">
      <c r="A15" s="70"/>
      <c r="B15" s="70"/>
      <c r="C15" s="70"/>
      <c r="D15" s="70"/>
      <c r="E15" s="70"/>
      <c r="F15" s="450" t="s">
        <v>46</v>
      </c>
      <c r="G15" s="451"/>
      <c r="H15" s="168">
        <f>H16</f>
        <v>12600</v>
      </c>
      <c r="I15" s="168">
        <v>4400</v>
      </c>
      <c r="J15" s="169">
        <f>H15-I15</f>
        <v>8200</v>
      </c>
      <c r="K15" s="170"/>
      <c r="L15" s="61"/>
      <c r="M15" s="63"/>
    </row>
    <row r="16" spans="1:13" x14ac:dyDescent="0.3">
      <c r="A16" s="70"/>
      <c r="B16" s="70"/>
      <c r="C16" s="70"/>
      <c r="D16" s="70"/>
      <c r="E16" s="70"/>
      <c r="F16" s="125"/>
      <c r="G16" s="216" t="s">
        <v>47</v>
      </c>
      <c r="H16" s="230">
        <f>M16</f>
        <v>12600</v>
      </c>
      <c r="I16" s="227">
        <v>4400</v>
      </c>
      <c r="J16" s="219">
        <f>H16-I16</f>
        <v>8200</v>
      </c>
      <c r="K16" s="36" t="s">
        <v>56</v>
      </c>
      <c r="L16" s="232"/>
      <c r="M16" s="242">
        <f>SUM(M17:M18)</f>
        <v>12600</v>
      </c>
    </row>
    <row r="17" spans="1:13" x14ac:dyDescent="0.3">
      <c r="A17" s="70"/>
      <c r="B17" s="70"/>
      <c r="C17" s="70"/>
      <c r="D17" s="70"/>
      <c r="E17" s="70"/>
      <c r="F17" s="211"/>
      <c r="G17" s="211"/>
      <c r="H17" s="110"/>
      <c r="I17" s="117"/>
      <c r="J17" s="112"/>
      <c r="K17" s="237" t="s">
        <v>540</v>
      </c>
      <c r="L17" s="103" t="s">
        <v>0</v>
      </c>
      <c r="M17" s="207">
        <v>3360</v>
      </c>
    </row>
    <row r="18" spans="1:13" x14ac:dyDescent="0.3">
      <c r="A18" s="70"/>
      <c r="B18" s="70"/>
      <c r="C18" s="70"/>
      <c r="D18" s="70"/>
      <c r="E18" s="70"/>
      <c r="F18" s="211"/>
      <c r="G18" s="211"/>
      <c r="H18" s="110"/>
      <c r="I18" s="117"/>
      <c r="J18" s="112"/>
      <c r="K18" s="215" t="s">
        <v>541</v>
      </c>
      <c r="L18" s="231" t="s">
        <v>0</v>
      </c>
      <c r="M18" s="207">
        <v>9240</v>
      </c>
    </row>
    <row r="19" spans="1:13" x14ac:dyDescent="0.3">
      <c r="A19" s="70"/>
      <c r="B19" s="70"/>
      <c r="C19" s="70"/>
      <c r="D19" s="70"/>
      <c r="E19" s="70"/>
      <c r="F19" s="450" t="s">
        <v>48</v>
      </c>
      <c r="G19" s="451"/>
      <c r="H19" s="168">
        <f>H20</f>
        <v>2000</v>
      </c>
      <c r="I19" s="168">
        <v>750</v>
      </c>
      <c r="J19" s="169">
        <f>H19-I19</f>
        <v>1250</v>
      </c>
      <c r="K19" s="170"/>
      <c r="L19" s="61"/>
      <c r="M19" s="63"/>
    </row>
    <row r="20" spans="1:13" x14ac:dyDescent="0.3">
      <c r="A20" s="70"/>
      <c r="B20" s="70"/>
      <c r="C20" s="70"/>
      <c r="D20" s="70"/>
      <c r="E20" s="70"/>
      <c r="F20" s="211"/>
      <c r="G20" s="125" t="s">
        <v>49</v>
      </c>
      <c r="H20" s="230">
        <f>M20</f>
        <v>2000</v>
      </c>
      <c r="I20" s="230">
        <v>750</v>
      </c>
      <c r="J20" s="219">
        <f>H20-I20</f>
        <v>1250</v>
      </c>
      <c r="K20" s="36" t="s">
        <v>57</v>
      </c>
      <c r="L20" s="229"/>
      <c r="M20" s="242">
        <f>SUM(M21)</f>
        <v>2000</v>
      </c>
    </row>
    <row r="21" spans="1:13" x14ac:dyDescent="0.3">
      <c r="A21" s="365"/>
      <c r="B21" s="366"/>
      <c r="C21" s="366"/>
      <c r="D21" s="366"/>
      <c r="E21" s="366"/>
      <c r="F21" s="212"/>
      <c r="G21" s="212"/>
      <c r="H21" s="115"/>
      <c r="I21" s="171"/>
      <c r="J21" s="171"/>
      <c r="K21" s="215" t="s">
        <v>659</v>
      </c>
      <c r="L21" s="231" t="s">
        <v>0</v>
      </c>
      <c r="M21" s="213">
        <v>2000</v>
      </c>
    </row>
    <row r="22" spans="1:13" x14ac:dyDescent="0.3">
      <c r="A22" s="68"/>
      <c r="B22" s="70"/>
      <c r="C22" s="70"/>
      <c r="D22" s="70"/>
      <c r="E22" s="70"/>
      <c r="F22" s="383" t="s">
        <v>99</v>
      </c>
      <c r="G22" s="75"/>
      <c r="H22" s="76">
        <f>H23</f>
        <v>2100</v>
      </c>
      <c r="I22" s="76">
        <v>0</v>
      </c>
      <c r="J22" s="162">
        <f>H22-I22</f>
        <v>2100</v>
      </c>
      <c r="K22" s="315"/>
      <c r="L22" s="316"/>
      <c r="M22" s="384"/>
    </row>
    <row r="23" spans="1:13" x14ac:dyDescent="0.3">
      <c r="A23" s="68"/>
      <c r="B23" s="70"/>
      <c r="C23" s="70"/>
      <c r="D23" s="70"/>
      <c r="E23" s="70"/>
      <c r="F23" s="159"/>
      <c r="G23" s="70" t="s">
        <v>103</v>
      </c>
      <c r="H23" s="81">
        <f>M23</f>
        <v>2100</v>
      </c>
      <c r="I23" s="81">
        <v>0</v>
      </c>
      <c r="J23" s="48">
        <f>H23-I23</f>
        <v>2100</v>
      </c>
      <c r="K23" s="36" t="s">
        <v>471</v>
      </c>
      <c r="L23" s="39"/>
      <c r="M23" s="242">
        <f>M24</f>
        <v>2100</v>
      </c>
    </row>
    <row r="24" spans="1:13" ht="17.25" thickBot="1" x14ac:dyDescent="0.35">
      <c r="A24" s="74"/>
      <c r="B24" s="74"/>
      <c r="C24" s="74"/>
      <c r="D24" s="74"/>
      <c r="E24" s="74"/>
      <c r="F24" s="385"/>
      <c r="G24" s="217"/>
      <c r="H24" s="386"/>
      <c r="I24" s="387"/>
      <c r="J24" s="388"/>
      <c r="K24" s="257" t="s">
        <v>481</v>
      </c>
      <c r="L24" s="258" t="s">
        <v>0</v>
      </c>
      <c r="M24" s="271">
        <v>2100</v>
      </c>
    </row>
  </sheetData>
  <autoFilter ref="A3:M24">
    <filterColumn colId="10" showButton="0"/>
    <filterColumn colId="11" showButton="0"/>
  </autoFilter>
  <mergeCells count="10">
    <mergeCell ref="K2:M3"/>
    <mergeCell ref="A4:G4"/>
    <mergeCell ref="F15:G15"/>
    <mergeCell ref="F19:G19"/>
    <mergeCell ref="A2:A3"/>
    <mergeCell ref="B2:D2"/>
    <mergeCell ref="E2:G2"/>
    <mergeCell ref="H2:H3"/>
    <mergeCell ref="I2:I3"/>
    <mergeCell ref="J2:J3"/>
  </mergeCells>
  <phoneticPr fontId="12" type="noConversion"/>
  <conditionalFormatting sqref="J20:J21">
    <cfRule type="containsText" dxfId="335" priority="55" operator="containsText" text="허하나로">
      <formula>NOT(ISERROR(SEARCH("허하나로",H1046)))</formula>
    </cfRule>
    <cfRule type="containsText" dxfId="334" priority="56" operator="containsText" text="한별">
      <formula>NOT(ISERROR(SEARCH("한별",H1046)))</formula>
    </cfRule>
    <cfRule type="containsText" dxfId="333" priority="57" operator="containsText" text="정홍조">
      <formula>NOT(ISERROR(SEARCH("정홍조",H1046)))</formula>
    </cfRule>
    <cfRule type="containsText" dxfId="332" priority="58" operator="containsText" text="김지윤">
      <formula>NOT(ISERROR(SEARCH("김지윤",H1046)))</formula>
    </cfRule>
    <cfRule type="containsText" dxfId="331" priority="59" operator="containsText" text="전준영">
      <formula>NOT(ISERROR(SEARCH("전준영",H1046)))</formula>
    </cfRule>
    <cfRule type="containsText" dxfId="330" priority="60" operator="containsText" text="차재성">
      <formula>NOT(ISERROR(SEARCH("차재성",H1046)))</formula>
    </cfRule>
  </conditionalFormatting>
  <conditionalFormatting sqref="J2:J3">
    <cfRule type="containsText" dxfId="329" priority="79" operator="containsText" text="허하나로">
      <formula>NOT(ISERROR(SEARCH("허하나로",H685)))</formula>
    </cfRule>
    <cfRule type="containsText" dxfId="328" priority="80" operator="containsText" text="한별">
      <formula>NOT(ISERROR(SEARCH("한별",H685)))</formula>
    </cfRule>
    <cfRule type="containsText" dxfId="327" priority="81" operator="containsText" text="정홍조">
      <formula>NOT(ISERROR(SEARCH("정홍조",H685)))</formula>
    </cfRule>
    <cfRule type="containsText" dxfId="326" priority="82" operator="containsText" text="김지윤">
      <formula>NOT(ISERROR(SEARCH("김지윤",H685)))</formula>
    </cfRule>
    <cfRule type="containsText" dxfId="325" priority="83" operator="containsText" text="전준영">
      <formula>NOT(ISERROR(SEARCH("전준영",H685)))</formula>
    </cfRule>
    <cfRule type="containsText" dxfId="324" priority="84" operator="containsText" text="차재성">
      <formula>NOT(ISERROR(SEARCH("차재성",H685)))</formula>
    </cfRule>
  </conditionalFormatting>
  <conditionalFormatting sqref="J6">
    <cfRule type="containsText" dxfId="323" priority="67" operator="containsText" text="허하나로">
      <formula>NOT(ISERROR(SEARCH("허하나로",H683)))</formula>
    </cfRule>
    <cfRule type="containsText" dxfId="322" priority="68" operator="containsText" text="한별">
      <formula>NOT(ISERROR(SEARCH("한별",H683)))</formula>
    </cfRule>
    <cfRule type="containsText" dxfId="321" priority="69" operator="containsText" text="정홍조">
      <formula>NOT(ISERROR(SEARCH("정홍조",H683)))</formula>
    </cfRule>
    <cfRule type="containsText" dxfId="320" priority="70" operator="containsText" text="김지윤">
      <formula>NOT(ISERROR(SEARCH("김지윤",H683)))</formula>
    </cfRule>
    <cfRule type="containsText" dxfId="319" priority="71" operator="containsText" text="전준영">
      <formula>NOT(ISERROR(SEARCH("전준영",H683)))</formula>
    </cfRule>
    <cfRule type="containsText" dxfId="318" priority="72" operator="containsText" text="차재성">
      <formula>NOT(ISERROR(SEARCH("차재성",H683)))</formula>
    </cfRule>
  </conditionalFormatting>
  <conditionalFormatting sqref="J5">
    <cfRule type="containsText" dxfId="317" priority="61" operator="containsText" text="허하나로">
      <formula>NOT(ISERROR(SEARCH("허하나로",H682)))</formula>
    </cfRule>
    <cfRule type="containsText" dxfId="316" priority="62" operator="containsText" text="한별">
      <formula>NOT(ISERROR(SEARCH("한별",H682)))</formula>
    </cfRule>
    <cfRule type="containsText" dxfId="315" priority="63" operator="containsText" text="정홍조">
      <formula>NOT(ISERROR(SEARCH("정홍조",H682)))</formula>
    </cfRule>
    <cfRule type="containsText" dxfId="314" priority="64" operator="containsText" text="김지윤">
      <formula>NOT(ISERROR(SEARCH("김지윤",H682)))</formula>
    </cfRule>
    <cfRule type="containsText" dxfId="313" priority="65" operator="containsText" text="전준영">
      <formula>NOT(ISERROR(SEARCH("전준영",H682)))</formula>
    </cfRule>
    <cfRule type="containsText" dxfId="312" priority="66" operator="containsText" text="차재성">
      <formula>NOT(ISERROR(SEARCH("차재성",H682)))</formula>
    </cfRule>
  </conditionalFormatting>
  <conditionalFormatting sqref="J7">
    <cfRule type="containsText" dxfId="311" priority="49" operator="containsText" text="허하나로">
      <formula>NOT(ISERROR(SEARCH("허하나로",H816)))</formula>
    </cfRule>
    <cfRule type="containsText" dxfId="310" priority="50" operator="containsText" text="한별">
      <formula>NOT(ISERROR(SEARCH("한별",H816)))</formula>
    </cfRule>
    <cfRule type="containsText" dxfId="309" priority="51" operator="containsText" text="정홍조">
      <formula>NOT(ISERROR(SEARCH("정홍조",H816)))</formula>
    </cfRule>
    <cfRule type="containsText" dxfId="308" priority="52" operator="containsText" text="김지윤">
      <formula>NOT(ISERROR(SEARCH("김지윤",H816)))</formula>
    </cfRule>
    <cfRule type="containsText" dxfId="307" priority="53" operator="containsText" text="전준영">
      <formula>NOT(ISERROR(SEARCH("전준영",H816)))</formula>
    </cfRule>
    <cfRule type="containsText" dxfId="306" priority="54" operator="containsText" text="차재성">
      <formula>NOT(ISERROR(SEARCH("차재성",H816)))</formula>
    </cfRule>
  </conditionalFormatting>
  <conditionalFormatting sqref="J10:J11">
    <cfRule type="containsText" dxfId="305" priority="43" operator="containsText" text="허하나로">
      <formula>NOT(ISERROR(SEARCH("허하나로",H1024)))</formula>
    </cfRule>
    <cfRule type="containsText" dxfId="304" priority="44" operator="containsText" text="한별">
      <formula>NOT(ISERROR(SEARCH("한별",H1024)))</formula>
    </cfRule>
    <cfRule type="containsText" dxfId="303" priority="45" operator="containsText" text="정홍조">
      <formula>NOT(ISERROR(SEARCH("정홍조",H1024)))</formula>
    </cfRule>
    <cfRule type="containsText" dxfId="302" priority="46" operator="containsText" text="김지윤">
      <formula>NOT(ISERROR(SEARCH("김지윤",H1024)))</formula>
    </cfRule>
    <cfRule type="containsText" dxfId="301" priority="47" operator="containsText" text="전준영">
      <formula>NOT(ISERROR(SEARCH("전준영",H1024)))</formula>
    </cfRule>
    <cfRule type="containsText" dxfId="300" priority="48" operator="containsText" text="차재성">
      <formula>NOT(ISERROR(SEARCH("차재성",H1024)))</formula>
    </cfRule>
  </conditionalFormatting>
  <conditionalFormatting sqref="J9">
    <cfRule type="containsText" dxfId="299" priority="85" operator="containsText" text="허하나로">
      <formula>NOT(ISERROR(SEARCH("허하나로",H1013)))</formula>
    </cfRule>
    <cfRule type="containsText" dxfId="298" priority="86" operator="containsText" text="한별">
      <formula>NOT(ISERROR(SEARCH("한별",H1013)))</formula>
    </cfRule>
    <cfRule type="containsText" dxfId="297" priority="87" operator="containsText" text="정홍조">
      <formula>NOT(ISERROR(SEARCH("정홍조",H1013)))</formula>
    </cfRule>
    <cfRule type="containsText" dxfId="296" priority="88" operator="containsText" text="김지윤">
      <formula>NOT(ISERROR(SEARCH("김지윤",H1013)))</formula>
    </cfRule>
    <cfRule type="containsText" dxfId="295" priority="89" operator="containsText" text="전준영">
      <formula>NOT(ISERROR(SEARCH("전준영",H1013)))</formula>
    </cfRule>
    <cfRule type="containsText" dxfId="294" priority="90" operator="containsText" text="차재성">
      <formula>NOT(ISERROR(SEARCH("차재성",H1013)))</formula>
    </cfRule>
  </conditionalFormatting>
  <conditionalFormatting sqref="J15:J18">
    <cfRule type="containsText" dxfId="293" priority="91" operator="containsText" text="허하나로">
      <formula>NOT(ISERROR(SEARCH("허하나로",H1026)))</formula>
    </cfRule>
    <cfRule type="containsText" dxfId="292" priority="92" operator="containsText" text="한별">
      <formula>NOT(ISERROR(SEARCH("한별",H1026)))</formula>
    </cfRule>
    <cfRule type="containsText" dxfId="291" priority="93" operator="containsText" text="정홍조">
      <formula>NOT(ISERROR(SEARCH("정홍조",H1026)))</formula>
    </cfRule>
    <cfRule type="containsText" dxfId="290" priority="94" operator="containsText" text="김지윤">
      <formula>NOT(ISERROR(SEARCH("김지윤",H1026)))</formula>
    </cfRule>
    <cfRule type="containsText" dxfId="289" priority="95" operator="containsText" text="전준영">
      <formula>NOT(ISERROR(SEARCH("전준영",H1026)))</formula>
    </cfRule>
    <cfRule type="containsText" dxfId="288" priority="96" operator="containsText" text="차재성">
      <formula>NOT(ISERROR(SEARCH("차재성",H1026)))</formula>
    </cfRule>
  </conditionalFormatting>
  <conditionalFormatting sqref="J19">
    <cfRule type="containsText" dxfId="287" priority="31" operator="containsText" text="허하나로">
      <formula>NOT(ISERROR(SEARCH("허하나로",H1030)))</formula>
    </cfRule>
    <cfRule type="containsText" dxfId="286" priority="32" operator="containsText" text="한별">
      <formula>NOT(ISERROR(SEARCH("한별",H1030)))</formula>
    </cfRule>
    <cfRule type="containsText" dxfId="285" priority="33" operator="containsText" text="정홍조">
      <formula>NOT(ISERROR(SEARCH("정홍조",H1030)))</formula>
    </cfRule>
    <cfRule type="containsText" dxfId="284" priority="34" operator="containsText" text="김지윤">
      <formula>NOT(ISERROR(SEARCH("김지윤",H1030)))</formula>
    </cfRule>
    <cfRule type="containsText" dxfId="283" priority="35" operator="containsText" text="전준영">
      <formula>NOT(ISERROR(SEARCH("전준영",H1030)))</formula>
    </cfRule>
    <cfRule type="containsText" dxfId="282" priority="36" operator="containsText" text="차재성">
      <formula>NOT(ISERROR(SEARCH("차재성",H1030)))</formula>
    </cfRule>
  </conditionalFormatting>
  <conditionalFormatting sqref="L16">
    <cfRule type="containsText" dxfId="281" priority="25" operator="containsText" text="허하나로">
      <formula>NOT(ISERROR(SEARCH("허하나로",J1161)))</formula>
    </cfRule>
    <cfRule type="containsText" dxfId="280" priority="26" operator="containsText" text="한별">
      <formula>NOT(ISERROR(SEARCH("한별",J1161)))</formula>
    </cfRule>
    <cfRule type="containsText" dxfId="279" priority="27" operator="containsText" text="정홍조">
      <formula>NOT(ISERROR(SEARCH("정홍조",J1161)))</formula>
    </cfRule>
    <cfRule type="containsText" dxfId="278" priority="28" operator="containsText" text="김지윤">
      <formula>NOT(ISERROR(SEARCH("김지윤",J1161)))</formula>
    </cfRule>
    <cfRule type="containsText" dxfId="277" priority="29" operator="containsText" text="전준영">
      <formula>NOT(ISERROR(SEARCH("전준영",J1161)))</formula>
    </cfRule>
    <cfRule type="containsText" dxfId="276" priority="30" operator="containsText" text="차재성">
      <formula>NOT(ISERROR(SEARCH("차재성",J1161)))</formula>
    </cfRule>
  </conditionalFormatting>
  <conditionalFormatting sqref="I21">
    <cfRule type="containsText" dxfId="275" priority="19" operator="containsText" text="허하나로">
      <formula>NOT(ISERROR(SEARCH("허하나로",G1047)))</formula>
    </cfRule>
    <cfRule type="containsText" dxfId="274" priority="20" operator="containsText" text="한별">
      <formula>NOT(ISERROR(SEARCH("한별",G1047)))</formula>
    </cfRule>
    <cfRule type="containsText" dxfId="273" priority="21" operator="containsText" text="정홍조">
      <formula>NOT(ISERROR(SEARCH("정홍조",G1047)))</formula>
    </cfRule>
    <cfRule type="containsText" dxfId="272" priority="22" operator="containsText" text="김지윤">
      <formula>NOT(ISERROR(SEARCH("김지윤",G1047)))</formula>
    </cfRule>
    <cfRule type="containsText" dxfId="271" priority="23" operator="containsText" text="전준영">
      <formula>NOT(ISERROR(SEARCH("전준영",G1047)))</formula>
    </cfRule>
    <cfRule type="containsText" dxfId="270" priority="24" operator="containsText" text="차재성">
      <formula>NOT(ISERROR(SEARCH("차재성",G1047)))</formula>
    </cfRule>
  </conditionalFormatting>
  <conditionalFormatting sqref="J12">
    <cfRule type="containsText" dxfId="269" priority="3865" operator="containsText" text="허하나로">
      <formula>NOT(ISERROR(SEARCH("허하나로",H1015)))</formula>
    </cfRule>
    <cfRule type="containsText" dxfId="268" priority="3866" operator="containsText" text="한별">
      <formula>NOT(ISERROR(SEARCH("한별",H1015)))</formula>
    </cfRule>
    <cfRule type="containsText" dxfId="267" priority="3867" operator="containsText" text="정홍조">
      <formula>NOT(ISERROR(SEARCH("정홍조",H1015)))</formula>
    </cfRule>
    <cfRule type="containsText" dxfId="266" priority="3868" operator="containsText" text="김지윤">
      <formula>NOT(ISERROR(SEARCH("김지윤",H1015)))</formula>
    </cfRule>
    <cfRule type="containsText" dxfId="265" priority="3869" operator="containsText" text="전준영">
      <formula>NOT(ISERROR(SEARCH("전준영",H1015)))</formula>
    </cfRule>
    <cfRule type="containsText" dxfId="264" priority="3870" operator="containsText" text="차재성">
      <formula>NOT(ISERROR(SEARCH("차재성",H1015)))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" operator="containsText" text="허하나로" id="{D4F1B340-9C03-4E6A-BE9E-DFA9AB5F94E6}">
            <xm:f>NOT(ISERROR(SEARCH("허하나로",행사부!H1022)))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291BA884-72D9-4A87-A9F5-25F0134A8A67}">
            <xm:f>NOT(ISERROR(SEARCH("한별",행사부!H1022)))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55D94AC0-892C-43D4-9640-18C22F0C2334}">
            <xm:f>NOT(ISERROR(SEARCH("정홍조",행사부!H1022)))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7E5389D4-36EF-4A60-8902-BDA87421C2ED}">
            <xm:f>NOT(ISERROR(SEARCH("김지윤",행사부!H1022)))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8EDA7C65-C9BF-42D2-8A10-21524ACED8AD}">
            <xm:f>NOT(ISERROR(SEARCH("전준영",행사부!H1022)))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6DF20D16-BED0-4A88-A7F7-D70E33695715}">
            <xm:f>NOT(ISERROR(SEARCH("차재성",행사부!H1022)))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J13:J14</xm:sqref>
        </x14:conditionalFormatting>
        <x14:conditionalFormatting xmlns:xm="http://schemas.microsoft.com/office/excel/2006/main">
          <x14:cfRule type="containsText" priority="7" operator="containsText" text="허하나로" id="{44ABCAAE-FD13-4CD0-8745-3C553C1D49ED}">
            <xm:f>NOT(ISERROR(SEARCH("허하나로",행정관리부!H1047)))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567FF576-02E6-41A6-8EFA-DB1A550BDFF9}">
            <xm:f>NOT(ISERROR(SEARCH("한별",행정관리부!H1047)))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BC446C9A-2410-4254-AB0A-76B62E0F0646}">
            <xm:f>NOT(ISERROR(SEARCH("정홍조",행정관리부!H1047)))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91B59D70-3F25-46A4-A7BE-108593C50DB0}">
            <xm:f>NOT(ISERROR(SEARCH("김지윤",행정관리부!H1047)))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6567DED1-0EBA-4B25-ABE3-78888AA0C63A}">
            <xm:f>NOT(ISERROR(SEARCH("전준영",행정관리부!H1047)))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E386A293-EC8F-45C3-9C71-09E8B8481C93}">
            <xm:f>NOT(ISERROR(SEARCH("차재성",행정관리부!H1047)))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J24</xm:sqref>
        </x14:conditionalFormatting>
        <x14:conditionalFormatting xmlns:xm="http://schemas.microsoft.com/office/excel/2006/main">
          <x14:cfRule type="containsText" priority="1" operator="containsText" text="허하나로" id="{7F42C816-3B68-4AA1-98DD-E01F9BF01D92}">
            <xm:f>NOT(ISERROR(SEARCH("허하나로",행정관리부!H1103)))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" operator="containsText" text="한별" id="{73F65376-9009-4C9C-B73B-674676DF81DF}">
            <xm:f>NOT(ISERROR(SEARCH("한별",행정관리부!H1103)))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" operator="containsText" text="정홍조" id="{BE04AB81-523C-4785-ACC9-EEE56E83D6F1}">
            <xm:f>NOT(ISERROR(SEARCH("정홍조",행정관리부!H1103)))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" operator="containsText" text="김지윤" id="{BDFA5262-5958-4B6B-BFA9-4D9B125D1851}">
            <xm:f>NOT(ISERROR(SEARCH("김지윤",행정관리부!H1103)))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" operator="containsText" text="전준영" id="{A5209C69-0940-456C-9768-734EA83A0B18}">
            <xm:f>NOT(ISERROR(SEARCH("전준영",행정관리부!H1103)))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" operator="containsText" text="차재성" id="{DB6E879D-7275-48FD-8FE2-5404B5774B5B}">
            <xm:f>NOT(ISERROR(SEARCH("차재성",행정관리부!H1103)))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J22:J23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M34"/>
  <sheetViews>
    <sheetView zoomScale="85" zoomScaleNormal="85" workbookViewId="0">
      <selection activeCell="I11" sqref="I11"/>
    </sheetView>
  </sheetViews>
  <sheetFormatPr defaultRowHeight="16.5" x14ac:dyDescent="0.3"/>
  <cols>
    <col min="1" max="6" width="3.875" customWidth="1"/>
    <col min="7" max="7" width="32.625" customWidth="1"/>
    <col min="8" max="10" width="14.625" customWidth="1"/>
    <col min="11" max="11" width="64.625" bestFit="1" customWidth="1"/>
    <col min="12" max="12" width="3.875" customWidth="1"/>
    <col min="13" max="13" width="11.625" style="320" customWidth="1"/>
    <col min="15" max="15" width="12.75" bestFit="1" customWidth="1"/>
  </cols>
  <sheetData>
    <row r="1" spans="1:13" ht="17.25" thickBot="1" x14ac:dyDescent="0.2">
      <c r="A1" s="94" t="s">
        <v>190</v>
      </c>
      <c r="B1" s="43"/>
      <c r="C1" s="94"/>
      <c r="D1" s="94"/>
      <c r="E1" s="94"/>
      <c r="F1" s="94"/>
      <c r="G1" s="199"/>
      <c r="H1" s="200"/>
      <c r="I1" s="200"/>
      <c r="J1" s="199"/>
      <c r="K1" s="199"/>
      <c r="L1" s="199"/>
      <c r="M1" s="305" t="s">
        <v>191</v>
      </c>
    </row>
    <row r="2" spans="1:13" ht="16.5" customHeight="1" x14ac:dyDescent="0.3">
      <c r="A2" s="439" t="s">
        <v>192</v>
      </c>
      <c r="B2" s="441" t="s">
        <v>28</v>
      </c>
      <c r="C2" s="442"/>
      <c r="D2" s="443"/>
      <c r="E2" s="441" t="s">
        <v>193</v>
      </c>
      <c r="F2" s="442"/>
      <c r="G2" s="443"/>
      <c r="H2" s="417" t="s">
        <v>271</v>
      </c>
      <c r="I2" s="417" t="s">
        <v>275</v>
      </c>
      <c r="J2" s="454" t="s">
        <v>194</v>
      </c>
      <c r="K2" s="430" t="s">
        <v>4</v>
      </c>
      <c r="L2" s="431"/>
      <c r="M2" s="432"/>
    </row>
    <row r="3" spans="1:13" ht="17.25" thickBot="1" x14ac:dyDescent="0.35">
      <c r="A3" s="440"/>
      <c r="B3" s="135" t="s">
        <v>195</v>
      </c>
      <c r="C3" s="135" t="s">
        <v>31</v>
      </c>
      <c r="D3" s="135" t="s">
        <v>196</v>
      </c>
      <c r="E3" s="135" t="s">
        <v>197</v>
      </c>
      <c r="F3" s="135" t="s">
        <v>34</v>
      </c>
      <c r="G3" s="135" t="s">
        <v>198</v>
      </c>
      <c r="H3" s="418"/>
      <c r="I3" s="418"/>
      <c r="J3" s="455"/>
      <c r="K3" s="433"/>
      <c r="L3" s="434"/>
      <c r="M3" s="435"/>
    </row>
    <row r="4" spans="1:13" ht="17.25" thickBot="1" x14ac:dyDescent="0.35">
      <c r="A4" s="436" t="s">
        <v>199</v>
      </c>
      <c r="B4" s="437"/>
      <c r="C4" s="437"/>
      <c r="D4" s="437"/>
      <c r="E4" s="437"/>
      <c r="F4" s="437"/>
      <c r="G4" s="438"/>
      <c r="H4" s="201">
        <f>H5+H13</f>
        <v>316640</v>
      </c>
      <c r="I4" s="201">
        <v>724280</v>
      </c>
      <c r="J4" s="136">
        <f t="shared" ref="J4:J11" si="0">H4-I4</f>
        <v>-407640</v>
      </c>
      <c r="K4" s="95"/>
      <c r="L4" s="96"/>
      <c r="M4" s="306"/>
    </row>
    <row r="5" spans="1:13" x14ac:dyDescent="0.3">
      <c r="A5" s="223" t="s">
        <v>5</v>
      </c>
      <c r="B5" s="138"/>
      <c r="C5" s="139"/>
      <c r="D5" s="139"/>
      <c r="E5" s="139"/>
      <c r="F5" s="139"/>
      <c r="G5" s="140"/>
      <c r="H5" s="100">
        <f t="shared" ref="H5:H10" si="1">H6</f>
        <v>316640</v>
      </c>
      <c r="I5" s="100">
        <v>724280</v>
      </c>
      <c r="J5" s="101">
        <f t="shared" si="0"/>
        <v>-407640</v>
      </c>
      <c r="K5" s="84"/>
      <c r="L5" s="85"/>
      <c r="M5" s="307"/>
    </row>
    <row r="6" spans="1:13" x14ac:dyDescent="0.3">
      <c r="A6" s="10"/>
      <c r="B6" s="145" t="s">
        <v>200</v>
      </c>
      <c r="C6" s="145"/>
      <c r="D6" s="146"/>
      <c r="E6" s="146"/>
      <c r="F6" s="146"/>
      <c r="G6" s="147"/>
      <c r="H6" s="100">
        <f t="shared" si="1"/>
        <v>316640</v>
      </c>
      <c r="I6" s="100">
        <v>724280</v>
      </c>
      <c r="J6" s="101">
        <f t="shared" si="0"/>
        <v>-407640</v>
      </c>
      <c r="K6" s="221"/>
      <c r="L6" s="165"/>
      <c r="M6" s="308"/>
    </row>
    <row r="7" spans="1:13" x14ac:dyDescent="0.3">
      <c r="A7" s="10"/>
      <c r="B7" s="6"/>
      <c r="C7" s="195" t="s">
        <v>201</v>
      </c>
      <c r="D7" s="146"/>
      <c r="E7" s="146"/>
      <c r="F7" s="146"/>
      <c r="G7" s="147"/>
      <c r="H7" s="97">
        <f t="shared" si="1"/>
        <v>316640</v>
      </c>
      <c r="I7" s="97">
        <v>724280</v>
      </c>
      <c r="J7" s="101">
        <f t="shared" si="0"/>
        <v>-407640</v>
      </c>
      <c r="K7" s="175"/>
      <c r="L7" s="165"/>
      <c r="M7" s="308"/>
    </row>
    <row r="8" spans="1:13" x14ac:dyDescent="0.3">
      <c r="A8" s="10"/>
      <c r="B8" s="6"/>
      <c r="C8" s="163"/>
      <c r="D8" s="145" t="s">
        <v>202</v>
      </c>
      <c r="E8" s="146"/>
      <c r="F8" s="146"/>
      <c r="G8" s="147"/>
      <c r="H8" s="148">
        <f t="shared" si="1"/>
        <v>316640</v>
      </c>
      <c r="I8" s="148">
        <v>724280</v>
      </c>
      <c r="J8" s="101">
        <f t="shared" si="0"/>
        <v>-407640</v>
      </c>
      <c r="K8" s="164"/>
      <c r="L8" s="165"/>
      <c r="M8" s="308"/>
    </row>
    <row r="9" spans="1:13" x14ac:dyDescent="0.3">
      <c r="A9" s="10"/>
      <c r="B9" s="6"/>
      <c r="C9" s="150"/>
      <c r="D9" s="151"/>
      <c r="E9" s="145" t="s">
        <v>203</v>
      </c>
      <c r="F9" s="146"/>
      <c r="G9" s="147"/>
      <c r="H9" s="97">
        <f t="shared" si="1"/>
        <v>316640</v>
      </c>
      <c r="I9" s="97">
        <v>724280</v>
      </c>
      <c r="J9" s="101">
        <f t="shared" si="0"/>
        <v>-407640</v>
      </c>
      <c r="K9" s="90"/>
      <c r="L9" s="99"/>
      <c r="M9" s="309"/>
    </row>
    <row r="10" spans="1:13" x14ac:dyDescent="0.3">
      <c r="A10" s="68"/>
      <c r="B10" s="70"/>
      <c r="C10" s="70"/>
      <c r="D10" s="70"/>
      <c r="E10" s="70"/>
      <c r="F10" s="152" t="s">
        <v>204</v>
      </c>
      <c r="G10" s="156"/>
      <c r="H10" s="77">
        <f t="shared" si="1"/>
        <v>316640</v>
      </c>
      <c r="I10" s="77">
        <v>724280</v>
      </c>
      <c r="J10" s="310">
        <f t="shared" si="0"/>
        <v>-407640</v>
      </c>
      <c r="K10" s="160"/>
      <c r="L10" s="38"/>
      <c r="M10" s="311"/>
    </row>
    <row r="11" spans="1:13" x14ac:dyDescent="0.3">
      <c r="A11" s="57"/>
      <c r="B11" s="60"/>
      <c r="C11" s="70"/>
      <c r="D11" s="70"/>
      <c r="E11" s="70"/>
      <c r="F11" s="208"/>
      <c r="G11" s="226" t="s">
        <v>205</v>
      </c>
      <c r="H11" s="81">
        <f>M11</f>
        <v>316640</v>
      </c>
      <c r="I11" s="81">
        <v>724280</v>
      </c>
      <c r="J11" s="312">
        <f t="shared" si="0"/>
        <v>-407640</v>
      </c>
      <c r="K11" s="36" t="s">
        <v>206</v>
      </c>
      <c r="L11" s="229"/>
      <c r="M11" s="313">
        <f>M12</f>
        <v>316640</v>
      </c>
    </row>
    <row r="12" spans="1:13" ht="17.25" thickBot="1" x14ac:dyDescent="0.35">
      <c r="A12" s="57"/>
      <c r="B12" s="60"/>
      <c r="C12" s="70"/>
      <c r="D12" s="70"/>
      <c r="E12" s="70"/>
      <c r="F12" s="247"/>
      <c r="G12" s="224"/>
      <c r="H12" s="234"/>
      <c r="I12" s="234"/>
      <c r="J12" s="256"/>
      <c r="K12" s="257" t="s">
        <v>677</v>
      </c>
      <c r="L12" s="258"/>
      <c r="M12" s="271">
        <v>316640</v>
      </c>
    </row>
    <row r="13" spans="1:13" x14ac:dyDescent="0.3">
      <c r="A13" s="223" t="s">
        <v>208</v>
      </c>
      <c r="B13" s="138"/>
      <c r="C13" s="139"/>
      <c r="D13" s="139"/>
      <c r="E13" s="139"/>
      <c r="F13" s="139"/>
      <c r="G13" s="140"/>
      <c r="H13" s="100">
        <f>SUM(H14,H27)</f>
        <v>0</v>
      </c>
      <c r="I13" s="100">
        <v>0</v>
      </c>
      <c r="J13" s="101">
        <f>H13-I13</f>
        <v>0</v>
      </c>
      <c r="K13" s="84"/>
      <c r="L13" s="85"/>
      <c r="M13" s="307"/>
    </row>
    <row r="14" spans="1:13" x14ac:dyDescent="0.3">
      <c r="A14" s="10"/>
      <c r="B14" s="195" t="s">
        <v>210</v>
      </c>
      <c r="C14" s="145"/>
      <c r="D14" s="146"/>
      <c r="E14" s="146"/>
      <c r="F14" s="146"/>
      <c r="G14" s="147"/>
      <c r="H14" s="100">
        <f>SUM(H15,H55)</f>
        <v>0</v>
      </c>
      <c r="I14" s="100">
        <v>0</v>
      </c>
      <c r="J14" s="101">
        <f t="shared" ref="J14:J19" si="2">H14-I14</f>
        <v>0</v>
      </c>
      <c r="K14" s="221"/>
      <c r="L14" s="165"/>
      <c r="M14" s="308"/>
    </row>
    <row r="15" spans="1:13" x14ac:dyDescent="0.3">
      <c r="A15" s="10"/>
      <c r="B15" s="6"/>
      <c r="C15" s="195" t="s">
        <v>210</v>
      </c>
      <c r="D15" s="146"/>
      <c r="E15" s="146"/>
      <c r="F15" s="146"/>
      <c r="G15" s="147"/>
      <c r="H15" s="97">
        <f>H16</f>
        <v>0</v>
      </c>
      <c r="I15" s="97">
        <v>0</v>
      </c>
      <c r="J15" s="98">
        <f t="shared" si="2"/>
        <v>0</v>
      </c>
      <c r="K15" s="175"/>
      <c r="L15" s="165"/>
      <c r="M15" s="308"/>
    </row>
    <row r="16" spans="1:13" x14ac:dyDescent="0.3">
      <c r="A16" s="10"/>
      <c r="B16" s="6"/>
      <c r="C16" s="163"/>
      <c r="D16" s="145" t="s">
        <v>211</v>
      </c>
      <c r="E16" s="146"/>
      <c r="F16" s="146"/>
      <c r="G16" s="147"/>
      <c r="H16" s="148">
        <f>H17</f>
        <v>0</v>
      </c>
      <c r="I16" s="148">
        <v>0</v>
      </c>
      <c r="J16" s="9">
        <f t="shared" si="2"/>
        <v>0</v>
      </c>
      <c r="K16" s="164"/>
      <c r="L16" s="165"/>
      <c r="M16" s="308"/>
    </row>
    <row r="17" spans="1:13" x14ac:dyDescent="0.3">
      <c r="A17" s="10"/>
      <c r="B17" s="6"/>
      <c r="C17" s="150"/>
      <c r="D17" s="151"/>
      <c r="E17" s="145" t="s">
        <v>212</v>
      </c>
      <c r="F17" s="146"/>
      <c r="G17" s="147"/>
      <c r="H17" s="97">
        <f>H18</f>
        <v>0</v>
      </c>
      <c r="I17" s="97">
        <v>0</v>
      </c>
      <c r="J17" s="98">
        <f t="shared" si="2"/>
        <v>0</v>
      </c>
      <c r="K17" s="90"/>
      <c r="L17" s="99"/>
      <c r="M17" s="309"/>
    </row>
    <row r="18" spans="1:13" x14ac:dyDescent="0.3">
      <c r="A18" s="68"/>
      <c r="B18" s="70"/>
      <c r="C18" s="70"/>
      <c r="D18" s="70"/>
      <c r="E18" s="70"/>
      <c r="F18" s="152" t="s">
        <v>204</v>
      </c>
      <c r="G18" s="75"/>
      <c r="H18" s="76">
        <f>H19</f>
        <v>0</v>
      </c>
      <c r="I18" s="76">
        <v>0</v>
      </c>
      <c r="J18" s="162">
        <f t="shared" si="2"/>
        <v>0</v>
      </c>
      <c r="K18" s="315"/>
      <c r="L18" s="316"/>
      <c r="M18" s="317"/>
    </row>
    <row r="19" spans="1:13" x14ac:dyDescent="0.3">
      <c r="A19" s="57"/>
      <c r="B19" s="60"/>
      <c r="C19" s="70"/>
      <c r="D19" s="70"/>
      <c r="E19" s="70"/>
      <c r="F19" s="208"/>
      <c r="G19" s="226" t="s">
        <v>213</v>
      </c>
      <c r="H19" s="81">
        <f>M19</f>
        <v>0</v>
      </c>
      <c r="I19" s="81">
        <v>0</v>
      </c>
      <c r="J19" s="41">
        <f t="shared" si="2"/>
        <v>0</v>
      </c>
      <c r="K19" s="36" t="s">
        <v>214</v>
      </c>
      <c r="L19" s="229"/>
      <c r="M19" s="313">
        <f>M20</f>
        <v>0</v>
      </c>
    </row>
    <row r="20" spans="1:13" ht="17.25" thickBot="1" x14ac:dyDescent="0.35">
      <c r="A20" s="252"/>
      <c r="B20" s="253"/>
      <c r="C20" s="74"/>
      <c r="D20" s="74"/>
      <c r="E20" s="74"/>
      <c r="F20" s="254"/>
      <c r="G20" s="255"/>
      <c r="H20" s="318"/>
      <c r="I20" s="234"/>
      <c r="J20" s="256"/>
      <c r="K20" s="257" t="s">
        <v>494</v>
      </c>
      <c r="L20" s="235" t="s">
        <v>215</v>
      </c>
      <c r="M20" s="314">
        <v>0</v>
      </c>
    </row>
    <row r="21" spans="1:13" x14ac:dyDescent="0.3">
      <c r="L21" s="263"/>
      <c r="M21" s="319"/>
    </row>
    <row r="22" spans="1:13" x14ac:dyDescent="0.3">
      <c r="L22" s="263"/>
      <c r="M22" s="319"/>
    </row>
    <row r="23" spans="1:13" x14ac:dyDescent="0.3">
      <c r="L23" s="263"/>
      <c r="M23" s="319"/>
    </row>
    <row r="24" spans="1:13" x14ac:dyDescent="0.3">
      <c r="L24" s="263"/>
      <c r="M24" s="319"/>
    </row>
    <row r="25" spans="1:13" x14ac:dyDescent="0.3">
      <c r="L25" s="263"/>
      <c r="M25" s="319"/>
    </row>
    <row r="26" spans="1:13" x14ac:dyDescent="0.3">
      <c r="L26" s="263"/>
      <c r="M26" s="319"/>
    </row>
    <row r="27" spans="1:13" x14ac:dyDescent="0.3">
      <c r="L27" s="263"/>
      <c r="M27" s="319"/>
    </row>
    <row r="28" spans="1:13" x14ac:dyDescent="0.3">
      <c r="L28" s="263"/>
      <c r="M28" s="319"/>
    </row>
    <row r="29" spans="1:13" x14ac:dyDescent="0.3">
      <c r="L29" s="263"/>
      <c r="M29" s="319"/>
    </row>
    <row r="30" spans="1:13" x14ac:dyDescent="0.3">
      <c r="L30" s="263"/>
      <c r="M30" s="319"/>
    </row>
    <row r="31" spans="1:13" x14ac:dyDescent="0.3">
      <c r="L31" s="263"/>
      <c r="M31" s="319"/>
    </row>
    <row r="32" spans="1:13" x14ac:dyDescent="0.3">
      <c r="L32" s="263"/>
      <c r="M32" s="319"/>
    </row>
    <row r="33" spans="12:13" x14ac:dyDescent="0.3">
      <c r="L33" s="263"/>
      <c r="M33" s="319"/>
    </row>
    <row r="34" spans="12:13" x14ac:dyDescent="0.3">
      <c r="L34" s="263"/>
      <c r="M34" s="319"/>
    </row>
  </sheetData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13:J14">
    <cfRule type="containsText" dxfId="245" priority="1" operator="containsText" text="허하나로">
      <formula>NOT(ISERROR(SEARCH("허하나로",H832)))</formula>
    </cfRule>
    <cfRule type="containsText" dxfId="244" priority="2" operator="containsText" text="한별">
      <formula>NOT(ISERROR(SEARCH("한별",H832)))</formula>
    </cfRule>
    <cfRule type="containsText" dxfId="243" priority="3" operator="containsText" text="정홍조">
      <formula>NOT(ISERROR(SEARCH("정홍조",H832)))</formula>
    </cfRule>
    <cfRule type="containsText" dxfId="242" priority="4" operator="containsText" text="김지윤">
      <formula>NOT(ISERROR(SEARCH("김지윤",H832)))</formula>
    </cfRule>
    <cfRule type="containsText" dxfId="241" priority="5" operator="containsText" text="전준영">
      <formula>NOT(ISERROR(SEARCH("전준영",H832)))</formula>
    </cfRule>
    <cfRule type="containsText" dxfId="240" priority="6" operator="containsText" text="차재성">
      <formula>NOT(ISERROR(SEARCH("차재성",H832)))</formula>
    </cfRule>
  </conditionalFormatting>
  <conditionalFormatting sqref="J12">
    <cfRule type="containsText" dxfId="239" priority="55" operator="containsText" text="허하나로">
      <formula>NOT(ISERROR(SEARCH("허하나로",H1062)))</formula>
    </cfRule>
    <cfRule type="containsText" dxfId="238" priority="56" operator="containsText" text="한별">
      <formula>NOT(ISERROR(SEARCH("한별",H1062)))</formula>
    </cfRule>
    <cfRule type="containsText" dxfId="237" priority="57" operator="containsText" text="정홍조">
      <formula>NOT(ISERROR(SEARCH("정홍조",H1062)))</formula>
    </cfRule>
    <cfRule type="containsText" dxfId="236" priority="58" operator="containsText" text="김지윤">
      <formula>NOT(ISERROR(SEARCH("김지윤",H1062)))</formula>
    </cfRule>
    <cfRule type="containsText" dxfId="235" priority="59" operator="containsText" text="전준영">
      <formula>NOT(ISERROR(SEARCH("전준영",H1062)))</formula>
    </cfRule>
    <cfRule type="containsText" dxfId="234" priority="60" operator="containsText" text="차재성">
      <formula>NOT(ISERROR(SEARCH("차재성",H1062)))</formula>
    </cfRule>
  </conditionalFormatting>
  <conditionalFormatting sqref="J6:J11">
    <cfRule type="containsText" dxfId="233" priority="37" operator="containsText" text="허하나로">
      <formula>NOT(ISERROR(SEARCH("허하나로",H820)))</formula>
    </cfRule>
    <cfRule type="containsText" dxfId="232" priority="38" operator="containsText" text="한별">
      <formula>NOT(ISERROR(SEARCH("한별",H820)))</formula>
    </cfRule>
    <cfRule type="containsText" dxfId="231" priority="39" operator="containsText" text="정홍조">
      <formula>NOT(ISERROR(SEARCH("정홍조",H820)))</formula>
    </cfRule>
    <cfRule type="containsText" dxfId="230" priority="40" operator="containsText" text="김지윤">
      <formula>NOT(ISERROR(SEARCH("김지윤",H820)))</formula>
    </cfRule>
    <cfRule type="containsText" dxfId="229" priority="41" operator="containsText" text="전준영">
      <formula>NOT(ISERROR(SEARCH("전준영",H820)))</formula>
    </cfRule>
    <cfRule type="containsText" dxfId="228" priority="42" operator="containsText" text="차재성">
      <formula>NOT(ISERROR(SEARCH("차재성",H820)))</formula>
    </cfRule>
  </conditionalFormatting>
  <conditionalFormatting sqref="J2:J3">
    <cfRule type="containsText" dxfId="227" priority="31" operator="containsText" text="허하나로">
      <formula>NOT(ISERROR(SEARCH("허하나로",H610)))</formula>
    </cfRule>
    <cfRule type="containsText" dxfId="226" priority="32" operator="containsText" text="한별">
      <formula>NOT(ISERROR(SEARCH("한별",H610)))</formula>
    </cfRule>
    <cfRule type="containsText" dxfId="225" priority="33" operator="containsText" text="정홍조">
      <formula>NOT(ISERROR(SEARCH("정홍조",H610)))</formula>
    </cfRule>
    <cfRule type="containsText" dxfId="224" priority="34" operator="containsText" text="김지윤">
      <formula>NOT(ISERROR(SEARCH("김지윤",H610)))</formula>
    </cfRule>
    <cfRule type="containsText" dxfId="223" priority="35" operator="containsText" text="전준영">
      <formula>NOT(ISERROR(SEARCH("전준영",H610)))</formula>
    </cfRule>
    <cfRule type="containsText" dxfId="222" priority="36" operator="containsText" text="차재성">
      <formula>NOT(ISERROR(SEARCH("차재성",H610)))</formula>
    </cfRule>
  </conditionalFormatting>
  <conditionalFormatting sqref="J18:J19">
    <cfRule type="containsText" dxfId="221" priority="19" operator="containsText" text="허하나로">
      <formula>NOT(ISERROR(SEARCH("허하나로",H1067)))</formula>
    </cfRule>
    <cfRule type="containsText" dxfId="220" priority="20" operator="containsText" text="한별">
      <formula>NOT(ISERROR(SEARCH("한별",H1067)))</formula>
    </cfRule>
    <cfRule type="containsText" dxfId="219" priority="21" operator="containsText" text="정홍조">
      <formula>NOT(ISERROR(SEARCH("정홍조",H1067)))</formula>
    </cfRule>
    <cfRule type="containsText" dxfId="218" priority="22" operator="containsText" text="김지윤">
      <formula>NOT(ISERROR(SEARCH("김지윤",H1067)))</formula>
    </cfRule>
    <cfRule type="containsText" dxfId="217" priority="23" operator="containsText" text="전준영">
      <formula>NOT(ISERROR(SEARCH("전준영",H1067)))</formula>
    </cfRule>
    <cfRule type="containsText" dxfId="216" priority="24" operator="containsText" text="차재성">
      <formula>NOT(ISERROR(SEARCH("차재성",H1067)))</formula>
    </cfRule>
  </conditionalFormatting>
  <conditionalFormatting sqref="J20">
    <cfRule type="containsText" dxfId="215" priority="25" operator="containsText" text="허하나로">
      <formula>NOT(ISERROR(SEARCH("허하나로",H1069)))</formula>
    </cfRule>
    <cfRule type="containsText" dxfId="214" priority="26" operator="containsText" text="한별">
      <formula>NOT(ISERROR(SEARCH("한별",H1069)))</formula>
    </cfRule>
    <cfRule type="containsText" dxfId="213" priority="27" operator="containsText" text="정홍조">
      <formula>NOT(ISERROR(SEARCH("정홍조",H1069)))</formula>
    </cfRule>
    <cfRule type="containsText" dxfId="212" priority="28" operator="containsText" text="김지윤">
      <formula>NOT(ISERROR(SEARCH("김지윤",H1069)))</formula>
    </cfRule>
    <cfRule type="containsText" dxfId="211" priority="29" operator="containsText" text="전준영">
      <formula>NOT(ISERROR(SEARCH("전준영",H1069)))</formula>
    </cfRule>
    <cfRule type="containsText" dxfId="210" priority="30" operator="containsText" text="차재성">
      <formula>NOT(ISERROR(SEARCH("차재성",H1069)))</formula>
    </cfRule>
  </conditionalFormatting>
  <conditionalFormatting sqref="J15">
    <cfRule type="containsText" dxfId="209" priority="7" operator="containsText" text="허하나로">
      <formula>NOT(ISERROR(SEARCH("허하나로",H862)))</formula>
    </cfRule>
    <cfRule type="containsText" dxfId="208" priority="8" operator="containsText" text="한별">
      <formula>NOT(ISERROR(SEARCH("한별",H862)))</formula>
    </cfRule>
    <cfRule type="containsText" dxfId="207" priority="9" operator="containsText" text="정홍조">
      <formula>NOT(ISERROR(SEARCH("정홍조",H862)))</formula>
    </cfRule>
    <cfRule type="containsText" dxfId="206" priority="10" operator="containsText" text="김지윤">
      <formula>NOT(ISERROR(SEARCH("김지윤",H862)))</formula>
    </cfRule>
    <cfRule type="containsText" dxfId="205" priority="11" operator="containsText" text="전준영">
      <formula>NOT(ISERROR(SEARCH("전준영",H862)))</formula>
    </cfRule>
    <cfRule type="containsText" dxfId="204" priority="12" operator="containsText" text="차재성">
      <formula>NOT(ISERROR(SEARCH("차재성",H862)))</formula>
    </cfRule>
  </conditionalFormatting>
  <conditionalFormatting sqref="J17">
    <cfRule type="containsText" dxfId="203" priority="13" operator="containsText" text="허하나로">
      <formula>NOT(ISERROR(SEARCH("허하나로",H1059)))</formula>
    </cfRule>
    <cfRule type="containsText" dxfId="202" priority="14" operator="containsText" text="한별">
      <formula>NOT(ISERROR(SEARCH("한별",H1059)))</formula>
    </cfRule>
    <cfRule type="containsText" dxfId="201" priority="15" operator="containsText" text="정홍조">
      <formula>NOT(ISERROR(SEARCH("정홍조",H1059)))</formula>
    </cfRule>
    <cfRule type="containsText" dxfId="200" priority="16" operator="containsText" text="김지윤">
      <formula>NOT(ISERROR(SEARCH("김지윤",H1059)))</formula>
    </cfRule>
    <cfRule type="containsText" dxfId="199" priority="17" operator="containsText" text="전준영">
      <formula>NOT(ISERROR(SEARCH("전준영",H1059)))</formula>
    </cfRule>
    <cfRule type="containsText" dxfId="198" priority="18" operator="containsText" text="차재성">
      <formula>NOT(ISERROR(SEARCH("차재성",H1059)))</formula>
    </cfRule>
  </conditionalFormatting>
  <conditionalFormatting sqref="J5">
    <cfRule type="containsText" dxfId="197" priority="73" operator="containsText" text="허하나로">
      <formula>NOT(ISERROR(SEARCH("허하나로",H650)))</formula>
    </cfRule>
    <cfRule type="containsText" dxfId="196" priority="74" operator="containsText" text="한별">
      <formula>NOT(ISERROR(SEARCH("한별",H650)))</formula>
    </cfRule>
    <cfRule type="containsText" dxfId="195" priority="75" operator="containsText" text="정홍조">
      <formula>NOT(ISERROR(SEARCH("정홍조",H650)))</formula>
    </cfRule>
    <cfRule type="containsText" dxfId="194" priority="76" operator="containsText" text="김지윤">
      <formula>NOT(ISERROR(SEARCH("김지윤",H650)))</formula>
    </cfRule>
    <cfRule type="containsText" dxfId="193" priority="77" operator="containsText" text="전준영">
      <formula>NOT(ISERROR(SEARCH("전준영",H650)))</formula>
    </cfRule>
    <cfRule type="containsText" dxfId="192" priority="78" operator="containsText" text="차재성">
      <formula>NOT(ISERROR(SEARCH("차재성",H650)))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I71"/>
  <sheetViews>
    <sheetView tabSelected="1" zoomScale="85" zoomScaleNormal="85" workbookViewId="0">
      <selection activeCell="D19" sqref="D19"/>
    </sheetView>
  </sheetViews>
  <sheetFormatPr defaultRowHeight="16.5" x14ac:dyDescent="0.3"/>
  <cols>
    <col min="1" max="1" width="3.875" customWidth="1"/>
    <col min="2" max="2" width="5" customWidth="1"/>
    <col min="3" max="5" width="3.875" customWidth="1"/>
    <col min="6" max="6" width="32.625" customWidth="1"/>
    <col min="7" max="8" width="14.375" customWidth="1"/>
    <col min="9" max="9" width="12.125" customWidth="1"/>
  </cols>
  <sheetData>
    <row r="1" spans="1:9" ht="18" customHeight="1" x14ac:dyDescent="0.3">
      <c r="A1" s="27" t="s">
        <v>263</v>
      </c>
      <c r="B1" s="28"/>
      <c r="C1" s="28"/>
      <c r="D1" s="28"/>
      <c r="E1" s="28"/>
      <c r="F1" s="28"/>
      <c r="G1" s="29"/>
      <c r="H1" s="29"/>
      <c r="I1" s="29"/>
    </row>
    <row r="2" spans="1:9" ht="17.25" thickBot="1" x14ac:dyDescent="0.35">
      <c r="A2" s="30"/>
      <c r="B2" s="30"/>
      <c r="C2" s="30"/>
      <c r="D2" s="30"/>
      <c r="E2" s="30"/>
      <c r="F2" s="30"/>
      <c r="G2" s="30"/>
      <c r="H2" s="30"/>
      <c r="I2" s="31" t="s">
        <v>164</v>
      </c>
    </row>
    <row r="3" spans="1:9" ht="18" customHeight="1" x14ac:dyDescent="0.3">
      <c r="A3" s="456" t="s">
        <v>8</v>
      </c>
      <c r="B3" s="457"/>
      <c r="C3" s="457"/>
      <c r="D3" s="457"/>
      <c r="E3" s="457"/>
      <c r="F3" s="458"/>
      <c r="G3" s="417" t="s">
        <v>278</v>
      </c>
      <c r="H3" s="417" t="s">
        <v>277</v>
      </c>
      <c r="I3" s="459" t="s">
        <v>165</v>
      </c>
    </row>
    <row r="4" spans="1:9" ht="17.25" thickBot="1" x14ac:dyDescent="0.35">
      <c r="A4" s="91" t="s">
        <v>18</v>
      </c>
      <c r="B4" s="32" t="s">
        <v>19</v>
      </c>
      <c r="C4" s="32" t="s">
        <v>20</v>
      </c>
      <c r="D4" s="32" t="s">
        <v>21</v>
      </c>
      <c r="E4" s="32" t="s">
        <v>12</v>
      </c>
      <c r="F4" s="32" t="s">
        <v>25</v>
      </c>
      <c r="G4" s="418"/>
      <c r="H4" s="418"/>
      <c r="I4" s="460"/>
    </row>
    <row r="5" spans="1:9" ht="17.25" thickBot="1" x14ac:dyDescent="0.35">
      <c r="A5" s="421" t="s">
        <v>169</v>
      </c>
      <c r="B5" s="422"/>
      <c r="C5" s="422"/>
      <c r="D5" s="422"/>
      <c r="E5" s="422"/>
      <c r="F5" s="424"/>
      <c r="G5" s="321">
        <f>G6+G43</f>
        <v>22550000</v>
      </c>
      <c r="H5" s="321">
        <v>0</v>
      </c>
      <c r="I5" s="178">
        <f>G5-H5</f>
        <v>22550000</v>
      </c>
    </row>
    <row r="6" spans="1:9" ht="18" customHeight="1" x14ac:dyDescent="0.3">
      <c r="A6" s="281" t="s">
        <v>5</v>
      </c>
      <c r="B6" s="193"/>
      <c r="C6" s="193"/>
      <c r="D6" s="193"/>
      <c r="E6" s="193"/>
      <c r="F6" s="194"/>
      <c r="G6" s="282">
        <f>SUM(G7,G16,G30,G38)</f>
        <v>5450000</v>
      </c>
      <c r="H6" s="282">
        <v>0</v>
      </c>
      <c r="I6" s="131">
        <f t="shared" ref="I6:I11" si="0">G6-H6</f>
        <v>5450000</v>
      </c>
    </row>
    <row r="7" spans="1:9" ht="18" customHeight="1" x14ac:dyDescent="0.3">
      <c r="A7" s="267"/>
      <c r="B7" s="192" t="s">
        <v>305</v>
      </c>
      <c r="C7" s="193"/>
      <c r="D7" s="193"/>
      <c r="E7" s="193"/>
      <c r="F7" s="194"/>
      <c r="G7" s="129">
        <f>'기획본부(위탁)'!H6</f>
        <v>2000000</v>
      </c>
      <c r="H7" s="129">
        <v>0</v>
      </c>
      <c r="I7" s="131">
        <f t="shared" si="0"/>
        <v>2000000</v>
      </c>
    </row>
    <row r="8" spans="1:9" ht="18" customHeight="1" x14ac:dyDescent="0.3">
      <c r="A8" s="180"/>
      <c r="B8" s="181"/>
      <c r="C8" s="195" t="s">
        <v>216</v>
      </c>
      <c r="D8" s="196"/>
      <c r="E8" s="196"/>
      <c r="F8" s="197"/>
      <c r="G8" s="127">
        <f>'기획본부(위탁)'!H7</f>
        <v>2000000</v>
      </c>
      <c r="H8" s="127">
        <v>0</v>
      </c>
      <c r="I8" s="130">
        <f t="shared" si="0"/>
        <v>2000000</v>
      </c>
    </row>
    <row r="9" spans="1:9" ht="18" customHeight="1" x14ac:dyDescent="0.3">
      <c r="A9" s="180"/>
      <c r="B9" s="182"/>
      <c r="C9" s="183"/>
      <c r="D9" s="195" t="s">
        <v>217</v>
      </c>
      <c r="E9" s="196"/>
      <c r="F9" s="197"/>
      <c r="G9" s="127">
        <f>'기획본부(위탁)'!H8</f>
        <v>2000000</v>
      </c>
      <c r="H9" s="128">
        <v>0</v>
      </c>
      <c r="I9" s="130">
        <f t="shared" si="0"/>
        <v>2000000</v>
      </c>
    </row>
    <row r="10" spans="1:9" ht="18" customHeight="1" x14ac:dyDescent="0.3">
      <c r="A10" s="180"/>
      <c r="B10" s="182"/>
      <c r="C10" s="181"/>
      <c r="D10" s="183"/>
      <c r="E10" s="195" t="s">
        <v>218</v>
      </c>
      <c r="F10" s="197"/>
      <c r="G10" s="127">
        <f>'기획본부(위탁)'!H10</f>
        <v>1974000</v>
      </c>
      <c r="H10" s="128">
        <v>0</v>
      </c>
      <c r="I10" s="130">
        <f t="shared" si="0"/>
        <v>1974000</v>
      </c>
    </row>
    <row r="11" spans="1:9" ht="18" customHeight="1" x14ac:dyDescent="0.3">
      <c r="A11" s="180"/>
      <c r="B11" s="182"/>
      <c r="C11" s="181"/>
      <c r="D11" s="182"/>
      <c r="E11" s="290"/>
      <c r="F11" s="322" t="s">
        <v>219</v>
      </c>
      <c r="G11" s="377">
        <f>'기획본부(위탁)'!H11</f>
        <v>1419000</v>
      </c>
      <c r="H11" s="16">
        <v>0</v>
      </c>
      <c r="I11" s="132">
        <f t="shared" si="0"/>
        <v>1419000</v>
      </c>
    </row>
    <row r="12" spans="1:9" ht="18" customHeight="1" x14ac:dyDescent="0.3">
      <c r="A12" s="92"/>
      <c r="B12" s="184"/>
      <c r="C12" s="185"/>
      <c r="D12" s="184"/>
      <c r="E12" s="185"/>
      <c r="F12" s="187" t="s">
        <v>26</v>
      </c>
      <c r="G12" s="377">
        <f>'기획본부(위탁)'!H19</f>
        <v>55000</v>
      </c>
      <c r="H12" s="16">
        <v>0</v>
      </c>
      <c r="I12" s="132">
        <f>G12-H12</f>
        <v>55000</v>
      </c>
    </row>
    <row r="13" spans="1:9" x14ac:dyDescent="0.3">
      <c r="A13" s="373"/>
      <c r="B13" s="184"/>
      <c r="C13" s="185"/>
      <c r="D13" s="184"/>
      <c r="E13" s="276"/>
      <c r="F13" s="186" t="s">
        <v>220</v>
      </c>
      <c r="G13" s="377">
        <f>'기획본부(위탁)'!H23</f>
        <v>500000</v>
      </c>
      <c r="H13" s="377">
        <v>0</v>
      </c>
      <c r="I13" s="132">
        <f>G13-H13</f>
        <v>500000</v>
      </c>
    </row>
    <row r="14" spans="1:9" ht="18" customHeight="1" x14ac:dyDescent="0.3">
      <c r="A14" s="180"/>
      <c r="B14" s="182"/>
      <c r="C14" s="182"/>
      <c r="D14" s="182"/>
      <c r="E14" s="195" t="s">
        <v>144</v>
      </c>
      <c r="F14" s="197"/>
      <c r="G14" s="127">
        <f>'기획본부(위탁)'!H26</f>
        <v>26000</v>
      </c>
      <c r="H14" s="128">
        <v>0</v>
      </c>
      <c r="I14" s="130">
        <f t="shared" ref="I14:I15" si="1">G14-H14</f>
        <v>26000</v>
      </c>
    </row>
    <row r="15" spans="1:9" ht="18" customHeight="1" x14ac:dyDescent="0.3">
      <c r="A15" s="180"/>
      <c r="B15" s="402"/>
      <c r="C15" s="403"/>
      <c r="D15" s="402"/>
      <c r="E15" s="404"/>
      <c r="F15" s="322" t="s">
        <v>564</v>
      </c>
      <c r="G15" s="377">
        <f>'기획본부(위탁)'!H27</f>
        <v>26000</v>
      </c>
      <c r="H15" s="377">
        <v>0</v>
      </c>
      <c r="I15" s="132">
        <f t="shared" si="1"/>
        <v>26000</v>
      </c>
    </row>
    <row r="16" spans="1:9" ht="18" customHeight="1" x14ac:dyDescent="0.3">
      <c r="A16" s="284"/>
      <c r="B16" s="374" t="s">
        <v>294</v>
      </c>
      <c r="C16" s="293"/>
      <c r="D16" s="293"/>
      <c r="E16" s="293"/>
      <c r="F16" s="375"/>
      <c r="G16" s="282">
        <f>G17</f>
        <v>950000</v>
      </c>
      <c r="H16" s="282">
        <v>0</v>
      </c>
      <c r="I16" s="376">
        <f t="shared" ref="I16:I20" si="2">G16-H16</f>
        <v>950000</v>
      </c>
    </row>
    <row r="17" spans="1:9" ht="18" customHeight="1" x14ac:dyDescent="0.3">
      <c r="A17" s="180"/>
      <c r="B17" s="181"/>
      <c r="C17" s="195" t="s">
        <v>598</v>
      </c>
      <c r="D17" s="196"/>
      <c r="E17" s="196"/>
      <c r="F17" s="197"/>
      <c r="G17" s="127">
        <f>'기획본부(위탁)'!H31</f>
        <v>950000</v>
      </c>
      <c r="H17" s="127">
        <v>0</v>
      </c>
      <c r="I17" s="130">
        <f t="shared" si="2"/>
        <v>950000</v>
      </c>
    </row>
    <row r="18" spans="1:9" ht="18" customHeight="1" x14ac:dyDescent="0.3">
      <c r="A18" s="180"/>
      <c r="B18" s="182"/>
      <c r="C18" s="183"/>
      <c r="D18" s="195" t="s">
        <v>686</v>
      </c>
      <c r="E18" s="196"/>
      <c r="F18" s="197"/>
      <c r="G18" s="127">
        <f>'기획본부(위탁)'!H32</f>
        <v>660000</v>
      </c>
      <c r="H18" s="128">
        <v>0</v>
      </c>
      <c r="I18" s="130">
        <f t="shared" si="2"/>
        <v>660000</v>
      </c>
    </row>
    <row r="19" spans="1:9" ht="18" customHeight="1" x14ac:dyDescent="0.3">
      <c r="A19" s="180"/>
      <c r="B19" s="182"/>
      <c r="C19" s="181"/>
      <c r="D19" s="183"/>
      <c r="E19" s="195" t="s">
        <v>218</v>
      </c>
      <c r="F19" s="197"/>
      <c r="G19" s="127">
        <f>'기획본부(위탁)'!H34</f>
        <v>498000</v>
      </c>
      <c r="H19" s="128">
        <v>0</v>
      </c>
      <c r="I19" s="130">
        <f t="shared" si="2"/>
        <v>498000</v>
      </c>
    </row>
    <row r="20" spans="1:9" ht="18" customHeight="1" x14ac:dyDescent="0.3">
      <c r="A20" s="180"/>
      <c r="B20" s="182"/>
      <c r="C20" s="181"/>
      <c r="D20" s="182"/>
      <c r="E20" s="290"/>
      <c r="F20" s="322" t="s">
        <v>219</v>
      </c>
      <c r="G20" s="377">
        <f>'기획본부(위탁)'!H35</f>
        <v>450000</v>
      </c>
      <c r="H20" s="16">
        <v>0</v>
      </c>
      <c r="I20" s="132">
        <f t="shared" si="2"/>
        <v>450000</v>
      </c>
    </row>
    <row r="21" spans="1:9" ht="18" customHeight="1" x14ac:dyDescent="0.3">
      <c r="A21" s="92"/>
      <c r="B21" s="184"/>
      <c r="C21" s="185"/>
      <c r="D21" s="184"/>
      <c r="E21" s="185"/>
      <c r="F21" s="187" t="s">
        <v>26</v>
      </c>
      <c r="G21" s="377">
        <f>'기획본부(위탁)'!H43</f>
        <v>48000</v>
      </c>
      <c r="H21" s="16">
        <v>0</v>
      </c>
      <c r="I21" s="132">
        <f>G21-H21</f>
        <v>48000</v>
      </c>
    </row>
    <row r="22" spans="1:9" ht="18" customHeight="1" x14ac:dyDescent="0.3">
      <c r="A22" s="180"/>
      <c r="B22" s="182"/>
      <c r="C22" s="181"/>
      <c r="D22" s="182"/>
      <c r="E22" s="195" t="s">
        <v>596</v>
      </c>
      <c r="F22" s="197"/>
      <c r="G22" s="127">
        <f>'기획본부(위탁)'!H46</f>
        <v>162000</v>
      </c>
      <c r="H22" s="128">
        <v>0</v>
      </c>
      <c r="I22" s="130">
        <f t="shared" ref="I22:I24" si="3">G22-H22</f>
        <v>162000</v>
      </c>
    </row>
    <row r="23" spans="1:9" ht="18" customHeight="1" x14ac:dyDescent="0.3">
      <c r="A23" s="180"/>
      <c r="B23" s="182"/>
      <c r="C23" s="181"/>
      <c r="D23" s="182"/>
      <c r="E23" s="290"/>
      <c r="F23" s="322" t="s">
        <v>597</v>
      </c>
      <c r="G23" s="377">
        <f>'기획본부(위탁)'!H47</f>
        <v>132000</v>
      </c>
      <c r="H23" s="16">
        <v>0</v>
      </c>
      <c r="I23" s="132">
        <f t="shared" ref="I23" si="4">G23-H23</f>
        <v>132000</v>
      </c>
    </row>
    <row r="24" spans="1:9" ht="18" customHeight="1" x14ac:dyDescent="0.3">
      <c r="A24" s="180"/>
      <c r="B24" s="182"/>
      <c r="C24" s="181"/>
      <c r="D24" s="182"/>
      <c r="E24" s="290"/>
      <c r="F24" s="322" t="s">
        <v>564</v>
      </c>
      <c r="G24" s="377">
        <f>'기획본부(위탁)'!H50</f>
        <v>30000</v>
      </c>
      <c r="H24" s="16">
        <v>0</v>
      </c>
      <c r="I24" s="132">
        <f t="shared" si="3"/>
        <v>30000</v>
      </c>
    </row>
    <row r="25" spans="1:9" ht="18" customHeight="1" x14ac:dyDescent="0.3">
      <c r="A25" s="180"/>
      <c r="B25" s="182"/>
      <c r="C25" s="182"/>
      <c r="D25" s="195" t="s">
        <v>595</v>
      </c>
      <c r="E25" s="196"/>
      <c r="F25" s="197"/>
      <c r="G25" s="127">
        <f>'기획본부(위탁)'!H52</f>
        <v>290000</v>
      </c>
      <c r="H25" s="128">
        <v>0</v>
      </c>
      <c r="I25" s="130">
        <f t="shared" ref="I25:I26" si="5">G25-H25</f>
        <v>290000</v>
      </c>
    </row>
    <row r="26" spans="1:9" ht="18" customHeight="1" x14ac:dyDescent="0.3">
      <c r="A26" s="180"/>
      <c r="B26" s="182"/>
      <c r="C26" s="181"/>
      <c r="D26" s="183"/>
      <c r="E26" s="195" t="s">
        <v>218</v>
      </c>
      <c r="F26" s="197"/>
      <c r="G26" s="127">
        <f>'기획본부(위탁)'!H54</f>
        <v>120000</v>
      </c>
      <c r="H26" s="128">
        <v>0</v>
      </c>
      <c r="I26" s="130">
        <f t="shared" si="5"/>
        <v>120000</v>
      </c>
    </row>
    <row r="27" spans="1:9" ht="18" customHeight="1" x14ac:dyDescent="0.3">
      <c r="A27" s="92"/>
      <c r="B27" s="184"/>
      <c r="C27" s="185"/>
      <c r="D27" s="184"/>
      <c r="E27" s="185"/>
      <c r="F27" s="187" t="s">
        <v>26</v>
      </c>
      <c r="G27" s="377">
        <f>'기획본부(위탁)'!H55</f>
        <v>120000</v>
      </c>
      <c r="H27" s="16">
        <v>0</v>
      </c>
      <c r="I27" s="132">
        <f>G27-H27</f>
        <v>120000</v>
      </c>
    </row>
    <row r="28" spans="1:9" ht="18" customHeight="1" x14ac:dyDescent="0.3">
      <c r="A28" s="180"/>
      <c r="B28" s="182"/>
      <c r="C28" s="181"/>
      <c r="D28" s="182"/>
      <c r="E28" s="195" t="s">
        <v>596</v>
      </c>
      <c r="F28" s="197"/>
      <c r="G28" s="127">
        <f>'기획본부(위탁)'!H58</f>
        <v>170000</v>
      </c>
      <c r="H28" s="128">
        <v>0</v>
      </c>
      <c r="I28" s="130">
        <f t="shared" ref="I28:I29" si="6">G28-H28</f>
        <v>170000</v>
      </c>
    </row>
    <row r="29" spans="1:9" ht="18" customHeight="1" x14ac:dyDescent="0.3">
      <c r="A29" s="180"/>
      <c r="B29" s="182"/>
      <c r="C29" s="181"/>
      <c r="D29" s="182"/>
      <c r="E29" s="290"/>
      <c r="F29" s="407" t="s">
        <v>597</v>
      </c>
      <c r="G29" s="377">
        <f>'기획본부(위탁)'!H59</f>
        <v>170000</v>
      </c>
      <c r="H29" s="16">
        <v>0</v>
      </c>
      <c r="I29" s="132">
        <f t="shared" si="6"/>
        <v>170000</v>
      </c>
    </row>
    <row r="30" spans="1:9" ht="18" customHeight="1" x14ac:dyDescent="0.3">
      <c r="A30" s="284"/>
      <c r="B30" s="192" t="s">
        <v>296</v>
      </c>
      <c r="C30" s="193"/>
      <c r="D30" s="193"/>
      <c r="E30" s="193"/>
      <c r="F30" s="194"/>
      <c r="G30" s="129">
        <f>G31</f>
        <v>1000000</v>
      </c>
      <c r="H30" s="129">
        <v>0</v>
      </c>
      <c r="I30" s="376">
        <f t="shared" ref="I30:I34" si="7">G30-H30</f>
        <v>1000000</v>
      </c>
    </row>
    <row r="31" spans="1:9" ht="18" customHeight="1" x14ac:dyDescent="0.3">
      <c r="A31" s="180"/>
      <c r="B31" s="181"/>
      <c r="C31" s="195" t="s">
        <v>284</v>
      </c>
      <c r="D31" s="196"/>
      <c r="E31" s="196"/>
      <c r="F31" s="197"/>
      <c r="G31" s="127">
        <f>'운영본부(위탁)'!H7</f>
        <v>1000000</v>
      </c>
      <c r="H31" s="127">
        <v>0</v>
      </c>
      <c r="I31" s="130">
        <f t="shared" si="7"/>
        <v>1000000</v>
      </c>
    </row>
    <row r="32" spans="1:9" ht="18" customHeight="1" x14ac:dyDescent="0.3">
      <c r="A32" s="180"/>
      <c r="B32" s="182"/>
      <c r="C32" s="183"/>
      <c r="D32" s="195" t="s">
        <v>565</v>
      </c>
      <c r="E32" s="196"/>
      <c r="F32" s="197"/>
      <c r="G32" s="127">
        <f>'운영본부(위탁)'!H8</f>
        <v>400000</v>
      </c>
      <c r="H32" s="128">
        <v>0</v>
      </c>
      <c r="I32" s="130">
        <f t="shared" si="7"/>
        <v>400000</v>
      </c>
    </row>
    <row r="33" spans="1:9" ht="18" customHeight="1" x14ac:dyDescent="0.3">
      <c r="A33" s="180"/>
      <c r="B33" s="182"/>
      <c r="C33" s="181"/>
      <c r="D33" s="183"/>
      <c r="E33" s="195" t="s">
        <v>218</v>
      </c>
      <c r="F33" s="197"/>
      <c r="G33" s="127">
        <f>'운영본부(위탁)'!H10</f>
        <v>400000</v>
      </c>
      <c r="H33" s="128">
        <v>0</v>
      </c>
      <c r="I33" s="130">
        <f t="shared" si="7"/>
        <v>400000</v>
      </c>
    </row>
    <row r="34" spans="1:9" ht="18" customHeight="1" x14ac:dyDescent="0.3">
      <c r="A34" s="180"/>
      <c r="B34" s="182"/>
      <c r="C34" s="181"/>
      <c r="D34" s="182"/>
      <c r="E34" s="290"/>
      <c r="F34" s="322" t="s">
        <v>122</v>
      </c>
      <c r="G34" s="377">
        <f>'운영본부(위탁)'!H11</f>
        <v>400000</v>
      </c>
      <c r="H34" s="16">
        <v>0</v>
      </c>
      <c r="I34" s="132">
        <f t="shared" si="7"/>
        <v>400000</v>
      </c>
    </row>
    <row r="35" spans="1:9" ht="18" customHeight="1" x14ac:dyDescent="0.3">
      <c r="A35" s="180"/>
      <c r="B35" s="182"/>
      <c r="C35" s="182"/>
      <c r="D35" s="195" t="s">
        <v>566</v>
      </c>
      <c r="E35" s="196"/>
      <c r="F35" s="197"/>
      <c r="G35" s="127">
        <f>'운영본부(위탁)'!H14</f>
        <v>600000</v>
      </c>
      <c r="H35" s="128">
        <v>0</v>
      </c>
      <c r="I35" s="130">
        <f t="shared" ref="I35:I37" si="8">G35-H35</f>
        <v>600000</v>
      </c>
    </row>
    <row r="36" spans="1:9" ht="18" customHeight="1" x14ac:dyDescent="0.3">
      <c r="A36" s="180"/>
      <c r="B36" s="182"/>
      <c r="C36" s="181"/>
      <c r="D36" s="183"/>
      <c r="E36" s="195" t="s">
        <v>119</v>
      </c>
      <c r="F36" s="197"/>
      <c r="G36" s="127">
        <f>'운영본부(위탁)'!H16</f>
        <v>600000</v>
      </c>
      <c r="H36" s="128">
        <v>0</v>
      </c>
      <c r="I36" s="130">
        <f t="shared" si="8"/>
        <v>600000</v>
      </c>
    </row>
    <row r="37" spans="1:9" ht="18" customHeight="1" x14ac:dyDescent="0.3">
      <c r="A37" s="180"/>
      <c r="B37" s="402"/>
      <c r="C37" s="403"/>
      <c r="D37" s="402"/>
      <c r="E37" s="404"/>
      <c r="F37" s="322" t="s">
        <v>122</v>
      </c>
      <c r="G37" s="377">
        <f>'운영본부(위탁)'!H17</f>
        <v>600000</v>
      </c>
      <c r="H37" s="377">
        <v>0</v>
      </c>
      <c r="I37" s="132">
        <f t="shared" si="8"/>
        <v>600000</v>
      </c>
    </row>
    <row r="38" spans="1:9" ht="18" customHeight="1" x14ac:dyDescent="0.3">
      <c r="A38" s="284"/>
      <c r="B38" s="374" t="s">
        <v>301</v>
      </c>
      <c r="C38" s="293"/>
      <c r="D38" s="293"/>
      <c r="E38" s="293"/>
      <c r="F38" s="375"/>
      <c r="G38" s="282">
        <f>G39</f>
        <v>1500000</v>
      </c>
      <c r="H38" s="282">
        <v>0</v>
      </c>
      <c r="I38" s="376">
        <f t="shared" ref="I38:I42" si="9">G38-H38</f>
        <v>1500000</v>
      </c>
    </row>
    <row r="39" spans="1:9" ht="18" customHeight="1" x14ac:dyDescent="0.3">
      <c r="A39" s="180"/>
      <c r="B39" s="181"/>
      <c r="C39" s="195" t="s">
        <v>286</v>
      </c>
      <c r="D39" s="196"/>
      <c r="E39" s="196"/>
      <c r="F39" s="197"/>
      <c r="G39" s="127">
        <f>'운영본부(위탁)'!H20</f>
        <v>1500000</v>
      </c>
      <c r="H39" s="127">
        <v>0</v>
      </c>
      <c r="I39" s="130">
        <f t="shared" si="9"/>
        <v>1500000</v>
      </c>
    </row>
    <row r="40" spans="1:9" ht="18" customHeight="1" x14ac:dyDescent="0.3">
      <c r="A40" s="180"/>
      <c r="B40" s="182"/>
      <c r="C40" s="183"/>
      <c r="D40" s="195" t="s">
        <v>336</v>
      </c>
      <c r="E40" s="196"/>
      <c r="F40" s="197"/>
      <c r="G40" s="127">
        <f>'운영본부(위탁)'!H21</f>
        <v>1500000</v>
      </c>
      <c r="H40" s="128">
        <v>0</v>
      </c>
      <c r="I40" s="130">
        <f t="shared" si="9"/>
        <v>1500000</v>
      </c>
    </row>
    <row r="41" spans="1:9" ht="18" customHeight="1" x14ac:dyDescent="0.3">
      <c r="A41" s="180"/>
      <c r="B41" s="182"/>
      <c r="C41" s="181"/>
      <c r="D41" s="183"/>
      <c r="E41" s="195" t="s">
        <v>218</v>
      </c>
      <c r="F41" s="197"/>
      <c r="G41" s="127">
        <f>'운영본부(위탁)'!H23</f>
        <v>1500000</v>
      </c>
      <c r="H41" s="128">
        <v>0</v>
      </c>
      <c r="I41" s="130">
        <f t="shared" si="9"/>
        <v>1500000</v>
      </c>
    </row>
    <row r="42" spans="1:9" ht="18" customHeight="1" x14ac:dyDescent="0.3">
      <c r="A42" s="180"/>
      <c r="B42" s="182"/>
      <c r="C42" s="181"/>
      <c r="D42" s="182"/>
      <c r="E42" s="290"/>
      <c r="F42" s="322" t="s">
        <v>567</v>
      </c>
      <c r="G42" s="377">
        <f>'운영본부(위탁)'!H24</f>
        <v>1500000</v>
      </c>
      <c r="H42" s="377">
        <v>0</v>
      </c>
      <c r="I42" s="132">
        <f t="shared" si="9"/>
        <v>1500000</v>
      </c>
    </row>
    <row r="43" spans="1:9" ht="18" customHeight="1" x14ac:dyDescent="0.3">
      <c r="A43" s="281" t="s">
        <v>303</v>
      </c>
      <c r="B43" s="193"/>
      <c r="C43" s="193"/>
      <c r="D43" s="193"/>
      <c r="E43" s="193"/>
      <c r="F43" s="194"/>
      <c r="G43" s="282">
        <f>SUM(G44,G62)</f>
        <v>17100000</v>
      </c>
      <c r="H43" s="282">
        <v>0</v>
      </c>
      <c r="I43" s="131">
        <f t="shared" ref="I43:I48" si="10">G43-H43</f>
        <v>17100000</v>
      </c>
    </row>
    <row r="44" spans="1:9" ht="18" customHeight="1" x14ac:dyDescent="0.3">
      <c r="A44" s="267"/>
      <c r="B44" s="192" t="s">
        <v>299</v>
      </c>
      <c r="C44" s="193"/>
      <c r="D44" s="193"/>
      <c r="E44" s="193"/>
      <c r="F44" s="194"/>
      <c r="G44" s="129">
        <f>G45</f>
        <v>10300000</v>
      </c>
      <c r="H44" s="129">
        <v>0</v>
      </c>
      <c r="I44" s="131">
        <f t="shared" si="10"/>
        <v>10300000</v>
      </c>
    </row>
    <row r="45" spans="1:9" ht="18" customHeight="1" x14ac:dyDescent="0.3">
      <c r="A45" s="180"/>
      <c r="B45" s="181"/>
      <c r="C45" s="195" t="s">
        <v>572</v>
      </c>
      <c r="D45" s="196"/>
      <c r="E45" s="196"/>
      <c r="F45" s="197"/>
      <c r="G45" s="127">
        <f>'운영본부(위탁)'!H28</f>
        <v>10300000</v>
      </c>
      <c r="H45" s="127">
        <v>0</v>
      </c>
      <c r="I45" s="130">
        <f t="shared" si="10"/>
        <v>10300000</v>
      </c>
    </row>
    <row r="46" spans="1:9" ht="18" customHeight="1" x14ac:dyDescent="0.3">
      <c r="A46" s="180"/>
      <c r="B46" s="182"/>
      <c r="C46" s="183"/>
      <c r="D46" s="195" t="s">
        <v>568</v>
      </c>
      <c r="E46" s="196"/>
      <c r="F46" s="197"/>
      <c r="G46" s="127">
        <f>'운영본부(위탁)'!H29</f>
        <v>5000000</v>
      </c>
      <c r="H46" s="128">
        <v>0</v>
      </c>
      <c r="I46" s="130">
        <f t="shared" si="10"/>
        <v>5000000</v>
      </c>
    </row>
    <row r="47" spans="1:9" ht="18" customHeight="1" x14ac:dyDescent="0.3">
      <c r="A47" s="180"/>
      <c r="B47" s="182"/>
      <c r="C47" s="181"/>
      <c r="D47" s="183"/>
      <c r="E47" s="195" t="s">
        <v>569</v>
      </c>
      <c r="F47" s="197"/>
      <c r="G47" s="127">
        <f>'운영본부(위탁)'!H31</f>
        <v>5000000</v>
      </c>
      <c r="H47" s="128">
        <v>0</v>
      </c>
      <c r="I47" s="130">
        <f t="shared" si="10"/>
        <v>5000000</v>
      </c>
    </row>
    <row r="48" spans="1:9" ht="18" customHeight="1" x14ac:dyDescent="0.3">
      <c r="A48" s="180"/>
      <c r="B48" s="182"/>
      <c r="C48" s="181"/>
      <c r="D48" s="182"/>
      <c r="E48" s="290"/>
      <c r="F48" s="322" t="s">
        <v>570</v>
      </c>
      <c r="G48" s="377">
        <f>'운영본부(위탁)'!H32</f>
        <v>4986500</v>
      </c>
      <c r="H48" s="16">
        <v>0</v>
      </c>
      <c r="I48" s="132">
        <f t="shared" si="10"/>
        <v>4986500</v>
      </c>
    </row>
    <row r="49" spans="1:9" ht="18" customHeight="1" x14ac:dyDescent="0.3">
      <c r="A49" s="92"/>
      <c r="B49" s="184"/>
      <c r="C49" s="184"/>
      <c r="D49" s="184"/>
      <c r="E49" s="185"/>
      <c r="F49" s="187" t="s">
        <v>571</v>
      </c>
      <c r="G49" s="377">
        <f>'운영본부(위탁)'!H34</f>
        <v>13500</v>
      </c>
      <c r="H49" s="16">
        <v>0</v>
      </c>
      <c r="I49" s="132">
        <f>G49-H49</f>
        <v>13500</v>
      </c>
    </row>
    <row r="50" spans="1:9" ht="18" customHeight="1" x14ac:dyDescent="0.3">
      <c r="A50" s="180"/>
      <c r="B50" s="182"/>
      <c r="C50" s="182"/>
      <c r="D50" s="145" t="s">
        <v>487</v>
      </c>
      <c r="E50" s="196"/>
      <c r="F50" s="197"/>
      <c r="G50" s="127">
        <f>'운영본부(위탁)'!H36</f>
        <v>3000000</v>
      </c>
      <c r="H50" s="128">
        <v>0</v>
      </c>
      <c r="I50" s="130">
        <f t="shared" ref="I50:I52" si="11">G50-H50</f>
        <v>3000000</v>
      </c>
    </row>
    <row r="51" spans="1:9" ht="18" customHeight="1" x14ac:dyDescent="0.3">
      <c r="A51" s="180"/>
      <c r="B51" s="182"/>
      <c r="C51" s="181"/>
      <c r="D51" s="183"/>
      <c r="E51" s="195" t="s">
        <v>569</v>
      </c>
      <c r="F51" s="197"/>
      <c r="G51" s="127">
        <f>'운영본부(위탁)'!H38</f>
        <v>3000000</v>
      </c>
      <c r="H51" s="128">
        <v>0</v>
      </c>
      <c r="I51" s="130">
        <f t="shared" si="11"/>
        <v>3000000</v>
      </c>
    </row>
    <row r="52" spans="1:9" ht="18" customHeight="1" x14ac:dyDescent="0.3">
      <c r="A52" s="180"/>
      <c r="B52" s="182"/>
      <c r="C52" s="181"/>
      <c r="D52" s="182"/>
      <c r="E52" s="290"/>
      <c r="F52" s="322" t="s">
        <v>570</v>
      </c>
      <c r="G52" s="377">
        <f>'운영본부(위탁)'!H39</f>
        <v>2989200</v>
      </c>
      <c r="H52" s="16">
        <v>0</v>
      </c>
      <c r="I52" s="132">
        <f t="shared" si="11"/>
        <v>2989200</v>
      </c>
    </row>
    <row r="53" spans="1:9" ht="18" customHeight="1" x14ac:dyDescent="0.3">
      <c r="A53" s="92"/>
      <c r="B53" s="184"/>
      <c r="C53" s="184"/>
      <c r="D53" s="184"/>
      <c r="E53" s="185"/>
      <c r="F53" s="187" t="s">
        <v>571</v>
      </c>
      <c r="G53" s="377">
        <f>'운영본부(위탁)'!H41</f>
        <v>10800</v>
      </c>
      <c r="H53" s="16">
        <v>0</v>
      </c>
      <c r="I53" s="132">
        <f>G53-H53</f>
        <v>10800</v>
      </c>
    </row>
    <row r="54" spans="1:9" ht="18" customHeight="1" x14ac:dyDescent="0.3">
      <c r="A54" s="180"/>
      <c r="B54" s="182"/>
      <c r="C54" s="182"/>
      <c r="D54" s="145" t="s">
        <v>489</v>
      </c>
      <c r="E54" s="196"/>
      <c r="F54" s="197"/>
      <c r="G54" s="127">
        <f>'운영본부(위탁)'!H43</f>
        <v>500000</v>
      </c>
      <c r="H54" s="128">
        <v>0</v>
      </c>
      <c r="I54" s="130">
        <f t="shared" ref="I54:I56" si="12">G54-H54</f>
        <v>500000</v>
      </c>
    </row>
    <row r="55" spans="1:9" ht="18" customHeight="1" x14ac:dyDescent="0.3">
      <c r="A55" s="180"/>
      <c r="B55" s="182"/>
      <c r="C55" s="181"/>
      <c r="D55" s="183"/>
      <c r="E55" s="195" t="s">
        <v>569</v>
      </c>
      <c r="F55" s="197"/>
      <c r="G55" s="127">
        <f>'운영본부(위탁)'!H45</f>
        <v>500000</v>
      </c>
      <c r="H55" s="128">
        <v>0</v>
      </c>
      <c r="I55" s="130">
        <f t="shared" si="12"/>
        <v>500000</v>
      </c>
    </row>
    <row r="56" spans="1:9" ht="18" customHeight="1" x14ac:dyDescent="0.3">
      <c r="A56" s="180"/>
      <c r="B56" s="182"/>
      <c r="C56" s="181"/>
      <c r="D56" s="182"/>
      <c r="E56" s="290"/>
      <c r="F56" s="322" t="s">
        <v>570</v>
      </c>
      <c r="G56" s="377">
        <f>'운영본부(위탁)'!H46</f>
        <v>496400</v>
      </c>
      <c r="H56" s="16">
        <v>0</v>
      </c>
      <c r="I56" s="132">
        <f t="shared" si="12"/>
        <v>496400</v>
      </c>
    </row>
    <row r="57" spans="1:9" ht="18" customHeight="1" x14ac:dyDescent="0.3">
      <c r="A57" s="92"/>
      <c r="B57" s="184"/>
      <c r="C57" s="185"/>
      <c r="D57" s="188"/>
      <c r="E57" s="185"/>
      <c r="F57" s="187" t="s">
        <v>571</v>
      </c>
      <c r="G57" s="377">
        <f>'운영본부(위탁)'!H48</f>
        <v>3600</v>
      </c>
      <c r="H57" s="16">
        <v>0</v>
      </c>
      <c r="I57" s="132">
        <f>G57-H57</f>
        <v>3600</v>
      </c>
    </row>
    <row r="58" spans="1:9" ht="18" customHeight="1" x14ac:dyDescent="0.3">
      <c r="A58" s="180"/>
      <c r="B58" s="182"/>
      <c r="C58" s="182"/>
      <c r="D58" s="301" t="s">
        <v>573</v>
      </c>
      <c r="E58" s="196"/>
      <c r="F58" s="197"/>
      <c r="G58" s="127">
        <f>'운영본부(위탁)'!H50</f>
        <v>1800000</v>
      </c>
      <c r="H58" s="128">
        <v>0</v>
      </c>
      <c r="I58" s="130">
        <f t="shared" ref="I58:I60" si="13">G58-H58</f>
        <v>1800000</v>
      </c>
    </row>
    <row r="59" spans="1:9" ht="18" customHeight="1" x14ac:dyDescent="0.3">
      <c r="A59" s="180"/>
      <c r="B59" s="182"/>
      <c r="C59" s="181"/>
      <c r="D59" s="183"/>
      <c r="E59" s="195" t="s">
        <v>569</v>
      </c>
      <c r="F59" s="197"/>
      <c r="G59" s="127">
        <f>'운영본부(위탁)'!H52</f>
        <v>1800000</v>
      </c>
      <c r="H59" s="128">
        <v>0</v>
      </c>
      <c r="I59" s="130">
        <f t="shared" si="13"/>
        <v>1800000</v>
      </c>
    </row>
    <row r="60" spans="1:9" ht="18" customHeight="1" x14ac:dyDescent="0.3">
      <c r="A60" s="180"/>
      <c r="B60" s="182"/>
      <c r="C60" s="181"/>
      <c r="D60" s="182"/>
      <c r="E60" s="290"/>
      <c r="F60" s="322" t="s">
        <v>570</v>
      </c>
      <c r="G60" s="377">
        <f>'운영본부(위탁)'!H53</f>
        <v>1793520</v>
      </c>
      <c r="H60" s="16">
        <v>0</v>
      </c>
      <c r="I60" s="132">
        <f t="shared" si="13"/>
        <v>1793520</v>
      </c>
    </row>
    <row r="61" spans="1:9" ht="18" customHeight="1" x14ac:dyDescent="0.3">
      <c r="A61" s="92"/>
      <c r="B61" s="188"/>
      <c r="C61" s="276"/>
      <c r="D61" s="188"/>
      <c r="E61" s="276"/>
      <c r="F61" s="186" t="s">
        <v>571</v>
      </c>
      <c r="G61" s="377">
        <f>'운영본부(위탁)'!H55</f>
        <v>6480</v>
      </c>
      <c r="H61" s="377">
        <v>0</v>
      </c>
      <c r="I61" s="132">
        <f>G61-H61</f>
        <v>6480</v>
      </c>
    </row>
    <row r="62" spans="1:9" ht="18" customHeight="1" x14ac:dyDescent="0.3">
      <c r="A62" s="284"/>
      <c r="B62" s="374" t="s">
        <v>306</v>
      </c>
      <c r="C62" s="293"/>
      <c r="D62" s="293"/>
      <c r="E62" s="293"/>
      <c r="F62" s="375"/>
      <c r="G62" s="282">
        <f>G63</f>
        <v>6800000</v>
      </c>
      <c r="H62" s="282">
        <v>0</v>
      </c>
      <c r="I62" s="376">
        <f t="shared" ref="I62:I66" si="14">G62-H62</f>
        <v>6800000</v>
      </c>
    </row>
    <row r="63" spans="1:9" ht="18" customHeight="1" x14ac:dyDescent="0.3">
      <c r="A63" s="180"/>
      <c r="B63" s="181"/>
      <c r="C63" s="195" t="s">
        <v>307</v>
      </c>
      <c r="D63" s="196"/>
      <c r="E63" s="196"/>
      <c r="F63" s="197"/>
      <c r="G63" s="127">
        <f>'운영본부(위탁)'!H58</f>
        <v>6800000</v>
      </c>
      <c r="H63" s="127">
        <v>0</v>
      </c>
      <c r="I63" s="130">
        <f t="shared" si="14"/>
        <v>6800000</v>
      </c>
    </row>
    <row r="64" spans="1:9" ht="18" customHeight="1" x14ac:dyDescent="0.3">
      <c r="A64" s="180"/>
      <c r="B64" s="182"/>
      <c r="C64" s="183"/>
      <c r="D64" s="145" t="s">
        <v>574</v>
      </c>
      <c r="E64" s="196"/>
      <c r="F64" s="197"/>
      <c r="G64" s="127">
        <f>'운영본부(위탁)'!H59</f>
        <v>5000000</v>
      </c>
      <c r="H64" s="128">
        <v>0</v>
      </c>
      <c r="I64" s="130">
        <f t="shared" si="14"/>
        <v>5000000</v>
      </c>
    </row>
    <row r="65" spans="1:9" ht="18" customHeight="1" x14ac:dyDescent="0.3">
      <c r="A65" s="180"/>
      <c r="B65" s="182"/>
      <c r="C65" s="181"/>
      <c r="D65" s="183"/>
      <c r="E65" s="195" t="s">
        <v>569</v>
      </c>
      <c r="F65" s="197"/>
      <c r="G65" s="127">
        <f>'운영본부(위탁)'!H61</f>
        <v>5000000</v>
      </c>
      <c r="H65" s="128">
        <v>0</v>
      </c>
      <c r="I65" s="130">
        <f t="shared" si="14"/>
        <v>5000000</v>
      </c>
    </row>
    <row r="66" spans="1:9" ht="18" customHeight="1" x14ac:dyDescent="0.3">
      <c r="A66" s="180"/>
      <c r="B66" s="182"/>
      <c r="C66" s="181"/>
      <c r="D66" s="182"/>
      <c r="E66" s="290"/>
      <c r="F66" s="322" t="s">
        <v>570</v>
      </c>
      <c r="G66" s="377">
        <f>'운영본부(위탁)'!H62</f>
        <v>4986500</v>
      </c>
      <c r="H66" s="16">
        <v>0</v>
      </c>
      <c r="I66" s="132">
        <f t="shared" si="14"/>
        <v>4986500</v>
      </c>
    </row>
    <row r="67" spans="1:9" ht="18" customHeight="1" x14ac:dyDescent="0.3">
      <c r="A67" s="92"/>
      <c r="B67" s="184"/>
      <c r="C67" s="184"/>
      <c r="D67" s="188"/>
      <c r="E67" s="185"/>
      <c r="F67" s="187" t="s">
        <v>571</v>
      </c>
      <c r="G67" s="377">
        <f>'운영본부(위탁)'!H64</f>
        <v>13500</v>
      </c>
      <c r="H67" s="16">
        <v>0</v>
      </c>
      <c r="I67" s="132">
        <f>G67-H67</f>
        <v>13500</v>
      </c>
    </row>
    <row r="68" spans="1:9" ht="18" customHeight="1" x14ac:dyDescent="0.3">
      <c r="A68" s="180"/>
      <c r="B68" s="182"/>
      <c r="C68" s="182"/>
      <c r="D68" s="301" t="s">
        <v>575</v>
      </c>
      <c r="E68" s="196"/>
      <c r="F68" s="197"/>
      <c r="G68" s="127">
        <f>'운영본부(위탁)'!H66</f>
        <v>1800000</v>
      </c>
      <c r="H68" s="128">
        <v>0</v>
      </c>
      <c r="I68" s="130">
        <f t="shared" ref="I68:I70" si="15">G68-H68</f>
        <v>1800000</v>
      </c>
    </row>
    <row r="69" spans="1:9" ht="18" customHeight="1" x14ac:dyDescent="0.3">
      <c r="A69" s="180"/>
      <c r="B69" s="182"/>
      <c r="C69" s="181"/>
      <c r="D69" s="183"/>
      <c r="E69" s="195" t="s">
        <v>569</v>
      </c>
      <c r="F69" s="197"/>
      <c r="G69" s="127">
        <f>'운영본부(위탁)'!H68</f>
        <v>1800000</v>
      </c>
      <c r="H69" s="128">
        <v>0</v>
      </c>
      <c r="I69" s="130">
        <f t="shared" si="15"/>
        <v>1800000</v>
      </c>
    </row>
    <row r="70" spans="1:9" ht="18" customHeight="1" x14ac:dyDescent="0.3">
      <c r="A70" s="180"/>
      <c r="B70" s="182"/>
      <c r="C70" s="181"/>
      <c r="D70" s="182"/>
      <c r="E70" s="290"/>
      <c r="F70" s="322" t="s">
        <v>570</v>
      </c>
      <c r="G70" s="377">
        <f>'운영본부(위탁)'!H69</f>
        <v>1793520</v>
      </c>
      <c r="H70" s="16">
        <v>0</v>
      </c>
      <c r="I70" s="132">
        <f t="shared" si="15"/>
        <v>1793520</v>
      </c>
    </row>
    <row r="71" spans="1:9" ht="18" customHeight="1" thickBot="1" x14ac:dyDescent="0.35">
      <c r="A71" s="264"/>
      <c r="B71" s="189"/>
      <c r="C71" s="189"/>
      <c r="D71" s="189"/>
      <c r="E71" s="265"/>
      <c r="F71" s="190" t="s">
        <v>571</v>
      </c>
      <c r="G71" s="93">
        <f>'운영본부(위탁)'!H71</f>
        <v>6480</v>
      </c>
      <c r="H71" s="93">
        <v>0</v>
      </c>
      <c r="I71" s="134">
        <f>G71-H71</f>
        <v>6480</v>
      </c>
    </row>
  </sheetData>
  <mergeCells count="5">
    <mergeCell ref="A3:F3"/>
    <mergeCell ref="G3:G4"/>
    <mergeCell ref="H3:H4"/>
    <mergeCell ref="I3:I4"/>
    <mergeCell ref="A5:F5"/>
  </mergeCells>
  <phoneticPr fontId="12" type="noConversion"/>
  <conditionalFormatting sqref="I3:I4">
    <cfRule type="containsText" dxfId="191" priority="1" operator="containsText" text="허하나로">
      <formula>NOT(ISERROR(SEARCH("허하나로",G826)))</formula>
    </cfRule>
    <cfRule type="containsText" dxfId="190" priority="2" operator="containsText" text="한별">
      <formula>NOT(ISERROR(SEARCH("한별",G826)))</formula>
    </cfRule>
    <cfRule type="containsText" dxfId="189" priority="3" operator="containsText" text="정홍조">
      <formula>NOT(ISERROR(SEARCH("정홍조",G826)))</formula>
    </cfRule>
    <cfRule type="containsText" dxfId="188" priority="4" operator="containsText" text="김지윤">
      <formula>NOT(ISERROR(SEARCH("김지윤",G826)))</formula>
    </cfRule>
    <cfRule type="containsText" dxfId="187" priority="5" operator="containsText" text="전준영">
      <formula>NOT(ISERROR(SEARCH("전준영",G826)))</formula>
    </cfRule>
    <cfRule type="containsText" dxfId="186" priority="6" operator="containsText" text="차재성">
      <formula>NOT(ISERROR(SEARCH("차재성",G826)))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M63"/>
  <sheetViews>
    <sheetView zoomScale="85" zoomScaleNormal="85" workbookViewId="0">
      <selection activeCell="G40" sqref="G40"/>
    </sheetView>
  </sheetViews>
  <sheetFormatPr defaultRowHeight="16.5" x14ac:dyDescent="0.3"/>
  <cols>
    <col min="1" max="6" width="3.875" customWidth="1"/>
    <col min="7" max="7" width="32.625" customWidth="1"/>
    <col min="8" max="10" width="14.625" customWidth="1"/>
    <col min="11" max="11" width="60.625" customWidth="1"/>
    <col min="12" max="12" width="3.875" customWidth="1"/>
    <col min="13" max="13" width="14.625" customWidth="1"/>
  </cols>
  <sheetData>
    <row r="1" spans="1:13" ht="17.25" thickBot="1" x14ac:dyDescent="0.2">
      <c r="A1" s="94" t="s">
        <v>264</v>
      </c>
      <c r="B1" s="43"/>
      <c r="C1" s="94"/>
      <c r="D1" s="94"/>
      <c r="E1" s="94"/>
      <c r="F1" s="94"/>
      <c r="G1" s="199"/>
      <c r="H1" s="200"/>
      <c r="I1" s="200"/>
      <c r="J1" s="199"/>
      <c r="K1" s="199"/>
      <c r="L1" s="199"/>
      <c r="M1" s="323" t="s">
        <v>221</v>
      </c>
    </row>
    <row r="2" spans="1:13" x14ac:dyDescent="0.3">
      <c r="A2" s="439" t="s">
        <v>222</v>
      </c>
      <c r="B2" s="441" t="s">
        <v>223</v>
      </c>
      <c r="C2" s="442"/>
      <c r="D2" s="443"/>
      <c r="E2" s="441" t="s">
        <v>224</v>
      </c>
      <c r="F2" s="442"/>
      <c r="G2" s="443"/>
      <c r="H2" s="417" t="s">
        <v>276</v>
      </c>
      <c r="I2" s="417" t="s">
        <v>277</v>
      </c>
      <c r="J2" s="463" t="s">
        <v>225</v>
      </c>
      <c r="K2" s="431" t="s">
        <v>4</v>
      </c>
      <c r="L2" s="431"/>
      <c r="M2" s="432"/>
    </row>
    <row r="3" spans="1:13" ht="17.25" thickBot="1" x14ac:dyDescent="0.35">
      <c r="A3" s="440"/>
      <c r="B3" s="135" t="s">
        <v>226</v>
      </c>
      <c r="C3" s="135" t="s">
        <v>227</v>
      </c>
      <c r="D3" s="135" t="s">
        <v>228</v>
      </c>
      <c r="E3" s="135" t="s">
        <v>229</v>
      </c>
      <c r="F3" s="135" t="s">
        <v>230</v>
      </c>
      <c r="G3" s="135" t="s">
        <v>231</v>
      </c>
      <c r="H3" s="418"/>
      <c r="I3" s="418"/>
      <c r="J3" s="464"/>
      <c r="K3" s="461"/>
      <c r="L3" s="461"/>
      <c r="M3" s="462"/>
    </row>
    <row r="4" spans="1:13" ht="17.25" thickBot="1" x14ac:dyDescent="0.35">
      <c r="A4" s="436" t="s">
        <v>232</v>
      </c>
      <c r="B4" s="437"/>
      <c r="C4" s="437"/>
      <c r="D4" s="437"/>
      <c r="E4" s="437"/>
      <c r="F4" s="437"/>
      <c r="G4" s="438"/>
      <c r="H4" s="372">
        <f>H5</f>
        <v>2950000</v>
      </c>
      <c r="I4" s="324">
        <v>0</v>
      </c>
      <c r="J4" s="136">
        <f>H4-I4</f>
        <v>2950000</v>
      </c>
      <c r="K4" s="95"/>
      <c r="L4" s="96"/>
      <c r="M4" s="137"/>
    </row>
    <row r="5" spans="1:13" x14ac:dyDescent="0.3">
      <c r="A5" s="326" t="s">
        <v>233</v>
      </c>
      <c r="B5" s="327"/>
      <c r="C5" s="302"/>
      <c r="D5" s="302"/>
      <c r="E5" s="302"/>
      <c r="F5" s="302"/>
      <c r="G5" s="303"/>
      <c r="H5" s="368">
        <f>H6+H30</f>
        <v>2950000</v>
      </c>
      <c r="I5" s="325">
        <v>0</v>
      </c>
      <c r="J5" s="328">
        <f t="shared" ref="J5:J19" si="0">H5-I5</f>
        <v>2950000</v>
      </c>
      <c r="K5" s="84"/>
      <c r="L5" s="85"/>
      <c r="M5" s="86"/>
    </row>
    <row r="6" spans="1:13" x14ac:dyDescent="0.3">
      <c r="A6" s="329"/>
      <c r="B6" s="330" t="s">
        <v>293</v>
      </c>
      <c r="C6" s="145"/>
      <c r="D6" s="146"/>
      <c r="E6" s="146"/>
      <c r="F6" s="146"/>
      <c r="G6" s="147"/>
      <c r="H6" s="97">
        <f t="shared" ref="H6:H9" si="1">H7</f>
        <v>2000000</v>
      </c>
      <c r="I6" s="97">
        <v>0</v>
      </c>
      <c r="J6" s="101">
        <f>H6-I6</f>
        <v>2000000</v>
      </c>
      <c r="K6" s="84"/>
      <c r="L6" s="85"/>
      <c r="M6" s="86"/>
    </row>
    <row r="7" spans="1:13" x14ac:dyDescent="0.3">
      <c r="A7" s="10"/>
      <c r="B7" s="6"/>
      <c r="C7" s="145" t="s">
        <v>234</v>
      </c>
      <c r="D7" s="146"/>
      <c r="E7" s="146"/>
      <c r="F7" s="146"/>
      <c r="G7" s="147"/>
      <c r="H7" s="100">
        <f t="shared" si="1"/>
        <v>2000000</v>
      </c>
      <c r="I7" s="100">
        <v>0</v>
      </c>
      <c r="J7" s="101">
        <f t="shared" si="0"/>
        <v>2000000</v>
      </c>
      <c r="K7" s="84"/>
      <c r="L7" s="85"/>
      <c r="M7" s="86"/>
    </row>
    <row r="8" spans="1:13" x14ac:dyDescent="0.3">
      <c r="A8" s="10"/>
      <c r="B8" s="6"/>
      <c r="C8" s="7"/>
      <c r="D8" s="145" t="s">
        <v>235</v>
      </c>
      <c r="E8" s="146"/>
      <c r="F8" s="146"/>
      <c r="G8" s="147"/>
      <c r="H8" s="148">
        <f>H9+H25</f>
        <v>2000000</v>
      </c>
      <c r="I8" s="148">
        <v>0</v>
      </c>
      <c r="J8" s="101">
        <f t="shared" si="0"/>
        <v>2000000</v>
      </c>
      <c r="K8" s="87"/>
      <c r="L8" s="149"/>
      <c r="M8" s="86"/>
    </row>
    <row r="9" spans="1:13" x14ac:dyDescent="0.3">
      <c r="A9" s="10"/>
      <c r="B9" s="6"/>
      <c r="C9" s="150"/>
      <c r="D9" s="151"/>
      <c r="E9" s="145" t="s">
        <v>236</v>
      </c>
      <c r="F9" s="146"/>
      <c r="G9" s="147"/>
      <c r="H9" s="97">
        <f t="shared" si="1"/>
        <v>1974000</v>
      </c>
      <c r="I9" s="97">
        <v>0</v>
      </c>
      <c r="J9" s="101">
        <f t="shared" si="0"/>
        <v>1974000</v>
      </c>
      <c r="K9" s="90"/>
      <c r="L9" s="99"/>
      <c r="M9" s="88"/>
    </row>
    <row r="10" spans="1:13" x14ac:dyDescent="0.3">
      <c r="A10" s="68"/>
      <c r="B10" s="70"/>
      <c r="C10" s="202"/>
      <c r="D10" s="203"/>
      <c r="E10" s="204"/>
      <c r="F10" s="152" t="s">
        <v>237</v>
      </c>
      <c r="G10" s="205"/>
      <c r="H10" s="77">
        <f>SUM(H11,H19,H23)</f>
        <v>1974000</v>
      </c>
      <c r="I10" s="77">
        <v>0</v>
      </c>
      <c r="J10" s="77">
        <f t="shared" si="0"/>
        <v>1974000</v>
      </c>
      <c r="K10" s="244"/>
      <c r="L10" s="54"/>
      <c r="M10" s="40"/>
    </row>
    <row r="11" spans="1:13" x14ac:dyDescent="0.3">
      <c r="A11" s="68"/>
      <c r="B11" s="70"/>
      <c r="C11" s="70"/>
      <c r="D11" s="161"/>
      <c r="E11" s="206"/>
      <c r="F11" s="206"/>
      <c r="G11" s="73" t="s">
        <v>238</v>
      </c>
      <c r="H11" s="78">
        <f>M11</f>
        <v>1419000</v>
      </c>
      <c r="I11" s="78">
        <v>0</v>
      </c>
      <c r="J11" s="78">
        <f t="shared" si="0"/>
        <v>1419000</v>
      </c>
      <c r="K11" s="89" t="s">
        <v>239</v>
      </c>
      <c r="L11" s="44"/>
      <c r="M11" s="242">
        <f>SUM(M12:M18)</f>
        <v>1419000</v>
      </c>
    </row>
    <row r="12" spans="1:13" x14ac:dyDescent="0.3">
      <c r="A12" s="68"/>
      <c r="B12" s="70"/>
      <c r="C12" s="70"/>
      <c r="D12" s="161"/>
      <c r="E12" s="206"/>
      <c r="F12" s="206"/>
      <c r="G12" s="73"/>
      <c r="H12" s="79"/>
      <c r="I12" s="79"/>
      <c r="J12" s="79"/>
      <c r="K12" s="245" t="s">
        <v>496</v>
      </c>
      <c r="L12" s="45" t="s">
        <v>240</v>
      </c>
      <c r="M12" s="207">
        <v>140000</v>
      </c>
    </row>
    <row r="13" spans="1:13" x14ac:dyDescent="0.3">
      <c r="A13" s="68"/>
      <c r="B13" s="70"/>
      <c r="C13" s="70"/>
      <c r="D13" s="161"/>
      <c r="E13" s="206"/>
      <c r="F13" s="206"/>
      <c r="G13" s="73"/>
      <c r="H13" s="79"/>
      <c r="I13" s="79"/>
      <c r="J13" s="79"/>
      <c r="K13" s="245" t="s">
        <v>504</v>
      </c>
      <c r="L13" s="45" t="s">
        <v>497</v>
      </c>
      <c r="M13" s="207">
        <v>20000</v>
      </c>
    </row>
    <row r="14" spans="1:13" x14ac:dyDescent="0.3">
      <c r="A14" s="68"/>
      <c r="B14" s="70"/>
      <c r="C14" s="70"/>
      <c r="D14" s="161"/>
      <c r="E14" s="206"/>
      <c r="F14" s="206"/>
      <c r="G14" s="73"/>
      <c r="H14" s="79"/>
      <c r="I14" s="79"/>
      <c r="J14" s="79"/>
      <c r="K14" s="399" t="s">
        <v>515</v>
      </c>
      <c r="L14" s="45" t="s">
        <v>497</v>
      </c>
      <c r="M14" s="207">
        <v>7000</v>
      </c>
    </row>
    <row r="15" spans="1:13" x14ac:dyDescent="0.3">
      <c r="A15" s="68"/>
      <c r="B15" s="70"/>
      <c r="C15" s="70"/>
      <c r="D15" s="161"/>
      <c r="E15" s="206"/>
      <c r="F15" s="206"/>
      <c r="G15" s="73"/>
      <c r="H15" s="79"/>
      <c r="I15" s="79"/>
      <c r="J15" s="79"/>
      <c r="K15" s="399" t="s">
        <v>516</v>
      </c>
      <c r="L15" s="45" t="s">
        <v>497</v>
      </c>
      <c r="M15" s="207">
        <v>2000</v>
      </c>
    </row>
    <row r="16" spans="1:13" x14ac:dyDescent="0.3">
      <c r="A16" s="68"/>
      <c r="B16" s="70"/>
      <c r="C16" s="70"/>
      <c r="D16" s="161"/>
      <c r="E16" s="206"/>
      <c r="F16" s="206"/>
      <c r="G16" s="73"/>
      <c r="H16" s="79"/>
      <c r="I16" s="79"/>
      <c r="J16" s="79"/>
      <c r="K16" s="245" t="s">
        <v>505</v>
      </c>
      <c r="L16" s="45" t="s">
        <v>497</v>
      </c>
      <c r="M16" s="207">
        <v>1000000</v>
      </c>
    </row>
    <row r="17" spans="1:13" x14ac:dyDescent="0.3">
      <c r="A17" s="68"/>
      <c r="B17" s="70"/>
      <c r="C17" s="70"/>
      <c r="D17" s="161"/>
      <c r="E17" s="206"/>
      <c r="F17" s="206"/>
      <c r="G17" s="73"/>
      <c r="H17" s="79"/>
      <c r="I17" s="79"/>
      <c r="J17" s="79"/>
      <c r="K17" s="245" t="s">
        <v>506</v>
      </c>
      <c r="L17" s="45" t="s">
        <v>497</v>
      </c>
      <c r="M17" s="207">
        <v>150000</v>
      </c>
    </row>
    <row r="18" spans="1:13" x14ac:dyDescent="0.3">
      <c r="A18" s="68"/>
      <c r="B18" s="70"/>
      <c r="C18" s="70"/>
      <c r="D18" s="161"/>
      <c r="E18" s="206"/>
      <c r="F18" s="206"/>
      <c r="G18" s="72"/>
      <c r="H18" s="79"/>
      <c r="I18" s="79"/>
      <c r="J18" s="79"/>
      <c r="K18" s="240" t="s">
        <v>507</v>
      </c>
      <c r="L18" s="45" t="s">
        <v>497</v>
      </c>
      <c r="M18" s="207">
        <v>100000</v>
      </c>
    </row>
    <row r="19" spans="1:13" x14ac:dyDescent="0.3">
      <c r="A19" s="68"/>
      <c r="B19" s="70"/>
      <c r="C19" s="70"/>
      <c r="D19" s="161"/>
      <c r="E19" s="206"/>
      <c r="F19" s="206"/>
      <c r="G19" s="73" t="s">
        <v>241</v>
      </c>
      <c r="H19" s="78">
        <f>M19</f>
        <v>55000</v>
      </c>
      <c r="I19" s="78">
        <v>0</v>
      </c>
      <c r="J19" s="78">
        <f t="shared" si="0"/>
        <v>55000</v>
      </c>
      <c r="K19" s="89" t="s">
        <v>242</v>
      </c>
      <c r="L19" s="44"/>
      <c r="M19" s="242">
        <f>SUM(M20:M22)</f>
        <v>55000</v>
      </c>
    </row>
    <row r="20" spans="1:13" x14ac:dyDescent="0.3">
      <c r="A20" s="68"/>
      <c r="B20" s="70"/>
      <c r="C20" s="70"/>
      <c r="D20" s="161"/>
      <c r="E20" s="206"/>
      <c r="F20" s="206"/>
      <c r="G20" s="73"/>
      <c r="H20" s="79"/>
      <c r="I20" s="79"/>
      <c r="J20" s="79"/>
      <c r="K20" s="245" t="s">
        <v>498</v>
      </c>
      <c r="L20" s="45" t="s">
        <v>499</v>
      </c>
      <c r="M20" s="207">
        <v>30000</v>
      </c>
    </row>
    <row r="21" spans="1:13" x14ac:dyDescent="0.3">
      <c r="A21" s="68"/>
      <c r="B21" s="70"/>
      <c r="C21" s="70"/>
      <c r="D21" s="161"/>
      <c r="E21" s="206"/>
      <c r="F21" s="206"/>
      <c r="G21" s="73"/>
      <c r="H21" s="79"/>
      <c r="I21" s="79"/>
      <c r="J21" s="79"/>
      <c r="K21" s="245" t="s">
        <v>500</v>
      </c>
      <c r="L21" s="45" t="s">
        <v>497</v>
      </c>
      <c r="M21" s="207">
        <v>5000</v>
      </c>
    </row>
    <row r="22" spans="1:13" x14ac:dyDescent="0.3">
      <c r="A22" s="68"/>
      <c r="B22" s="70"/>
      <c r="C22" s="70"/>
      <c r="D22" s="161"/>
      <c r="E22" s="206"/>
      <c r="F22" s="206"/>
      <c r="G22" s="72"/>
      <c r="H22" s="76"/>
      <c r="I22" s="76"/>
      <c r="J22" s="76"/>
      <c r="K22" s="240" t="s">
        <v>501</v>
      </c>
      <c r="L22" s="158" t="s">
        <v>0</v>
      </c>
      <c r="M22" s="207">
        <v>20000</v>
      </c>
    </row>
    <row r="23" spans="1:13" x14ac:dyDescent="0.3">
      <c r="A23" s="68"/>
      <c r="B23" s="70"/>
      <c r="C23" s="70"/>
      <c r="D23" s="161"/>
      <c r="E23" s="206"/>
      <c r="F23" s="206"/>
      <c r="G23" s="73" t="s">
        <v>671</v>
      </c>
      <c r="H23" s="79">
        <f>M23</f>
        <v>500000</v>
      </c>
      <c r="I23" s="79">
        <v>0</v>
      </c>
      <c r="J23" s="79">
        <f>H23-I23</f>
        <v>500000</v>
      </c>
      <c r="K23" s="89" t="s">
        <v>243</v>
      </c>
      <c r="L23" s="45"/>
      <c r="M23" s="242">
        <f>SUM(M24)</f>
        <v>500000</v>
      </c>
    </row>
    <row r="24" spans="1:13" x14ac:dyDescent="0.3">
      <c r="A24" s="68"/>
      <c r="B24" s="70"/>
      <c r="C24" s="70"/>
      <c r="D24" s="161"/>
      <c r="E24" s="304"/>
      <c r="F24" s="304"/>
      <c r="G24" s="72"/>
      <c r="H24" s="76"/>
      <c r="I24" s="76"/>
      <c r="J24" s="76"/>
      <c r="K24" s="240" t="s">
        <v>502</v>
      </c>
      <c r="L24" s="220" t="s">
        <v>0</v>
      </c>
      <c r="M24" s="213">
        <v>500000</v>
      </c>
    </row>
    <row r="25" spans="1:13" x14ac:dyDescent="0.3">
      <c r="A25" s="10"/>
      <c r="B25" s="6"/>
      <c r="C25" s="278"/>
      <c r="D25" s="278"/>
      <c r="E25" s="145" t="s">
        <v>503</v>
      </c>
      <c r="F25" s="146"/>
      <c r="G25" s="147"/>
      <c r="H25" s="97">
        <f t="shared" ref="H25" si="2">H26</f>
        <v>26000</v>
      </c>
      <c r="I25" s="97">
        <v>0</v>
      </c>
      <c r="J25" s="101">
        <f t="shared" ref="J25:J27" si="3">H25-I25</f>
        <v>26000</v>
      </c>
      <c r="K25" s="90"/>
      <c r="L25" s="99"/>
      <c r="M25" s="88"/>
    </row>
    <row r="26" spans="1:13" x14ac:dyDescent="0.3">
      <c r="A26" s="68"/>
      <c r="B26" s="70"/>
      <c r="C26" s="202"/>
      <c r="D26" s="203"/>
      <c r="E26" s="204"/>
      <c r="F26" s="152" t="s">
        <v>67</v>
      </c>
      <c r="G26" s="205"/>
      <c r="H26" s="77">
        <f>H27</f>
        <v>26000</v>
      </c>
      <c r="I26" s="77">
        <v>0</v>
      </c>
      <c r="J26" s="77">
        <f t="shared" si="3"/>
        <v>26000</v>
      </c>
      <c r="K26" s="244"/>
      <c r="L26" s="54"/>
      <c r="M26" s="40"/>
    </row>
    <row r="27" spans="1:13" x14ac:dyDescent="0.3">
      <c r="A27" s="68"/>
      <c r="B27" s="70"/>
      <c r="C27" s="70"/>
      <c r="D27" s="161"/>
      <c r="E27" s="206"/>
      <c r="F27" s="206"/>
      <c r="G27" s="73" t="s">
        <v>593</v>
      </c>
      <c r="H27" s="78">
        <f>M27</f>
        <v>26000</v>
      </c>
      <c r="I27" s="78">
        <v>0</v>
      </c>
      <c r="J27" s="78">
        <f t="shared" si="3"/>
        <v>26000</v>
      </c>
      <c r="K27" s="89" t="s">
        <v>508</v>
      </c>
      <c r="L27" s="44"/>
      <c r="M27" s="242">
        <f>SUM(M28:M29)</f>
        <v>26000</v>
      </c>
    </row>
    <row r="28" spans="1:13" x14ac:dyDescent="0.3">
      <c r="A28" s="68"/>
      <c r="B28" s="70"/>
      <c r="C28" s="70"/>
      <c r="D28" s="161"/>
      <c r="E28" s="206"/>
      <c r="F28" s="206"/>
      <c r="G28" s="73"/>
      <c r="H28" s="79"/>
      <c r="I28" s="79"/>
      <c r="J28" s="79"/>
      <c r="K28" s="245" t="s">
        <v>513</v>
      </c>
      <c r="L28" s="45" t="s">
        <v>240</v>
      </c>
      <c r="M28" s="207">
        <v>21000</v>
      </c>
    </row>
    <row r="29" spans="1:13" x14ac:dyDescent="0.3">
      <c r="A29" s="68"/>
      <c r="B29" s="72"/>
      <c r="C29" s="72"/>
      <c r="D29" s="277"/>
      <c r="E29" s="304"/>
      <c r="F29" s="304"/>
      <c r="G29" s="75"/>
      <c r="H29" s="76"/>
      <c r="I29" s="76"/>
      <c r="J29" s="76"/>
      <c r="K29" s="240" t="s">
        <v>514</v>
      </c>
      <c r="L29" s="158" t="s">
        <v>497</v>
      </c>
      <c r="M29" s="213">
        <v>5000</v>
      </c>
    </row>
    <row r="30" spans="1:13" x14ac:dyDescent="0.3">
      <c r="A30" s="329"/>
      <c r="B30" s="327" t="s">
        <v>294</v>
      </c>
      <c r="C30" s="301"/>
      <c r="D30" s="302"/>
      <c r="E30" s="302"/>
      <c r="F30" s="302"/>
      <c r="G30" s="303"/>
      <c r="H30" s="100">
        <f>H31</f>
        <v>950000</v>
      </c>
      <c r="I30" s="100">
        <v>0</v>
      </c>
      <c r="J30" s="101">
        <f>H30-I30</f>
        <v>950000</v>
      </c>
      <c r="K30" s="84"/>
      <c r="L30" s="85"/>
      <c r="M30" s="86"/>
    </row>
    <row r="31" spans="1:13" x14ac:dyDescent="0.3">
      <c r="A31" s="10"/>
      <c r="B31" s="6"/>
      <c r="C31" s="145" t="s">
        <v>295</v>
      </c>
      <c r="D31" s="146"/>
      <c r="E31" s="146"/>
      <c r="F31" s="146"/>
      <c r="G31" s="147"/>
      <c r="H31" s="100">
        <f>H32+H52</f>
        <v>950000</v>
      </c>
      <c r="I31" s="100">
        <v>0</v>
      </c>
      <c r="J31" s="101">
        <f t="shared" ref="J31:J35" si="4">H31-I31</f>
        <v>950000</v>
      </c>
      <c r="K31" s="84"/>
      <c r="L31" s="85"/>
      <c r="M31" s="86"/>
    </row>
    <row r="32" spans="1:13" x14ac:dyDescent="0.3">
      <c r="A32" s="10"/>
      <c r="B32" s="6"/>
      <c r="C32" s="7"/>
      <c r="D32" s="414" t="s">
        <v>666</v>
      </c>
      <c r="E32" s="146"/>
      <c r="F32" s="146"/>
      <c r="G32" s="147"/>
      <c r="H32" s="148">
        <f>H33+H45</f>
        <v>660000</v>
      </c>
      <c r="I32" s="148">
        <v>0</v>
      </c>
      <c r="J32" s="101">
        <f t="shared" si="4"/>
        <v>660000</v>
      </c>
      <c r="K32" s="87"/>
      <c r="L32" s="149"/>
      <c r="M32" s="86"/>
    </row>
    <row r="33" spans="1:13" x14ac:dyDescent="0.3">
      <c r="A33" s="10"/>
      <c r="B33" s="6"/>
      <c r="C33" s="150"/>
      <c r="D33" s="151"/>
      <c r="E33" s="145" t="s">
        <v>236</v>
      </c>
      <c r="F33" s="146"/>
      <c r="G33" s="147"/>
      <c r="H33" s="97">
        <f t="shared" ref="H33" si="5">H34</f>
        <v>498000</v>
      </c>
      <c r="I33" s="97">
        <v>0</v>
      </c>
      <c r="J33" s="101">
        <f t="shared" si="4"/>
        <v>498000</v>
      </c>
      <c r="K33" s="90"/>
      <c r="L33" s="99"/>
      <c r="M33" s="88"/>
    </row>
    <row r="34" spans="1:13" x14ac:dyDescent="0.3">
      <c r="A34" s="68"/>
      <c r="B34" s="70"/>
      <c r="C34" s="202"/>
      <c r="D34" s="203"/>
      <c r="E34" s="204"/>
      <c r="F34" s="152" t="s">
        <v>237</v>
      </c>
      <c r="G34" s="205"/>
      <c r="H34" s="77">
        <f>SUM(H35,H43)</f>
        <v>498000</v>
      </c>
      <c r="I34" s="77">
        <v>0</v>
      </c>
      <c r="J34" s="77">
        <f t="shared" si="4"/>
        <v>498000</v>
      </c>
      <c r="K34" s="244"/>
      <c r="L34" s="54"/>
      <c r="M34" s="40"/>
    </row>
    <row r="35" spans="1:13" x14ac:dyDescent="0.3">
      <c r="A35" s="68"/>
      <c r="B35" s="70"/>
      <c r="C35" s="70"/>
      <c r="D35" s="161"/>
      <c r="E35" s="206"/>
      <c r="F35" s="206"/>
      <c r="G35" s="73" t="s">
        <v>238</v>
      </c>
      <c r="H35" s="78">
        <f>M35</f>
        <v>450000</v>
      </c>
      <c r="I35" s="78">
        <v>0</v>
      </c>
      <c r="J35" s="78">
        <f t="shared" si="4"/>
        <v>450000</v>
      </c>
      <c r="K35" s="89" t="s">
        <v>239</v>
      </c>
      <c r="L35" s="44"/>
      <c r="M35" s="242">
        <f>SUM(M36:M42)</f>
        <v>450000</v>
      </c>
    </row>
    <row r="36" spans="1:13" x14ac:dyDescent="0.3">
      <c r="A36" s="68"/>
      <c r="B36" s="70"/>
      <c r="C36" s="70"/>
      <c r="D36" s="161"/>
      <c r="E36" s="206"/>
      <c r="F36" s="206"/>
      <c r="G36" s="73"/>
      <c r="H36" s="79"/>
      <c r="I36" s="79"/>
      <c r="J36" s="79"/>
      <c r="K36" s="245" t="s">
        <v>583</v>
      </c>
      <c r="L36" s="45" t="s">
        <v>240</v>
      </c>
      <c r="M36" s="207">
        <v>40000</v>
      </c>
    </row>
    <row r="37" spans="1:13" x14ac:dyDescent="0.3">
      <c r="A37" s="68"/>
      <c r="B37" s="70"/>
      <c r="C37" s="70"/>
      <c r="D37" s="161"/>
      <c r="E37" s="206"/>
      <c r="F37" s="206"/>
      <c r="G37" s="73"/>
      <c r="H37" s="79"/>
      <c r="I37" s="79"/>
      <c r="J37" s="79"/>
      <c r="K37" s="245" t="s">
        <v>585</v>
      </c>
      <c r="L37" s="45" t="s">
        <v>560</v>
      </c>
      <c r="M37" s="207">
        <v>16000</v>
      </c>
    </row>
    <row r="38" spans="1:13" x14ac:dyDescent="0.3">
      <c r="A38" s="68"/>
      <c r="B38" s="70"/>
      <c r="C38" s="70"/>
      <c r="D38" s="161"/>
      <c r="E38" s="206"/>
      <c r="F38" s="206"/>
      <c r="G38" s="73"/>
      <c r="H38" s="79"/>
      <c r="I38" s="79"/>
      <c r="J38" s="79"/>
      <c r="K38" s="245" t="s">
        <v>588</v>
      </c>
      <c r="L38" s="45" t="s">
        <v>560</v>
      </c>
      <c r="M38" s="207">
        <v>24000</v>
      </c>
    </row>
    <row r="39" spans="1:13" x14ac:dyDescent="0.3">
      <c r="A39" s="68"/>
      <c r="B39" s="70"/>
      <c r="C39" s="70"/>
      <c r="D39" s="161"/>
      <c r="E39" s="206"/>
      <c r="F39" s="206"/>
      <c r="G39" s="73"/>
      <c r="H39" s="79"/>
      <c r="I39" s="79"/>
      <c r="J39" s="79"/>
      <c r="K39" s="245" t="s">
        <v>589</v>
      </c>
      <c r="L39" s="45" t="s">
        <v>560</v>
      </c>
      <c r="M39" s="207">
        <v>100000</v>
      </c>
    </row>
    <row r="40" spans="1:13" x14ac:dyDescent="0.3">
      <c r="A40" s="68"/>
      <c r="B40" s="70"/>
      <c r="C40" s="70"/>
      <c r="D40" s="161"/>
      <c r="E40" s="206"/>
      <c r="F40" s="206"/>
      <c r="G40" s="73"/>
      <c r="H40" s="79"/>
      <c r="I40" s="79"/>
      <c r="J40" s="79"/>
      <c r="K40" s="245" t="s">
        <v>590</v>
      </c>
      <c r="L40" s="45" t="s">
        <v>586</v>
      </c>
      <c r="M40" s="207">
        <v>30000</v>
      </c>
    </row>
    <row r="41" spans="1:13" x14ac:dyDescent="0.3">
      <c r="A41" s="68"/>
      <c r="B41" s="70"/>
      <c r="C41" s="70"/>
      <c r="D41" s="161"/>
      <c r="E41" s="206"/>
      <c r="F41" s="206"/>
      <c r="G41" s="73"/>
      <c r="H41" s="79"/>
      <c r="I41" s="79"/>
      <c r="J41" s="79"/>
      <c r="K41" s="245" t="s">
        <v>648</v>
      </c>
      <c r="L41" s="45" t="s">
        <v>587</v>
      </c>
      <c r="M41" s="207">
        <v>40000</v>
      </c>
    </row>
    <row r="42" spans="1:13" x14ac:dyDescent="0.3">
      <c r="A42" s="68"/>
      <c r="B42" s="70"/>
      <c r="C42" s="70"/>
      <c r="D42" s="161"/>
      <c r="E42" s="206"/>
      <c r="F42" s="206"/>
      <c r="G42" s="72"/>
      <c r="H42" s="79"/>
      <c r="I42" s="79"/>
      <c r="J42" s="79"/>
      <c r="K42" s="413" t="s">
        <v>674</v>
      </c>
      <c r="L42" s="45" t="s">
        <v>560</v>
      </c>
      <c r="M42" s="207">
        <v>200000</v>
      </c>
    </row>
    <row r="43" spans="1:13" x14ac:dyDescent="0.3">
      <c r="A43" s="68"/>
      <c r="B43" s="70"/>
      <c r="C43" s="70"/>
      <c r="D43" s="161"/>
      <c r="E43" s="206"/>
      <c r="F43" s="206"/>
      <c r="G43" s="73" t="s">
        <v>241</v>
      </c>
      <c r="H43" s="78">
        <f>M43</f>
        <v>48000</v>
      </c>
      <c r="I43" s="78">
        <v>0</v>
      </c>
      <c r="J43" s="78">
        <f t="shared" ref="J43" si="6">H43-I43</f>
        <v>48000</v>
      </c>
      <c r="K43" s="89" t="s">
        <v>242</v>
      </c>
      <c r="L43" s="44"/>
      <c r="M43" s="242">
        <f>SUM(M44:M44)</f>
        <v>48000</v>
      </c>
    </row>
    <row r="44" spans="1:13" x14ac:dyDescent="0.3">
      <c r="A44" s="68"/>
      <c r="B44" s="70"/>
      <c r="C44" s="70"/>
      <c r="D44" s="161"/>
      <c r="E44" s="206"/>
      <c r="F44" s="206"/>
      <c r="G44" s="72"/>
      <c r="H44" s="76"/>
      <c r="I44" s="76"/>
      <c r="J44" s="76"/>
      <c r="K44" s="240" t="s">
        <v>673</v>
      </c>
      <c r="L44" s="158" t="s">
        <v>0</v>
      </c>
      <c r="M44" s="207">
        <v>48000</v>
      </c>
    </row>
    <row r="45" spans="1:13" x14ac:dyDescent="0.3">
      <c r="A45" s="10"/>
      <c r="B45" s="6"/>
      <c r="C45" s="150"/>
      <c r="D45" s="278"/>
      <c r="E45" s="145" t="s">
        <v>66</v>
      </c>
      <c r="F45" s="146"/>
      <c r="G45" s="147"/>
      <c r="H45" s="97">
        <f t="shared" ref="H45" si="7">H46</f>
        <v>162000</v>
      </c>
      <c r="I45" s="97">
        <v>0</v>
      </c>
      <c r="J45" s="101">
        <f t="shared" ref="J45:J47" si="8">H45-I45</f>
        <v>162000</v>
      </c>
      <c r="K45" s="90"/>
      <c r="L45" s="99"/>
      <c r="M45" s="88"/>
    </row>
    <row r="46" spans="1:13" x14ac:dyDescent="0.3">
      <c r="A46" s="68"/>
      <c r="B46" s="70"/>
      <c r="C46" s="202"/>
      <c r="D46" s="203"/>
      <c r="E46" s="204"/>
      <c r="F46" s="152" t="s">
        <v>67</v>
      </c>
      <c r="G46" s="205"/>
      <c r="H46" s="77">
        <f>SUM(H47,H50)</f>
        <v>162000</v>
      </c>
      <c r="I46" s="77">
        <v>0</v>
      </c>
      <c r="J46" s="77">
        <f t="shared" si="8"/>
        <v>162000</v>
      </c>
      <c r="K46" s="244"/>
      <c r="L46" s="54"/>
      <c r="M46" s="40"/>
    </row>
    <row r="47" spans="1:13" x14ac:dyDescent="0.3">
      <c r="A47" s="68"/>
      <c r="B47" s="70"/>
      <c r="C47" s="70"/>
      <c r="D47" s="161"/>
      <c r="E47" s="206"/>
      <c r="F47" s="206"/>
      <c r="G47" s="73" t="s">
        <v>581</v>
      </c>
      <c r="H47" s="78">
        <f>M47</f>
        <v>132000</v>
      </c>
      <c r="I47" s="78">
        <v>0</v>
      </c>
      <c r="J47" s="78">
        <f t="shared" si="8"/>
        <v>132000</v>
      </c>
      <c r="K47" s="89" t="s">
        <v>584</v>
      </c>
      <c r="L47" s="44"/>
      <c r="M47" s="242">
        <f>SUM(M48:M49)</f>
        <v>132000</v>
      </c>
    </row>
    <row r="48" spans="1:13" x14ac:dyDescent="0.3">
      <c r="A48" s="68"/>
      <c r="B48" s="70"/>
      <c r="C48" s="70"/>
      <c r="D48" s="161"/>
      <c r="E48" s="206"/>
      <c r="F48" s="206"/>
      <c r="G48" s="73"/>
      <c r="H48" s="79"/>
      <c r="I48" s="79"/>
      <c r="J48" s="79"/>
      <c r="K48" s="245" t="s">
        <v>591</v>
      </c>
      <c r="L48" s="45" t="s">
        <v>668</v>
      </c>
      <c r="M48" s="207">
        <v>32000</v>
      </c>
    </row>
    <row r="49" spans="1:13" x14ac:dyDescent="0.3">
      <c r="A49" s="68"/>
      <c r="B49" s="70"/>
      <c r="C49" s="70"/>
      <c r="D49" s="161"/>
      <c r="E49" s="206"/>
      <c r="F49" s="206"/>
      <c r="G49" s="73"/>
      <c r="H49" s="79"/>
      <c r="I49" s="79"/>
      <c r="J49" s="79"/>
      <c r="K49" s="240" t="s">
        <v>592</v>
      </c>
      <c r="L49" s="45" t="s">
        <v>240</v>
      </c>
      <c r="M49" s="207">
        <v>100000</v>
      </c>
    </row>
    <row r="50" spans="1:13" x14ac:dyDescent="0.3">
      <c r="A50" s="68"/>
      <c r="B50" s="70"/>
      <c r="C50" s="70"/>
      <c r="D50" s="161"/>
      <c r="E50" s="206"/>
      <c r="F50" s="206"/>
      <c r="G50" s="69" t="s">
        <v>593</v>
      </c>
      <c r="H50" s="78">
        <f>M50</f>
        <v>30000</v>
      </c>
      <c r="I50" s="78">
        <v>0</v>
      </c>
      <c r="J50" s="78">
        <f t="shared" ref="J50" si="9">H50-I50</f>
        <v>30000</v>
      </c>
      <c r="K50" s="89" t="s">
        <v>594</v>
      </c>
      <c r="L50" s="44"/>
      <c r="M50" s="242">
        <f>SUM(M51:M51)</f>
        <v>30000</v>
      </c>
    </row>
    <row r="51" spans="1:13" x14ac:dyDescent="0.3">
      <c r="A51" s="68"/>
      <c r="B51" s="70"/>
      <c r="C51" s="70"/>
      <c r="D51" s="277"/>
      <c r="E51" s="304"/>
      <c r="F51" s="304"/>
      <c r="G51" s="72"/>
      <c r="H51" s="76"/>
      <c r="I51" s="76"/>
      <c r="J51" s="76"/>
      <c r="K51" s="240" t="s">
        <v>667</v>
      </c>
      <c r="L51" s="158" t="s">
        <v>240</v>
      </c>
      <c r="M51" s="213">
        <v>30000</v>
      </c>
    </row>
    <row r="52" spans="1:13" x14ac:dyDescent="0.3">
      <c r="A52" s="10"/>
      <c r="B52" s="6"/>
      <c r="C52" s="6"/>
      <c r="D52" s="301" t="s">
        <v>579</v>
      </c>
      <c r="E52" s="302"/>
      <c r="F52" s="302"/>
      <c r="G52" s="303"/>
      <c r="H52" s="369">
        <f>H53+H57</f>
        <v>290000</v>
      </c>
      <c r="I52" s="369">
        <v>0</v>
      </c>
      <c r="J52" s="101">
        <f t="shared" ref="J52:J54" si="10">H52-I52</f>
        <v>290000</v>
      </c>
      <c r="K52" s="87"/>
      <c r="L52" s="149"/>
      <c r="M52" s="86"/>
    </row>
    <row r="53" spans="1:13" x14ac:dyDescent="0.3">
      <c r="A53" s="10"/>
      <c r="B53" s="6"/>
      <c r="C53" s="150"/>
      <c r="D53" s="151"/>
      <c r="E53" s="145" t="s">
        <v>236</v>
      </c>
      <c r="F53" s="146"/>
      <c r="G53" s="147"/>
      <c r="H53" s="97">
        <f t="shared" ref="H53" si="11">H54</f>
        <v>120000</v>
      </c>
      <c r="I53" s="97">
        <v>0</v>
      </c>
      <c r="J53" s="101">
        <f t="shared" si="10"/>
        <v>120000</v>
      </c>
      <c r="K53" s="90"/>
      <c r="L53" s="99"/>
      <c r="M53" s="88"/>
    </row>
    <row r="54" spans="1:13" x14ac:dyDescent="0.3">
      <c r="A54" s="68"/>
      <c r="B54" s="70"/>
      <c r="C54" s="202"/>
      <c r="D54" s="203"/>
      <c r="E54" s="204"/>
      <c r="F54" s="152" t="s">
        <v>237</v>
      </c>
      <c r="G54" s="205"/>
      <c r="H54" s="77">
        <f>H55</f>
        <v>120000</v>
      </c>
      <c r="I54" s="77">
        <v>0</v>
      </c>
      <c r="J54" s="77">
        <f t="shared" si="10"/>
        <v>120000</v>
      </c>
      <c r="K54" s="244"/>
      <c r="L54" s="54"/>
      <c r="M54" s="40"/>
    </row>
    <row r="55" spans="1:13" x14ac:dyDescent="0.3">
      <c r="A55" s="68"/>
      <c r="B55" s="70"/>
      <c r="C55" s="70"/>
      <c r="D55" s="161"/>
      <c r="E55" s="206"/>
      <c r="F55" s="206"/>
      <c r="G55" s="73" t="s">
        <v>241</v>
      </c>
      <c r="H55" s="78">
        <f>M55</f>
        <v>120000</v>
      </c>
      <c r="I55" s="78">
        <v>0</v>
      </c>
      <c r="J55" s="78">
        <f t="shared" ref="J55" si="12">H55-I55</f>
        <v>120000</v>
      </c>
      <c r="K55" s="89" t="s">
        <v>242</v>
      </c>
      <c r="L55" s="44"/>
      <c r="M55" s="242">
        <f>SUM(M56:M56)</f>
        <v>120000</v>
      </c>
    </row>
    <row r="56" spans="1:13" x14ac:dyDescent="0.3">
      <c r="A56" s="68"/>
      <c r="B56" s="70"/>
      <c r="C56" s="70"/>
      <c r="D56" s="161"/>
      <c r="E56" s="206"/>
      <c r="F56" s="206"/>
      <c r="G56" s="72"/>
      <c r="H56" s="76"/>
      <c r="I56" s="76"/>
      <c r="J56" s="76"/>
      <c r="K56" s="240" t="s">
        <v>646</v>
      </c>
      <c r="L56" s="158" t="s">
        <v>0</v>
      </c>
      <c r="M56" s="207">
        <v>120000</v>
      </c>
    </row>
    <row r="57" spans="1:13" x14ac:dyDescent="0.3">
      <c r="A57" s="10"/>
      <c r="B57" s="6"/>
      <c r="C57" s="150"/>
      <c r="D57" s="278"/>
      <c r="E57" s="145" t="s">
        <v>66</v>
      </c>
      <c r="F57" s="146"/>
      <c r="G57" s="147"/>
      <c r="H57" s="97">
        <f t="shared" ref="H57" si="13">H58</f>
        <v>170000</v>
      </c>
      <c r="I57" s="97">
        <v>0</v>
      </c>
      <c r="J57" s="101">
        <f t="shared" ref="J57" si="14">H57-I57</f>
        <v>170000</v>
      </c>
      <c r="K57" s="90"/>
      <c r="L57" s="99"/>
      <c r="M57" s="88"/>
    </row>
    <row r="58" spans="1:13" x14ac:dyDescent="0.3">
      <c r="A58" s="68"/>
      <c r="B58" s="70"/>
      <c r="C58" s="202"/>
      <c r="D58" s="203"/>
      <c r="E58" s="204"/>
      <c r="F58" s="152" t="s">
        <v>580</v>
      </c>
      <c r="G58" s="205"/>
      <c r="H58" s="77">
        <f>H59</f>
        <v>170000</v>
      </c>
      <c r="I58" s="77">
        <v>0</v>
      </c>
      <c r="J58" s="77">
        <f t="shared" ref="J58:J59" si="15">H58-I58</f>
        <v>170000</v>
      </c>
      <c r="K58" s="244"/>
      <c r="L58" s="54"/>
      <c r="M58" s="40"/>
    </row>
    <row r="59" spans="1:13" x14ac:dyDescent="0.3">
      <c r="A59" s="68"/>
      <c r="B59" s="70"/>
      <c r="C59" s="70"/>
      <c r="D59" s="161"/>
      <c r="E59" s="206"/>
      <c r="F59" s="206"/>
      <c r="G59" s="73" t="s">
        <v>581</v>
      </c>
      <c r="H59" s="78">
        <f>M59</f>
        <v>170000</v>
      </c>
      <c r="I59" s="78">
        <v>0</v>
      </c>
      <c r="J59" s="78">
        <f t="shared" si="15"/>
        <v>170000</v>
      </c>
      <c r="K59" s="89" t="s">
        <v>582</v>
      </c>
      <c r="L59" s="44"/>
      <c r="M59" s="242">
        <f>SUM(M60:M60)</f>
        <v>170000</v>
      </c>
    </row>
    <row r="60" spans="1:13" ht="17.25" thickBot="1" x14ac:dyDescent="0.35">
      <c r="A60" s="331"/>
      <c r="B60" s="74"/>
      <c r="C60" s="74"/>
      <c r="D60" s="332"/>
      <c r="E60" s="333"/>
      <c r="F60" s="333"/>
      <c r="G60" s="74"/>
      <c r="H60" s="334"/>
      <c r="I60" s="334"/>
      <c r="J60" s="334"/>
      <c r="K60" s="335" t="s">
        <v>647</v>
      </c>
      <c r="L60" s="378" t="s">
        <v>0</v>
      </c>
      <c r="M60" s="271">
        <v>170000</v>
      </c>
    </row>
    <row r="63" spans="1:13" x14ac:dyDescent="0.3">
      <c r="G63" s="406"/>
    </row>
  </sheetData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185" priority="49" operator="containsText" text="허하나로">
      <formula>NOT(ISERROR(SEARCH("허하나로",H816)))</formula>
    </cfRule>
    <cfRule type="containsText" dxfId="184" priority="50" operator="containsText" text="한별">
      <formula>NOT(ISERROR(SEARCH("한별",H816)))</formula>
    </cfRule>
    <cfRule type="containsText" dxfId="183" priority="51" operator="containsText" text="정홍조">
      <formula>NOT(ISERROR(SEARCH("정홍조",H816)))</formula>
    </cfRule>
    <cfRule type="containsText" dxfId="182" priority="52" operator="containsText" text="김지윤">
      <formula>NOT(ISERROR(SEARCH("김지윤",H816)))</formula>
    </cfRule>
    <cfRule type="containsText" dxfId="181" priority="53" operator="containsText" text="전준영">
      <formula>NOT(ISERROR(SEARCH("전준영",H816)))</formula>
    </cfRule>
    <cfRule type="containsText" dxfId="180" priority="54" operator="containsText" text="차재성">
      <formula>NOT(ISERROR(SEARCH("차재성",H816)))</formula>
    </cfRule>
  </conditionalFormatting>
  <pageMargins left="0.7" right="0.7" top="0.75" bottom="0.75" header="0.3" footer="0.3"/>
  <pageSetup paperSize="9" scale="48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7" operator="containsText" text="허하나로" id="{EAD63AA0-C563-4A68-A405-41D8F11AC68C}">
            <xm:f>NOT(ISERROR(SEARCH("허하나로",'[240229)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8" operator="containsText" text="한별" id="{523F99FD-E80E-4C3B-B41E-773E0BE2125B}">
            <xm:f>NOT(ISERROR(SEARCH("한별",'[240229)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9" operator="containsText" text="정홍조" id="{6CFB9313-19D9-4A1B-9D52-28B4C4E14384}">
            <xm:f>NOT(ISERROR(SEARCH("정홍조",'[240229)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0" operator="containsText" text="김지윤" id="{C772CDEF-4B49-4CFA-A8A8-3F9A22C4AEAC}">
            <xm:f>NOT(ISERROR(SEARCH("김지윤",'[240229)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1" operator="containsText" text="전준영" id="{6FA28620-93BF-403A-89AA-DEF7EFD51B12}">
            <xm:f>NOT(ISERROR(SEARCH("전준영",'[240229)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2" operator="containsText" text="차재성" id="{5D29B390-D6CD-4A08-9641-C0A4AF232EB0}">
            <xm:f>NOT(ISERROR(SEARCH("차재성",'[240229)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ontainsText" priority="73" operator="containsText" text="허하나로" id="{DCB723A8-B16B-4F55-A142-7E36B3833F0A}">
            <xm:f>NOT(ISERROR(SEARCH("허하나로",'[240229)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74" operator="containsText" text="한별" id="{307D23A8-BCD0-41A0-879D-52FBDD86F4B2}">
            <xm:f>NOT(ISERROR(SEARCH("한별",'[240229)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75" operator="containsText" text="정홍조" id="{59DCB63D-60AD-4B3A-AE21-A95812E94686}">
            <xm:f>NOT(ISERROR(SEARCH("정홍조",'[240229)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6" operator="containsText" text="김지윤" id="{8BFEAD57-7A92-4AF8-98CD-5FFD139324A5}">
            <xm:f>NOT(ISERROR(SEARCH("김지윤",'[240229)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7" operator="containsText" text="전준영" id="{34BFC8A7-C9CB-4655-A80B-2A6DFFF6B991}">
            <xm:f>NOT(ISERROR(SEARCH("전준영",'[240229)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8" operator="containsText" text="차재성" id="{B24BF2D4-DB5D-4EB4-8F4B-6D009B95AE10}">
            <xm:f>NOT(ISERROR(SEARCH("차재성",'[240229)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H5:I5</xm:sqref>
        </x14:conditionalFormatting>
        <x14:conditionalFormatting xmlns:xm="http://schemas.microsoft.com/office/excel/2006/main">
          <x14:cfRule type="containsText" priority="61" operator="containsText" text="허하나로" id="{274D4AB6-36A7-4A65-877F-2AE74A0792BD}">
            <xm:f>NOT(ISERROR(SEARCH("허하나로",'[240229)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2" operator="containsText" text="한별" id="{BE363504-F5A4-4759-87D3-62329E580848}">
            <xm:f>NOT(ISERROR(SEARCH("한별",'[240229)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3" operator="containsText" text="정홍조" id="{29A2C3FC-77F7-457E-93B6-F6C4C819A20D}">
            <xm:f>NOT(ISERROR(SEARCH("정홍조",'[240229)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64" operator="containsText" text="김지윤" id="{6578C41D-08D7-43C2-9741-262778BDEBD9}">
            <xm:f>NOT(ISERROR(SEARCH("김지윤",'[240229)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5" operator="containsText" text="전준영" id="{CEE9D741-C4E3-4621-ACCC-0A0490076D34}">
            <xm:f>NOT(ISERROR(SEARCH("전준영",'[240229)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6" operator="containsText" text="차재성" id="{FB47FD5F-3927-4CA0-84D4-306DD6EF16C9}">
            <xm:f>NOT(ISERROR(SEARCH("차재성",'[240229)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J7:J9</xm:sqref>
        </x14:conditionalFormatting>
        <x14:conditionalFormatting xmlns:xm="http://schemas.microsoft.com/office/excel/2006/main">
          <x14:cfRule type="containsText" priority="55" operator="containsText" text="허하나로" id="{8A68CF4B-600A-4514-B1C6-BC99A6F110BA}">
            <xm:f>NOT(ISERROR(SEARCH("허하나로",'[240229)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6" operator="containsText" text="한별" id="{C9BBE1EB-34E5-4D2B-8BEB-595A89295550}">
            <xm:f>NOT(ISERROR(SEARCH("한별",'[240229)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7" operator="containsText" text="정홍조" id="{FA0A74EB-4106-4917-BA28-B4DCE1C7584E}">
            <xm:f>NOT(ISERROR(SEARCH("정홍조",'[240229)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8" operator="containsText" text="김지윤" id="{7735151E-B75C-4FE1-97B1-DA0A5FF54F6B}">
            <xm:f>NOT(ISERROR(SEARCH("김지윤",'[240229)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9" operator="containsText" text="전준영" id="{2F308FA7-B9C5-41AA-865B-E466B659C76A}">
            <xm:f>NOT(ISERROR(SEARCH("전준영",'[240229)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0" operator="containsText" text="차재성" id="{34A3E008-6C05-4B27-A478-07F75389ED92}">
            <xm:f>NOT(ISERROR(SEARCH("차재성",'[240229)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</xm:sqref>
        </x14:conditionalFormatting>
        <x14:conditionalFormatting xmlns:xm="http://schemas.microsoft.com/office/excel/2006/main">
          <x14:cfRule type="containsText" priority="37" operator="containsText" text="허하나로" id="{AF748F91-B999-4B97-A16A-710CAE99A7BF}">
            <xm:f>NOT(ISERROR(SEARCH("허하나로",'[240229)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8" operator="containsText" text="한별" id="{56B3B6B6-3BE3-4430-9C7D-8585CE22A4B6}">
            <xm:f>NOT(ISERROR(SEARCH("한별",'[240229)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" operator="containsText" text="정홍조" id="{E15898C1-AC4B-4521-A18B-7ADD0D0CD7C4}">
            <xm:f>NOT(ISERROR(SEARCH("정홍조",'[240229)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0" operator="containsText" text="김지윤" id="{73F0802D-7E5E-416D-8B9B-EDD7817575D7}">
            <xm:f>NOT(ISERROR(SEARCH("김지윤",'[240229)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" operator="containsText" text="전준영" id="{8D0B8406-462F-421E-B786-8B23B0098B81}">
            <xm:f>NOT(ISERROR(SEARCH("전준영",'[240229)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2" operator="containsText" text="차재성" id="{C3CB3B8F-FBC0-45CE-AA61-C66D78F29CBF}">
            <xm:f>NOT(ISERROR(SEARCH("차재성",'[240229)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31" operator="containsText" text="허하나로" id="{4757BA95-B130-4817-952E-527895860DDA}">
            <xm:f>NOT(ISERROR(SEARCH("허하나로",'[240229)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2" operator="containsText" text="한별" id="{FC6CF46E-9E86-4364-9CA5-0EE27FF7F17E}">
            <xm:f>NOT(ISERROR(SEARCH("한별",'[240229)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3" operator="containsText" text="정홍조" id="{BE1E2E1A-8E13-49B3-BA1A-9CB4AA6CBF56}">
            <xm:f>NOT(ISERROR(SEARCH("정홍조",'[240229)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34" operator="containsText" text="김지윤" id="{DE6C79B6-C280-491E-AABC-F2E6C6F6DD78}">
            <xm:f>NOT(ISERROR(SEARCH("김지윤",'[240229)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5" operator="containsText" text="전준영" id="{28057FDF-D15E-4939-BCDB-5CEED1C16B08}">
            <xm:f>NOT(ISERROR(SEARCH("전준영",'[240229)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6" operator="containsText" text="차재성" id="{2C6F487A-D78C-4C11-987B-07DA04B0CA3C}">
            <xm:f>NOT(ISERROR(SEARCH("차재성",'[240229)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J31:J33</xm:sqref>
        </x14:conditionalFormatting>
        <x14:conditionalFormatting xmlns:xm="http://schemas.microsoft.com/office/excel/2006/main">
          <x14:cfRule type="containsText" priority="25" operator="containsText" text="허하나로" id="{39A7311B-562A-49B1-9FC2-5CD0E73E7EAD}">
            <xm:f>NOT(ISERROR(SEARCH("허하나로",'[240229)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6" operator="containsText" text="한별" id="{CA90E9DA-87CC-40CA-BCF3-78DAA3FC4EE1}">
            <xm:f>NOT(ISERROR(SEARCH("한별",'[240229)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7" operator="containsText" text="정홍조" id="{D6B816CE-B40F-4B67-80C5-2D55B957AD20}">
            <xm:f>NOT(ISERROR(SEARCH("정홍조",'[240229)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8" operator="containsText" text="김지윤" id="{FE6B0A88-E49F-4FF6-90E1-C368D755ECFB}">
            <xm:f>NOT(ISERROR(SEARCH("김지윤",'[240229)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" operator="containsText" text="전준영" id="{FD5ACCF8-B9E0-4A64-8BFF-083D822140E6}">
            <xm:f>NOT(ISERROR(SEARCH("전준영",'[240229)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0" operator="containsText" text="차재성" id="{445A882D-0E1E-4F43-86F0-9F35BB9AB9BB}">
            <xm:f>NOT(ISERROR(SEARCH("차재성",'[240229)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J30</xm:sqref>
        </x14:conditionalFormatting>
        <x14:conditionalFormatting xmlns:xm="http://schemas.microsoft.com/office/excel/2006/main">
          <x14:cfRule type="containsText" priority="19" operator="containsText" text="허하나로" id="{DFDFAF93-F0B3-4A23-A71E-B5824B346A25}">
            <xm:f>NOT(ISERROR(SEARCH("허하나로",'[240229)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0" operator="containsText" text="한별" id="{AE755553-1024-4648-8BA3-4A59C2B932B8}">
            <xm:f>NOT(ISERROR(SEARCH("한별",'[240229)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1" operator="containsText" text="정홍조" id="{B8FF4D31-4577-4E8E-981E-0DED78795251}">
            <xm:f>NOT(ISERROR(SEARCH("정홍조",'[240229)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2" operator="containsText" text="김지윤" id="{6C6FDA61-B8C7-4F7F-9D51-4F50BDDC3910}">
            <xm:f>NOT(ISERROR(SEARCH("김지윤",'[240229)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3" operator="containsText" text="전준영" id="{D0B530BD-66E6-40FD-9B10-87B6FBD8BA4C}">
            <xm:f>NOT(ISERROR(SEARCH("전준영",'[240229)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4" operator="containsText" text="차재성" id="{5F1856A7-4A97-4FAA-B3D6-039DACD9CD14}">
            <xm:f>NOT(ISERROR(SEARCH("차재성",'[240229)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J52:J53</xm:sqref>
        </x14:conditionalFormatting>
        <x14:conditionalFormatting xmlns:xm="http://schemas.microsoft.com/office/excel/2006/main">
          <x14:cfRule type="containsText" priority="13" operator="containsText" text="허하나로" id="{7783D2DD-F3E7-4BFD-922D-E976F7EBF1A5}">
            <xm:f>NOT(ISERROR(SEARCH("허하나로",'[240229)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4421D622-DBD2-4D0F-A119-CA7508CE5140}">
            <xm:f>NOT(ISERROR(SEARCH("한별",'[240229)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01AE0E8B-AA57-4427-AD1C-F7053F68CBA9}">
            <xm:f>NOT(ISERROR(SEARCH("정홍조",'[240229)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B2E51FD6-FF3C-4225-A5DE-1F6FA3791E6B}">
            <xm:f>NOT(ISERROR(SEARCH("김지윤",'[240229)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EEA3BD86-3E58-4F35-A765-BEA8C9170026}">
            <xm:f>NOT(ISERROR(SEARCH("전준영",'[240229)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646BBEFE-000A-40F8-A39B-CA1357EC6227}">
            <xm:f>NOT(ISERROR(SEARCH("차재성",'[240229)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J25</xm:sqref>
        </x14:conditionalFormatting>
        <x14:conditionalFormatting xmlns:xm="http://schemas.microsoft.com/office/excel/2006/main">
          <x14:cfRule type="containsText" priority="7" operator="containsText" text="허하나로" id="{FD75FEC7-11F4-4D89-8962-AE681ACE445B}">
            <xm:f>NOT(ISERROR(SEARCH("허하나로",'[240229)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75A0CB6B-2DD9-47BE-8F22-18CA34317F98}">
            <xm:f>NOT(ISERROR(SEARCH("한별",'[240229)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6BB10AC4-82A7-4BB8-B485-F5F5B872A1DF}">
            <xm:f>NOT(ISERROR(SEARCH("정홍조",'[240229)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AEC6EF95-C4E1-49A0-A164-85380064A246}">
            <xm:f>NOT(ISERROR(SEARCH("김지윤",'[240229)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51377A2A-993C-4EF0-B1A3-AD38CD6BD7CA}">
            <xm:f>NOT(ISERROR(SEARCH("전준영",'[240229)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078C19C8-3FB1-4742-B622-4CC30316E862}">
            <xm:f>NOT(ISERROR(SEARCH("차재성",'[240229)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J57</xm:sqref>
        </x14:conditionalFormatting>
        <x14:conditionalFormatting xmlns:xm="http://schemas.microsoft.com/office/excel/2006/main">
          <x14:cfRule type="containsText" priority="1" operator="containsText" text="허하나로" id="{11C0987C-8C9D-4F03-9D36-739A5EF3E66B}">
            <xm:f>NOT(ISERROR(SEARCH("허하나로",'[240229)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" operator="containsText" text="한별" id="{37316219-9E3A-41E3-966A-1B945EAE7341}">
            <xm:f>NOT(ISERROR(SEARCH("한별",'[240229)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" operator="containsText" text="정홍조" id="{B952E414-9FAF-48A2-8733-B2A10D43602E}">
            <xm:f>NOT(ISERROR(SEARCH("정홍조",'[240229)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" operator="containsText" text="김지윤" id="{A3422F66-5F5D-4C34-A1CC-4ED2F1B211DD}">
            <xm:f>NOT(ISERROR(SEARCH("김지윤",'[240229)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" operator="containsText" text="전준영" id="{ED5C29BE-FBF5-4402-A7E5-C7487A31821F}">
            <xm:f>NOT(ISERROR(SEARCH("전준영",'[240229)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" operator="containsText" text="차재성" id="{92E4A3A0-B913-41B2-9D32-449F19E3EB40}">
            <xm:f>NOT(ISERROR(SEARCH("차재성",'[240229)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J45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M73"/>
  <sheetViews>
    <sheetView topLeftCell="C26" zoomScaleNormal="100" workbookViewId="0">
      <selection activeCell="G48" sqref="G48"/>
    </sheetView>
  </sheetViews>
  <sheetFormatPr defaultRowHeight="16.5" x14ac:dyDescent="0.3"/>
  <cols>
    <col min="1" max="6" width="3.875" customWidth="1"/>
    <col min="7" max="7" width="32.625" customWidth="1"/>
    <col min="8" max="10" width="14.625" customWidth="1"/>
    <col min="11" max="11" width="62.625" customWidth="1"/>
    <col min="12" max="12" width="3.875" customWidth="1"/>
    <col min="13" max="13" width="14.625" customWidth="1"/>
  </cols>
  <sheetData>
    <row r="1" spans="1:13" ht="17.25" thickBot="1" x14ac:dyDescent="0.2">
      <c r="A1" s="94" t="s">
        <v>265</v>
      </c>
      <c r="B1" s="43"/>
      <c r="C1" s="94"/>
      <c r="D1" s="94"/>
      <c r="E1" s="94"/>
      <c r="F1" s="94"/>
      <c r="G1" s="199"/>
      <c r="H1" s="200"/>
      <c r="I1" s="200"/>
      <c r="J1" s="199"/>
      <c r="K1" s="199"/>
      <c r="L1" s="199"/>
      <c r="M1" s="323" t="s">
        <v>244</v>
      </c>
    </row>
    <row r="2" spans="1:13" x14ac:dyDescent="0.3">
      <c r="A2" s="439" t="s">
        <v>245</v>
      </c>
      <c r="B2" s="441" t="s">
        <v>246</v>
      </c>
      <c r="C2" s="442"/>
      <c r="D2" s="443"/>
      <c r="E2" s="441" t="s">
        <v>247</v>
      </c>
      <c r="F2" s="442"/>
      <c r="G2" s="443"/>
      <c r="H2" s="417" t="s">
        <v>278</v>
      </c>
      <c r="I2" s="417" t="s">
        <v>272</v>
      </c>
      <c r="J2" s="463" t="s">
        <v>248</v>
      </c>
      <c r="K2" s="431" t="s">
        <v>4</v>
      </c>
      <c r="L2" s="431"/>
      <c r="M2" s="432"/>
    </row>
    <row r="3" spans="1:13" ht="17.25" thickBot="1" x14ac:dyDescent="0.35">
      <c r="A3" s="440"/>
      <c r="B3" s="135" t="s">
        <v>249</v>
      </c>
      <c r="C3" s="135" t="s">
        <v>250</v>
      </c>
      <c r="D3" s="135" t="s">
        <v>251</v>
      </c>
      <c r="E3" s="135" t="s">
        <v>252</v>
      </c>
      <c r="F3" s="135" t="s">
        <v>253</v>
      </c>
      <c r="G3" s="135" t="s">
        <v>254</v>
      </c>
      <c r="H3" s="418"/>
      <c r="I3" s="418"/>
      <c r="J3" s="464"/>
      <c r="K3" s="461"/>
      <c r="L3" s="461"/>
      <c r="M3" s="462"/>
    </row>
    <row r="4" spans="1:13" ht="17.25" thickBot="1" x14ac:dyDescent="0.35">
      <c r="A4" s="436" t="s">
        <v>255</v>
      </c>
      <c r="B4" s="437"/>
      <c r="C4" s="437"/>
      <c r="D4" s="437"/>
      <c r="E4" s="437"/>
      <c r="F4" s="437"/>
      <c r="G4" s="438"/>
      <c r="H4" s="324">
        <f>H5+H26</f>
        <v>19600000</v>
      </c>
      <c r="I4" s="372">
        <v>0</v>
      </c>
      <c r="J4" s="136">
        <f>H4-I4</f>
        <v>19600000</v>
      </c>
      <c r="K4" s="95"/>
      <c r="L4" s="96"/>
      <c r="M4" s="137"/>
    </row>
    <row r="5" spans="1:13" x14ac:dyDescent="0.3">
      <c r="A5" s="326" t="s">
        <v>256</v>
      </c>
      <c r="B5" s="327"/>
      <c r="C5" s="302"/>
      <c r="D5" s="302"/>
      <c r="E5" s="302"/>
      <c r="F5" s="302"/>
      <c r="G5" s="303"/>
      <c r="H5" s="325">
        <f>H6+H19</f>
        <v>2500000</v>
      </c>
      <c r="I5" s="368">
        <v>0</v>
      </c>
      <c r="J5" s="328">
        <f t="shared" ref="J5:J11" si="0">H5-I5</f>
        <v>2500000</v>
      </c>
      <c r="K5" s="84"/>
      <c r="L5" s="85"/>
      <c r="M5" s="86"/>
    </row>
    <row r="6" spans="1:13" x14ac:dyDescent="0.3">
      <c r="A6" s="329"/>
      <c r="B6" s="330" t="s">
        <v>296</v>
      </c>
      <c r="C6" s="145"/>
      <c r="D6" s="146"/>
      <c r="E6" s="146"/>
      <c r="F6" s="146"/>
      <c r="G6" s="147"/>
      <c r="H6" s="97">
        <f t="shared" ref="H6:H9" si="1">H7</f>
        <v>1000000</v>
      </c>
      <c r="I6" s="97">
        <v>0</v>
      </c>
      <c r="J6" s="101">
        <f>H6-I6</f>
        <v>1000000</v>
      </c>
      <c r="K6" s="84"/>
      <c r="L6" s="85"/>
      <c r="M6" s="86"/>
    </row>
    <row r="7" spans="1:13" x14ac:dyDescent="0.3">
      <c r="A7" s="10"/>
      <c r="B7" s="6"/>
      <c r="C7" s="145" t="s">
        <v>297</v>
      </c>
      <c r="D7" s="146"/>
      <c r="E7" s="146"/>
      <c r="F7" s="146"/>
      <c r="G7" s="147"/>
      <c r="H7" s="100">
        <f>H8+H14</f>
        <v>1000000</v>
      </c>
      <c r="I7" s="100">
        <v>0</v>
      </c>
      <c r="J7" s="101">
        <f t="shared" si="0"/>
        <v>1000000</v>
      </c>
      <c r="K7" s="84"/>
      <c r="L7" s="85"/>
      <c r="M7" s="86"/>
    </row>
    <row r="8" spans="1:13" x14ac:dyDescent="0.3">
      <c r="A8" s="10"/>
      <c r="B8" s="6"/>
      <c r="C8" s="7"/>
      <c r="D8" s="145" t="s">
        <v>453</v>
      </c>
      <c r="E8" s="146"/>
      <c r="F8" s="146"/>
      <c r="G8" s="147"/>
      <c r="H8" s="148">
        <f t="shared" si="1"/>
        <v>400000</v>
      </c>
      <c r="I8" s="148">
        <v>0</v>
      </c>
      <c r="J8" s="101">
        <f t="shared" si="0"/>
        <v>400000</v>
      </c>
      <c r="K8" s="87"/>
      <c r="L8" s="149"/>
      <c r="M8" s="86"/>
    </row>
    <row r="9" spans="1:13" x14ac:dyDescent="0.3">
      <c r="A9" s="10"/>
      <c r="B9" s="6"/>
      <c r="C9" s="150"/>
      <c r="D9" s="151"/>
      <c r="E9" s="145" t="s">
        <v>257</v>
      </c>
      <c r="F9" s="146"/>
      <c r="G9" s="147"/>
      <c r="H9" s="97">
        <f t="shared" si="1"/>
        <v>400000</v>
      </c>
      <c r="I9" s="97">
        <v>0</v>
      </c>
      <c r="J9" s="101">
        <f t="shared" si="0"/>
        <v>400000</v>
      </c>
      <c r="K9" s="90"/>
      <c r="L9" s="99"/>
      <c r="M9" s="88"/>
    </row>
    <row r="10" spans="1:13" x14ac:dyDescent="0.3">
      <c r="A10" s="68"/>
      <c r="B10" s="70"/>
      <c r="C10" s="202"/>
      <c r="D10" s="203"/>
      <c r="E10" s="204"/>
      <c r="F10" s="152" t="s">
        <v>258</v>
      </c>
      <c r="G10" s="205"/>
      <c r="H10" s="77">
        <f>H11</f>
        <v>400000</v>
      </c>
      <c r="I10" s="77">
        <v>0</v>
      </c>
      <c r="J10" s="77">
        <f t="shared" si="0"/>
        <v>400000</v>
      </c>
      <c r="K10" s="244"/>
      <c r="L10" s="54"/>
      <c r="M10" s="40"/>
    </row>
    <row r="11" spans="1:13" x14ac:dyDescent="0.3">
      <c r="A11" s="68"/>
      <c r="B11" s="70"/>
      <c r="C11" s="70"/>
      <c r="D11" s="161"/>
      <c r="E11" s="206"/>
      <c r="F11" s="206"/>
      <c r="G11" s="73" t="s">
        <v>429</v>
      </c>
      <c r="H11" s="78">
        <f>M11</f>
        <v>400000</v>
      </c>
      <c r="I11" s="78">
        <v>0</v>
      </c>
      <c r="J11" s="78">
        <f t="shared" si="0"/>
        <v>400000</v>
      </c>
      <c r="K11" s="89" t="s">
        <v>456</v>
      </c>
      <c r="L11" s="44"/>
      <c r="M11" s="242">
        <f>SUM(M12:M13)</f>
        <v>400000</v>
      </c>
    </row>
    <row r="12" spans="1:13" x14ac:dyDescent="0.3">
      <c r="A12" s="68"/>
      <c r="B12" s="70"/>
      <c r="C12" s="70"/>
      <c r="D12" s="161"/>
      <c r="E12" s="206"/>
      <c r="F12" s="206"/>
      <c r="G12" s="73"/>
      <c r="H12" s="79"/>
      <c r="I12" s="79"/>
      <c r="J12" s="79"/>
      <c r="K12" s="237" t="s">
        <v>491</v>
      </c>
      <c r="L12" s="45" t="s">
        <v>259</v>
      </c>
      <c r="M12" s="207">
        <v>280000</v>
      </c>
    </row>
    <row r="13" spans="1:13" x14ac:dyDescent="0.3">
      <c r="A13" s="68"/>
      <c r="B13" s="70"/>
      <c r="C13" s="70"/>
      <c r="D13" s="161"/>
      <c r="E13" s="206"/>
      <c r="F13" s="206"/>
      <c r="G13" s="73"/>
      <c r="H13" s="79"/>
      <c r="I13" s="79"/>
      <c r="J13" s="79"/>
      <c r="K13" s="237" t="s">
        <v>535</v>
      </c>
      <c r="L13" s="45" t="s">
        <v>259</v>
      </c>
      <c r="M13" s="207">
        <v>120000</v>
      </c>
    </row>
    <row r="14" spans="1:13" x14ac:dyDescent="0.3">
      <c r="A14" s="10"/>
      <c r="B14" s="6"/>
      <c r="C14" s="6"/>
      <c r="D14" s="145" t="s">
        <v>455</v>
      </c>
      <c r="E14" s="146"/>
      <c r="F14" s="146"/>
      <c r="G14" s="147"/>
      <c r="H14" s="148">
        <f t="shared" ref="H14:H15" si="2">H15</f>
        <v>600000</v>
      </c>
      <c r="I14" s="148">
        <v>0</v>
      </c>
      <c r="J14" s="98">
        <f t="shared" ref="J14:J17" si="3">H14-I14</f>
        <v>600000</v>
      </c>
      <c r="K14" s="176"/>
      <c r="L14" s="165"/>
      <c r="M14" s="166"/>
    </row>
    <row r="15" spans="1:13" x14ac:dyDescent="0.3">
      <c r="A15" s="10"/>
      <c r="B15" s="6"/>
      <c r="C15" s="150"/>
      <c r="D15" s="151"/>
      <c r="E15" s="145" t="s">
        <v>257</v>
      </c>
      <c r="F15" s="146"/>
      <c r="G15" s="147"/>
      <c r="H15" s="97">
        <f t="shared" si="2"/>
        <v>600000</v>
      </c>
      <c r="I15" s="97">
        <v>0</v>
      </c>
      <c r="J15" s="101">
        <f t="shared" si="3"/>
        <v>600000</v>
      </c>
      <c r="K15" s="90"/>
      <c r="L15" s="99"/>
      <c r="M15" s="88"/>
    </row>
    <row r="16" spans="1:13" x14ac:dyDescent="0.3">
      <c r="A16" s="68"/>
      <c r="B16" s="70"/>
      <c r="C16" s="202"/>
      <c r="D16" s="203"/>
      <c r="E16" s="204"/>
      <c r="F16" s="152" t="s">
        <v>258</v>
      </c>
      <c r="G16" s="205"/>
      <c r="H16" s="77">
        <f>H17</f>
        <v>600000</v>
      </c>
      <c r="I16" s="77">
        <v>0</v>
      </c>
      <c r="J16" s="77">
        <f t="shared" si="3"/>
        <v>600000</v>
      </c>
      <c r="K16" s="244"/>
      <c r="L16" s="54"/>
      <c r="M16" s="40"/>
    </row>
    <row r="17" spans="1:13" x14ac:dyDescent="0.3">
      <c r="A17" s="68"/>
      <c r="B17" s="70"/>
      <c r="C17" s="70"/>
      <c r="D17" s="161"/>
      <c r="E17" s="206"/>
      <c r="F17" s="206"/>
      <c r="G17" s="73" t="s">
        <v>429</v>
      </c>
      <c r="H17" s="78">
        <f>M17</f>
        <v>600000</v>
      </c>
      <c r="I17" s="78">
        <v>0</v>
      </c>
      <c r="J17" s="78">
        <f t="shared" si="3"/>
        <v>600000</v>
      </c>
      <c r="K17" s="89" t="s">
        <v>456</v>
      </c>
      <c r="L17" s="44"/>
      <c r="M17" s="242">
        <f>M18</f>
        <v>600000</v>
      </c>
    </row>
    <row r="18" spans="1:13" x14ac:dyDescent="0.3">
      <c r="A18" s="68"/>
      <c r="B18" s="70"/>
      <c r="C18" s="70"/>
      <c r="D18" s="161"/>
      <c r="E18" s="206"/>
      <c r="F18" s="206"/>
      <c r="G18" s="73"/>
      <c r="H18" s="79"/>
      <c r="I18" s="79"/>
      <c r="J18" s="79"/>
      <c r="K18" s="239" t="s">
        <v>457</v>
      </c>
      <c r="L18" s="45" t="s">
        <v>259</v>
      </c>
      <c r="M18" s="213">
        <v>600000</v>
      </c>
    </row>
    <row r="19" spans="1:13" x14ac:dyDescent="0.3">
      <c r="A19" s="329"/>
      <c r="B19" s="330" t="s">
        <v>454</v>
      </c>
      <c r="C19" s="145"/>
      <c r="D19" s="146"/>
      <c r="E19" s="146"/>
      <c r="F19" s="146"/>
      <c r="G19" s="147"/>
      <c r="H19" s="97">
        <f t="shared" ref="H19" si="4">H20</f>
        <v>1500000</v>
      </c>
      <c r="I19" s="97">
        <v>0</v>
      </c>
      <c r="J19" s="98">
        <f>H19-I19</f>
        <v>1500000</v>
      </c>
      <c r="K19" s="84"/>
      <c r="L19" s="165"/>
      <c r="M19" s="86"/>
    </row>
    <row r="20" spans="1:13" x14ac:dyDescent="0.3">
      <c r="A20" s="10"/>
      <c r="B20" s="6"/>
      <c r="C20" s="145" t="s">
        <v>334</v>
      </c>
      <c r="D20" s="146"/>
      <c r="E20" s="146"/>
      <c r="F20" s="146"/>
      <c r="G20" s="147"/>
      <c r="H20" s="97">
        <f t="shared" ref="H20:H22" si="5">H21</f>
        <v>1500000</v>
      </c>
      <c r="I20" s="97">
        <v>0</v>
      </c>
      <c r="J20" s="98">
        <f t="shared" ref="J20:J24" si="6">H20-I20</f>
        <v>1500000</v>
      </c>
      <c r="K20" s="175"/>
      <c r="L20" s="165"/>
      <c r="M20" s="166"/>
    </row>
    <row r="21" spans="1:13" x14ac:dyDescent="0.3">
      <c r="A21" s="10"/>
      <c r="B21" s="6"/>
      <c r="C21" s="7"/>
      <c r="D21" s="145" t="s">
        <v>335</v>
      </c>
      <c r="E21" s="146"/>
      <c r="F21" s="146"/>
      <c r="G21" s="147"/>
      <c r="H21" s="148">
        <f t="shared" si="5"/>
        <v>1500000</v>
      </c>
      <c r="I21" s="148">
        <v>0</v>
      </c>
      <c r="J21" s="101">
        <f t="shared" si="6"/>
        <v>1500000</v>
      </c>
      <c r="K21" s="87"/>
      <c r="L21" s="149"/>
      <c r="M21" s="86"/>
    </row>
    <row r="22" spans="1:13" x14ac:dyDescent="0.3">
      <c r="A22" s="10"/>
      <c r="B22" s="6"/>
      <c r="C22" s="150"/>
      <c r="D22" s="151"/>
      <c r="E22" s="145" t="s">
        <v>257</v>
      </c>
      <c r="F22" s="146"/>
      <c r="G22" s="147"/>
      <c r="H22" s="97">
        <f t="shared" si="5"/>
        <v>1500000</v>
      </c>
      <c r="I22" s="97">
        <v>0</v>
      </c>
      <c r="J22" s="101">
        <f t="shared" si="6"/>
        <v>1500000</v>
      </c>
      <c r="K22" s="90"/>
      <c r="L22" s="99"/>
      <c r="M22" s="88"/>
    </row>
    <row r="23" spans="1:13" x14ac:dyDescent="0.3">
      <c r="A23" s="68"/>
      <c r="B23" s="70"/>
      <c r="C23" s="202"/>
      <c r="D23" s="203"/>
      <c r="E23" s="204"/>
      <c r="F23" s="152" t="s">
        <v>258</v>
      </c>
      <c r="G23" s="205"/>
      <c r="H23" s="77">
        <f>H24</f>
        <v>1500000</v>
      </c>
      <c r="I23" s="77">
        <v>0</v>
      </c>
      <c r="J23" s="77">
        <f t="shared" si="6"/>
        <v>1500000</v>
      </c>
      <c r="K23" s="244"/>
      <c r="L23" s="54"/>
      <c r="M23" s="40"/>
    </row>
    <row r="24" spans="1:13" x14ac:dyDescent="0.3">
      <c r="A24" s="68"/>
      <c r="B24" s="70"/>
      <c r="C24" s="70"/>
      <c r="D24" s="161"/>
      <c r="E24" s="206"/>
      <c r="F24" s="206"/>
      <c r="G24" s="73" t="s">
        <v>71</v>
      </c>
      <c r="H24" s="78">
        <f>M24</f>
        <v>1500000</v>
      </c>
      <c r="I24" s="78">
        <v>0</v>
      </c>
      <c r="J24" s="78">
        <f t="shared" si="6"/>
        <v>1500000</v>
      </c>
      <c r="K24" s="89" t="s">
        <v>458</v>
      </c>
      <c r="L24" s="44"/>
      <c r="M24" s="242">
        <f>SUM(M25:M25)</f>
        <v>1500000</v>
      </c>
    </row>
    <row r="25" spans="1:13" ht="17.25" thickBot="1" x14ac:dyDescent="0.35">
      <c r="A25" s="331"/>
      <c r="B25" s="74"/>
      <c r="C25" s="74"/>
      <c r="D25" s="332"/>
      <c r="E25" s="333"/>
      <c r="F25" s="333"/>
      <c r="G25" s="408"/>
      <c r="H25" s="334"/>
      <c r="I25" s="334"/>
      <c r="J25" s="334"/>
      <c r="K25" s="257" t="s">
        <v>459</v>
      </c>
      <c r="L25" s="378" t="s">
        <v>259</v>
      </c>
      <c r="M25" s="271">
        <v>1500000</v>
      </c>
    </row>
    <row r="26" spans="1:13" x14ac:dyDescent="0.3">
      <c r="A26" s="326" t="s">
        <v>207</v>
      </c>
      <c r="B26" s="327"/>
      <c r="C26" s="302"/>
      <c r="D26" s="302"/>
      <c r="E26" s="302"/>
      <c r="F26" s="302"/>
      <c r="G26" s="303"/>
      <c r="H26" s="368">
        <f>H27+H57</f>
        <v>17100000</v>
      </c>
      <c r="I26" s="368">
        <v>0</v>
      </c>
      <c r="J26" s="328">
        <f t="shared" ref="J26" si="7">H26-I26</f>
        <v>17100000</v>
      </c>
      <c r="K26" s="84"/>
      <c r="L26" s="85"/>
      <c r="M26" s="86"/>
    </row>
    <row r="27" spans="1:13" x14ac:dyDescent="0.3">
      <c r="A27" s="329"/>
      <c r="B27" s="330" t="s">
        <v>298</v>
      </c>
      <c r="C27" s="145"/>
      <c r="D27" s="146"/>
      <c r="E27" s="146"/>
      <c r="F27" s="146"/>
      <c r="G27" s="147"/>
      <c r="H27" s="97">
        <f t="shared" ref="H27:H30" si="8">H28</f>
        <v>10300000</v>
      </c>
      <c r="I27" s="97">
        <v>0</v>
      </c>
      <c r="J27" s="101">
        <f>H27-I27</f>
        <v>10300000</v>
      </c>
      <c r="K27" s="84"/>
      <c r="L27" s="85"/>
      <c r="M27" s="86"/>
    </row>
    <row r="28" spans="1:13" x14ac:dyDescent="0.3">
      <c r="A28" s="10"/>
      <c r="B28" s="6"/>
      <c r="C28" s="145" t="s">
        <v>300</v>
      </c>
      <c r="D28" s="146"/>
      <c r="E28" s="146"/>
      <c r="F28" s="146"/>
      <c r="G28" s="147"/>
      <c r="H28" s="100">
        <f>SUM(H29,H36,H43,H50)</f>
        <v>10300000</v>
      </c>
      <c r="I28" s="100">
        <v>0</v>
      </c>
      <c r="J28" s="101">
        <f t="shared" ref="J28:J32" si="9">H28-I28</f>
        <v>10300000</v>
      </c>
      <c r="K28" s="84"/>
      <c r="L28" s="85"/>
      <c r="M28" s="86"/>
    </row>
    <row r="29" spans="1:13" x14ac:dyDescent="0.3">
      <c r="A29" s="10"/>
      <c r="B29" s="6"/>
      <c r="C29" s="7"/>
      <c r="D29" s="145" t="s">
        <v>488</v>
      </c>
      <c r="E29" s="146"/>
      <c r="F29" s="146"/>
      <c r="G29" s="147"/>
      <c r="H29" s="148">
        <f t="shared" si="8"/>
        <v>5000000</v>
      </c>
      <c r="I29" s="148">
        <v>0</v>
      </c>
      <c r="J29" s="101">
        <f t="shared" si="9"/>
        <v>5000000</v>
      </c>
      <c r="K29" s="87"/>
      <c r="L29" s="149"/>
      <c r="M29" s="86"/>
    </row>
    <row r="30" spans="1:13" x14ac:dyDescent="0.3">
      <c r="A30" s="10"/>
      <c r="B30" s="6"/>
      <c r="C30" s="150"/>
      <c r="D30" s="151"/>
      <c r="E30" s="145" t="s">
        <v>521</v>
      </c>
      <c r="F30" s="146"/>
      <c r="G30" s="147"/>
      <c r="H30" s="97">
        <f t="shared" si="8"/>
        <v>5000000</v>
      </c>
      <c r="I30" s="97">
        <v>0</v>
      </c>
      <c r="J30" s="101">
        <f t="shared" si="9"/>
        <v>5000000</v>
      </c>
      <c r="K30" s="90"/>
      <c r="L30" s="99"/>
      <c r="M30" s="88"/>
    </row>
    <row r="31" spans="1:13" x14ac:dyDescent="0.3">
      <c r="A31" s="68"/>
      <c r="B31" s="70"/>
      <c r="C31" s="202"/>
      <c r="D31" s="203"/>
      <c r="E31" s="204"/>
      <c r="F31" s="152" t="s">
        <v>522</v>
      </c>
      <c r="G31" s="205"/>
      <c r="H31" s="77">
        <f>SUM(H32,H34)</f>
        <v>5000000</v>
      </c>
      <c r="I31" s="77">
        <v>0</v>
      </c>
      <c r="J31" s="77">
        <f t="shared" si="9"/>
        <v>5000000</v>
      </c>
      <c r="K31" s="244"/>
      <c r="L31" s="54"/>
      <c r="M31" s="40"/>
    </row>
    <row r="32" spans="1:13" x14ac:dyDescent="0.3">
      <c r="A32" s="68"/>
      <c r="B32" s="70"/>
      <c r="C32" s="70"/>
      <c r="D32" s="161"/>
      <c r="E32" s="206"/>
      <c r="F32" s="206"/>
      <c r="G32" s="73" t="s">
        <v>519</v>
      </c>
      <c r="H32" s="78">
        <f>M32</f>
        <v>4986500</v>
      </c>
      <c r="I32" s="78">
        <v>0</v>
      </c>
      <c r="J32" s="78">
        <f t="shared" si="9"/>
        <v>4986500</v>
      </c>
      <c r="K32" s="89" t="s">
        <v>523</v>
      </c>
      <c r="L32" s="44"/>
      <c r="M32" s="242">
        <f>SUM(M33:M33)</f>
        <v>4986500</v>
      </c>
    </row>
    <row r="33" spans="1:13" x14ac:dyDescent="0.3">
      <c r="A33" s="68"/>
      <c r="B33" s="70"/>
      <c r="C33" s="70"/>
      <c r="D33" s="161"/>
      <c r="E33" s="206"/>
      <c r="F33" s="206"/>
      <c r="G33" s="72"/>
      <c r="H33" s="76"/>
      <c r="I33" s="76"/>
      <c r="J33" s="76"/>
      <c r="K33" s="239" t="s">
        <v>532</v>
      </c>
      <c r="L33" s="158" t="s">
        <v>259</v>
      </c>
      <c r="M33" s="213">
        <v>4986500</v>
      </c>
    </row>
    <row r="34" spans="1:13" x14ac:dyDescent="0.3">
      <c r="A34" s="68"/>
      <c r="B34" s="70"/>
      <c r="C34" s="70"/>
      <c r="D34" s="161"/>
      <c r="E34" s="206"/>
      <c r="F34" s="206"/>
      <c r="G34" s="73" t="s">
        <v>520</v>
      </c>
      <c r="H34" s="79">
        <f>M34</f>
        <v>13500</v>
      </c>
      <c r="I34" s="79">
        <v>0</v>
      </c>
      <c r="J34" s="79">
        <f>H34-I34</f>
        <v>13500</v>
      </c>
      <c r="K34" s="89" t="s">
        <v>524</v>
      </c>
      <c r="L34" s="45"/>
      <c r="M34" s="210">
        <f>SUM(M35)</f>
        <v>13500</v>
      </c>
    </row>
    <row r="35" spans="1:13" x14ac:dyDescent="0.3">
      <c r="A35" s="68"/>
      <c r="B35" s="70"/>
      <c r="C35" s="70"/>
      <c r="D35" s="277"/>
      <c r="E35" s="304"/>
      <c r="F35" s="304"/>
      <c r="G35" s="72"/>
      <c r="H35" s="76"/>
      <c r="I35" s="76"/>
      <c r="J35" s="76"/>
      <c r="K35" s="237" t="s">
        <v>547</v>
      </c>
      <c r="L35" s="158" t="s">
        <v>0</v>
      </c>
      <c r="M35" s="207">
        <v>13500</v>
      </c>
    </row>
    <row r="36" spans="1:13" x14ac:dyDescent="0.3">
      <c r="A36" s="10"/>
      <c r="B36" s="6"/>
      <c r="C36" s="163"/>
      <c r="D36" s="301" t="s">
        <v>487</v>
      </c>
      <c r="E36" s="302"/>
      <c r="F36" s="302"/>
      <c r="G36" s="303"/>
      <c r="H36" s="369">
        <f t="shared" ref="H36:H37" si="10">H37</f>
        <v>3000000</v>
      </c>
      <c r="I36" s="369">
        <v>0</v>
      </c>
      <c r="J36" s="101">
        <f t="shared" ref="J36:J39" si="11">H36-I36</f>
        <v>3000000</v>
      </c>
      <c r="K36" s="176"/>
      <c r="L36" s="149"/>
      <c r="M36" s="166"/>
    </row>
    <row r="37" spans="1:13" x14ac:dyDescent="0.3">
      <c r="A37" s="10"/>
      <c r="B37" s="6"/>
      <c r="C37" s="150"/>
      <c r="D37" s="151"/>
      <c r="E37" s="145" t="s">
        <v>521</v>
      </c>
      <c r="F37" s="146"/>
      <c r="G37" s="147"/>
      <c r="H37" s="97">
        <f t="shared" si="10"/>
        <v>3000000</v>
      </c>
      <c r="I37" s="97">
        <v>0</v>
      </c>
      <c r="J37" s="101">
        <f t="shared" si="11"/>
        <v>3000000</v>
      </c>
      <c r="K37" s="90"/>
      <c r="L37" s="99"/>
      <c r="M37" s="88"/>
    </row>
    <row r="38" spans="1:13" x14ac:dyDescent="0.3">
      <c r="A38" s="68"/>
      <c r="B38" s="70"/>
      <c r="C38" s="202"/>
      <c r="D38" s="203"/>
      <c r="E38" s="204"/>
      <c r="F38" s="152" t="s">
        <v>522</v>
      </c>
      <c r="G38" s="205"/>
      <c r="H38" s="77">
        <f>SUM(H39,H41)</f>
        <v>3000000</v>
      </c>
      <c r="I38" s="77">
        <v>0</v>
      </c>
      <c r="J38" s="77">
        <f t="shared" si="11"/>
        <v>3000000</v>
      </c>
      <c r="K38" s="244"/>
      <c r="L38" s="54"/>
      <c r="M38" s="40"/>
    </row>
    <row r="39" spans="1:13" x14ac:dyDescent="0.3">
      <c r="A39" s="68"/>
      <c r="B39" s="70"/>
      <c r="C39" s="70"/>
      <c r="D39" s="161"/>
      <c r="E39" s="206"/>
      <c r="F39" s="206"/>
      <c r="G39" s="73" t="s">
        <v>519</v>
      </c>
      <c r="H39" s="78">
        <f>M39</f>
        <v>2989200</v>
      </c>
      <c r="I39" s="78">
        <v>0</v>
      </c>
      <c r="J39" s="78">
        <f t="shared" si="11"/>
        <v>2989200</v>
      </c>
      <c r="K39" s="89" t="s">
        <v>523</v>
      </c>
      <c r="L39" s="44"/>
      <c r="M39" s="242">
        <f>M40</f>
        <v>2989200</v>
      </c>
    </row>
    <row r="40" spans="1:13" x14ac:dyDescent="0.3">
      <c r="A40" s="68"/>
      <c r="B40" s="70"/>
      <c r="C40" s="70"/>
      <c r="D40" s="161"/>
      <c r="E40" s="206"/>
      <c r="F40" s="206"/>
      <c r="G40" s="72"/>
      <c r="H40" s="76"/>
      <c r="I40" s="76"/>
      <c r="J40" s="76"/>
      <c r="K40" s="237" t="s">
        <v>525</v>
      </c>
      <c r="L40" s="158" t="s">
        <v>259</v>
      </c>
      <c r="M40" s="207">
        <v>2989200</v>
      </c>
    </row>
    <row r="41" spans="1:13" x14ac:dyDescent="0.3">
      <c r="A41" s="68"/>
      <c r="B41" s="70"/>
      <c r="C41" s="70"/>
      <c r="D41" s="161"/>
      <c r="E41" s="206"/>
      <c r="F41" s="206"/>
      <c r="G41" s="73" t="s">
        <v>520</v>
      </c>
      <c r="H41" s="79">
        <f>M41</f>
        <v>10800</v>
      </c>
      <c r="I41" s="79">
        <v>0</v>
      </c>
      <c r="J41" s="79">
        <f>H41-I41</f>
        <v>10800</v>
      </c>
      <c r="K41" s="238" t="s">
        <v>524</v>
      </c>
      <c r="L41" s="45"/>
      <c r="M41" s="242">
        <f>M42</f>
        <v>10800</v>
      </c>
    </row>
    <row r="42" spans="1:13" x14ac:dyDescent="0.3">
      <c r="A42" s="68"/>
      <c r="B42" s="70"/>
      <c r="C42" s="70"/>
      <c r="D42" s="277"/>
      <c r="E42" s="304"/>
      <c r="F42" s="304"/>
      <c r="G42" s="72"/>
      <c r="H42" s="76"/>
      <c r="I42" s="76"/>
      <c r="J42" s="76"/>
      <c r="K42" s="239" t="s">
        <v>526</v>
      </c>
      <c r="L42" s="222" t="s">
        <v>0</v>
      </c>
      <c r="M42" s="213">
        <v>10800</v>
      </c>
    </row>
    <row r="43" spans="1:13" x14ac:dyDescent="0.3">
      <c r="A43" s="10"/>
      <c r="B43" s="6"/>
      <c r="C43" s="163"/>
      <c r="D43" s="301" t="s">
        <v>489</v>
      </c>
      <c r="E43" s="302"/>
      <c r="F43" s="302"/>
      <c r="G43" s="303"/>
      <c r="H43" s="369">
        <f t="shared" ref="H43:H44" si="12">H44</f>
        <v>500000</v>
      </c>
      <c r="I43" s="369">
        <v>0</v>
      </c>
      <c r="J43" s="101">
        <f t="shared" ref="J43:J46" si="13">H43-I43</f>
        <v>500000</v>
      </c>
      <c r="K43" s="87"/>
      <c r="L43" s="149"/>
      <c r="M43" s="86"/>
    </row>
    <row r="44" spans="1:13" x14ac:dyDescent="0.3">
      <c r="A44" s="10"/>
      <c r="B44" s="6"/>
      <c r="C44" s="150"/>
      <c r="D44" s="151"/>
      <c r="E44" s="145" t="s">
        <v>521</v>
      </c>
      <c r="F44" s="146"/>
      <c r="G44" s="147"/>
      <c r="H44" s="97">
        <f t="shared" si="12"/>
        <v>500000</v>
      </c>
      <c r="I44" s="97">
        <v>0</v>
      </c>
      <c r="J44" s="101">
        <f t="shared" si="13"/>
        <v>500000</v>
      </c>
      <c r="K44" s="90"/>
      <c r="L44" s="99"/>
      <c r="M44" s="88"/>
    </row>
    <row r="45" spans="1:13" x14ac:dyDescent="0.3">
      <c r="A45" s="68"/>
      <c r="B45" s="70"/>
      <c r="C45" s="202"/>
      <c r="D45" s="203"/>
      <c r="E45" s="204"/>
      <c r="F45" s="152" t="s">
        <v>522</v>
      </c>
      <c r="G45" s="205"/>
      <c r="H45" s="77">
        <f>SUM(H46,H48)</f>
        <v>500000</v>
      </c>
      <c r="I45" s="77">
        <v>0</v>
      </c>
      <c r="J45" s="77">
        <f t="shared" si="13"/>
        <v>500000</v>
      </c>
      <c r="K45" s="244"/>
      <c r="L45" s="54"/>
      <c r="M45" s="40"/>
    </row>
    <row r="46" spans="1:13" x14ac:dyDescent="0.3">
      <c r="A46" s="68"/>
      <c r="B46" s="70"/>
      <c r="C46" s="70"/>
      <c r="D46" s="161"/>
      <c r="E46" s="206"/>
      <c r="F46" s="206"/>
      <c r="G46" s="73" t="s">
        <v>519</v>
      </c>
      <c r="H46" s="78">
        <f>M46</f>
        <v>496400</v>
      </c>
      <c r="I46" s="78">
        <v>0</v>
      </c>
      <c r="J46" s="78">
        <f t="shared" si="13"/>
        <v>496400</v>
      </c>
      <c r="K46" s="89" t="s">
        <v>523</v>
      </c>
      <c r="L46" s="44"/>
      <c r="M46" s="242">
        <f>M47</f>
        <v>496400</v>
      </c>
    </row>
    <row r="47" spans="1:13" x14ac:dyDescent="0.3">
      <c r="A47" s="68"/>
      <c r="B47" s="70"/>
      <c r="C47" s="70"/>
      <c r="D47" s="161"/>
      <c r="E47" s="206"/>
      <c r="F47" s="206"/>
      <c r="G47" s="72"/>
      <c r="H47" s="76"/>
      <c r="I47" s="76"/>
      <c r="J47" s="76"/>
      <c r="K47" s="239" t="s">
        <v>527</v>
      </c>
      <c r="L47" s="158" t="s">
        <v>259</v>
      </c>
      <c r="M47" s="213">
        <v>496400</v>
      </c>
    </row>
    <row r="48" spans="1:13" x14ac:dyDescent="0.3">
      <c r="A48" s="68"/>
      <c r="B48" s="70"/>
      <c r="C48" s="70"/>
      <c r="D48" s="161"/>
      <c r="E48" s="206"/>
      <c r="F48" s="206"/>
      <c r="G48" s="73" t="s">
        <v>520</v>
      </c>
      <c r="H48" s="79">
        <f>M48</f>
        <v>3600</v>
      </c>
      <c r="I48" s="79">
        <v>0</v>
      </c>
      <c r="J48" s="79">
        <f>H48-I48</f>
        <v>3600</v>
      </c>
      <c r="K48" s="89" t="s">
        <v>524</v>
      </c>
      <c r="L48" s="45"/>
      <c r="M48" s="210">
        <f>M49</f>
        <v>3600</v>
      </c>
    </row>
    <row r="49" spans="1:13" x14ac:dyDescent="0.3">
      <c r="A49" s="68"/>
      <c r="B49" s="70"/>
      <c r="C49" s="70"/>
      <c r="D49" s="277"/>
      <c r="E49" s="304"/>
      <c r="F49" s="304"/>
      <c r="G49" s="72"/>
      <c r="H49" s="76"/>
      <c r="I49" s="76"/>
      <c r="J49" s="76"/>
      <c r="K49" s="237" t="s">
        <v>528</v>
      </c>
      <c r="L49" s="222" t="s">
        <v>0</v>
      </c>
      <c r="M49" s="213">
        <v>3600</v>
      </c>
    </row>
    <row r="50" spans="1:13" x14ac:dyDescent="0.3">
      <c r="A50" s="10"/>
      <c r="B50" s="6"/>
      <c r="C50" s="163"/>
      <c r="D50" s="301" t="s">
        <v>490</v>
      </c>
      <c r="E50" s="302"/>
      <c r="F50" s="302"/>
      <c r="G50" s="303"/>
      <c r="H50" s="369">
        <f t="shared" ref="H50:H51" si="14">H51</f>
        <v>1800000</v>
      </c>
      <c r="I50" s="369">
        <v>0</v>
      </c>
      <c r="J50" s="101">
        <f t="shared" ref="J50:J53" si="15">H50-I50</f>
        <v>1800000</v>
      </c>
      <c r="K50" s="176"/>
      <c r="L50" s="149"/>
      <c r="M50" s="86"/>
    </row>
    <row r="51" spans="1:13" x14ac:dyDescent="0.3">
      <c r="A51" s="10"/>
      <c r="B51" s="6"/>
      <c r="C51" s="150"/>
      <c r="D51" s="151"/>
      <c r="E51" s="145" t="s">
        <v>521</v>
      </c>
      <c r="F51" s="146"/>
      <c r="G51" s="147"/>
      <c r="H51" s="97">
        <f t="shared" si="14"/>
        <v>1800000</v>
      </c>
      <c r="I51" s="97">
        <v>0</v>
      </c>
      <c r="J51" s="101">
        <f t="shared" si="15"/>
        <v>1800000</v>
      </c>
      <c r="K51" s="90"/>
      <c r="L51" s="99"/>
      <c r="M51" s="88"/>
    </row>
    <row r="52" spans="1:13" x14ac:dyDescent="0.3">
      <c r="A52" s="68"/>
      <c r="B52" s="70"/>
      <c r="C52" s="202"/>
      <c r="D52" s="203"/>
      <c r="E52" s="204"/>
      <c r="F52" s="152" t="s">
        <v>522</v>
      </c>
      <c r="G52" s="205"/>
      <c r="H52" s="77">
        <f>SUM(H53,H55)</f>
        <v>1800000</v>
      </c>
      <c r="I52" s="77">
        <v>0</v>
      </c>
      <c r="J52" s="77">
        <f t="shared" si="15"/>
        <v>1800000</v>
      </c>
      <c r="K52" s="244"/>
      <c r="L52" s="54"/>
      <c r="M52" s="40"/>
    </row>
    <row r="53" spans="1:13" x14ac:dyDescent="0.3">
      <c r="A53" s="68"/>
      <c r="B53" s="70"/>
      <c r="C53" s="70"/>
      <c r="D53" s="161"/>
      <c r="E53" s="206"/>
      <c r="F53" s="206"/>
      <c r="G53" s="73" t="s">
        <v>519</v>
      </c>
      <c r="H53" s="78">
        <f>M53</f>
        <v>1793520</v>
      </c>
      <c r="I53" s="78">
        <v>0</v>
      </c>
      <c r="J53" s="78">
        <f t="shared" si="15"/>
        <v>1793520</v>
      </c>
      <c r="K53" s="89" t="s">
        <v>529</v>
      </c>
      <c r="L53" s="44"/>
      <c r="M53" s="242">
        <f>M54</f>
        <v>1793520</v>
      </c>
    </row>
    <row r="54" spans="1:13" x14ac:dyDescent="0.3">
      <c r="A54" s="68"/>
      <c r="B54" s="70"/>
      <c r="C54" s="70"/>
      <c r="D54" s="161"/>
      <c r="E54" s="206"/>
      <c r="F54" s="206"/>
      <c r="G54" s="73"/>
      <c r="H54" s="76"/>
      <c r="I54" s="76"/>
      <c r="J54" s="76"/>
      <c r="K54" s="239" t="s">
        <v>530</v>
      </c>
      <c r="L54" s="158" t="s">
        <v>259</v>
      </c>
      <c r="M54" s="213">
        <v>1793520</v>
      </c>
    </row>
    <row r="55" spans="1:13" x14ac:dyDescent="0.3">
      <c r="A55" s="68"/>
      <c r="B55" s="70"/>
      <c r="C55" s="70"/>
      <c r="D55" s="161"/>
      <c r="E55" s="206"/>
      <c r="F55" s="206"/>
      <c r="G55" s="69" t="s">
        <v>520</v>
      </c>
      <c r="H55" s="79">
        <f>M55</f>
        <v>6480</v>
      </c>
      <c r="I55" s="79">
        <v>0</v>
      </c>
      <c r="J55" s="79">
        <f>H55-I55</f>
        <v>6480</v>
      </c>
      <c r="K55" s="89" t="s">
        <v>524</v>
      </c>
      <c r="L55" s="45"/>
      <c r="M55" s="210">
        <f>M56</f>
        <v>6480</v>
      </c>
    </row>
    <row r="56" spans="1:13" x14ac:dyDescent="0.3">
      <c r="A56" s="68"/>
      <c r="B56" s="72"/>
      <c r="C56" s="72"/>
      <c r="D56" s="277"/>
      <c r="E56" s="304"/>
      <c r="F56" s="304"/>
      <c r="G56" s="72"/>
      <c r="H56" s="76"/>
      <c r="I56" s="76"/>
      <c r="J56" s="76"/>
      <c r="K56" s="237" t="s">
        <v>531</v>
      </c>
      <c r="L56" s="222" t="s">
        <v>0</v>
      </c>
      <c r="M56" s="213">
        <v>6480</v>
      </c>
    </row>
    <row r="57" spans="1:13" x14ac:dyDescent="0.3">
      <c r="A57" s="329"/>
      <c r="B57" s="327" t="s">
        <v>301</v>
      </c>
      <c r="C57" s="301"/>
      <c r="D57" s="302"/>
      <c r="E57" s="302"/>
      <c r="F57" s="302"/>
      <c r="G57" s="303"/>
      <c r="H57" s="100">
        <f t="shared" ref="H57:H67" si="16">H58</f>
        <v>6800000</v>
      </c>
      <c r="I57" s="100">
        <v>0</v>
      </c>
      <c r="J57" s="101">
        <f>H57-I57</f>
        <v>6800000</v>
      </c>
      <c r="K57" s="221"/>
      <c r="L57" s="85"/>
      <c r="M57" s="86"/>
    </row>
    <row r="58" spans="1:13" x14ac:dyDescent="0.3">
      <c r="A58" s="10"/>
      <c r="B58" s="6"/>
      <c r="C58" s="145" t="s">
        <v>302</v>
      </c>
      <c r="D58" s="146"/>
      <c r="E58" s="146"/>
      <c r="F58" s="146"/>
      <c r="G58" s="147"/>
      <c r="H58" s="100">
        <f>SUM(H59,H66)</f>
        <v>6800000</v>
      </c>
      <c r="I58" s="100">
        <v>0</v>
      </c>
      <c r="J58" s="101">
        <f t="shared" ref="J58:J69" si="17">H58-I58</f>
        <v>6800000</v>
      </c>
      <c r="K58" s="84"/>
      <c r="L58" s="85"/>
      <c r="M58" s="86"/>
    </row>
    <row r="59" spans="1:13" x14ac:dyDescent="0.3">
      <c r="A59" s="10"/>
      <c r="B59" s="6"/>
      <c r="C59" s="7"/>
      <c r="D59" s="327" t="s">
        <v>672</v>
      </c>
      <c r="E59" s="146"/>
      <c r="F59" s="146"/>
      <c r="G59" s="147"/>
      <c r="H59" s="148">
        <f t="shared" si="16"/>
        <v>5000000</v>
      </c>
      <c r="I59" s="148">
        <v>0</v>
      </c>
      <c r="J59" s="101">
        <f t="shared" ref="J59:J62" si="18">H59-I59</f>
        <v>5000000</v>
      </c>
      <c r="K59" s="87"/>
      <c r="L59" s="149"/>
      <c r="M59" s="86"/>
    </row>
    <row r="60" spans="1:13" x14ac:dyDescent="0.3">
      <c r="A60" s="10"/>
      <c r="B60" s="6"/>
      <c r="C60" s="150"/>
      <c r="D60" s="151"/>
      <c r="E60" s="145" t="s">
        <v>521</v>
      </c>
      <c r="F60" s="146"/>
      <c r="G60" s="147"/>
      <c r="H60" s="97">
        <f t="shared" si="16"/>
        <v>5000000</v>
      </c>
      <c r="I60" s="97">
        <v>0</v>
      </c>
      <c r="J60" s="101">
        <f t="shared" si="18"/>
        <v>5000000</v>
      </c>
      <c r="K60" s="90"/>
      <c r="L60" s="99"/>
      <c r="M60" s="88"/>
    </row>
    <row r="61" spans="1:13" x14ac:dyDescent="0.3">
      <c r="A61" s="68"/>
      <c r="B61" s="70"/>
      <c r="C61" s="202"/>
      <c r="D61" s="203"/>
      <c r="E61" s="204"/>
      <c r="F61" s="152" t="s">
        <v>522</v>
      </c>
      <c r="G61" s="205"/>
      <c r="H61" s="77">
        <f>SUM(H62,H64)</f>
        <v>5000000</v>
      </c>
      <c r="I61" s="77">
        <v>0</v>
      </c>
      <c r="J61" s="77">
        <f t="shared" si="18"/>
        <v>5000000</v>
      </c>
      <c r="K61" s="244"/>
      <c r="L61" s="54"/>
      <c r="M61" s="40"/>
    </row>
    <row r="62" spans="1:13" x14ac:dyDescent="0.3">
      <c r="A62" s="68"/>
      <c r="B62" s="70"/>
      <c r="C62" s="70"/>
      <c r="D62" s="161"/>
      <c r="E62" s="206"/>
      <c r="F62" s="206"/>
      <c r="G62" s="73" t="s">
        <v>519</v>
      </c>
      <c r="H62" s="78">
        <f>M62</f>
        <v>4986500</v>
      </c>
      <c r="I62" s="78">
        <v>0</v>
      </c>
      <c r="J62" s="78">
        <f t="shared" si="18"/>
        <v>4986500</v>
      </c>
      <c r="K62" s="89" t="s">
        <v>529</v>
      </c>
      <c r="L62" s="44"/>
      <c r="M62" s="242">
        <f>M63</f>
        <v>4986500</v>
      </c>
    </row>
    <row r="63" spans="1:13" x14ac:dyDescent="0.3">
      <c r="A63" s="68"/>
      <c r="B63" s="70"/>
      <c r="C63" s="70"/>
      <c r="D63" s="161"/>
      <c r="E63" s="206"/>
      <c r="F63" s="206"/>
      <c r="G63" s="72"/>
      <c r="H63" s="76"/>
      <c r="I63" s="76"/>
      <c r="J63" s="76"/>
      <c r="K63" s="239" t="s">
        <v>549</v>
      </c>
      <c r="L63" s="158" t="s">
        <v>259</v>
      </c>
      <c r="M63" s="213">
        <v>4986500</v>
      </c>
    </row>
    <row r="64" spans="1:13" x14ac:dyDescent="0.3">
      <c r="A64" s="68"/>
      <c r="B64" s="70"/>
      <c r="C64" s="70"/>
      <c r="D64" s="161"/>
      <c r="E64" s="206"/>
      <c r="F64" s="206"/>
      <c r="G64" s="73" t="s">
        <v>520</v>
      </c>
      <c r="H64" s="79">
        <f>M64</f>
        <v>13500</v>
      </c>
      <c r="I64" s="79">
        <v>0</v>
      </c>
      <c r="J64" s="79">
        <f>H64-I64</f>
        <v>13500</v>
      </c>
      <c r="K64" s="89" t="s">
        <v>524</v>
      </c>
      <c r="L64" s="45"/>
      <c r="M64" s="210">
        <f>M65</f>
        <v>13500</v>
      </c>
    </row>
    <row r="65" spans="1:13" x14ac:dyDescent="0.3">
      <c r="A65" s="68"/>
      <c r="B65" s="70"/>
      <c r="C65" s="70"/>
      <c r="D65" s="277"/>
      <c r="E65" s="304"/>
      <c r="F65" s="304"/>
      <c r="G65" s="72"/>
      <c r="H65" s="76"/>
      <c r="I65" s="76"/>
      <c r="J65" s="76"/>
      <c r="K65" s="239" t="s">
        <v>548</v>
      </c>
      <c r="L65" s="220" t="s">
        <v>0</v>
      </c>
      <c r="M65" s="207">
        <v>13500</v>
      </c>
    </row>
    <row r="66" spans="1:13" x14ac:dyDescent="0.3">
      <c r="A66" s="10"/>
      <c r="B66" s="6"/>
      <c r="C66" s="163"/>
      <c r="D66" s="330" t="s">
        <v>665</v>
      </c>
      <c r="E66" s="302"/>
      <c r="F66" s="302"/>
      <c r="G66" s="303"/>
      <c r="H66" s="369">
        <f t="shared" si="16"/>
        <v>1800000</v>
      </c>
      <c r="I66" s="369">
        <v>0</v>
      </c>
      <c r="J66" s="101">
        <f t="shared" si="17"/>
        <v>1800000</v>
      </c>
      <c r="K66" s="87"/>
      <c r="L66" s="165"/>
      <c r="M66" s="166"/>
    </row>
    <row r="67" spans="1:13" x14ac:dyDescent="0.3">
      <c r="A67" s="10"/>
      <c r="B67" s="6"/>
      <c r="C67" s="150"/>
      <c r="D67" s="151"/>
      <c r="E67" s="145" t="s">
        <v>521</v>
      </c>
      <c r="F67" s="146"/>
      <c r="G67" s="147"/>
      <c r="H67" s="97">
        <f t="shared" si="16"/>
        <v>1800000</v>
      </c>
      <c r="I67" s="97">
        <v>0</v>
      </c>
      <c r="J67" s="101">
        <f t="shared" si="17"/>
        <v>1800000</v>
      </c>
      <c r="K67" s="90"/>
      <c r="L67" s="99"/>
      <c r="M67" s="88"/>
    </row>
    <row r="68" spans="1:13" x14ac:dyDescent="0.3">
      <c r="A68" s="68"/>
      <c r="B68" s="70"/>
      <c r="C68" s="202"/>
      <c r="D68" s="203"/>
      <c r="E68" s="204"/>
      <c r="F68" s="152" t="s">
        <v>522</v>
      </c>
      <c r="G68" s="205"/>
      <c r="H68" s="77">
        <f>SUM(H69,H71)</f>
        <v>1800000</v>
      </c>
      <c r="I68" s="77">
        <v>0</v>
      </c>
      <c r="J68" s="77">
        <f t="shared" si="17"/>
        <v>1800000</v>
      </c>
      <c r="K68" s="244"/>
      <c r="L68" s="54"/>
      <c r="M68" s="40"/>
    </row>
    <row r="69" spans="1:13" x14ac:dyDescent="0.3">
      <c r="A69" s="68"/>
      <c r="B69" s="70"/>
      <c r="C69" s="70"/>
      <c r="D69" s="161"/>
      <c r="E69" s="206"/>
      <c r="F69" s="206"/>
      <c r="G69" s="73" t="s">
        <v>519</v>
      </c>
      <c r="H69" s="78">
        <f>M69</f>
        <v>1793520</v>
      </c>
      <c r="I69" s="78">
        <v>0</v>
      </c>
      <c r="J69" s="78">
        <f t="shared" si="17"/>
        <v>1793520</v>
      </c>
      <c r="K69" s="89" t="s">
        <v>523</v>
      </c>
      <c r="L69" s="44"/>
      <c r="M69" s="242">
        <f>M70</f>
        <v>1793520</v>
      </c>
    </row>
    <row r="70" spans="1:13" x14ac:dyDescent="0.3">
      <c r="A70" s="68"/>
      <c r="B70" s="70"/>
      <c r="C70" s="70"/>
      <c r="D70" s="161"/>
      <c r="E70" s="206"/>
      <c r="F70" s="206"/>
      <c r="G70" s="72"/>
      <c r="H70" s="76"/>
      <c r="I70" s="76"/>
      <c r="J70" s="76"/>
      <c r="K70" s="239" t="s">
        <v>551</v>
      </c>
      <c r="L70" s="158" t="s">
        <v>259</v>
      </c>
      <c r="M70" s="213">
        <v>1793520</v>
      </c>
    </row>
    <row r="71" spans="1:13" x14ac:dyDescent="0.3">
      <c r="A71" s="68"/>
      <c r="B71" s="70"/>
      <c r="C71" s="70"/>
      <c r="D71" s="161"/>
      <c r="E71" s="206"/>
      <c r="F71" s="206"/>
      <c r="G71" s="73" t="s">
        <v>520</v>
      </c>
      <c r="H71" s="79">
        <f>M71</f>
        <v>6480</v>
      </c>
      <c r="I71" s="79">
        <v>0</v>
      </c>
      <c r="J71" s="79">
        <f>H71-I71</f>
        <v>6480</v>
      </c>
      <c r="K71" s="89" t="s">
        <v>524</v>
      </c>
      <c r="L71" s="45"/>
      <c r="M71" s="210">
        <f>M72</f>
        <v>6480</v>
      </c>
    </row>
    <row r="72" spans="1:13" ht="17.25" thickBot="1" x14ac:dyDescent="0.35">
      <c r="A72" s="331"/>
      <c r="B72" s="74"/>
      <c r="C72" s="74"/>
      <c r="D72" s="332"/>
      <c r="E72" s="333"/>
      <c r="F72" s="333"/>
      <c r="G72" s="74"/>
      <c r="H72" s="334"/>
      <c r="I72" s="334"/>
      <c r="J72" s="334"/>
      <c r="K72" s="257" t="s">
        <v>550</v>
      </c>
      <c r="L72" s="258" t="s">
        <v>0</v>
      </c>
      <c r="M72" s="207">
        <v>6480</v>
      </c>
    </row>
    <row r="73" spans="1:13" x14ac:dyDescent="0.3">
      <c r="M73" s="400"/>
    </row>
  </sheetData>
  <protectedRanges>
    <protectedRange password="ECE8" sqref="K33 K25 K18 K12:K13 K47 K40 K35 K42 K49 K54 K56 K63 K65 K70 K72" name="작성자만수정_2_1_1_1"/>
  </protectedRanges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113" priority="91" operator="containsText" text="허하나로">
      <formula>NOT(ISERROR(SEARCH("허하나로",H817)))</formula>
    </cfRule>
    <cfRule type="containsText" dxfId="112" priority="92" operator="containsText" text="한별">
      <formula>NOT(ISERROR(SEARCH("한별",H817)))</formula>
    </cfRule>
    <cfRule type="containsText" dxfId="111" priority="93" operator="containsText" text="정홍조">
      <formula>NOT(ISERROR(SEARCH("정홍조",H817)))</formula>
    </cfRule>
    <cfRule type="containsText" dxfId="110" priority="94" operator="containsText" text="김지윤">
      <formula>NOT(ISERROR(SEARCH("김지윤",H817)))</formula>
    </cfRule>
    <cfRule type="containsText" dxfId="109" priority="95" operator="containsText" text="전준영">
      <formula>NOT(ISERROR(SEARCH("전준영",H817)))</formula>
    </cfRule>
    <cfRule type="containsText" dxfId="108" priority="96" operator="containsText" text="차재성">
      <formula>NOT(ISERROR(SEARCH("차재성",H817)))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9" operator="containsText" text="허하나로" id="{28638BD0-53C8-416D-AEA7-086F4C3B2612}">
            <xm:f>NOT(ISERROR(SEARCH("허하나로",'[240229)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0" operator="containsText" text="한별" id="{31B8AA79-2D9D-439B-8B41-94BDADC4EAE7}">
            <xm:f>NOT(ISERROR(SEARCH("한별",'[240229)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1" operator="containsText" text="정홍조" id="{2CAA77AC-0EAE-4146-BD2E-0A25B355284F}">
            <xm:f>NOT(ISERROR(SEARCH("정홍조",'[240229)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2" operator="containsText" text="김지윤" id="{FEABD15A-02A5-4CD7-B34C-C4D219CEF5D3}">
            <xm:f>NOT(ISERROR(SEARCH("김지윤",'[240229)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3" operator="containsText" text="전준영" id="{DE2AD7CF-855A-46FB-A16E-241701A3E40C}">
            <xm:f>NOT(ISERROR(SEARCH("전준영",'[240229)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14" operator="containsText" text="차재성" id="{AEE920D6-A787-4F27-92F5-0E99ED63827B}">
            <xm:f>NOT(ISERROR(SEARCH("차재성",'[240229)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ontainsText" priority="115" operator="containsText" text="허하나로" id="{84ABEAFC-27D9-480D-B84A-5AB2AE61292C}">
            <xm:f>NOT(ISERROR(SEARCH("허하나로",'[240229)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6" operator="containsText" text="한별" id="{18453F90-08FF-4B67-9587-44306ED7AB84}">
            <xm:f>NOT(ISERROR(SEARCH("한별",'[240229)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7" operator="containsText" text="정홍조" id="{B7F98469-D02B-42F6-9A10-23A76F6FE069}">
            <xm:f>NOT(ISERROR(SEARCH("정홍조",'[240229)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8" operator="containsText" text="김지윤" id="{B26ACED7-A018-4823-9868-13E68E500B40}">
            <xm:f>NOT(ISERROR(SEARCH("김지윤",'[240229)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9" operator="containsText" text="전준영" id="{B57C2009-3BAB-4FAC-BFF0-8C6F65377C62}">
            <xm:f>NOT(ISERROR(SEARCH("전준영",'[240229)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0" operator="containsText" text="차재성" id="{051401DA-5E9B-4873-9A18-26068B845AA7}">
            <xm:f>NOT(ISERROR(SEARCH("차재성",'[240229)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H5:I5</xm:sqref>
        </x14:conditionalFormatting>
        <x14:conditionalFormatting xmlns:xm="http://schemas.microsoft.com/office/excel/2006/main">
          <x14:cfRule type="containsText" priority="103" operator="containsText" text="허하나로" id="{89235DDE-1071-4605-B173-BD45F7FF09F3}">
            <xm:f>NOT(ISERROR(SEARCH("허하나로",'[240229)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04" operator="containsText" text="한별" id="{0BEF1513-C5C7-4A14-8A85-ABF4AF30D9E8}">
            <xm:f>NOT(ISERROR(SEARCH("한별",'[240229)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05" operator="containsText" text="정홍조" id="{0D7B9E5E-199A-48F4-A930-C4CF5DA10819}">
            <xm:f>NOT(ISERROR(SEARCH("정홍조",'[240229)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6" operator="containsText" text="김지윤" id="{38B077B6-7E42-469C-8002-C0418CDDEE04}">
            <xm:f>NOT(ISERROR(SEARCH("김지윤",'[240229)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7" operator="containsText" text="전준영" id="{A9FB81D0-A109-4483-A39B-076950B959C6}">
            <xm:f>NOT(ISERROR(SEARCH("전준영",'[240229)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8" operator="containsText" text="차재성" id="{BECC4EFC-1168-4B65-841B-CA7EF201B0D8}">
            <xm:f>NOT(ISERROR(SEARCH("차재성",'[240229)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J7:J9</xm:sqref>
        </x14:conditionalFormatting>
        <x14:conditionalFormatting xmlns:xm="http://schemas.microsoft.com/office/excel/2006/main">
          <x14:cfRule type="containsText" priority="97" operator="containsText" text="허하나로" id="{B3A30445-95BB-48BC-BEFA-67DBDC362914}">
            <xm:f>NOT(ISERROR(SEARCH("허하나로",'[240229)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8" operator="containsText" text="한별" id="{0B01D86B-AF1F-4FE3-907A-5879EA65757D}">
            <xm:f>NOT(ISERROR(SEARCH("한별",'[240229)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9" operator="containsText" text="정홍조" id="{62054932-FFCF-451C-BEA2-7F4CE12449C9}">
            <xm:f>NOT(ISERROR(SEARCH("정홍조",'[240229)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0" operator="containsText" text="김지윤" id="{947ADF9A-3CB4-4157-A489-E266B4F1B3D6}">
            <xm:f>NOT(ISERROR(SEARCH("김지윤",'[240229)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1" operator="containsText" text="전준영" id="{CBF69331-510E-4635-B572-6AC9FD061D1C}">
            <xm:f>NOT(ISERROR(SEARCH("전준영",'[240229)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2" operator="containsText" text="차재성" id="{E2062335-7998-4748-9E5D-147E0AC78558}">
            <xm:f>NOT(ISERROR(SEARCH("차재성",'[240229)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</xm:sqref>
        </x14:conditionalFormatting>
        <x14:conditionalFormatting xmlns:xm="http://schemas.microsoft.com/office/excel/2006/main">
          <x14:cfRule type="containsText" priority="79" operator="containsText" text="허하나로" id="{F0776EFC-8E3A-4D8B-AE9E-2E1EDBA61334}">
            <xm:f>NOT(ISERROR(SEARCH("허하나로",'[240229)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8F512229-F18A-4A20-B5F5-69BC952AB635}">
            <xm:f>NOT(ISERROR(SEARCH("한별",'[240229)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4B76C7E6-2EB9-420C-A8BC-11B4894BB93A}">
            <xm:f>NOT(ISERROR(SEARCH("정홍조",'[240229)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3EAD65EB-88DD-4F85-BA94-125BAC5C1B13}">
            <xm:f>NOT(ISERROR(SEARCH("김지윤",'[240229)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A1E05917-A8AE-40A9-8B52-5ED43B4F493F}">
            <xm:f>NOT(ISERROR(SEARCH("전준영",'[240229)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2626D1A1-5D3A-425D-983F-614D41A59424}">
            <xm:f>NOT(ISERROR(SEARCH("차재성",'[240229)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73" operator="containsText" text="허하나로" id="{DC5B024D-1B4E-421A-BB83-FCF6D1E4F405}">
            <xm:f>NOT(ISERROR(SEARCH("허하나로",'[240229)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74" operator="containsText" text="한별" id="{9AE5CA7D-1D6C-4D7C-8468-27FCC56E497D}">
            <xm:f>NOT(ISERROR(SEARCH("한별",'[240229)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75" operator="containsText" text="정홍조" id="{C33207A9-6255-4D92-9095-0A4847D4A069}">
            <xm:f>NOT(ISERROR(SEARCH("정홍조",'[240229)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6" operator="containsText" text="김지윤" id="{99EDDE61-2A77-4B38-88C3-FE33BCE7638C}">
            <xm:f>NOT(ISERROR(SEARCH("김지윤",'[240229)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7" operator="containsText" text="전준영" id="{75CE6EAE-2881-4A24-85B3-0B07D36DB77A}">
            <xm:f>NOT(ISERROR(SEARCH("전준영",'[240229)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8" operator="containsText" text="차재성" id="{D2D1FF06-A19E-4B2F-8DF6-B9B2FF257370}">
            <xm:f>NOT(ISERROR(SEARCH("차재성",'[240229)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H26</xm:sqref>
        </x14:conditionalFormatting>
        <x14:conditionalFormatting xmlns:xm="http://schemas.microsoft.com/office/excel/2006/main">
          <x14:cfRule type="containsText" priority="67" operator="containsText" text="허하나로" id="{CC550875-2786-4525-A770-AB222A6D8FD8}">
            <xm:f>NOT(ISERROR(SEARCH("허하나로",'[240229)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8" operator="containsText" text="한별" id="{BC767287-1A59-4639-A998-3BDEC90FE36E}">
            <xm:f>NOT(ISERROR(SEARCH("한별",'[240229)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9" operator="containsText" text="정홍조" id="{D166153D-029D-4502-BD50-534D2EAA8F5D}">
            <xm:f>NOT(ISERROR(SEARCH("정홍조",'[240229)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0" operator="containsText" text="김지윤" id="{DA3F8C2B-D0E6-43FA-8BC2-E707C9F5AE97}">
            <xm:f>NOT(ISERROR(SEARCH("김지윤",'[240229)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1" operator="containsText" text="전준영" id="{8568F444-DC9F-4978-AD82-DE423B556D25}">
            <xm:f>NOT(ISERROR(SEARCH("전준영",'[240229)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2" operator="containsText" text="차재성" id="{27F4669B-1FEA-4595-B546-C2D769C41A9A}">
            <xm:f>NOT(ISERROR(SEARCH("차재성",'[240229)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J28:J30</xm:sqref>
        </x14:conditionalFormatting>
        <x14:conditionalFormatting xmlns:xm="http://schemas.microsoft.com/office/excel/2006/main">
          <x14:cfRule type="containsText" priority="61" operator="containsText" text="허하나로" id="{1A05E6F2-373C-4407-8985-E09379A0138F}">
            <xm:f>NOT(ISERROR(SEARCH("허하나로",'[240229)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2" operator="containsText" text="한별" id="{1DEBA8E4-D9E9-4D49-89B6-58EF0847F443}">
            <xm:f>NOT(ISERROR(SEARCH("한별",'[240229)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3" operator="containsText" text="정홍조" id="{6810E50D-9479-40DC-BC93-241AC65C99A9}">
            <xm:f>NOT(ISERROR(SEARCH("정홍조",'[240229)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64" operator="containsText" text="김지윤" id="{2C5E59D9-E025-43FB-95E5-EC56F21BBECF}">
            <xm:f>NOT(ISERROR(SEARCH("김지윤",'[240229)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5" operator="containsText" text="전준영" id="{386481DC-7D83-4D78-9C0E-C737E1E44443}">
            <xm:f>NOT(ISERROR(SEARCH("전준영",'[240229)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6" operator="containsText" text="차재성" id="{89BA7F21-8EE3-4152-BA7D-C381E2FFBE71}">
            <xm:f>NOT(ISERROR(SEARCH("차재성",'[240229)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J27</xm:sqref>
        </x14:conditionalFormatting>
        <x14:conditionalFormatting xmlns:xm="http://schemas.microsoft.com/office/excel/2006/main">
          <x14:cfRule type="containsText" priority="55" operator="containsText" text="허하나로" id="{BCDB1C43-8BD3-4A5F-A099-08D2EEB153AC}">
            <xm:f>NOT(ISERROR(SEARCH("허하나로",'[240229)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6" operator="containsText" text="한별" id="{ECCED475-948E-4E57-89C6-2900681D7E3C}">
            <xm:f>NOT(ISERROR(SEARCH("한별",'[240229)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7" operator="containsText" text="정홍조" id="{A38EE1CC-59A0-404E-9498-F640120BA44E}">
            <xm:f>NOT(ISERROR(SEARCH("정홍조",'[240229)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8" operator="containsText" text="김지윤" id="{100237B7-CFCF-4A44-AB61-E7366F2D0994}">
            <xm:f>NOT(ISERROR(SEARCH("김지윤",'[240229)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9" operator="containsText" text="전준영" id="{31096114-70E2-4A1F-9B35-5B876634827D}">
            <xm:f>NOT(ISERROR(SEARCH("전준영",'[240229)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0" operator="containsText" text="차재성" id="{B126A396-1B9B-4D8C-9D41-C2AEAC8F63C0}">
            <xm:f>NOT(ISERROR(SEARCH("차재성",'[240229)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I26</xm:sqref>
        </x14:conditionalFormatting>
        <x14:conditionalFormatting xmlns:xm="http://schemas.microsoft.com/office/excel/2006/main">
          <x14:cfRule type="containsText" priority="49" operator="containsText" text="허하나로" id="{32FF62E2-9292-49F9-AF0A-F1A668DE0E19}">
            <xm:f>NOT(ISERROR(SEARCH("허하나로",'[240229)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0" operator="containsText" text="한별" id="{C5774498-CA8A-441F-BFFB-CD699EE3769D}">
            <xm:f>NOT(ISERROR(SEARCH("한별",'[240229)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1" operator="containsText" text="정홍조" id="{D10E7E17-4E65-4D55-81B5-AA1282B88074}">
            <xm:f>NOT(ISERROR(SEARCH("정홍조",'[240229)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2" operator="containsText" text="김지윤" id="{9046ACE1-3A73-4B29-8C66-7C9BC09EDBBF}">
            <xm:f>NOT(ISERROR(SEARCH("김지윤",'[240229)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3" operator="containsText" text="전준영" id="{46DD9E08-73B5-4E8F-879C-A46E5C82CE3C}">
            <xm:f>NOT(ISERROR(SEARCH("전준영",'[240229)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54" operator="containsText" text="차재성" id="{AC71C39B-A6C0-4743-889B-A234260443BE}">
            <xm:f>NOT(ISERROR(SEARCH("차재성",'[240229)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J50:J51</xm:sqref>
        </x14:conditionalFormatting>
        <x14:conditionalFormatting xmlns:xm="http://schemas.microsoft.com/office/excel/2006/main">
          <x14:cfRule type="containsText" priority="43" operator="containsText" text="허하나로" id="{FFFFD91E-9C96-4995-B143-48196195E2BD}">
            <xm:f>NOT(ISERROR(SEARCH("허하나로",'[240229)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4" operator="containsText" text="한별" id="{CD63161A-A5DA-43C2-9C08-510A59DA8CDE}">
            <xm:f>NOT(ISERROR(SEARCH("한별",'[240229)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" operator="containsText" text="정홍조" id="{337E64F5-C270-479D-B462-8C5967F0E03D}">
            <xm:f>NOT(ISERROR(SEARCH("정홍조",'[240229)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" operator="containsText" text="김지윤" id="{424FB007-E177-473C-81A9-C8223BA73BE6}">
            <xm:f>NOT(ISERROR(SEARCH("김지윤",'[240229)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7" operator="containsText" text="전준영" id="{6FA2DEEB-CDB0-4E13-823C-02D5882331DC}">
            <xm:f>NOT(ISERROR(SEARCH("전준영",'[240229)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8" operator="containsText" text="차재성" id="{587DA76C-E3EE-48D0-9348-80754C739E77}">
            <xm:f>NOT(ISERROR(SEARCH("차재성",'[240229)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J58 J66:J67</xm:sqref>
        </x14:conditionalFormatting>
        <x14:conditionalFormatting xmlns:xm="http://schemas.microsoft.com/office/excel/2006/main">
          <x14:cfRule type="containsText" priority="37" operator="containsText" text="허하나로" id="{AF6B8880-4BE9-4BDA-AFAC-94CBC841699E}">
            <xm:f>NOT(ISERROR(SEARCH("허하나로",'[240229)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8" operator="containsText" text="한별" id="{2CD10CBB-A400-4DA9-8A5F-9A605C881D25}">
            <xm:f>NOT(ISERROR(SEARCH("한별",'[240229)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" operator="containsText" text="정홍조" id="{FAEB4972-F482-4388-A2F8-EF39772D612B}">
            <xm:f>NOT(ISERROR(SEARCH("정홍조",'[240229)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0" operator="containsText" text="김지윤" id="{B1D70695-6BCA-42EC-B94C-101A166A3460}">
            <xm:f>NOT(ISERROR(SEARCH("김지윤",'[240229)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" operator="containsText" text="전준영" id="{AB384378-222B-445C-B668-D5899361E56E}">
            <xm:f>NOT(ISERROR(SEARCH("전준영",'[240229)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2" operator="containsText" text="차재성" id="{BFC6D678-E726-4A71-A69B-AB24F6875172}">
            <xm:f>NOT(ISERROR(SEARCH("차재성",'[240229)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J57</xm:sqref>
        </x14:conditionalFormatting>
        <x14:conditionalFormatting xmlns:xm="http://schemas.microsoft.com/office/excel/2006/main">
          <x14:cfRule type="containsText" priority="31" operator="containsText" text="허하나로" id="{6F85EACA-2A8C-4DC8-856F-1F687BCA32AE}">
            <xm:f>NOT(ISERROR(SEARCH("허하나로",'[240229)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2" operator="containsText" text="한별" id="{E846A9E7-3B48-4011-8FDC-429AD7764DEC}">
            <xm:f>NOT(ISERROR(SEARCH("한별",'[240229)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3" operator="containsText" text="정홍조" id="{803A58E8-6C25-44B5-B0C9-48AABB637B48}">
            <xm:f>NOT(ISERROR(SEARCH("정홍조",'[240229)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34" operator="containsText" text="김지윤" id="{07FCE2EF-A18C-46BD-9979-4E0EC19067CC}">
            <xm:f>NOT(ISERROR(SEARCH("김지윤",'[240229)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5" operator="containsText" text="전준영" id="{21808195-82C1-48C1-9674-1FD3959419FD}">
            <xm:f>NOT(ISERROR(SEARCH("전준영",'[240229)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6" operator="containsText" text="차재성" id="{8071ACFB-708D-4BC3-B8FD-8BDABD4E9BEF}">
            <xm:f>NOT(ISERROR(SEARCH("차재성",'[240229)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J20:J22</xm:sqref>
        </x14:conditionalFormatting>
        <x14:conditionalFormatting xmlns:xm="http://schemas.microsoft.com/office/excel/2006/main">
          <x14:cfRule type="containsText" priority="25" operator="containsText" text="허하나로" id="{0E3BA01D-ECC7-494A-AEAC-5010F879D10E}">
            <xm:f>NOT(ISERROR(SEARCH("허하나로",'[240229)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6" operator="containsText" text="한별" id="{9CBBFD54-BE4F-4AA7-81D8-91EC2A835A0F}">
            <xm:f>NOT(ISERROR(SEARCH("한별",'[240229)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7" operator="containsText" text="정홍조" id="{7D3FE18A-933F-471C-94A4-538EA9D4F928}">
            <xm:f>NOT(ISERROR(SEARCH("정홍조",'[240229)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8" operator="containsText" text="김지윤" id="{FCA49F57-4BFA-4AFE-BB7F-653DD5BF07C5}">
            <xm:f>NOT(ISERROR(SEARCH("김지윤",'[240229)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" operator="containsText" text="전준영" id="{A193A813-F817-4818-A6B7-4110E1F01364}">
            <xm:f>NOT(ISERROR(SEARCH("전준영",'[240229)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0" operator="containsText" text="차재성" id="{FDAC11BA-64FE-4B0D-BB18-D1B7BBAECCD9}">
            <xm:f>NOT(ISERROR(SEARCH("차재성",'[240229)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J14:J15</xm:sqref>
        </x14:conditionalFormatting>
        <x14:conditionalFormatting xmlns:xm="http://schemas.microsoft.com/office/excel/2006/main">
          <x14:cfRule type="containsText" priority="19" operator="containsText" text="허하나로" id="{53E2B25A-6F15-4886-8C98-37A16E531506}">
            <xm:f>NOT(ISERROR(SEARCH("허하나로",'[240229)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0" operator="containsText" text="한별" id="{018BDF2C-A1F4-45F0-AC58-2C09101F9F18}">
            <xm:f>NOT(ISERROR(SEARCH("한별",'[240229)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1" operator="containsText" text="정홍조" id="{96EB6039-9116-4E30-97C3-7BC9C712E5B2}">
            <xm:f>NOT(ISERROR(SEARCH("정홍조",'[240229)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2" operator="containsText" text="김지윤" id="{6D6F6143-CC85-4AD3-B523-6CBD2A04234D}">
            <xm:f>NOT(ISERROR(SEARCH("김지윤",'[240229)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3" operator="containsText" text="전준영" id="{03839964-0321-41CF-A384-CD6BE498B9DE}">
            <xm:f>NOT(ISERROR(SEARCH("전준영",'[240229)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4" operator="containsText" text="차재성" id="{62D8A496-5FF2-42E3-B115-42DECD38D332}">
            <xm:f>NOT(ISERROR(SEARCH("차재성",'[240229)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J19</xm:sqref>
        </x14:conditionalFormatting>
        <x14:conditionalFormatting xmlns:xm="http://schemas.microsoft.com/office/excel/2006/main">
          <x14:cfRule type="containsText" priority="13" operator="containsText" text="허하나로" id="{84129093-70EE-4B89-A62C-1FDEA92236D9}">
            <xm:f>NOT(ISERROR(SEARCH("허하나로",'[240229)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A5AF2A4C-A0F1-4A7F-A199-2D524EFFC8BD}">
            <xm:f>NOT(ISERROR(SEARCH("한별",'[240229)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0AB912F3-AC72-4CDE-AF9E-65095E13309C}">
            <xm:f>NOT(ISERROR(SEARCH("정홍조",'[240229)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0E705F02-76DA-4FC1-9570-9E9B2E7593BE}">
            <xm:f>NOT(ISERROR(SEARCH("김지윤",'[240229)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4B03BD70-492D-485D-A365-43CC5F74F446}">
            <xm:f>NOT(ISERROR(SEARCH("전준영",'[240229)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6A9A5827-A8DE-4868-A5C4-3F2E9033547C}">
            <xm:f>NOT(ISERROR(SEARCH("차재성",'[240229)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J43:J44</xm:sqref>
        </x14:conditionalFormatting>
        <x14:conditionalFormatting xmlns:xm="http://schemas.microsoft.com/office/excel/2006/main">
          <x14:cfRule type="containsText" priority="7" operator="containsText" text="허하나로" id="{447A8153-9EF2-4E19-945C-13F8C65C27CF}">
            <xm:f>NOT(ISERROR(SEARCH("허하나로",'[240229)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69510E86-740F-4A01-A95D-65DF61C29D16}">
            <xm:f>NOT(ISERROR(SEARCH("한별",'[240229)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02AF5224-0E0E-46B4-BD06-74D789287F63}">
            <xm:f>NOT(ISERROR(SEARCH("정홍조",'[240229)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67E21E89-2F90-49DE-8FE8-39695615B9AD}">
            <xm:f>NOT(ISERROR(SEARCH("김지윤",'[240229)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A2D81CA1-14EB-4E4B-B28B-E38733788792}">
            <xm:f>NOT(ISERROR(SEARCH("전준영",'[240229)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2199287F-3060-45E4-B349-41F2FC40B642}">
            <xm:f>NOT(ISERROR(SEARCH("차재성",'[240229)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J36:J37</xm:sqref>
        </x14:conditionalFormatting>
        <x14:conditionalFormatting xmlns:xm="http://schemas.microsoft.com/office/excel/2006/main">
          <x14:cfRule type="containsText" priority="1" operator="containsText" text="허하나로" id="{05A1BF34-F91C-4634-98A7-1D91EAE7F593}">
            <xm:f>NOT(ISERROR(SEARCH("허하나로",'[240229)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" operator="containsText" text="한별" id="{8FDD87EE-C560-454B-A8F0-7ACB03E05F3F}">
            <xm:f>NOT(ISERROR(SEARCH("한별",'[240229)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" operator="containsText" text="정홍조" id="{0F8B45D0-924A-4B86-A5F4-D058FF63E084}">
            <xm:f>NOT(ISERROR(SEARCH("정홍조",'[240229)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" operator="containsText" text="김지윤" id="{8FE05FF8-CF4E-453B-B2A6-820F4F1D3F78}">
            <xm:f>NOT(ISERROR(SEARCH("김지윤",'[240229)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" operator="containsText" text="전준영" id="{4208599C-0041-488F-B5E3-8A9B19D15833}">
            <xm:f>NOT(ISERROR(SEARCH("전준영",'[240229)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" operator="containsText" text="차재성" id="{EFB68A28-345C-4CD8-8A77-C58451FBBF4D}">
            <xm:f>NOT(ISERROR(SEARCH("차재성",'[240229)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J59:J60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이름이 지정된 범위</vt:lpstr>
      </vt:variant>
      <vt:variant>
        <vt:i4>3</vt:i4>
      </vt:variant>
    </vt:vector>
  </HeadingPairs>
  <TitlesOfParts>
    <vt:vector size="18" baseType="lpstr">
      <vt:lpstr>수입예산 총괄표</vt:lpstr>
      <vt:lpstr>지출예산 총괄표</vt:lpstr>
      <vt:lpstr>지출예산</vt:lpstr>
      <vt:lpstr>행정관리부</vt:lpstr>
      <vt:lpstr>기획홍보부</vt:lpstr>
      <vt:lpstr>수익사업부</vt:lpstr>
      <vt:lpstr>유치협력부</vt:lpstr>
      <vt:lpstr>운영부</vt:lpstr>
      <vt:lpstr>행사부</vt:lpstr>
      <vt:lpstr>시설조성부</vt:lpstr>
      <vt:lpstr>전시연출부</vt:lpstr>
      <vt:lpstr>예비비</vt:lpstr>
      <vt:lpstr>지출예산(위탁)</vt:lpstr>
      <vt:lpstr>기획본부(위탁)</vt:lpstr>
      <vt:lpstr>운영본부(위탁)</vt:lpstr>
      <vt:lpstr>수익사업부!Print_Area</vt:lpstr>
      <vt:lpstr>지출예산!Print_Area</vt:lpstr>
      <vt:lpstr>수익사업부!Print_Titles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섬 박람회 조직위원회</cp:lastModifiedBy>
  <cp:revision>14</cp:revision>
  <cp:lastPrinted>2024-12-10T05:38:16Z</cp:lastPrinted>
  <dcterms:created xsi:type="dcterms:W3CDTF">2022-08-16T06:55:23Z</dcterms:created>
  <dcterms:modified xsi:type="dcterms:W3CDTF">2025-02-09T07:45:25Z</dcterms:modified>
  <cp:version>0906.0100.01</cp:version>
</cp:coreProperties>
</file>