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계산기" sheetId="1" state="visible" r:id="rId3"/>
    <sheet name="표본크기" sheetId="2" state="visible" r:id="rId4"/>
    <sheet name="실험로그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<sst xmlns="http://schemas.openxmlformats.org/spreadsheetml/2006/main" count="43" uniqueCount="42">
  <si>
    <r>
      <rPr>
        <b val="true"/>
        <sz val="14"/>
        <color rgb="FFC0582F"/>
        <rFont val="Arial"/>
        <family val="0"/>
        <charset val="1"/>
      </rPr>
      <t xml:space="preserve">A/B </t>
    </r>
    <r>
      <rPr>
        <b val="true"/>
        <sz val="14"/>
        <color rgb="FFC0582F"/>
        <rFont val="Noto Sans CJK SC"/>
        <family val="2"/>
      </rPr>
      <t xml:space="preserve">테스트 계산기 </t>
    </r>
    <r>
      <rPr>
        <b val="true"/>
        <sz val="14"/>
        <color rgb="FFC0582F"/>
        <rFont val="Arial"/>
        <family val="0"/>
        <charset val="1"/>
      </rPr>
      <t xml:space="preserve">(</t>
    </r>
    <r>
      <rPr>
        <b val="true"/>
        <sz val="14"/>
        <color rgb="FFC0582F"/>
        <rFont val="Noto Sans CJK SC"/>
        <family val="2"/>
      </rPr>
      <t xml:space="preserve">두 비율 </t>
    </r>
    <r>
      <rPr>
        <b val="true"/>
        <sz val="14"/>
        <color rgb="FFC0582F"/>
        <rFont val="Arial"/>
        <family val="0"/>
        <charset val="1"/>
      </rPr>
      <t xml:space="preserve">z</t>
    </r>
    <r>
      <rPr>
        <b val="true"/>
        <sz val="14"/>
        <color rgb="FFC0582F"/>
        <rFont val="Noto Sans CJK SC"/>
        <family val="2"/>
      </rPr>
      <t xml:space="preserve">검정</t>
    </r>
    <r>
      <rPr>
        <b val="true"/>
        <sz val="14"/>
        <color rgb="FFC0582F"/>
        <rFont val="Arial"/>
        <family val="0"/>
        <charset val="1"/>
      </rPr>
      <t xml:space="preserve">)</t>
    </r>
  </si>
  <si>
    <r>
      <rPr>
        <sz val="9"/>
        <color rgb="FF666666"/>
        <rFont val="Noto Sans CJK SC"/>
        <family val="2"/>
      </rPr>
      <t xml:space="preserve">노란 칸만 입력하세요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나머지는 자동 계산됩니다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예시 값</t>
    </r>
    <r>
      <rPr>
        <sz val="9"/>
        <color rgb="FF666666"/>
        <rFont val="Arial"/>
        <family val="0"/>
        <charset val="1"/>
      </rPr>
      <t xml:space="preserve">: </t>
    </r>
    <r>
      <rPr>
        <sz val="9"/>
        <color rgb="FF666666"/>
        <rFont val="Noto Sans CJK SC"/>
        <family val="2"/>
      </rPr>
      <t xml:space="preserve">광고 </t>
    </r>
    <r>
      <rPr>
        <sz val="9"/>
        <color rgb="FF666666"/>
        <rFont val="Arial"/>
        <family val="0"/>
        <charset val="1"/>
      </rPr>
      <t xml:space="preserve">CTR 2.0% vs 2.4%, </t>
    </r>
    <r>
      <rPr>
        <sz val="9"/>
        <color rgb="FF666666"/>
        <rFont val="Noto Sans CJK SC"/>
        <family val="2"/>
      </rPr>
      <t xml:space="preserve">각 노출 </t>
    </r>
    <r>
      <rPr>
        <sz val="9"/>
        <color rgb="FF666666"/>
        <rFont val="Arial"/>
        <family val="0"/>
        <charset val="1"/>
      </rPr>
      <t xml:space="preserve">10,000</t>
    </r>
    <r>
      <rPr>
        <sz val="9"/>
        <color rgb="FF666666"/>
        <rFont val="Noto Sans CJK SC"/>
        <family val="2"/>
      </rPr>
      <t xml:space="preserve">회 </t>
    </r>
    <r>
      <rPr>
        <sz val="9"/>
        <color rgb="FF666666"/>
        <rFont val="Arial"/>
        <family val="0"/>
        <charset val="1"/>
      </rPr>
      <t xml:space="preserve">(19.4 </t>
    </r>
    <r>
      <rPr>
        <sz val="9"/>
        <color rgb="FF666666"/>
        <rFont val="Noto Sans CJK SC"/>
        <family val="2"/>
      </rPr>
      <t xml:space="preserve">가상 예시</t>
    </r>
    <r>
      <rPr>
        <sz val="9"/>
        <color rgb="FF666666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</si>
  <si>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그룹 </t>
    </r>
    <r>
      <rPr>
        <b val="true"/>
        <sz val="11"/>
        <color rgb="FFFFFFFF"/>
        <rFont val="Arial"/>
        <family val="0"/>
        <charset val="1"/>
      </rPr>
      <t xml:space="preserve">A (</t>
    </r>
    <r>
      <rPr>
        <b val="true"/>
        <sz val="11"/>
        <color rgb="FFFFFFFF"/>
        <rFont val="Noto Sans CJK SC"/>
        <family val="2"/>
      </rPr>
      <t xml:space="preserve">기존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</si>
  <si>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그룹 </t>
    </r>
    <r>
      <rPr>
        <b val="true"/>
        <sz val="11"/>
        <color rgb="FFFFFFFF"/>
        <rFont val="Arial"/>
        <family val="0"/>
        <charset val="1"/>
      </rPr>
      <t xml:space="preserve">B (</t>
    </r>
    <r>
      <rPr>
        <b val="true"/>
        <sz val="11"/>
        <color rgb="FFFFFFFF"/>
        <rFont val="Noto Sans CJK SC"/>
        <family val="2"/>
      </rPr>
      <t xml:space="preserve">변경</t>
    </r>
    <r>
      <rPr>
        <b val="true"/>
        <sz val="11"/>
        <color rgb="FFFFFFFF"/>
        <rFont val="Arial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</si>
  <si>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노출</t>
    </r>
    <r>
      <rPr>
        <sz val="11"/>
        <color theme="1"/>
        <rFont val="Arial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발송 수</t>
    </r>
  </si>
  <si>
    <r>
      <rPr>
        <sz val="11"/>
        <color theme="1"/>
        <rFont val="Noto Sans CJK SC"/>
        <family val="2"/>
      </rPr>
      <t xml:space="preserve">클릭</t>
    </r>
    <r>
      <rPr>
        <sz val="11"/>
        <color theme="1"/>
        <rFont val="Arial"/>
        <family val="0"/>
        <charset val="1"/>
      </rPr>
      <t xml:space="preserve">·</t>
    </r>
    <r>
      <rPr>
        <sz val="11"/>
        <color theme="1"/>
        <rFont val="Noto Sans CJK SC"/>
        <family val="2"/>
      </rPr>
      <t xml:space="preserve">오픈 수</t>
    </r>
  </si>
  <si>
    <t xml:space="preserve">비율</t>
  </si>
  <si>
    <r>
      <rPr>
        <sz val="11"/>
        <color theme="1"/>
        <rFont val="Noto Sans CJK SC"/>
        <family val="2"/>
      </rPr>
      <t xml:space="preserve">유의수준 </t>
    </r>
    <r>
      <rPr>
        <sz val="11"/>
        <color theme="1"/>
        <rFont val="Arial"/>
        <family val="0"/>
        <charset val="1"/>
      </rPr>
      <t xml:space="preserve">(</t>
    </r>
    <r>
      <rPr>
        <sz val="11"/>
        <color theme="1"/>
        <rFont val="Noto Sans CJK SC"/>
        <family val="2"/>
      </rPr>
      <t xml:space="preserve">보통 </t>
    </r>
    <r>
      <rPr>
        <sz val="11"/>
        <color theme="1"/>
        <rFont val="Arial"/>
        <family val="0"/>
        <charset val="1"/>
      </rPr>
      <t xml:space="preserve">0.05)</t>
    </r>
  </si>
  <si>
    <r>
      <rPr>
        <b val="true"/>
        <sz val="11"/>
        <rFont val="Noto Sans CJK SC"/>
        <family val="2"/>
      </rPr>
      <t xml:space="preserve">상대 향상률 </t>
    </r>
    <r>
      <rPr>
        <b val="true"/>
        <sz val="11"/>
        <rFont val="Arial"/>
        <family val="0"/>
        <charset val="1"/>
      </rPr>
      <t xml:space="preserve">(B vs A)</t>
    </r>
  </si>
  <si>
    <r>
      <rPr>
        <b val="true"/>
        <sz val="11"/>
        <rFont val="Noto Sans CJK SC"/>
        <family val="2"/>
      </rPr>
      <t xml:space="preserve">차이 </t>
    </r>
    <r>
      <rPr>
        <b val="true"/>
        <sz val="11"/>
        <rFont val="Arial"/>
        <family val="0"/>
        <charset val="1"/>
      </rPr>
      <t xml:space="preserve">(%p)</t>
    </r>
  </si>
  <si>
    <t xml:space="preserve">합동 비율</t>
  </si>
  <si>
    <r>
      <rPr>
        <b val="true"/>
        <sz val="11"/>
        <rFont val="Arial"/>
        <family val="0"/>
        <charset val="1"/>
      </rPr>
      <t xml:space="preserve">z</t>
    </r>
    <r>
      <rPr>
        <b val="true"/>
        <sz val="11"/>
        <rFont val="Noto Sans CJK SC"/>
        <family val="2"/>
      </rPr>
      <t xml:space="preserve">값</t>
    </r>
  </si>
  <si>
    <r>
      <rPr>
        <b val="true"/>
        <sz val="11"/>
        <rFont val="Arial"/>
        <family val="0"/>
        <charset val="1"/>
      </rPr>
      <t xml:space="preserve">p</t>
    </r>
    <r>
      <rPr>
        <b val="true"/>
        <sz val="11"/>
        <rFont val="Noto Sans CJK SC"/>
        <family val="2"/>
      </rPr>
      <t xml:space="preserve">값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양측</t>
    </r>
    <r>
      <rPr>
        <b val="true"/>
        <sz val="11"/>
        <rFont val="Arial"/>
        <family val="0"/>
        <charset val="1"/>
      </rPr>
      <t xml:space="preserve">)</t>
    </r>
  </si>
  <si>
    <t xml:space="preserve">판정</t>
  </si>
  <si>
    <r>
      <rPr>
        <sz val="9"/>
        <color rgb="FF666666"/>
        <rFont val="Noto Sans CJK SC"/>
        <family val="2"/>
      </rPr>
      <t xml:space="preserve">읽는 법</t>
    </r>
    <r>
      <rPr>
        <sz val="9"/>
        <color rgb="FF666666"/>
        <rFont val="Arial"/>
        <family val="0"/>
        <charset val="1"/>
      </rPr>
      <t xml:space="preserve">: p</t>
    </r>
    <r>
      <rPr>
        <sz val="9"/>
        <color rgb="FF666666"/>
        <rFont val="Noto Sans CJK SC"/>
        <family val="2"/>
      </rPr>
      <t xml:space="preserve">값이 유의수준보다 작으면 </t>
    </r>
    <r>
      <rPr>
        <sz val="9"/>
        <color rgb="FF666666"/>
        <rFont val="Arial"/>
        <family val="0"/>
        <charset val="1"/>
      </rPr>
      <t xml:space="preserve">"</t>
    </r>
    <r>
      <rPr>
        <sz val="9"/>
        <color rgb="FF666666"/>
        <rFont val="Noto Sans CJK SC"/>
        <family val="2"/>
      </rPr>
      <t xml:space="preserve">우연이라 보기 어려운 차이</t>
    </r>
    <r>
      <rPr>
        <sz val="9"/>
        <color rgb="FF666666"/>
        <rFont val="Arial"/>
        <family val="0"/>
        <charset val="1"/>
      </rPr>
      <t xml:space="preserve">"</t>
    </r>
    <r>
      <rPr>
        <sz val="9"/>
        <color rgb="FF666666"/>
        <rFont val="Noto Sans CJK SC"/>
        <family val="2"/>
      </rPr>
      <t xml:space="preserve">입니다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크면 차이가 있어 보여도 결론을 미루고 표본을 더 모읍니다</t>
    </r>
    <r>
      <rPr>
        <sz val="9"/>
        <color rgb="FF666666"/>
        <rFont val="Arial"/>
        <family val="0"/>
        <charset val="1"/>
      </rPr>
      <t xml:space="preserve">.</t>
    </r>
  </si>
  <si>
    <t xml:space="preserve">필요 표본 크기 계산기</t>
  </si>
  <si>
    <r>
      <rPr>
        <sz val="9"/>
        <color rgb="FF666666"/>
        <rFont val="Arial"/>
        <family val="0"/>
        <charset val="1"/>
      </rPr>
      <t xml:space="preserve">"</t>
    </r>
    <r>
      <rPr>
        <sz val="9"/>
        <color rgb="FF666666"/>
        <rFont val="Noto Sans CJK SC"/>
        <family val="2"/>
      </rPr>
      <t xml:space="preserve">이 정도 차이를 잡아내려면 그룹당 몇 명</t>
    </r>
    <r>
      <rPr>
        <sz val="9"/>
        <color rgb="FF666666"/>
        <rFont val="Arial"/>
        <family val="0"/>
        <charset val="1"/>
      </rPr>
      <t xml:space="preserve">(</t>
    </r>
    <r>
      <rPr>
        <sz val="9"/>
        <color rgb="FF666666"/>
        <rFont val="Noto Sans CJK SC"/>
        <family val="2"/>
      </rPr>
      <t xml:space="preserve">회</t>
    </r>
    <r>
      <rPr>
        <sz val="9"/>
        <color rgb="FF666666"/>
        <rFont val="Arial"/>
        <family val="0"/>
        <charset val="1"/>
      </rPr>
      <t xml:space="preserve">)</t>
    </r>
    <r>
      <rPr>
        <sz val="9"/>
        <color rgb="FF666666"/>
        <rFont val="Noto Sans CJK SC"/>
        <family val="2"/>
      </rPr>
      <t xml:space="preserve">이 필요한가</t>
    </r>
    <r>
      <rPr>
        <sz val="9"/>
        <color rgb="FF666666"/>
        <rFont val="Arial"/>
        <family val="0"/>
        <charset val="1"/>
      </rPr>
      <t xml:space="preserve">?" </t>
    </r>
    <r>
      <rPr>
        <sz val="9"/>
        <color rgb="FF666666"/>
        <rFont val="Noto Sans CJK SC"/>
        <family val="2"/>
      </rPr>
      <t xml:space="preserve">노란 칸만 입력하세요</t>
    </r>
    <r>
      <rPr>
        <sz val="9"/>
        <color rgb="FF666666"/>
        <rFont val="Arial"/>
        <family val="0"/>
        <charset val="1"/>
      </rPr>
      <t xml:space="preserve">.</t>
    </r>
  </si>
  <si>
    <r>
      <rPr>
        <b val="true"/>
        <sz val="11"/>
        <rFont val="Noto Sans CJK SC"/>
        <family val="2"/>
      </rPr>
      <t xml:space="preserve">현재 비율 </t>
    </r>
    <r>
      <rPr>
        <b val="true"/>
        <sz val="11"/>
        <rFont val="Arial"/>
        <family val="0"/>
        <charset val="1"/>
      </rPr>
      <t xml:space="preserve">(A)</t>
    </r>
  </si>
  <si>
    <r>
      <rPr>
        <b val="true"/>
        <sz val="11"/>
        <rFont val="Noto Sans CJK SC"/>
        <family val="2"/>
      </rPr>
      <t xml:space="preserve">기대하는 비율 </t>
    </r>
    <r>
      <rPr>
        <b val="true"/>
        <sz val="11"/>
        <rFont val="Arial"/>
        <family val="0"/>
        <charset val="1"/>
      </rPr>
      <t xml:space="preserve">(B)</t>
    </r>
  </si>
  <si>
    <t xml:space="preserve">유의수준</t>
  </si>
  <si>
    <r>
      <rPr>
        <b val="true"/>
        <sz val="11"/>
        <rFont val="Noto Sans CJK SC"/>
        <family val="2"/>
      </rPr>
      <t xml:space="preserve">검정력 </t>
    </r>
    <r>
      <rPr>
        <b val="true"/>
        <sz val="11"/>
        <rFont val="Arial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보통 </t>
    </r>
    <r>
      <rPr>
        <b val="true"/>
        <sz val="11"/>
        <rFont val="Arial"/>
        <family val="0"/>
        <charset val="1"/>
      </rPr>
      <t xml:space="preserve">0.8)</t>
    </r>
  </si>
  <si>
    <t xml:space="preserve">그룹당 필요 표본</t>
  </si>
  <si>
    <r>
      <rPr>
        <b val="true"/>
        <sz val="11"/>
        <rFont val="Noto Sans CJK SC"/>
        <family val="2"/>
      </rPr>
      <t xml:space="preserve">총 필요 표본 </t>
    </r>
    <r>
      <rPr>
        <b val="true"/>
        <sz val="11"/>
        <rFont val="Arial"/>
        <family val="0"/>
        <charset val="1"/>
      </rPr>
      <t xml:space="preserve">(A+B)</t>
    </r>
  </si>
  <si>
    <r>
      <rPr>
        <sz val="9"/>
        <color rgb="FF666666"/>
        <rFont val="Noto Sans CJK SC"/>
        <family val="2"/>
      </rPr>
      <t xml:space="preserve">예시 값</t>
    </r>
    <r>
      <rPr>
        <sz val="9"/>
        <color rgb="FF666666"/>
        <rFont val="Arial"/>
        <family val="0"/>
        <charset val="1"/>
      </rPr>
      <t xml:space="preserve">(2.0% → 2.4%)</t>
    </r>
    <r>
      <rPr>
        <sz val="9"/>
        <color rgb="FF666666"/>
        <rFont val="Noto Sans CJK SC"/>
        <family val="2"/>
      </rPr>
      <t xml:space="preserve">이면 그룹당 약 </t>
    </r>
    <r>
      <rPr>
        <sz val="9"/>
        <color rgb="FF666666"/>
        <rFont val="Arial"/>
        <family val="0"/>
        <charset val="1"/>
      </rPr>
      <t xml:space="preserve">21,000</t>
    </r>
    <r>
      <rPr>
        <sz val="9"/>
        <color rgb="FF666666"/>
        <rFont val="Noto Sans CJK SC"/>
        <family val="2"/>
      </rPr>
      <t xml:space="preserve">회가 필요합니다</t>
    </r>
    <r>
      <rPr>
        <sz val="9"/>
        <color rgb="FF666666"/>
        <rFont val="Arial"/>
        <family val="0"/>
        <charset val="1"/>
      </rPr>
      <t xml:space="preserve">. </t>
    </r>
    <r>
      <rPr>
        <sz val="9"/>
        <color rgb="FF666666"/>
        <rFont val="Noto Sans CJK SC"/>
        <family val="2"/>
      </rPr>
      <t xml:space="preserve">차이가 작을수록 필요한 표본은 급격히 커집니다</t>
    </r>
    <r>
      <rPr>
        <sz val="9"/>
        <color rgb="FF666666"/>
        <rFont val="Arial"/>
        <family val="0"/>
        <charset val="1"/>
      </rPr>
      <t xml:space="preserve">.</t>
    </r>
  </si>
  <si>
    <t xml:space="preserve">날짜</t>
  </si>
  <si>
    <t xml:space="preserve">채널</t>
  </si>
  <si>
    <t xml:space="preserve">가설</t>
  </si>
  <si>
    <t xml:space="preserve">변경한 변수</t>
  </si>
  <si>
    <r>
      <rPr>
        <b val="true"/>
        <sz val="11"/>
        <color rgb="FFFFFFFF"/>
        <rFont val="Arial"/>
        <family val="0"/>
        <charset val="1"/>
      </rPr>
      <t xml:space="preserve">A </t>
    </r>
    <r>
      <rPr>
        <b val="true"/>
        <sz val="11"/>
        <color rgb="FFFFFFFF"/>
        <rFont val="Noto Sans CJK SC"/>
        <family val="2"/>
      </rPr>
      <t xml:space="preserve">표본</t>
    </r>
  </si>
  <si>
    <r>
      <rPr>
        <b val="true"/>
        <sz val="11"/>
        <color rgb="FFFFFFFF"/>
        <rFont val="Arial"/>
        <family val="0"/>
        <charset val="1"/>
      </rPr>
      <t xml:space="preserve">A </t>
    </r>
    <r>
      <rPr>
        <b val="true"/>
        <sz val="11"/>
        <color rgb="FFFFFFFF"/>
        <rFont val="Noto Sans CJK SC"/>
        <family val="2"/>
      </rPr>
      <t xml:space="preserve">반응</t>
    </r>
  </si>
  <si>
    <r>
      <rPr>
        <b val="true"/>
        <sz val="11"/>
        <color rgb="FFFFFFFF"/>
        <rFont val="Arial"/>
        <family val="0"/>
        <charset val="1"/>
      </rPr>
      <t xml:space="preserve">B </t>
    </r>
    <r>
      <rPr>
        <b val="true"/>
        <sz val="11"/>
        <color rgb="FFFFFFFF"/>
        <rFont val="Noto Sans CJK SC"/>
        <family val="2"/>
      </rPr>
      <t xml:space="preserve">표본</t>
    </r>
  </si>
  <si>
    <r>
      <rPr>
        <b val="true"/>
        <sz val="11"/>
        <color rgb="FFFFFFFF"/>
        <rFont val="Arial"/>
        <family val="0"/>
        <charset val="1"/>
      </rPr>
      <t xml:space="preserve">B </t>
    </r>
    <r>
      <rPr>
        <b val="true"/>
        <sz val="11"/>
        <color rgb="FFFFFFFF"/>
        <rFont val="Noto Sans CJK SC"/>
        <family val="2"/>
      </rPr>
      <t xml:space="preserve">반응</t>
    </r>
  </si>
  <si>
    <r>
      <rPr>
        <b val="true"/>
        <sz val="11"/>
        <color rgb="FFFFFFFF"/>
        <rFont val="Arial"/>
        <family val="0"/>
        <charset val="1"/>
      </rPr>
      <t xml:space="preserve">A </t>
    </r>
    <r>
      <rPr>
        <b val="true"/>
        <sz val="11"/>
        <color rgb="FFFFFFFF"/>
        <rFont val="Noto Sans CJK SC"/>
        <family val="2"/>
      </rPr>
      <t xml:space="preserve">비율</t>
    </r>
  </si>
  <si>
    <r>
      <rPr>
        <b val="true"/>
        <sz val="11"/>
        <color rgb="FFFFFFFF"/>
        <rFont val="Arial"/>
        <family val="0"/>
        <charset val="1"/>
      </rPr>
      <t xml:space="preserve">B </t>
    </r>
    <r>
      <rPr>
        <b val="true"/>
        <sz val="11"/>
        <color rgb="FFFFFFFF"/>
        <rFont val="Noto Sans CJK SC"/>
        <family val="2"/>
      </rPr>
      <t xml:space="preserve">비율</t>
    </r>
  </si>
  <si>
    <r>
      <rPr>
        <b val="true"/>
        <sz val="11"/>
        <color rgb="FFFFFFFF"/>
        <rFont val="Arial"/>
        <family val="0"/>
        <charset val="1"/>
      </rPr>
      <t xml:space="preserve">p</t>
    </r>
    <r>
      <rPr>
        <b val="true"/>
        <sz val="11"/>
        <color rgb="FFFFFFFF"/>
        <rFont val="Noto Sans CJK SC"/>
        <family val="2"/>
      </rPr>
      <t xml:space="preserve">값</t>
    </r>
  </si>
  <si>
    <t xml:space="preserve">다음 실험</t>
  </si>
  <si>
    <r>
      <rPr>
        <sz val="9"/>
        <color rgb="FF666666"/>
        <rFont val="Noto Sans CJK SC"/>
        <family val="2"/>
      </rPr>
      <t xml:space="preserve">노란 칸 입력 </t>
    </r>
    <r>
      <rPr>
        <sz val="9"/>
        <color rgb="FF666666"/>
        <rFont val="Arial"/>
        <family val="0"/>
        <charset val="1"/>
      </rPr>
      <t xml:space="preserve">· 2</t>
    </r>
    <r>
      <rPr>
        <sz val="9"/>
        <color rgb="FF666666"/>
        <rFont val="Noto Sans CJK SC"/>
        <family val="2"/>
      </rPr>
      <t xml:space="preserve">행은 </t>
    </r>
    <r>
      <rPr>
        <sz val="9"/>
        <color rgb="FF666666"/>
        <rFont val="Arial"/>
        <family val="0"/>
        <charset val="1"/>
      </rPr>
      <t xml:space="preserve">19.5 </t>
    </r>
    <r>
      <rPr>
        <sz val="9"/>
        <color rgb="FF666666"/>
        <rFont val="Noto Sans CJK SC"/>
        <family val="2"/>
      </rPr>
      <t xml:space="preserve">가상 예시 </t>
    </r>
    <r>
      <rPr>
        <sz val="9"/>
        <color rgb="FF666666"/>
        <rFont val="Arial"/>
        <family val="0"/>
        <charset val="1"/>
      </rPr>
      <t xml:space="preserve">· </t>
    </r>
    <r>
      <rPr>
        <sz val="9"/>
        <color rgb="FF666666"/>
        <rFont val="Noto Sans CJK SC"/>
        <family val="2"/>
      </rPr>
      <t xml:space="preserve">판정 기준 유의수준 </t>
    </r>
    <r>
      <rPr>
        <sz val="9"/>
        <color rgb="FF666666"/>
        <rFont val="Arial"/>
        <family val="0"/>
        <charset val="1"/>
      </rPr>
      <t xml:space="preserve">0.05</t>
    </r>
  </si>
  <si>
    <t xml:space="preserve">2026-09-01</t>
  </si>
  <si>
    <t xml:space="preserve">뉴스레터</t>
  </si>
  <si>
    <t xml:space="preserve">숫자형 제목이 질문형보다 오픈율이 높다</t>
  </si>
  <si>
    <t xml:space="preserve">제목</t>
  </si>
  <si>
    <r>
      <rPr>
        <sz val="11"/>
        <color theme="1"/>
        <rFont val="Noto Sans CJK SC"/>
        <family val="2"/>
      </rPr>
      <t xml:space="preserve">숫자 크기</t>
    </r>
    <r>
      <rPr>
        <sz val="11"/>
        <color theme="1"/>
        <rFont val="Arial"/>
        <family val="0"/>
        <charset val="1"/>
      </rPr>
      <t xml:space="preserve">(5</t>
    </r>
    <r>
      <rPr>
        <sz val="11"/>
        <color theme="1"/>
        <rFont val="Noto Sans CJK SC"/>
        <family val="2"/>
      </rPr>
      <t xml:space="preserve">가지 </t>
    </r>
    <r>
      <rPr>
        <sz val="11"/>
        <color theme="1"/>
        <rFont val="Arial"/>
        <family val="0"/>
        <charset val="1"/>
      </rPr>
      <t xml:space="preserve">vs 3</t>
    </r>
    <r>
      <rPr>
        <sz val="11"/>
        <color theme="1"/>
        <rFont val="Noto Sans CJK SC"/>
        <family val="2"/>
      </rPr>
      <t xml:space="preserve">가지</t>
    </r>
    <r>
      <rPr>
        <sz val="11"/>
        <color theme="1"/>
        <rFont val="Arial"/>
        <family val="0"/>
        <charset val="1"/>
      </rPr>
      <t xml:space="preserve">) </t>
    </r>
    <r>
      <rPr>
        <sz val="11"/>
        <color theme="1"/>
        <rFont val="Noto Sans CJK SC"/>
        <family val="2"/>
      </rPr>
      <t xml:space="preserve">비교</t>
    </r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</si>
</sst>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%"/>
    <numFmt numFmtId="166" formatCode="0.0%"/>
    <numFmt numFmtId="167" formatCode="0.000%"/>
    <numFmt numFmtId="168" formatCode="0.00"/>
    <numFmt numFmtId="169" formatCode="0.0000"/>
    <numFmt numFmtId="170" formatCode="@"/>
    <numFmt numFmtId="171" formatCode="#,##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C0582F"/>
      <name val="Arial"/>
      <family val="0"/>
      <charset val="1"/>
    </font>
    <font>
      <b val="true"/>
      <sz val="14"/>
      <color rgb="FFC0582F"/>
      <name val="Noto Sans CJK SC"/>
      <family val="2"/>
    </font>
    <font>
      <sz val="11"/>
      <color theme="1"/>
      <name val="Arial"/>
      <family val="0"/>
      <charset val="1"/>
    </font>
    <font>
      <sz val="9"/>
      <color rgb="FF666666"/>
      <name val="Noto Sans CJK SC"/>
      <family val="2"/>
    </font>
    <font>
      <sz val="9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FFFFFF"/>
      <name val="Noto Sans CJK SC"/>
      <family val="2"/>
    </font>
    <font>
      <sz val="11"/>
      <color theme="1"/>
      <name val="Noto Sans CJK SC"/>
      <family val="2"/>
    </font>
    <font>
      <b val="true"/>
      <sz val="11"/>
      <name val="Noto Sans CJK SC"/>
      <family val="2"/>
    </font>
    <font>
      <b val="true"/>
      <sz val="11"/>
      <name val="Arial"/>
      <family val="0"/>
      <charset val="1"/>
    </font>
    <font>
      <b val="true"/>
      <sz val="11"/>
      <color rgb="FFC0582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B2522"/>
        <bgColor rgb="FF333300"/>
      </patternFill>
    </fill>
    <fill>
      <patternFill patternType="solid">
        <fgColor rgb="FFFFF2CC"/>
        <bgColor rgb="FFFDF3EC"/>
      </patternFill>
    </fill>
    <fill>
      <patternFill patternType="solid">
        <fgColor rgb="FFFDF3EC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DF3E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C0582F"/>
      <rgbColor rgb="FF993366"/>
      <rgbColor rgb="FF333399"/>
      <rgbColor rgb="FF2B25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4"/>
    <col collapsed="false" customWidth="true" hidden="false" outlineLevel="0" max="3" min="3" style="0" width="18"/>
  </cols>
  <sheetData>
    <row r="1" customFormat="false" ht="21.6" hidden="false" customHeight="false" outlineLevel="0" collapsed="false">
      <c r="A1" s="1" t="s">
        <v>0</v>
      </c>
      <c r="B1" s="2"/>
      <c r="C1" s="2"/>
    </row>
    <row r="2" customFormat="false" ht="15" hidden="false" customHeight="false" outlineLevel="0" collapsed="false">
      <c r="A2" s="3" t="s">
        <v>1</v>
      </c>
      <c r="B2" s="2"/>
      <c r="C2" s="2"/>
    </row>
    <row r="3" customFormat="false" ht="15" hidden="false" customHeight="false" outlineLevel="0" collapsed="false">
      <c r="A3" s="2"/>
      <c r="B3" s="2"/>
      <c r="C3" s="2"/>
    </row>
    <row r="4" customFormat="false" ht="17.15" hidden="false" customHeight="false" outlineLevel="0" collapsed="false">
      <c r="A4" s="4"/>
      <c r="B4" s="5" t="s">
        <v>2</v>
      </c>
      <c r="C4" s="5" t="s">
        <v>3</v>
      </c>
    </row>
    <row r="5" customFormat="false" ht="17.15" hidden="false" customHeight="false" outlineLevel="0" collapsed="false">
      <c r="A5" s="6" t="s">
        <v>4</v>
      </c>
      <c r="B5" s="7" t="n">
        <v>10000</v>
      </c>
      <c r="C5" s="7" t="n">
        <v>10000</v>
      </c>
    </row>
    <row r="6" customFormat="false" ht="17.15" hidden="false" customHeight="false" outlineLevel="0" collapsed="false">
      <c r="A6" s="6" t="s">
        <v>5</v>
      </c>
      <c r="B6" s="7" t="n">
        <v>200</v>
      </c>
      <c r="C6" s="7" t="n">
        <v>240</v>
      </c>
    </row>
    <row r="7" customFormat="false" ht="15" hidden="false" customHeight="false" outlineLevel="0" collapsed="false">
      <c r="A7" s="6" t="s">
        <v>6</v>
      </c>
      <c r="B7" s="8" t="n">
        <f aca="false">B6/B5</f>
        <v>0.02</v>
      </c>
      <c r="C7" s="8" t="n">
        <f aca="false">C6/C5</f>
        <v>0.024</v>
      </c>
    </row>
    <row r="8" customFormat="false" ht="15" hidden="false" customHeight="false" outlineLevel="0" collapsed="false">
      <c r="A8" s="2"/>
      <c r="B8" s="2"/>
      <c r="C8" s="2"/>
    </row>
    <row r="9" customFormat="false" ht="17.15" hidden="false" customHeight="false" outlineLevel="0" collapsed="false">
      <c r="A9" s="6" t="s">
        <v>7</v>
      </c>
      <c r="B9" s="7" t="n">
        <v>0.05</v>
      </c>
      <c r="C9" s="2"/>
    </row>
    <row r="10" customFormat="false" ht="15" hidden="false" customHeight="false" outlineLevel="0" collapsed="false">
      <c r="A10" s="2"/>
      <c r="B10" s="2"/>
      <c r="C10" s="2"/>
    </row>
    <row r="11" customFormat="false" ht="17.15" hidden="false" customHeight="false" outlineLevel="0" collapsed="false">
      <c r="A11" s="9" t="s">
        <v>8</v>
      </c>
      <c r="B11" s="10" t="n">
        <f aca="false">IFERROR(C7/B7-1,"")</f>
        <v>0.2</v>
      </c>
      <c r="C11" s="2"/>
    </row>
    <row r="12" customFormat="false" ht="17.15" hidden="false" customHeight="false" outlineLevel="0" collapsed="false">
      <c r="A12" s="9" t="s">
        <v>9</v>
      </c>
      <c r="B12" s="11" t="n">
        <f aca="false">C7-B7</f>
        <v>0.004</v>
      </c>
      <c r="C12" s="2"/>
    </row>
    <row r="13" customFormat="false" ht="15" hidden="false" customHeight="false" outlineLevel="0" collapsed="false">
      <c r="A13" s="9" t="s">
        <v>10</v>
      </c>
      <c r="B13" s="12" t="n">
        <f aca="false">(B6+C6)/(B5+C5)</f>
        <v>0.022</v>
      </c>
      <c r="C13" s="2"/>
    </row>
    <row r="14" customFormat="false" ht="17.15" hidden="false" customHeight="false" outlineLevel="0" collapsed="false">
      <c r="A14" s="13" t="s">
        <v>11</v>
      </c>
      <c r="B14" s="14" t="n">
        <f aca="false">IFERROR((C7-B7)/SQRT(B13*(1-B13)*(1/B5+1/C5)),"")</f>
        <v>1.92825393228322</v>
      </c>
      <c r="C14" s="2"/>
    </row>
    <row r="15" customFormat="false" ht="17.15" hidden="false" customHeight="false" outlineLevel="0" collapsed="false">
      <c r="A15" s="13" t="s">
        <v>12</v>
      </c>
      <c r="B15" s="15" t="n">
        <f aca="false">IFERROR(2*(1-NORMSDIST(ABS(B14))),"")</f>
        <v>0.0538235488447503</v>
      </c>
      <c r="C15" s="2"/>
    </row>
    <row r="16" customFormat="false" ht="15" hidden="false" customHeight="false" outlineLevel="0" collapsed="false">
      <c r="A16" s="9" t="s">
        <v>13</v>
      </c>
      <c r="B16" s="16" t="str">
        <f aca="false">IF(B15="","",IF(B15&lt;B9,IF(C7&gt;B7,"B가 유의하게 높음 → B 채택","B가 유의하게 낮음 → A 유지"),"아직 판단 불가 → 표본을 더 모으세요"))</f>
        <v>아직 판단 불가 → 표본을 더 모으세요</v>
      </c>
      <c r="C16" s="2"/>
    </row>
    <row r="17" customFormat="false" ht="15" hidden="false" customHeight="false" outlineLevel="0" collapsed="false">
      <c r="A17" s="2"/>
      <c r="B17" s="2"/>
      <c r="C17" s="2"/>
    </row>
    <row r="18" customFormat="false" ht="15" hidden="false" customHeight="false" outlineLevel="0" collapsed="false">
      <c r="A18" s="3" t="s">
        <v>14</v>
      </c>
      <c r="B18" s="2"/>
      <c r="C18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0"/>
  </cols>
  <sheetData>
    <row r="1" customFormat="false" ht="17.35" hidden="false" customHeight="false" outlineLevel="0" collapsed="false">
      <c r="A1" s="17" t="s">
        <v>15</v>
      </c>
      <c r="B1" s="2"/>
    </row>
    <row r="2" customFormat="false" ht="15" hidden="false" customHeight="false" outlineLevel="0" collapsed="false">
      <c r="A2" s="18" t="s">
        <v>16</v>
      </c>
      <c r="B2" s="2"/>
    </row>
    <row r="3" customFormat="false" ht="15" hidden="false" customHeight="false" outlineLevel="0" collapsed="false">
      <c r="A3" s="2"/>
      <c r="B3" s="2"/>
    </row>
    <row r="4" customFormat="false" ht="17.15" hidden="false" customHeight="false" outlineLevel="0" collapsed="false">
      <c r="A4" s="9" t="s">
        <v>17</v>
      </c>
      <c r="B4" s="19" t="n">
        <v>0.02</v>
      </c>
    </row>
    <row r="5" customFormat="false" ht="17.15" hidden="false" customHeight="false" outlineLevel="0" collapsed="false">
      <c r="A5" s="9" t="s">
        <v>18</v>
      </c>
      <c r="B5" s="19" t="n">
        <v>0.024</v>
      </c>
    </row>
    <row r="6" customFormat="false" ht="15" hidden="false" customHeight="false" outlineLevel="0" collapsed="false">
      <c r="A6" s="9" t="s">
        <v>19</v>
      </c>
      <c r="B6" s="20" t="n">
        <v>0.05</v>
      </c>
    </row>
    <row r="7" customFormat="false" ht="17.15" hidden="false" customHeight="false" outlineLevel="0" collapsed="false">
      <c r="A7" s="9" t="s">
        <v>20</v>
      </c>
      <c r="B7" s="20" t="n">
        <v>0.8</v>
      </c>
    </row>
    <row r="8" customFormat="false" ht="15" hidden="false" customHeight="false" outlineLevel="0" collapsed="false">
      <c r="A8" s="2"/>
      <c r="B8" s="2"/>
    </row>
    <row r="9" customFormat="false" ht="15" hidden="false" customHeight="false" outlineLevel="0" collapsed="false">
      <c r="A9" s="9" t="s">
        <v>21</v>
      </c>
      <c r="B9" s="21" t="n">
        <f aca="false">ROUNDUP((NORMSINV(1-B6/2)+NORMSINV(B7))^2*(B4*(1-B4)+B5*(1-B5))/(B5-B4)^2,0)</f>
        <v>21106</v>
      </c>
    </row>
    <row r="10" customFormat="false" ht="17.15" hidden="false" customHeight="false" outlineLevel="0" collapsed="false">
      <c r="A10" s="9" t="s">
        <v>22</v>
      </c>
      <c r="B10" s="22" t="n">
        <f aca="false">B9*2</f>
        <v>42212</v>
      </c>
    </row>
    <row r="11" customFormat="false" ht="15" hidden="false" customHeight="false" outlineLevel="0" collapsed="false">
      <c r="A11" s="2"/>
      <c r="B11" s="2"/>
    </row>
    <row r="12" customFormat="false" ht="15" hidden="false" customHeight="false" outlineLevel="0" collapsed="false">
      <c r="A12" s="3" t="s">
        <v>23</v>
      </c>
      <c r="B12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34"/>
    <col collapsed="false" customWidth="true" hidden="false" outlineLevel="0" max="4" min="4" style="0" width="14"/>
    <col collapsed="false" customWidth="true" hidden="false" outlineLevel="0" max="11" min="5" style="0" width="9"/>
    <col collapsed="false" customWidth="true" hidden="false" outlineLevel="0" max="12" min="12" style="0" width="10"/>
    <col collapsed="false" customWidth="true" hidden="false" outlineLevel="0" max="13" min="13" style="0" width="30"/>
  </cols>
  <sheetData>
    <row r="1" customFormat="false" ht="17.15" hidden="false" customHeight="false" outlineLevel="0" collapsed="false">
      <c r="A1" s="23" t="s">
        <v>24</v>
      </c>
      <c r="B1" s="23" t="s">
        <v>25</v>
      </c>
      <c r="C1" s="23" t="s">
        <v>26</v>
      </c>
      <c r="D1" s="23" t="s">
        <v>27</v>
      </c>
      <c r="E1" s="24" t="s">
        <v>28</v>
      </c>
      <c r="F1" s="24" t="s">
        <v>29</v>
      </c>
      <c r="G1" s="24" t="s">
        <v>30</v>
      </c>
      <c r="H1" s="24" t="s">
        <v>31</v>
      </c>
      <c r="I1" s="24" t="s">
        <v>32</v>
      </c>
      <c r="J1" s="24" t="s">
        <v>33</v>
      </c>
      <c r="K1" s="24" t="s">
        <v>34</v>
      </c>
      <c r="L1" s="23" t="s">
        <v>13</v>
      </c>
      <c r="M1" s="23" t="s">
        <v>35</v>
      </c>
      <c r="N1" s="2"/>
      <c r="O1" s="3" t="s">
        <v>36</v>
      </c>
    </row>
    <row r="2" customFormat="false" ht="17.15" hidden="false" customHeight="false" outlineLevel="0" collapsed="false">
      <c r="A2" s="7" t="s">
        <v>37</v>
      </c>
      <c r="B2" s="25" t="s">
        <v>38</v>
      </c>
      <c r="C2" s="25" t="s">
        <v>39</v>
      </c>
      <c r="D2" s="25" t="s">
        <v>40</v>
      </c>
      <c r="E2" s="7" t="n">
        <v>2000</v>
      </c>
      <c r="F2" s="7" t="n">
        <v>440</v>
      </c>
      <c r="G2" s="7" t="n">
        <v>2000</v>
      </c>
      <c r="H2" s="7" t="n">
        <v>500</v>
      </c>
      <c r="I2" s="8" t="n">
        <f aca="false">IF(E2="","",F2/E2)</f>
        <v>0.22</v>
      </c>
      <c r="J2" s="8" t="n">
        <f aca="false">IF(G2="","",H2/G2)</f>
        <v>0.25</v>
      </c>
      <c r="K2" s="26" t="n">
        <f aca="false">IF(OR(E2="",G2=""),"",2*(1-NORMSDIST(ABS((J2-I2)/SQRT(((F2+H2)/(E2+G2))*(1-(F2+H2)/(E2+G2))*(1/E2+1/G2))))))</f>
        <v>0.0252558448030285</v>
      </c>
      <c r="L2" s="2" t="str">
        <f aca="false">IF(K2="","",IF(K2&lt;0.05,IF(J2&gt;I2,"B 채택","A 유지"),"보류"))</f>
        <v>B 채택</v>
      </c>
      <c r="M2" s="6" t="s">
        <v>41</v>
      </c>
      <c r="N2" s="2"/>
      <c r="O2" s="2"/>
    </row>
    <row r="3" customFormat="false" ht="15" hidden="false" customHeight="false" outlineLevel="0" collapsed="false">
      <c r="A3" s="7"/>
      <c r="B3" s="7"/>
      <c r="C3" s="7"/>
      <c r="D3" s="7"/>
      <c r="E3" s="7"/>
      <c r="F3" s="7"/>
      <c r="G3" s="7"/>
      <c r="H3" s="7"/>
      <c r="I3" s="8" t="str">
        <f aca="false">IF(E3="","",F3/E3)</f>
        <v/>
      </c>
      <c r="J3" s="8" t="str">
        <f aca="false">IF(G3="","",H3/G3)</f>
        <v/>
      </c>
      <c r="K3" s="26" t="str">
        <f aca="false">IF(OR(E3="",G3=""),"",2*(1-NORMSDIST(ABS((J3-I3)/SQRT(((F3+H3)/(E3+G3))*(1-(F3+H3)/(E3+G3))*(1/E3+1/G3))))))</f>
        <v/>
      </c>
      <c r="L3" s="2" t="str">
        <f aca="false">IF(K3="","",IF(K3&lt;0.05,IF(J3&gt;I3,"B 채택","A 유지"),"보류"))</f>
        <v/>
      </c>
      <c r="M3" s="2"/>
      <c r="N3" s="2"/>
      <c r="O3" s="2"/>
    </row>
    <row r="4" customFormat="false" ht="15" hidden="false" customHeight="false" outlineLevel="0" collapsed="false">
      <c r="A4" s="7"/>
      <c r="B4" s="7"/>
      <c r="C4" s="7"/>
      <c r="D4" s="7"/>
      <c r="E4" s="7"/>
      <c r="F4" s="7"/>
      <c r="G4" s="7"/>
      <c r="H4" s="7"/>
      <c r="I4" s="8" t="str">
        <f aca="false">IF(E4="","",F4/E4)</f>
        <v/>
      </c>
      <c r="J4" s="8" t="str">
        <f aca="false">IF(G4="","",H4/G4)</f>
        <v/>
      </c>
      <c r="K4" s="26" t="str">
        <f aca="false">IF(OR(E4="",G4=""),"",2*(1-NORMSDIST(ABS((J4-I4)/SQRT(((F4+H4)/(E4+G4))*(1-(F4+H4)/(E4+G4))*(1/E4+1/G4))))))</f>
        <v/>
      </c>
      <c r="L4" s="2" t="str">
        <f aca="false">IF(K4="","",IF(K4&lt;0.05,IF(J4&gt;I4,"B 채택","A 유지"),"보류"))</f>
        <v/>
      </c>
      <c r="M4" s="2"/>
      <c r="N4" s="2"/>
      <c r="O4" s="2"/>
    </row>
    <row r="5" customFormat="false" ht="15" hidden="false" customHeight="false" outlineLevel="0" collapsed="false">
      <c r="A5" s="7"/>
      <c r="B5" s="7"/>
      <c r="C5" s="7"/>
      <c r="D5" s="7"/>
      <c r="E5" s="7"/>
      <c r="F5" s="7"/>
      <c r="G5" s="7"/>
      <c r="H5" s="7"/>
      <c r="I5" s="8" t="str">
        <f aca="false">IF(E5="","",F5/E5)</f>
        <v/>
      </c>
      <c r="J5" s="8" t="str">
        <f aca="false">IF(G5="","",H5/G5)</f>
        <v/>
      </c>
      <c r="K5" s="26" t="str">
        <f aca="false">IF(OR(E5="",G5=""),"",2*(1-NORMSDIST(ABS((J5-I5)/SQRT(((F5+H5)/(E5+G5))*(1-(F5+H5)/(E5+G5))*(1/E5+1/G5))))))</f>
        <v/>
      </c>
      <c r="L5" s="2" t="str">
        <f aca="false">IF(K5="","",IF(K5&lt;0.05,IF(J5&gt;I5,"B 채택","A 유지"),"보류"))</f>
        <v/>
      </c>
      <c r="M5" s="2"/>
      <c r="N5" s="2"/>
      <c r="O5" s="2"/>
    </row>
    <row r="6" customFormat="false" ht="15" hidden="false" customHeight="false" outlineLevel="0" collapsed="false">
      <c r="A6" s="7"/>
      <c r="B6" s="7"/>
      <c r="C6" s="7"/>
      <c r="D6" s="7"/>
      <c r="E6" s="7"/>
      <c r="F6" s="7"/>
      <c r="G6" s="7"/>
      <c r="H6" s="7"/>
      <c r="I6" s="8" t="str">
        <f aca="false">IF(E6="","",F6/E6)</f>
        <v/>
      </c>
      <c r="J6" s="8" t="str">
        <f aca="false">IF(G6="","",H6/G6)</f>
        <v/>
      </c>
      <c r="K6" s="26" t="str">
        <f aca="false">IF(OR(E6="",G6=""),"",2*(1-NORMSDIST(ABS((J6-I6)/SQRT(((F6+H6)/(E6+G6))*(1-(F6+H6)/(E6+G6))*(1/E6+1/G6))))))</f>
        <v/>
      </c>
      <c r="L6" s="2" t="str">
        <f aca="false">IF(K6="","",IF(K6&lt;0.05,IF(J6&gt;I6,"B 채택","A 유지"),"보류"))</f>
        <v/>
      </c>
      <c r="M6" s="2"/>
      <c r="N6" s="2"/>
      <c r="O6" s="2"/>
    </row>
    <row r="7" customFormat="false" ht="15" hidden="false" customHeight="false" outlineLevel="0" collapsed="false">
      <c r="A7" s="7"/>
      <c r="B7" s="7"/>
      <c r="C7" s="7"/>
      <c r="D7" s="7"/>
      <c r="E7" s="7"/>
      <c r="F7" s="7"/>
      <c r="G7" s="7"/>
      <c r="H7" s="7"/>
      <c r="I7" s="8" t="str">
        <f aca="false">IF(E7="","",F7/E7)</f>
        <v/>
      </c>
      <c r="J7" s="8" t="str">
        <f aca="false">IF(G7="","",H7/G7)</f>
        <v/>
      </c>
      <c r="K7" s="26" t="str">
        <f aca="false">IF(OR(E7="",G7=""),"",2*(1-NORMSDIST(ABS((J7-I7)/SQRT(((F7+H7)/(E7+G7))*(1-(F7+H7)/(E7+G7))*(1/E7+1/G7))))))</f>
        <v/>
      </c>
      <c r="L7" s="2" t="str">
        <f aca="false">IF(K7="","",IF(K7&lt;0.05,IF(J7&gt;I7,"B 채택","A 유지"),"보류"))</f>
        <v/>
      </c>
      <c r="M7" s="2"/>
      <c r="N7" s="2"/>
      <c r="O7" s="2"/>
    </row>
    <row r="8" customFormat="false" ht="15" hidden="false" customHeight="false" outlineLevel="0" collapsed="false">
      <c r="A8" s="7"/>
      <c r="B8" s="7"/>
      <c r="C8" s="7"/>
      <c r="D8" s="7"/>
      <c r="E8" s="7"/>
      <c r="F8" s="7"/>
      <c r="G8" s="7"/>
      <c r="H8" s="7"/>
      <c r="I8" s="8" t="str">
        <f aca="false">IF(E8="","",F8/E8)</f>
        <v/>
      </c>
      <c r="J8" s="8" t="str">
        <f aca="false">IF(G8="","",H8/G8)</f>
        <v/>
      </c>
      <c r="K8" s="26" t="str">
        <f aca="false">IF(OR(E8="",G8=""),"",2*(1-NORMSDIST(ABS((J8-I8)/SQRT(((F8+H8)/(E8+G8))*(1-(F8+H8)/(E8+G8))*(1/E8+1/G8))))))</f>
        <v/>
      </c>
      <c r="L8" s="2" t="str">
        <f aca="false">IF(K8="","",IF(K8&lt;0.05,IF(J8&gt;I8,"B 채택","A 유지"),"보류"))</f>
        <v/>
      </c>
      <c r="M8" s="2"/>
      <c r="N8" s="2"/>
      <c r="O8" s="2"/>
    </row>
    <row r="9" customFormat="false" ht="15" hidden="false" customHeight="false" outlineLevel="0" collapsed="false">
      <c r="A9" s="7"/>
      <c r="B9" s="7"/>
      <c r="C9" s="7"/>
      <c r="D9" s="7"/>
      <c r="E9" s="7"/>
      <c r="F9" s="7"/>
      <c r="G9" s="7"/>
      <c r="H9" s="7"/>
      <c r="I9" s="8" t="str">
        <f aca="false">IF(E9="","",F9/E9)</f>
        <v/>
      </c>
      <c r="J9" s="8" t="str">
        <f aca="false">IF(G9="","",H9/G9)</f>
        <v/>
      </c>
      <c r="K9" s="26" t="str">
        <f aca="false">IF(OR(E9="",G9=""),"",2*(1-NORMSDIST(ABS((J9-I9)/SQRT(((F9+H9)/(E9+G9))*(1-(F9+H9)/(E9+G9))*(1/E9+1/G9))))))</f>
        <v/>
      </c>
      <c r="L9" s="2" t="str">
        <f aca="false">IF(K9="","",IF(K9&lt;0.05,IF(J9&gt;I9,"B 채택","A 유지"),"보류"))</f>
        <v/>
      </c>
      <c r="M9" s="2"/>
      <c r="N9" s="2"/>
      <c r="O9" s="2"/>
    </row>
    <row r="10" customFormat="false" ht="15" hidden="false" customHeight="false" outlineLevel="0" collapsed="false">
      <c r="A10" s="7"/>
      <c r="B10" s="7"/>
      <c r="C10" s="7"/>
      <c r="D10" s="7"/>
      <c r="E10" s="7"/>
      <c r="F10" s="7"/>
      <c r="G10" s="7"/>
      <c r="H10" s="7"/>
      <c r="I10" s="8" t="str">
        <f aca="false">IF(E10="","",F10/E10)</f>
        <v/>
      </c>
      <c r="J10" s="8" t="str">
        <f aca="false">IF(G10="","",H10/G10)</f>
        <v/>
      </c>
      <c r="K10" s="26" t="str">
        <f aca="false">IF(OR(E10="",G10=""),"",2*(1-NORMSDIST(ABS((J10-I10)/SQRT(((F10+H10)/(E10+G10))*(1-(F10+H10)/(E10+G10))*(1/E10+1/G10))))))</f>
        <v/>
      </c>
      <c r="L10" s="2" t="str">
        <f aca="false">IF(K10="","",IF(K10&lt;0.05,IF(J10&gt;I10,"B 채택","A 유지"),"보류"))</f>
        <v/>
      </c>
      <c r="M10" s="2"/>
      <c r="N10" s="2"/>
      <c r="O10" s="2"/>
    </row>
    <row r="11" customFormat="false" ht="15" hidden="false" customHeight="false" outlineLevel="0" collapsed="false">
      <c r="A11" s="7"/>
      <c r="B11" s="7"/>
      <c r="C11" s="7"/>
      <c r="D11" s="7"/>
      <c r="E11" s="7"/>
      <c r="F11" s="7"/>
      <c r="G11" s="7"/>
      <c r="H11" s="7"/>
      <c r="I11" s="8" t="str">
        <f aca="false">IF(E11="","",F11/E11)</f>
        <v/>
      </c>
      <c r="J11" s="8" t="str">
        <f aca="false">IF(G11="","",H11/G11)</f>
        <v/>
      </c>
      <c r="K11" s="26" t="str">
        <f aca="false">IF(OR(E11="",G11=""),"",2*(1-NORMSDIST(ABS((J11-I11)/SQRT(((F11+H11)/(E11+G11))*(1-(F11+H11)/(E11+G11))*(1/E11+1/G11))))))</f>
        <v/>
      </c>
      <c r="L11" s="2" t="str">
        <f aca="false">IF(K11="","",IF(K11&lt;0.05,IF(J11&gt;I11,"B 채택","A 유지"),"보류"))</f>
        <v/>
      </c>
      <c r="M11" s="2"/>
      <c r="N11" s="2"/>
      <c r="O11" s="2"/>
    </row>
    <row r="12" customFormat="false" ht="15" hidden="false" customHeight="false" outlineLevel="0" collapsed="false">
      <c r="A12" s="7"/>
      <c r="B12" s="7"/>
      <c r="C12" s="7"/>
      <c r="D12" s="7"/>
      <c r="E12" s="7"/>
      <c r="F12" s="7"/>
      <c r="G12" s="7"/>
      <c r="H12" s="7"/>
      <c r="I12" s="8" t="str">
        <f aca="false">IF(E12="","",F12/E12)</f>
        <v/>
      </c>
      <c r="J12" s="8" t="str">
        <f aca="false">IF(G12="","",H12/G12)</f>
        <v/>
      </c>
      <c r="K12" s="26" t="str">
        <f aca="false">IF(OR(E12="",G12=""),"",2*(1-NORMSDIST(ABS((J12-I12)/SQRT(((F12+H12)/(E12+G12))*(1-(F12+H12)/(E12+G12))*(1/E12+1/G12))))))</f>
        <v/>
      </c>
      <c r="L12" s="2" t="str">
        <f aca="false">IF(K12="","",IF(K12&lt;0.05,IF(J12&gt;I12,"B 채택","A 유지"),"보류"))</f>
        <v/>
      </c>
      <c r="M12" s="2"/>
      <c r="N12" s="2"/>
      <c r="O12" s="2"/>
    </row>
    <row r="13" customFormat="false" ht="15" hidden="false" customHeight="false" outlineLevel="0" collapsed="false">
      <c r="A13" s="7"/>
      <c r="B13" s="7"/>
      <c r="C13" s="7"/>
      <c r="D13" s="7"/>
      <c r="E13" s="7"/>
      <c r="F13" s="7"/>
      <c r="G13" s="7"/>
      <c r="H13" s="7"/>
      <c r="I13" s="8" t="str">
        <f aca="false">IF(E13="","",F13/E13)</f>
        <v/>
      </c>
      <c r="J13" s="8" t="str">
        <f aca="false">IF(G13="","",H13/G13)</f>
        <v/>
      </c>
      <c r="K13" s="26" t="str">
        <f aca="false">IF(OR(E13="",G13=""),"",2*(1-NORMSDIST(ABS((J13-I13)/SQRT(((F13+H13)/(E13+G13))*(1-(F13+H13)/(E13+G13))*(1/E13+1/G13))))))</f>
        <v/>
      </c>
      <c r="L13" s="2" t="str">
        <f aca="false">IF(K13="","",IF(K13&lt;0.05,IF(J13&gt;I13,"B 채택","A 유지"),"보류"))</f>
        <v/>
      </c>
      <c r="M13" s="2"/>
      <c r="N13" s="2"/>
      <c r="O13" s="2"/>
    </row>
    <row r="14" customFormat="false" ht="15" hidden="false" customHeight="false" outlineLevel="0" collapsed="false">
      <c r="A14" s="7"/>
      <c r="B14" s="7"/>
      <c r="C14" s="7"/>
      <c r="D14" s="7"/>
      <c r="E14" s="7"/>
      <c r="F14" s="7"/>
      <c r="G14" s="7"/>
      <c r="H14" s="7"/>
      <c r="I14" s="8" t="str">
        <f aca="false">IF(E14="","",F14/E14)</f>
        <v/>
      </c>
      <c r="J14" s="8" t="str">
        <f aca="false">IF(G14="","",H14/G14)</f>
        <v/>
      </c>
      <c r="K14" s="26" t="str">
        <f aca="false">IF(OR(E14="",G14=""),"",2*(1-NORMSDIST(ABS((J14-I14)/SQRT(((F14+H14)/(E14+G14))*(1-(F14+H14)/(E14+G14))*(1/E14+1/G14))))))</f>
        <v/>
      </c>
      <c r="L14" s="2" t="str">
        <f aca="false">IF(K14="","",IF(K14&lt;0.05,IF(J14&gt;I14,"B 채택","A 유지"),"보류"))</f>
        <v/>
      </c>
      <c r="M14" s="2"/>
      <c r="N14" s="2"/>
      <c r="O14" s="2"/>
    </row>
    <row r="15" customFormat="false" ht="15" hidden="false" customHeight="false" outlineLevel="0" collapsed="false">
      <c r="A15" s="7"/>
      <c r="B15" s="7"/>
      <c r="C15" s="7"/>
      <c r="D15" s="7"/>
      <c r="E15" s="7"/>
      <c r="F15" s="7"/>
      <c r="G15" s="7"/>
      <c r="H15" s="7"/>
      <c r="I15" s="8" t="str">
        <f aca="false">IF(E15="","",F15/E15)</f>
        <v/>
      </c>
      <c r="J15" s="8" t="str">
        <f aca="false">IF(G15="","",H15/G15)</f>
        <v/>
      </c>
      <c r="K15" s="26" t="str">
        <f aca="false">IF(OR(E15="",G15=""),"",2*(1-NORMSDIST(ABS((J15-I15)/SQRT(((F15+H15)/(E15+G15))*(1-(F15+H15)/(E15+G15))*(1/E15+1/G15))))))</f>
        <v/>
      </c>
      <c r="L15" s="2" t="str">
        <f aca="false">IF(K15="","",IF(K15&lt;0.05,IF(J15&gt;I15,"B 채택","A 유지"),"보류"))</f>
        <v/>
      </c>
      <c r="M15" s="2"/>
      <c r="N15" s="2"/>
      <c r="O15" s="2"/>
    </row>
    <row r="16" customFormat="false" ht="15" hidden="false" customHeight="false" outlineLevel="0" collapsed="false">
      <c r="A16" s="7"/>
      <c r="B16" s="7"/>
      <c r="C16" s="7"/>
      <c r="D16" s="7"/>
      <c r="E16" s="7"/>
      <c r="F16" s="7"/>
      <c r="G16" s="7"/>
      <c r="H16" s="7"/>
      <c r="I16" s="8" t="str">
        <f aca="false">IF(E16="","",F16/E16)</f>
        <v/>
      </c>
      <c r="J16" s="8" t="str">
        <f aca="false">IF(G16="","",H16/G16)</f>
        <v/>
      </c>
      <c r="K16" s="26" t="str">
        <f aca="false">IF(OR(E16="",G16=""),"",2*(1-NORMSDIST(ABS((J16-I16)/SQRT(((F16+H16)/(E16+G16))*(1-(F16+H16)/(E16+G16))*(1/E16+1/G16))))))</f>
        <v/>
      </c>
      <c r="L16" s="2" t="str">
        <f aca="false">IF(K16="","",IF(K16&lt;0.05,IF(J16&gt;I16,"B 채택","A 유지"),"보류"))</f>
        <v/>
      </c>
      <c r="M16" s="2"/>
      <c r="N16" s="2"/>
      <c r="O16" s="2"/>
    </row>
    <row r="17" customFormat="false" ht="15" hidden="false" customHeight="false" outlineLevel="0" collapsed="false">
      <c r="A17" s="7"/>
      <c r="B17" s="7"/>
      <c r="C17" s="7"/>
      <c r="D17" s="7"/>
      <c r="E17" s="7"/>
      <c r="F17" s="7"/>
      <c r="G17" s="7"/>
      <c r="H17" s="7"/>
      <c r="I17" s="8" t="str">
        <f aca="false">IF(E17="","",F17/E17)</f>
        <v/>
      </c>
      <c r="J17" s="8" t="str">
        <f aca="false">IF(G17="","",H17/G17)</f>
        <v/>
      </c>
      <c r="K17" s="26" t="str">
        <f aca="false">IF(OR(E17="",G17=""),"",2*(1-NORMSDIST(ABS((J17-I17)/SQRT(((F17+H17)/(E17+G17))*(1-(F17+H17)/(E17+G17))*(1/E17+1/G17))))))</f>
        <v/>
      </c>
      <c r="L17" s="2" t="str">
        <f aca="false">IF(K17="","",IF(K17&lt;0.05,IF(J17&gt;I17,"B 채택","A 유지"),"보류"))</f>
        <v/>
      </c>
      <c r="M17" s="2"/>
      <c r="N17" s="2"/>
      <c r="O17" s="2"/>
    </row>
    <row r="18" customFormat="false" ht="15" hidden="false" customHeight="false" outlineLevel="0" collapsed="false">
      <c r="A18" s="7"/>
      <c r="B18" s="7"/>
      <c r="C18" s="7"/>
      <c r="D18" s="7"/>
      <c r="E18" s="7"/>
      <c r="F18" s="7"/>
      <c r="G18" s="7"/>
      <c r="H18" s="7"/>
      <c r="I18" s="8" t="str">
        <f aca="false">IF(E18="","",F18/E18)</f>
        <v/>
      </c>
      <c r="J18" s="8" t="str">
        <f aca="false">IF(G18="","",H18/G18)</f>
        <v/>
      </c>
      <c r="K18" s="26" t="str">
        <f aca="false">IF(OR(E18="",G18=""),"",2*(1-NORMSDIST(ABS((J18-I18)/SQRT(((F18+H18)/(E18+G18))*(1-(F18+H18)/(E18+G18))*(1/E18+1/G18))))))</f>
        <v/>
      </c>
      <c r="L18" s="2" t="str">
        <f aca="false">IF(K18="","",IF(K18&lt;0.05,IF(J18&gt;I18,"B 채택","A 유지"),"보류"))</f>
        <v/>
      </c>
      <c r="M18" s="2"/>
      <c r="N18" s="2"/>
      <c r="O18" s="2"/>
    </row>
    <row r="19" customFormat="false" ht="15" hidden="false" customHeight="false" outlineLevel="0" collapsed="false">
      <c r="A19" s="7"/>
      <c r="B19" s="7"/>
      <c r="C19" s="7"/>
      <c r="D19" s="7"/>
      <c r="E19" s="7"/>
      <c r="F19" s="7"/>
      <c r="G19" s="7"/>
      <c r="H19" s="7"/>
      <c r="I19" s="8" t="str">
        <f aca="false">IF(E19="","",F19/E19)</f>
        <v/>
      </c>
      <c r="J19" s="8" t="str">
        <f aca="false">IF(G19="","",H19/G19)</f>
        <v/>
      </c>
      <c r="K19" s="26" t="str">
        <f aca="false">IF(OR(E19="",G19=""),"",2*(1-NORMSDIST(ABS((J19-I19)/SQRT(((F19+H19)/(E19+G19))*(1-(F19+H19)/(E19+G19))*(1/E19+1/G19))))))</f>
        <v/>
      </c>
      <c r="L19" s="2" t="str">
        <f aca="false">IF(K19="","",IF(K19&lt;0.05,IF(J19&gt;I19,"B 채택","A 유지"),"보류"))</f>
        <v/>
      </c>
      <c r="M19" s="2"/>
      <c r="N19" s="2"/>
      <c r="O19" s="2"/>
    </row>
    <row r="20" customFormat="false" ht="15" hidden="false" customHeight="false" outlineLevel="0" collapsed="false">
      <c r="A20" s="7"/>
      <c r="B20" s="7"/>
      <c r="C20" s="7"/>
      <c r="D20" s="7"/>
      <c r="E20" s="7"/>
      <c r="F20" s="7"/>
      <c r="G20" s="7"/>
      <c r="H20" s="7"/>
      <c r="I20" s="8" t="str">
        <f aca="false">IF(E20="","",F20/E20)</f>
        <v/>
      </c>
      <c r="J20" s="8" t="str">
        <f aca="false">IF(G20="","",H20/G20)</f>
        <v/>
      </c>
      <c r="K20" s="26" t="str">
        <f aca="false">IF(OR(E20="",G20=""),"",2*(1-NORMSDIST(ABS((J20-I20)/SQRT(((F20+H20)/(E20+G20))*(1-(F20+H20)/(E20+G20))*(1/E20+1/G20))))))</f>
        <v/>
      </c>
      <c r="L20" s="2" t="str">
        <f aca="false">IF(K20="","",IF(K20&lt;0.05,IF(J20&gt;I20,"B 채택","A 유지"),"보류"))</f>
        <v/>
      </c>
      <c r="M20" s="2"/>
      <c r="N20" s="2"/>
      <c r="O20" s="2"/>
    </row>
    <row r="21" customFormat="false" ht="15" hidden="false" customHeight="false" outlineLevel="0" collapsed="false">
      <c r="A21" s="7"/>
      <c r="B21" s="7"/>
      <c r="C21" s="7"/>
      <c r="D21" s="7"/>
      <c r="E21" s="7"/>
      <c r="F21" s="7"/>
      <c r="G21" s="7"/>
      <c r="H21" s="7"/>
      <c r="I21" s="8" t="str">
        <f aca="false">IF(E21="","",F21/E21)</f>
        <v/>
      </c>
      <c r="J21" s="8" t="str">
        <f aca="false">IF(G21="","",H21/G21)</f>
        <v/>
      </c>
      <c r="K21" s="26" t="str">
        <f aca="false">IF(OR(E21="",G21=""),"",2*(1-NORMSDIST(ABS((J21-I21)/SQRT(((F21+H21)/(E21+G21))*(1-(F21+H21)/(E21+G21))*(1/E21+1/G21))))))</f>
        <v/>
      </c>
      <c r="L21" s="2" t="str">
        <f aca="false">IF(K21="","",IF(K21&lt;0.05,IF(J21&gt;I21,"B 채택","A 유지"),"보류"))</f>
        <v/>
      </c>
      <c r="M21" s="2"/>
      <c r="N21" s="2"/>
      <c r="O21" s="2"/>
    </row>
    <row r="22" customFormat="false" ht="15" hidden="false" customHeight="false" outlineLevel="0" collapsed="false">
      <c r="A22" s="7"/>
      <c r="B22" s="7"/>
      <c r="C22" s="7"/>
      <c r="D22" s="7"/>
      <c r="E22" s="7"/>
      <c r="F22" s="7"/>
      <c r="G22" s="7"/>
      <c r="H22" s="7"/>
      <c r="I22" s="8" t="str">
        <f aca="false">IF(E22="","",F22/E22)</f>
        <v/>
      </c>
      <c r="J22" s="8" t="str">
        <f aca="false">IF(G22="","",H22/G22)</f>
        <v/>
      </c>
      <c r="K22" s="26" t="str">
        <f aca="false">IF(OR(E22="",G22=""),"",2*(1-NORMSDIST(ABS((J22-I22)/SQRT(((F22+H22)/(E22+G22))*(1-(F22+H22)/(E22+G22))*(1/E22+1/G22))))))</f>
        <v/>
      </c>
      <c r="L22" s="2" t="str">
        <f aca="false">IF(K22="","",IF(K22&lt;0.05,IF(J22&gt;I22,"B 채택","A 유지"),"보류"))</f>
        <v/>
      </c>
      <c r="M22" s="2"/>
      <c r="N22" s="2"/>
      <c r="O22" s="2"/>
    </row>
    <row r="23" customFormat="false" ht="15" hidden="false" customHeight="false" outlineLevel="0" collapsed="false">
      <c r="A23" s="7"/>
      <c r="B23" s="7"/>
      <c r="C23" s="7"/>
      <c r="D23" s="7"/>
      <c r="E23" s="7"/>
      <c r="F23" s="7"/>
      <c r="G23" s="7"/>
      <c r="H23" s="7"/>
      <c r="I23" s="8" t="str">
        <f aca="false">IF(E23="","",F23/E23)</f>
        <v/>
      </c>
      <c r="J23" s="8" t="str">
        <f aca="false">IF(G23="","",H23/G23)</f>
        <v/>
      </c>
      <c r="K23" s="26" t="str">
        <f aca="false">IF(OR(E23="",G23=""),"",2*(1-NORMSDIST(ABS((J23-I23)/SQRT(((F23+H23)/(E23+G23))*(1-(F23+H23)/(E23+G23))*(1/E23+1/G23))))))</f>
        <v/>
      </c>
      <c r="L23" s="2" t="str">
        <f aca="false">IF(K23="","",IF(K23&lt;0.05,IF(J23&gt;I23,"B 채택","A 유지"),"보류"))</f>
        <v/>
      </c>
      <c r="M23" s="2"/>
      <c r="N23" s="2"/>
      <c r="O23" s="2"/>
    </row>
    <row r="24" customFormat="false" ht="15" hidden="false" customHeight="false" outlineLevel="0" collapsed="false">
      <c r="A24" s="7"/>
      <c r="B24" s="7"/>
      <c r="C24" s="7"/>
      <c r="D24" s="7"/>
      <c r="E24" s="7"/>
      <c r="F24" s="7"/>
      <c r="G24" s="7"/>
      <c r="H24" s="7"/>
      <c r="I24" s="8" t="str">
        <f aca="false">IF(E24="","",F24/E24)</f>
        <v/>
      </c>
      <c r="J24" s="8" t="str">
        <f aca="false">IF(G24="","",H24/G24)</f>
        <v/>
      </c>
      <c r="K24" s="26" t="str">
        <f aca="false">IF(OR(E24="",G24=""),"",2*(1-NORMSDIST(ABS((J24-I24)/SQRT(((F24+H24)/(E24+G24))*(1-(F24+H24)/(E24+G24))*(1/E24+1/G24))))))</f>
        <v/>
      </c>
      <c r="L24" s="2" t="str">
        <f aca="false">IF(K24="","",IF(K24&lt;0.05,IF(J24&gt;I24,"B 채택","A 유지"),"보류"))</f>
        <v/>
      </c>
      <c r="M24" s="2"/>
      <c r="N24" s="2"/>
      <c r="O24" s="2"/>
    </row>
    <row r="25" customFormat="false" ht="15" hidden="false" customHeight="false" outlineLevel="0" collapsed="false">
      <c r="A25" s="7"/>
      <c r="B25" s="7"/>
      <c r="C25" s="7"/>
      <c r="D25" s="7"/>
      <c r="E25" s="7"/>
      <c r="F25" s="7"/>
      <c r="G25" s="7"/>
      <c r="H25" s="7"/>
      <c r="I25" s="8" t="str">
        <f aca="false">IF(E25="","",F25/E25)</f>
        <v/>
      </c>
      <c r="J25" s="8" t="str">
        <f aca="false">IF(G25="","",H25/G25)</f>
        <v/>
      </c>
      <c r="K25" s="26" t="str">
        <f aca="false">IF(OR(E25="",G25=""),"",2*(1-NORMSDIST(ABS((J25-I25)/SQRT(((F25+H25)/(E25+G25))*(1-(F25+H25)/(E25+G25))*(1/E25+1/G25))))))</f>
        <v/>
      </c>
      <c r="L25" s="2" t="str">
        <f aca="false">IF(K25="","",IF(K25&lt;0.05,IF(J25&gt;I25,"B 채택","A 유지"),"보류"))</f>
        <v/>
      </c>
      <c r="M25" s="2"/>
      <c r="N25" s="2"/>
      <c r="O25" s="2"/>
    </row>
    <row r="26" customFormat="false" ht="15" hidden="false" customHeight="false" outlineLevel="0" collapsed="false">
      <c r="A26" s="7"/>
      <c r="B26" s="7"/>
      <c r="C26" s="7"/>
      <c r="D26" s="7"/>
      <c r="E26" s="7"/>
      <c r="F26" s="7"/>
      <c r="G26" s="7"/>
      <c r="H26" s="7"/>
      <c r="I26" s="8" t="str">
        <f aca="false">IF(E26="","",F26/E26)</f>
        <v/>
      </c>
      <c r="J26" s="8" t="str">
        <f aca="false">IF(G26="","",H26/G26)</f>
        <v/>
      </c>
      <c r="K26" s="26" t="str">
        <f aca="false">IF(OR(E26="",G26=""),"",2*(1-NORMSDIST(ABS((J26-I26)/SQRT(((F26+H26)/(E26+G26))*(1-(F26+H26)/(E26+G26))*(1/E26+1/G26))))))</f>
        <v/>
      </c>
      <c r="L26" s="2" t="str">
        <f aca="false">IF(K26="","",IF(K26&lt;0.05,IF(J26&gt;I26,"B 채택","A 유지"),"보류"))</f>
        <v/>
      </c>
      <c r="M26" s="2"/>
      <c r="N26" s="2"/>
      <c r="O26" s="2"/>
    </row>
    <row r="27" customFormat="false" ht="15" hidden="false" customHeight="false" outlineLevel="0" collapsed="false">
      <c r="A27" s="7"/>
      <c r="B27" s="7"/>
      <c r="C27" s="7"/>
      <c r="D27" s="7"/>
      <c r="E27" s="7"/>
      <c r="F27" s="7"/>
      <c r="G27" s="7"/>
      <c r="H27" s="7"/>
      <c r="I27" s="8" t="str">
        <f aca="false">IF(E27="","",F27/E27)</f>
        <v/>
      </c>
      <c r="J27" s="8" t="str">
        <f aca="false">IF(G27="","",H27/G27)</f>
        <v/>
      </c>
      <c r="K27" s="26" t="str">
        <f aca="false">IF(OR(E27="",G27=""),"",2*(1-NORMSDIST(ABS((J27-I27)/SQRT(((F27+H27)/(E27+G27))*(1-(F27+H27)/(E27+G27))*(1/E27+1/G27))))))</f>
        <v/>
      </c>
      <c r="L27" s="2" t="str">
        <f aca="false">IF(K27="","",IF(K27&lt;0.05,IF(J27&gt;I27,"B 채택","A 유지"),"보류"))</f>
        <v/>
      </c>
      <c r="M27" s="2"/>
      <c r="N27" s="2"/>
      <c r="O27" s="2"/>
    </row>
    <row r="28" customFormat="false" ht="15" hidden="false" customHeight="false" outlineLevel="0" collapsed="false">
      <c r="A28" s="7"/>
      <c r="B28" s="7"/>
      <c r="C28" s="7"/>
      <c r="D28" s="7"/>
      <c r="E28" s="7"/>
      <c r="F28" s="7"/>
      <c r="G28" s="7"/>
      <c r="H28" s="7"/>
      <c r="I28" s="8" t="str">
        <f aca="false">IF(E28="","",F28/E28)</f>
        <v/>
      </c>
      <c r="J28" s="8" t="str">
        <f aca="false">IF(G28="","",H28/G28)</f>
        <v/>
      </c>
      <c r="K28" s="26" t="str">
        <f aca="false">IF(OR(E28="",G28=""),"",2*(1-NORMSDIST(ABS((J28-I28)/SQRT(((F28+H28)/(E28+G28))*(1-(F28+H28)/(E28+G28))*(1/E28+1/G28))))))</f>
        <v/>
      </c>
      <c r="L28" s="2" t="str">
        <f aca="false">IF(K28="","",IF(K28&lt;0.05,IF(J28&gt;I28,"B 채택","A 유지"),"보류"))</f>
        <v/>
      </c>
      <c r="M28" s="2"/>
      <c r="N28" s="2"/>
      <c r="O28" s="2"/>
    </row>
    <row r="29" customFormat="false" ht="15" hidden="false" customHeight="false" outlineLevel="0" collapsed="false">
      <c r="A29" s="7"/>
      <c r="B29" s="7"/>
      <c r="C29" s="7"/>
      <c r="D29" s="7"/>
      <c r="E29" s="7"/>
      <c r="F29" s="7"/>
      <c r="G29" s="7"/>
      <c r="H29" s="7"/>
      <c r="I29" s="8" t="str">
        <f aca="false">IF(E29="","",F29/E29)</f>
        <v/>
      </c>
      <c r="J29" s="8" t="str">
        <f aca="false">IF(G29="","",H29/G29)</f>
        <v/>
      </c>
      <c r="K29" s="26" t="str">
        <f aca="false">IF(OR(E29="",G29=""),"",2*(1-NORMSDIST(ABS((J29-I29)/SQRT(((F29+H29)/(E29+G29))*(1-(F29+H29)/(E29+G29))*(1/E29+1/G29))))))</f>
        <v/>
      </c>
      <c r="L29" s="2" t="str">
        <f aca="false">IF(K29="","",IF(K29&lt;0.05,IF(J29&gt;I29,"B 채택","A 유지"),"보류"))</f>
        <v/>
      </c>
      <c r="M29" s="2"/>
      <c r="N29" s="2"/>
      <c r="O29" s="2"/>
    </row>
    <row r="30" customFormat="false" ht="15" hidden="false" customHeight="false" outlineLevel="0" collapsed="false">
      <c r="A30" s="7"/>
      <c r="B30" s="7"/>
      <c r="C30" s="7"/>
      <c r="D30" s="7"/>
      <c r="E30" s="7"/>
      <c r="F30" s="7"/>
      <c r="G30" s="7"/>
      <c r="H30" s="7"/>
      <c r="I30" s="8" t="str">
        <f aca="false">IF(E30="","",F30/E30)</f>
        <v/>
      </c>
      <c r="J30" s="8" t="str">
        <f aca="false">IF(G30="","",H30/G30)</f>
        <v/>
      </c>
      <c r="K30" s="26" t="str">
        <f aca="false">IF(OR(E30="",G30=""),"",2*(1-NORMSDIST(ABS((J30-I30)/SQRT(((F30+H30)/(E30+G30))*(1-(F30+H30)/(E30+G30))*(1/E30+1/G30))))))</f>
        <v/>
      </c>
      <c r="L30" s="2" t="str">
        <f aca="false">IF(K30="","",IF(K30&lt;0.05,IF(J30&gt;I30,"B 채택","A 유지"),"보류"))</f>
        <v/>
      </c>
      <c r="M30" s="2"/>
      <c r="N30" s="2"/>
      <c r="O30" s="2"/>
    </row>
    <row r="31" customFormat="false" ht="15" hidden="false" customHeight="false" outlineLevel="0" collapsed="false">
      <c r="A31" s="7"/>
      <c r="B31" s="7"/>
      <c r="C31" s="7"/>
      <c r="D31" s="7"/>
      <c r="E31" s="7"/>
      <c r="F31" s="7"/>
      <c r="G31" s="7"/>
      <c r="H31" s="7"/>
      <c r="I31" s="8" t="str">
        <f aca="false">IF(E31="","",F31/E31)</f>
        <v/>
      </c>
      <c r="J31" s="8" t="str">
        <f aca="false">IF(G31="","",H31/G31)</f>
        <v/>
      </c>
      <c r="K31" s="26" t="str">
        <f aca="false">IF(OR(E31="",G31=""),"",2*(1-NORMSDIST(ABS((J31-I31)/SQRT(((F31+H31)/(E31+G31))*(1-(F31+H31)/(E31+G31))*(1/E31+1/G31))))))</f>
        <v/>
      </c>
      <c r="L31" s="2" t="str">
        <f aca="false">IF(K31="","",IF(K31&lt;0.05,IF(J31&gt;I31,"B 채택","A 유지"),"보류"))</f>
        <v/>
      </c>
      <c r="M31" s="2"/>
      <c r="N31" s="2"/>
      <c r="O31" s="2"/>
    </row>
    <row r="32" customFormat="false" ht="15" hidden="false" customHeight="false" outlineLevel="0" collapsed="false">
      <c r="A32" s="7"/>
      <c r="B32" s="7"/>
      <c r="C32" s="7"/>
      <c r="D32" s="7"/>
      <c r="E32" s="7"/>
      <c r="F32" s="7"/>
      <c r="G32" s="7"/>
      <c r="H32" s="7"/>
      <c r="I32" s="8" t="str">
        <f aca="false">IF(E32="","",F32/E32)</f>
        <v/>
      </c>
      <c r="J32" s="8" t="str">
        <f aca="false">IF(G32="","",H32/G32)</f>
        <v/>
      </c>
      <c r="K32" s="26" t="str">
        <f aca="false">IF(OR(E32="",G32=""),"",2*(1-NORMSDIST(ABS((J32-I32)/SQRT(((F32+H32)/(E32+G32))*(1-(F32+H32)/(E32+G32))*(1/E32+1/G32))))))</f>
        <v/>
      </c>
      <c r="L32" s="2" t="str">
        <f aca="false">IF(K32="","",IF(K32&lt;0.05,IF(J32&gt;I32,"B 채택","A 유지"),"보류"))</f>
        <v/>
      </c>
      <c r="M32" s="2"/>
      <c r="N32" s="2"/>
      <c r="O32" s="2"/>
    </row>
    <row r="33" customFormat="false" ht="15" hidden="false" customHeight="false" outlineLevel="0" collapsed="false">
      <c r="A33" s="7"/>
      <c r="B33" s="7"/>
      <c r="C33" s="7"/>
      <c r="D33" s="7"/>
      <c r="E33" s="7"/>
      <c r="F33" s="7"/>
      <c r="G33" s="7"/>
      <c r="H33" s="7"/>
      <c r="I33" s="8" t="str">
        <f aca="false">IF(E33="","",F33/E33)</f>
        <v/>
      </c>
      <c r="J33" s="8" t="str">
        <f aca="false">IF(G33="","",H33/G33)</f>
        <v/>
      </c>
      <c r="K33" s="26" t="str">
        <f aca="false">IF(OR(E33="",G33=""),"",2*(1-NORMSDIST(ABS((J33-I33)/SQRT(((F33+H33)/(E33+G33))*(1-(F33+H33)/(E33+G33))*(1/E33+1/G33))))))</f>
        <v/>
      </c>
      <c r="L33" s="2" t="str">
        <f aca="false">IF(K33="","",IF(K33&lt;0.05,IF(J33&gt;I33,"B 채택","A 유지"),"보류"))</f>
        <v/>
      </c>
      <c r="M33" s="2"/>
      <c r="N33" s="2"/>
      <c r="O33" s="2"/>
    </row>
    <row r="34" customFormat="false" ht="15" hidden="false" customHeight="false" outlineLevel="0" collapsed="false">
      <c r="A34" s="7"/>
      <c r="B34" s="7"/>
      <c r="C34" s="7"/>
      <c r="D34" s="7"/>
      <c r="E34" s="7"/>
      <c r="F34" s="7"/>
      <c r="G34" s="7"/>
      <c r="H34" s="7"/>
      <c r="I34" s="8" t="str">
        <f aca="false">IF(E34="","",F34/E34)</f>
        <v/>
      </c>
      <c r="J34" s="8" t="str">
        <f aca="false">IF(G34="","",H34/G34)</f>
        <v/>
      </c>
      <c r="K34" s="26" t="str">
        <f aca="false">IF(OR(E34="",G34=""),"",2*(1-NORMSDIST(ABS((J34-I34)/SQRT(((F34+H34)/(E34+G34))*(1-(F34+H34)/(E34+G34))*(1/E34+1/G34))))))</f>
        <v/>
      </c>
      <c r="L34" s="2" t="str">
        <f aca="false">IF(K34="","",IF(K34&lt;0.05,IF(J34&gt;I34,"B 채택","A 유지"),"보류"))</f>
        <v/>
      </c>
      <c r="M34" s="2"/>
      <c r="N34" s="2"/>
      <c r="O34" s="2"/>
    </row>
    <row r="35" customFormat="false" ht="15" hidden="false" customHeight="false" outlineLevel="0" collapsed="false">
      <c r="A35" s="7"/>
      <c r="B35" s="7"/>
      <c r="C35" s="7"/>
      <c r="D35" s="7"/>
      <c r="E35" s="7"/>
      <c r="F35" s="7"/>
      <c r="G35" s="7"/>
      <c r="H35" s="7"/>
      <c r="I35" s="8" t="str">
        <f aca="false">IF(E35="","",F35/E35)</f>
        <v/>
      </c>
      <c r="J35" s="8" t="str">
        <f aca="false">IF(G35="","",H35/G35)</f>
        <v/>
      </c>
      <c r="K35" s="26" t="str">
        <f aca="false">IF(OR(E35="",G35=""),"",2*(1-NORMSDIST(ABS((J35-I35)/SQRT(((F35+H35)/(E35+G35))*(1-(F35+H35)/(E35+G35))*(1/E35+1/G35))))))</f>
        <v/>
      </c>
      <c r="L35" s="2" t="str">
        <f aca="false">IF(K35="","",IF(K35&lt;0.05,IF(J35&gt;I35,"B 채택","A 유지"),"보류"))</f>
        <v/>
      </c>
      <c r="M35" s="2"/>
      <c r="N35" s="2"/>
      <c r="O35" s="2"/>
    </row>
    <row r="36" customFormat="false" ht="15" hidden="false" customHeight="false" outlineLevel="0" collapsed="false">
      <c r="A36" s="7"/>
      <c r="B36" s="7"/>
      <c r="C36" s="7"/>
      <c r="D36" s="7"/>
      <c r="E36" s="7"/>
      <c r="F36" s="7"/>
      <c r="G36" s="7"/>
      <c r="H36" s="7"/>
      <c r="I36" s="8" t="str">
        <f aca="false">IF(E36="","",F36/E36)</f>
        <v/>
      </c>
      <c r="J36" s="8" t="str">
        <f aca="false">IF(G36="","",H36/G36)</f>
        <v/>
      </c>
      <c r="K36" s="26" t="str">
        <f aca="false">IF(OR(E36="",G36=""),"",2*(1-NORMSDIST(ABS((J36-I36)/SQRT(((F36+H36)/(E36+G36))*(1-(F36+H36)/(E36+G36))*(1/E36+1/G36))))))</f>
        <v/>
      </c>
      <c r="L36" s="2" t="str">
        <f aca="false">IF(K36="","",IF(K36&lt;0.05,IF(J36&gt;I36,"B 채택","A 유지"),"보류"))</f>
        <v/>
      </c>
      <c r="M36" s="2"/>
      <c r="N36" s="2"/>
      <c r="O36" s="2"/>
    </row>
    <row r="37" customFormat="false" ht="15" hidden="false" customHeight="false" outlineLevel="0" collapsed="false">
      <c r="A37" s="7"/>
      <c r="B37" s="7"/>
      <c r="C37" s="7"/>
      <c r="D37" s="7"/>
      <c r="E37" s="7"/>
      <c r="F37" s="7"/>
      <c r="G37" s="7"/>
      <c r="H37" s="7"/>
      <c r="I37" s="8" t="str">
        <f aca="false">IF(E37="","",F37/E37)</f>
        <v/>
      </c>
      <c r="J37" s="8" t="str">
        <f aca="false">IF(G37="","",H37/G37)</f>
        <v/>
      </c>
      <c r="K37" s="26" t="str">
        <f aca="false">IF(OR(E37="",G37=""),"",2*(1-NORMSDIST(ABS((J37-I37)/SQRT(((F37+H37)/(E37+G37))*(1-(F37+H37)/(E37+G37))*(1/E37+1/G37))))))</f>
        <v/>
      </c>
      <c r="L37" s="2" t="str">
        <f aca="false">IF(K37="","",IF(K37&lt;0.05,IF(J37&gt;I37,"B 채택","A 유지"),"보류"))</f>
        <v/>
      </c>
      <c r="M37" s="2"/>
      <c r="N37" s="2"/>
      <c r="O37" s="2"/>
    </row>
    <row r="38" customFormat="false" ht="15" hidden="false" customHeight="false" outlineLevel="0" collapsed="false">
      <c r="A38" s="7"/>
      <c r="B38" s="7"/>
      <c r="C38" s="7"/>
      <c r="D38" s="7"/>
      <c r="E38" s="7"/>
      <c r="F38" s="7"/>
      <c r="G38" s="7"/>
      <c r="H38" s="7"/>
      <c r="I38" s="8" t="str">
        <f aca="false">IF(E38="","",F38/E38)</f>
        <v/>
      </c>
      <c r="J38" s="8" t="str">
        <f aca="false">IF(G38="","",H38/G38)</f>
        <v/>
      </c>
      <c r="K38" s="26" t="str">
        <f aca="false">IF(OR(E38="",G38=""),"",2*(1-NORMSDIST(ABS((J38-I38)/SQRT(((F38+H38)/(E38+G38))*(1-(F38+H38)/(E38+G38))*(1/E38+1/G38))))))</f>
        <v/>
      </c>
      <c r="L38" s="2" t="str">
        <f aca="false">IF(K38="","",IF(K38&lt;0.05,IF(J38&gt;I38,"B 채택","A 유지"),"보류"))</f>
        <v/>
      </c>
      <c r="M38" s="2"/>
      <c r="N38" s="2"/>
      <c r="O38" s="2"/>
    </row>
    <row r="39" customFormat="false" ht="15" hidden="false" customHeight="false" outlineLevel="0" collapsed="false">
      <c r="A39" s="7"/>
      <c r="B39" s="7"/>
      <c r="C39" s="7"/>
      <c r="D39" s="7"/>
      <c r="E39" s="7"/>
      <c r="F39" s="7"/>
      <c r="G39" s="7"/>
      <c r="H39" s="7"/>
      <c r="I39" s="8" t="str">
        <f aca="false">IF(E39="","",F39/E39)</f>
        <v/>
      </c>
      <c r="J39" s="8" t="str">
        <f aca="false">IF(G39="","",H39/G39)</f>
        <v/>
      </c>
      <c r="K39" s="26" t="str">
        <f aca="false">IF(OR(E39="",G39=""),"",2*(1-NORMSDIST(ABS((J39-I39)/SQRT(((F39+H39)/(E39+G39))*(1-(F39+H39)/(E39+G39))*(1/E39+1/G39))))))</f>
        <v/>
      </c>
      <c r="L39" s="2" t="str">
        <f aca="false">IF(K39="","",IF(K39&lt;0.05,IF(J39&gt;I39,"B 채택","A 유지"),"보류"))</f>
        <v/>
      </c>
      <c r="M39" s="2"/>
      <c r="N39" s="2"/>
      <c r="O39" s="2"/>
    </row>
    <row r="40" customFormat="false" ht="15" hidden="false" customHeight="false" outlineLevel="0" collapsed="false">
      <c r="A40" s="7"/>
      <c r="B40" s="7"/>
      <c r="C40" s="7"/>
      <c r="D40" s="7"/>
      <c r="E40" s="7"/>
      <c r="F40" s="7"/>
      <c r="G40" s="7"/>
      <c r="H40" s="7"/>
      <c r="I40" s="8" t="str">
        <f aca="false">IF(E40="","",F40/E40)</f>
        <v/>
      </c>
      <c r="J40" s="8" t="str">
        <f aca="false">IF(G40="","",H40/G40)</f>
        <v/>
      </c>
      <c r="K40" s="26" t="str">
        <f aca="false">IF(OR(E40="",G40=""),"",2*(1-NORMSDIST(ABS((J40-I40)/SQRT(((F40+H40)/(E40+G40))*(1-(F40+H40)/(E40+G40))*(1/E40+1/G40))))))</f>
        <v/>
      </c>
      <c r="L40" s="2" t="str">
        <f aca="false">IF(K40="","",IF(K40&lt;0.05,IF(J40&gt;I40,"B 채택","A 유지"),"보류"))</f>
        <v/>
      </c>
      <c r="M40" s="2"/>
      <c r="N40" s="2"/>
      <c r="O40" s="2"/>
    </row>
    <row r="41" customFormat="false" ht="15" hidden="false" customHeight="false" outlineLevel="0" collapsed="false">
      <c r="A41" s="7"/>
      <c r="B41" s="7"/>
      <c r="C41" s="7"/>
      <c r="D41" s="7"/>
      <c r="E41" s="7"/>
      <c r="F41" s="7"/>
      <c r="G41" s="7"/>
      <c r="H41" s="7"/>
      <c r="I41" s="8" t="str">
        <f aca="false">IF(E41="","",F41/E41)</f>
        <v/>
      </c>
      <c r="J41" s="8" t="str">
        <f aca="false">IF(G41="","",H41/G41)</f>
        <v/>
      </c>
      <c r="K41" s="26" t="str">
        <f aca="false">IF(OR(E41="",G41=""),"",2*(1-NORMSDIST(ABS((J41-I41)/SQRT(((F41+H41)/(E41+G41))*(1-(F41+H41)/(E41+G41))*(1/E41+1/G41))))))</f>
        <v/>
      </c>
      <c r="L41" s="2" t="str">
        <f aca="false">IF(K41="","",IF(K41&lt;0.05,IF(J41&gt;I41,"B 채택","A 유지"),"보류"))</f>
        <v/>
      </c>
      <c r="M41" s="2"/>
      <c r="N41" s="2"/>
      <c r="O41" s="2"/>
    </row>
    <row r="42" customFormat="false" ht="15" hidden="false" customHeight="false" outlineLevel="0" collapsed="false">
      <c r="A42" s="7"/>
      <c r="B42" s="7"/>
      <c r="C42" s="7"/>
      <c r="D42" s="7"/>
      <c r="E42" s="7"/>
      <c r="F42" s="7"/>
      <c r="G42" s="7"/>
      <c r="H42" s="7"/>
      <c r="I42" s="8" t="str">
        <f aca="false">IF(E42="","",F42/E42)</f>
        <v/>
      </c>
      <c r="J42" s="8" t="str">
        <f aca="false">IF(G42="","",H42/G42)</f>
        <v/>
      </c>
      <c r="K42" s="26" t="str">
        <f aca="false">IF(OR(E42="",G42=""),"",2*(1-NORMSDIST(ABS((J42-I42)/SQRT(((F42+H42)/(E42+G42))*(1-(F42+H42)/(E42+G42))*(1/E42+1/G42))))))</f>
        <v/>
      </c>
      <c r="L42" s="2" t="str">
        <f aca="false">IF(K42="","",IF(K42&lt;0.05,IF(J42&gt;I42,"B 채택","A 유지"),"보류"))</f>
        <v/>
      </c>
      <c r="M42" s="2"/>
      <c r="N42" s="2"/>
      <c r="O42" s="2"/>
    </row>
    <row r="43" customFormat="false" ht="15" hidden="false" customHeight="false" outlineLevel="0" collapsed="false">
      <c r="A43" s="7"/>
      <c r="B43" s="7"/>
      <c r="C43" s="7"/>
      <c r="D43" s="7"/>
      <c r="E43" s="7"/>
      <c r="F43" s="7"/>
      <c r="G43" s="7"/>
      <c r="H43" s="7"/>
      <c r="I43" s="8" t="str">
        <f aca="false">IF(E43="","",F43/E43)</f>
        <v/>
      </c>
      <c r="J43" s="8" t="str">
        <f aca="false">IF(G43="","",H43/G43)</f>
        <v/>
      </c>
      <c r="K43" s="26" t="str">
        <f aca="false">IF(OR(E43="",G43=""),"",2*(1-NORMSDIST(ABS((J43-I43)/SQRT(((F43+H43)/(E43+G43))*(1-(F43+H43)/(E43+G43))*(1/E43+1/G43))))))</f>
        <v/>
      </c>
      <c r="L43" s="2" t="str">
        <f aca="false">IF(K43="","",IF(K43&lt;0.05,IF(J43&gt;I43,"B 채택","A 유지"),"보류"))</f>
        <v/>
      </c>
      <c r="M43" s="2"/>
      <c r="N43" s="2"/>
      <c r="O43" s="2"/>
    </row>
    <row r="44" customFormat="false" ht="15" hidden="false" customHeight="false" outlineLevel="0" collapsed="false">
      <c r="A44" s="7"/>
      <c r="B44" s="7"/>
      <c r="C44" s="7"/>
      <c r="D44" s="7"/>
      <c r="E44" s="7"/>
      <c r="F44" s="7"/>
      <c r="G44" s="7"/>
      <c r="H44" s="7"/>
      <c r="I44" s="8" t="str">
        <f aca="false">IF(E44="","",F44/E44)</f>
        <v/>
      </c>
      <c r="J44" s="8" t="str">
        <f aca="false">IF(G44="","",H44/G44)</f>
        <v/>
      </c>
      <c r="K44" s="26" t="str">
        <f aca="false">IF(OR(E44="",G44=""),"",2*(1-NORMSDIST(ABS((J44-I44)/SQRT(((F44+H44)/(E44+G44))*(1-(F44+H44)/(E44+G44))*(1/E44+1/G44))))))</f>
        <v/>
      </c>
      <c r="L44" s="2" t="str">
        <f aca="false">IF(K44="","",IF(K44&lt;0.05,IF(J44&gt;I44,"B 채택","A 유지"),"보류"))</f>
        <v/>
      </c>
      <c r="M44" s="2"/>
      <c r="N44" s="2"/>
      <c r="O44" s="2"/>
    </row>
    <row r="45" customFormat="false" ht="15" hidden="false" customHeight="false" outlineLevel="0" collapsed="false">
      <c r="A45" s="7"/>
      <c r="B45" s="7"/>
      <c r="C45" s="7"/>
      <c r="D45" s="7"/>
      <c r="E45" s="7"/>
      <c r="F45" s="7"/>
      <c r="G45" s="7"/>
      <c r="H45" s="7"/>
      <c r="I45" s="8" t="str">
        <f aca="false">IF(E45="","",F45/E45)</f>
        <v/>
      </c>
      <c r="J45" s="8" t="str">
        <f aca="false">IF(G45="","",H45/G45)</f>
        <v/>
      </c>
      <c r="K45" s="26" t="str">
        <f aca="false">IF(OR(E45="",G45=""),"",2*(1-NORMSDIST(ABS((J45-I45)/SQRT(((F45+H45)/(E45+G45))*(1-(F45+H45)/(E45+G45))*(1/E45+1/G45))))))</f>
        <v/>
      </c>
      <c r="L45" s="2" t="str">
        <f aca="false">IF(K45="","",IF(K45&lt;0.05,IF(J45&gt;I45,"B 채택","A 유지"),"보류"))</f>
        <v/>
      </c>
      <c r="M45" s="2"/>
      <c r="N45" s="2"/>
      <c r="O45" s="2"/>
    </row>
    <row r="46" customFormat="false" ht="15" hidden="false" customHeight="false" outlineLevel="0" collapsed="false">
      <c r="A46" s="7"/>
      <c r="B46" s="7"/>
      <c r="C46" s="7"/>
      <c r="D46" s="7"/>
      <c r="E46" s="7"/>
      <c r="F46" s="7"/>
      <c r="G46" s="7"/>
      <c r="H46" s="7"/>
      <c r="I46" s="8" t="str">
        <f aca="false">IF(E46="","",F46/E46)</f>
        <v/>
      </c>
      <c r="J46" s="8" t="str">
        <f aca="false">IF(G46="","",H46/G46)</f>
        <v/>
      </c>
      <c r="K46" s="26" t="str">
        <f aca="false">IF(OR(E46="",G46=""),"",2*(1-NORMSDIST(ABS((J46-I46)/SQRT(((F46+H46)/(E46+G46))*(1-(F46+H46)/(E46+G46))*(1/E46+1/G46))))))</f>
        <v/>
      </c>
      <c r="L46" s="2" t="str">
        <f aca="false">IF(K46="","",IF(K46&lt;0.05,IF(J46&gt;I46,"B 채택","A 유지"),"보류"))</f>
        <v/>
      </c>
      <c r="M46" s="2"/>
      <c r="N46" s="2"/>
      <c r="O46" s="2"/>
    </row>
    <row r="47" customFormat="false" ht="15" hidden="false" customHeight="false" outlineLevel="0" collapsed="false">
      <c r="A47" s="7"/>
      <c r="B47" s="7"/>
      <c r="C47" s="7"/>
      <c r="D47" s="7"/>
      <c r="E47" s="7"/>
      <c r="F47" s="7"/>
      <c r="G47" s="7"/>
      <c r="H47" s="7"/>
      <c r="I47" s="8" t="str">
        <f aca="false">IF(E47="","",F47/E47)</f>
        <v/>
      </c>
      <c r="J47" s="8" t="str">
        <f aca="false">IF(G47="","",H47/G47)</f>
        <v/>
      </c>
      <c r="K47" s="26" t="str">
        <f aca="false">IF(OR(E47="",G47=""),"",2*(1-NORMSDIST(ABS((J47-I47)/SQRT(((F47+H47)/(E47+G47))*(1-(F47+H47)/(E47+G47))*(1/E47+1/G47))))))</f>
        <v/>
      </c>
      <c r="L47" s="2" t="str">
        <f aca="false">IF(K47="","",IF(K47&lt;0.05,IF(J47&gt;I47,"B 채택","A 유지"),"보류"))</f>
        <v/>
      </c>
      <c r="M47" s="2"/>
      <c r="N47" s="2"/>
      <c r="O47" s="2"/>
    </row>
    <row r="48" customFormat="false" ht="15" hidden="false" customHeight="false" outlineLevel="0" collapsed="false">
      <c r="A48" s="7"/>
      <c r="B48" s="7"/>
      <c r="C48" s="7"/>
      <c r="D48" s="7"/>
      <c r="E48" s="7"/>
      <c r="F48" s="7"/>
      <c r="G48" s="7"/>
      <c r="H48" s="7"/>
      <c r="I48" s="8" t="str">
        <f aca="false">IF(E48="","",F48/E48)</f>
        <v/>
      </c>
      <c r="J48" s="8" t="str">
        <f aca="false">IF(G48="","",H48/G48)</f>
        <v/>
      </c>
      <c r="K48" s="26" t="str">
        <f aca="false">IF(OR(E48="",G48=""),"",2*(1-NORMSDIST(ABS((J48-I48)/SQRT(((F48+H48)/(E48+G48))*(1-(F48+H48)/(E48+G48))*(1/E48+1/G48))))))</f>
        <v/>
      </c>
      <c r="L48" s="2" t="str">
        <f aca="false">IF(K48="","",IF(K48&lt;0.05,IF(J48&gt;I48,"B 채택","A 유지"),"보류"))</f>
        <v/>
      </c>
      <c r="M48" s="2"/>
      <c r="N48" s="2"/>
      <c r="O48" s="2"/>
    </row>
    <row r="49" customFormat="false" ht="15" hidden="false" customHeight="false" outlineLevel="0" collapsed="false">
      <c r="A49" s="7"/>
      <c r="B49" s="7"/>
      <c r="C49" s="7"/>
      <c r="D49" s="7"/>
      <c r="E49" s="7"/>
      <c r="F49" s="7"/>
      <c r="G49" s="7"/>
      <c r="H49" s="7"/>
      <c r="I49" s="8" t="str">
        <f aca="false">IF(E49="","",F49/E49)</f>
        <v/>
      </c>
      <c r="J49" s="8" t="str">
        <f aca="false">IF(G49="","",H49/G49)</f>
        <v/>
      </c>
      <c r="K49" s="26" t="str">
        <f aca="false">IF(OR(E49="",G49=""),"",2*(1-NORMSDIST(ABS((J49-I49)/SQRT(((F49+H49)/(E49+G49))*(1-(F49+H49)/(E49+G49))*(1/E49+1/G49))))))</f>
        <v/>
      </c>
      <c r="L49" s="2" t="str">
        <f aca="false">IF(K49="","",IF(K49&lt;0.05,IF(J49&gt;I49,"B 채택","A 유지"),"보류"))</f>
        <v/>
      </c>
      <c r="M49" s="2"/>
      <c r="N49" s="2"/>
      <c r="O49" s="2"/>
    </row>
    <row r="50" customFormat="false" ht="15" hidden="false" customHeight="false" outlineLevel="0" collapsed="false">
      <c r="A50" s="7"/>
      <c r="B50" s="7"/>
      <c r="C50" s="7"/>
      <c r="D50" s="7"/>
      <c r="E50" s="7"/>
      <c r="F50" s="7"/>
      <c r="G50" s="7"/>
      <c r="H50" s="7"/>
      <c r="I50" s="8" t="str">
        <f aca="false">IF(E50="","",F50/E50)</f>
        <v/>
      </c>
      <c r="J50" s="8" t="str">
        <f aca="false">IF(G50="","",H50/G50)</f>
        <v/>
      </c>
      <c r="K50" s="26" t="str">
        <f aca="false">IF(OR(E50="",G50=""),"",2*(1-NORMSDIST(ABS((J50-I50)/SQRT(((F50+H50)/(E50+G50))*(1-(F50+H50)/(E50+G50))*(1/E50+1/G50))))))</f>
        <v/>
      </c>
      <c r="L50" s="2" t="str">
        <f aca="false">IF(K50="","",IF(K50&lt;0.05,IF(J50&gt;I50,"B 채택","A 유지"),"보류"))</f>
        <v/>
      </c>
      <c r="M50" s="2"/>
      <c r="N50" s="2"/>
      <c r="O50" s="2"/>
    </row>
    <row r="51" customFormat="false" ht="15" hidden="false" customHeight="false" outlineLevel="0" collapsed="false">
      <c r="A51" s="7"/>
      <c r="B51" s="7"/>
      <c r="C51" s="7"/>
      <c r="D51" s="7"/>
      <c r="E51" s="7"/>
      <c r="F51" s="7"/>
      <c r="G51" s="7"/>
      <c r="H51" s="7"/>
      <c r="I51" s="8" t="str">
        <f aca="false">IF(E51="","",F51/E51)</f>
        <v/>
      </c>
      <c r="J51" s="8" t="str">
        <f aca="false">IF(G51="","",H51/G51)</f>
        <v/>
      </c>
      <c r="K51" s="26" t="str">
        <f aca="false">IF(OR(E51="",G51=""),"",2*(1-NORMSDIST(ABS((J51-I51)/SQRT(((F51+H51)/(E51+G51))*(1-(F51+H51)/(E51+G51))*(1/E51+1/G51))))))</f>
        <v/>
      </c>
      <c r="L51" s="2" t="str">
        <f aca="false">IF(K51="","",IF(K51&lt;0.05,IF(J51&gt;I51,"B 채택","A 유지"),"보류"))</f>
        <v/>
      </c>
      <c r="M51" s="2"/>
      <c r="N51" s="2"/>
      <c r="O5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2026-09-21T04:24:03Z</dcterms:created>
  <dc:creator>openpyxl</dc:creator>
  <dc:description/>
  <dc:language>en-US</dc:language>
  <cp:lastModifiedBy/>
  <dcterms:modified xsi:type="dcterms:W3CDTF">2026-09-21T04:24:03Z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